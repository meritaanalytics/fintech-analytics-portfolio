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Diagnostic" sheetId="3" state="visible" r:id="rId5"/>
    <sheet name="Prescriptive" sheetId="4" state="visible" r:id="rId6"/>
    <sheet name="Data_Transactions" sheetId="5" state="visible" r:id="rId7"/>
    <sheet name="Data_Loans" sheetId="6" state="visible" r:id="rId8"/>
    <sheet name="Data_Customers" sheetId="7" state="visible" r:id="rId9"/>
    <sheet name="Data_Fraud" sheetId="8" state="visible" r:id="rId10"/>
    <sheet name="Data_Fe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<sst xmlns="http://schemas.openxmlformats.org/spreadsheetml/2006/main" count="47913" uniqueCount="12102">
  <si>
    <t xml:space="preserve">Kenya Fintech — Data Analyst Dashboard</t>
  </si>
  <si>
    <t xml:space="preserve">Purpose: Formula-driven analyst dashboard covering the four levels of analytics —</t>
  </si>
  <si>
    <t xml:space="preserve">Descriptive, Diagnostic, Predictive (summary), and Prescriptive KPIs.</t>
  </si>
  <si>
    <t xml:space="preserve">Sheet guide:</t>
  </si>
  <si>
    <t xml:space="preserve">  Dashboard          — Executive KPI scorecard + charts (Level 1: Descriptive)</t>
  </si>
  <si>
    <t xml:space="preserve">  Diagnostic          — Root-cause pivot tables (Level 2: Diagnostic)</t>
  </si>
  <si>
    <t xml:space="preserve">  Prescriptive         — Actionable watchlists (Level 4: Prescriptive)</t>
  </si>
  <si>
    <t xml:space="preserve">  Data_Transactions    — Raw transaction records (source for all formulas)</t>
  </si>
  <si>
    <t xml:space="preserve">  Data_Loans           — Raw loan records</t>
  </si>
  <si>
    <t xml:space="preserve">  Data_Customers       — Raw customer records</t>
  </si>
  <si>
    <t xml:space="preserve">  Data_Fraud           — Raw fraud event records</t>
  </si>
  <si>
    <t xml:space="preserve">All KPI and pivot cells use SUMIFS / COUNTIFS / AVERAGEIFS formulas referencing the</t>
  </si>
  <si>
    <t xml:space="preserve">Data_ sheets — update a source row and the dashboard recalculates automatically.</t>
  </si>
  <si>
    <t xml:space="preserve">Data note: Synthetic Kenyan fintech dataset (customers, accounts, transactions, loans,</t>
  </si>
  <si>
    <t xml:space="preserve">fraud events) — see original source workbook README tab for generation details.</t>
  </si>
  <si>
    <t xml:space="preserve">Kenya Fintech — Executive Dashboard</t>
  </si>
  <si>
    <t xml:space="preserve">Level 1: Descriptive Analytics — Portfolio Snapshot</t>
  </si>
  <si>
    <t xml:space="preserve">Active Customers</t>
  </si>
  <si>
    <t xml:space="preserve">Total Transactions</t>
  </si>
  <si>
    <t xml:space="preserve">Transaction Success Rate</t>
  </si>
  <si>
    <t xml:space="preserve">Total Fee Revenue (KES)</t>
  </si>
  <si>
    <t xml:space="preserve">Loan Book Outstanding (KES)</t>
  </si>
  <si>
    <t xml:space="preserve">Loan Default Rate</t>
  </si>
  <si>
    <t xml:space="preserve">Open Fraud Cases</t>
  </si>
  <si>
    <t xml:space="preserve">Transactions by Status</t>
  </si>
  <si>
    <t xml:space="preserve">Channel Usage</t>
  </si>
  <si>
    <t xml:space="preserve">Completed</t>
  </si>
  <si>
    <t xml:space="preserve">Agent</t>
  </si>
  <si>
    <t xml:space="preserve">Failed</t>
  </si>
  <si>
    <t xml:space="preserve">USSD</t>
  </si>
  <si>
    <t xml:space="preserve">Reversed</t>
  </si>
  <si>
    <t xml:space="preserve">Mobile</t>
  </si>
  <si>
    <t xml:space="preserve">App</t>
  </si>
  <si>
    <t xml:space="preserve">Value by Transaction Type (KES)</t>
  </si>
  <si>
    <t xml:space="preserve">Loan Book by Status</t>
  </si>
  <si>
    <t xml:space="preserve">Bill Payment</t>
  </si>
  <si>
    <t xml:space="preserve">Active</t>
  </si>
  <si>
    <t xml:space="preserve">Merchant Payment</t>
  </si>
  <si>
    <t xml:space="preserve">Paid</t>
  </si>
  <si>
    <t xml:space="preserve">Payment</t>
  </si>
  <si>
    <t xml:space="preserve">Defaulted</t>
  </si>
  <si>
    <t xml:space="preserve">Transfer</t>
  </si>
  <si>
    <t xml:space="preserve">Rejected</t>
  </si>
  <si>
    <t xml:space="preserve">Withdrawal</t>
  </si>
  <si>
    <t xml:space="preserve">Diagnostic Analytics — Root-Cause Views</t>
  </si>
  <si>
    <t xml:space="preserve">Level 2: Why is it happening?</t>
  </si>
  <si>
    <t xml:space="preserve">Channel</t>
  </si>
  <si>
    <t xml:space="preserve">Fail/Reversal Rate</t>
  </si>
  <si>
    <t xml:space="preserve">Loan Default Rate by Product</t>
  </si>
  <si>
    <t xml:space="preserve">Loan Product</t>
  </si>
  <si>
    <t xml:space="preserve">Total Decided</t>
  </si>
  <si>
    <t xml:space="preserve">Defaults</t>
  </si>
  <si>
    <t xml:space="preserve">Default Rate</t>
  </si>
  <si>
    <t xml:space="preserve">Business Loan</t>
  </si>
  <si>
    <t xml:space="preserve">Mobile Credit</t>
  </si>
  <si>
    <t xml:space="preserve">Salary Advance</t>
  </si>
  <si>
    <t xml:space="preserve">Loan Default Rate by Customer Income Band</t>
  </si>
  <si>
    <t xml:space="preserve">Income Band</t>
  </si>
  <si>
    <t xml:space="preserve">20K-30K</t>
  </si>
  <si>
    <t xml:space="preserve">30K-50K</t>
  </si>
  <si>
    <t xml:space="preserve">50K-100K</t>
  </si>
  <si>
    <t xml:space="preserve">100K-250K</t>
  </si>
  <si>
    <t xml:space="preserve">250K+</t>
  </si>
  <si>
    <t xml:space="preserve">Prescriptive Analytics — Action Lists</t>
  </si>
  <si>
    <t xml:space="preserve">Level 4: What should we do next?</t>
  </si>
  <si>
    <t xml:space="preserve">Note: These are ranked watchlists best generated dynamically. Sort/filter the raw data sheets directly, or use the SQL prescriptive queries (see /sql/05_prescriptive_kpis.sql) for the collections and fraud-triage worklists — a static Excel snapshot below shows the top loan and fraud items as of the data extract date.</t>
  </si>
  <si>
    <t xml:space="preserve">Top 10 Overdue Active Loans (Collections Priority)</t>
  </si>
  <si>
    <t xml:space="preserve">Loan ID</t>
  </si>
  <si>
    <t xml:space="preserve">Customer ID</t>
  </si>
  <si>
    <t xml:space="preserve">Product</t>
  </si>
  <si>
    <t xml:space="preserve">Outstanding (KES)</t>
  </si>
  <si>
    <t xml:space="preserve">Days Past Due</t>
  </si>
  <si>
    <t xml:space="preserve">transaction_id</t>
  </si>
  <si>
    <t xml:space="preserve">account_id</t>
  </si>
  <si>
    <t xml:space="preserve">customer_id</t>
  </si>
  <si>
    <t xml:space="preserve">transaction_date</t>
  </si>
  <si>
    <t xml:space="preserve">transaction_type</t>
  </si>
  <si>
    <t xml:space="preserve">channel</t>
  </si>
  <si>
    <t xml:space="preserve">amount_kes</t>
  </si>
  <si>
    <t xml:space="preserve">fee_kes</t>
  </si>
  <si>
    <t xml:space="preserve">status</t>
  </si>
  <si>
    <t xml:space="preserve">reference_number</t>
  </si>
  <si>
    <t xml:space="preserve">recipient_type</t>
  </si>
  <si>
    <t xml:space="preserve">merchant_id</t>
  </si>
  <si>
    <t xml:space="preserve">agent_id</t>
  </si>
  <si>
    <t xml:space="preserve">TXN001</t>
  </si>
  <si>
    <t xml:space="preserve">ACC001</t>
  </si>
  <si>
    <t xml:space="preserve">CUS001</t>
  </si>
  <si>
    <t xml:space="preserve">REF001</t>
  </si>
  <si>
    <t xml:space="preserve">Merchant</t>
  </si>
  <si>
    <t xml:space="preserve">MER018</t>
  </si>
  <si>
    <t xml:space="preserve">TXN002</t>
  </si>
  <si>
    <t xml:space="preserve">ACC002</t>
  </si>
  <si>
    <t xml:space="preserve">CUS002</t>
  </si>
  <si>
    <t xml:space="preserve">REF002</t>
  </si>
  <si>
    <t xml:space="preserve">Individual</t>
  </si>
  <si>
    <t xml:space="preserve">MER035</t>
  </si>
  <si>
    <t xml:space="preserve">TXN003</t>
  </si>
  <si>
    <t xml:space="preserve">ACC003</t>
  </si>
  <si>
    <t xml:space="preserve">CUS003</t>
  </si>
  <si>
    <t xml:space="preserve">REF003</t>
  </si>
  <si>
    <t xml:space="preserve">Utility</t>
  </si>
  <si>
    <t xml:space="preserve">MER052</t>
  </si>
  <si>
    <t xml:space="preserve">TXN004</t>
  </si>
  <si>
    <t xml:space="preserve">ACC004</t>
  </si>
  <si>
    <t xml:space="preserve">CUS004</t>
  </si>
  <si>
    <t xml:space="preserve">REF004</t>
  </si>
  <si>
    <t xml:space="preserve">MER069</t>
  </si>
  <si>
    <t xml:space="preserve">TXN005</t>
  </si>
  <si>
    <t xml:space="preserve">ACC005</t>
  </si>
  <si>
    <t xml:space="preserve">CUS005</t>
  </si>
  <si>
    <t xml:space="preserve">REF005</t>
  </si>
  <si>
    <t xml:space="preserve">AGT066</t>
  </si>
  <si>
    <t xml:space="preserve">TXN006</t>
  </si>
  <si>
    <t xml:space="preserve">ACC006</t>
  </si>
  <si>
    <t xml:space="preserve">CUS006</t>
  </si>
  <si>
    <t xml:space="preserve">REF006</t>
  </si>
  <si>
    <t xml:space="preserve">MER103</t>
  </si>
  <si>
    <t xml:space="preserve">TXN007</t>
  </si>
  <si>
    <t xml:space="preserve">ACC007</t>
  </si>
  <si>
    <t xml:space="preserve">CUS007</t>
  </si>
  <si>
    <t xml:space="preserve">REF007</t>
  </si>
  <si>
    <t xml:space="preserve">Business</t>
  </si>
  <si>
    <t xml:space="preserve">MER120</t>
  </si>
  <si>
    <t xml:space="preserve">TXN008</t>
  </si>
  <si>
    <t xml:space="preserve">ACC008</t>
  </si>
  <si>
    <t xml:space="preserve">CUS008</t>
  </si>
  <si>
    <t xml:space="preserve">REF008</t>
  </si>
  <si>
    <t xml:space="preserve">MER137</t>
  </si>
  <si>
    <t xml:space="preserve">TXN009</t>
  </si>
  <si>
    <t xml:space="preserve">ACC009</t>
  </si>
  <si>
    <t xml:space="preserve">CUS009</t>
  </si>
  <si>
    <t xml:space="preserve">REF009</t>
  </si>
  <si>
    <t xml:space="preserve">MER004</t>
  </si>
  <si>
    <t xml:space="preserve">TXN010</t>
  </si>
  <si>
    <t xml:space="preserve">ACC010</t>
  </si>
  <si>
    <t xml:space="preserve">CUS010</t>
  </si>
  <si>
    <t xml:space="preserve">REF010</t>
  </si>
  <si>
    <t xml:space="preserve">MER021</t>
  </si>
  <si>
    <t xml:space="preserve">TXN011</t>
  </si>
  <si>
    <t xml:space="preserve">REF011</t>
  </si>
  <si>
    <t xml:space="preserve">MER038</t>
  </si>
  <si>
    <t xml:space="preserve">TXN012</t>
  </si>
  <si>
    <t xml:space="preserve">REF012</t>
  </si>
  <si>
    <t xml:space="preserve">AGT057</t>
  </si>
  <si>
    <t xml:space="preserve">TXN013</t>
  </si>
  <si>
    <t xml:space="preserve">REF013</t>
  </si>
  <si>
    <t xml:space="preserve">MER072</t>
  </si>
  <si>
    <t xml:space="preserve">TXN014</t>
  </si>
  <si>
    <t xml:space="preserve">REF014</t>
  </si>
  <si>
    <t xml:space="preserve">MER089</t>
  </si>
  <si>
    <t xml:space="preserve">TXN015</t>
  </si>
  <si>
    <t xml:space="preserve">REF015</t>
  </si>
  <si>
    <t xml:space="preserve">MER106</t>
  </si>
  <si>
    <t xml:space="preserve">TXN0016</t>
  </si>
  <si>
    <t xml:space="preserve">ACC372</t>
  </si>
  <si>
    <t xml:space="preserve">CUS372</t>
  </si>
  <si>
    <t xml:space="preserve">REF0016</t>
  </si>
  <si>
    <t xml:space="preserve">MER123</t>
  </si>
  <si>
    <t xml:space="preserve">TXN0017</t>
  </si>
  <si>
    <t xml:space="preserve">ACC822</t>
  </si>
  <si>
    <t xml:space="preserve">CUS822</t>
  </si>
  <si>
    <t xml:space="preserve">REF0017</t>
  </si>
  <si>
    <t xml:space="preserve">AGT022</t>
  </si>
  <si>
    <t xml:space="preserve">TXN0018</t>
  </si>
  <si>
    <t xml:space="preserve">ACC717</t>
  </si>
  <si>
    <t xml:space="preserve">CUS717</t>
  </si>
  <si>
    <t xml:space="preserve">REF0018</t>
  </si>
  <si>
    <t xml:space="preserve">MER007</t>
  </si>
  <si>
    <t xml:space="preserve">TXN0019</t>
  </si>
  <si>
    <t xml:space="preserve">ACC389</t>
  </si>
  <si>
    <t xml:space="preserve">CUS389</t>
  </si>
  <si>
    <t xml:space="preserve">REF0019</t>
  </si>
  <si>
    <t xml:space="preserve">MER024</t>
  </si>
  <si>
    <t xml:space="preserve">TXN0020</t>
  </si>
  <si>
    <t xml:space="preserve">ACC908</t>
  </si>
  <si>
    <t xml:space="preserve">CUS908</t>
  </si>
  <si>
    <t xml:space="preserve">REF0020</t>
  </si>
  <si>
    <t xml:space="preserve">MER041</t>
  </si>
  <si>
    <t xml:space="preserve">TXN0021</t>
  </si>
  <si>
    <t xml:space="preserve">ACC985</t>
  </si>
  <si>
    <t xml:space="preserve">CUS985</t>
  </si>
  <si>
    <t xml:space="preserve">REF0021</t>
  </si>
  <si>
    <t xml:space="preserve">AGT074</t>
  </si>
  <si>
    <t xml:space="preserve">TXN0022</t>
  </si>
  <si>
    <t xml:space="preserve">ACC872</t>
  </si>
  <si>
    <t xml:space="preserve">CUS872</t>
  </si>
  <si>
    <t xml:space="preserve">REF0022</t>
  </si>
  <si>
    <t xml:space="preserve">MER075</t>
  </si>
  <si>
    <t xml:space="preserve">TXN0023</t>
  </si>
  <si>
    <t xml:space="preserve">ACC665</t>
  </si>
  <si>
    <t xml:space="preserve">CUS665</t>
  </si>
  <si>
    <t xml:space="preserve">REF0023</t>
  </si>
  <si>
    <t xml:space="preserve">MER092</t>
  </si>
  <si>
    <t xml:space="preserve">TXN0024</t>
  </si>
  <si>
    <t xml:space="preserve">ACC134</t>
  </si>
  <si>
    <t xml:space="preserve">CUS134</t>
  </si>
  <si>
    <t xml:space="preserve">REF0024</t>
  </si>
  <si>
    <t xml:space="preserve">AGT013</t>
  </si>
  <si>
    <t xml:space="preserve">TXN0025</t>
  </si>
  <si>
    <t xml:space="preserve">ACC712</t>
  </si>
  <si>
    <t xml:space="preserve">CUS712</t>
  </si>
  <si>
    <t xml:space="preserve">REF0025</t>
  </si>
  <si>
    <t xml:space="preserve">AGT026</t>
  </si>
  <si>
    <t xml:space="preserve">TXN0026</t>
  </si>
  <si>
    <t xml:space="preserve">ACC136</t>
  </si>
  <si>
    <t xml:space="preserve">CUS136</t>
  </si>
  <si>
    <t xml:space="preserve">REF0026</t>
  </si>
  <si>
    <t xml:space="preserve">MER143</t>
  </si>
  <si>
    <t xml:space="preserve">TXN0027</t>
  </si>
  <si>
    <t xml:space="preserve">ACC883</t>
  </si>
  <si>
    <t xml:space="preserve">CUS883</t>
  </si>
  <si>
    <t xml:space="preserve">REF0027</t>
  </si>
  <si>
    <t xml:space="preserve">MER010</t>
  </si>
  <si>
    <t xml:space="preserve">TXN0028</t>
  </si>
  <si>
    <t xml:space="preserve">ACC755</t>
  </si>
  <si>
    <t xml:space="preserve">CUS755</t>
  </si>
  <si>
    <t xml:space="preserve">REF0028</t>
  </si>
  <si>
    <t xml:space="preserve">MER027</t>
  </si>
  <si>
    <t xml:space="preserve">TXN0029</t>
  </si>
  <si>
    <t xml:space="preserve">ACC191</t>
  </si>
  <si>
    <t xml:space="preserve">CUS191</t>
  </si>
  <si>
    <t xml:space="preserve">REF0029</t>
  </si>
  <si>
    <t xml:space="preserve">AGT078</t>
  </si>
  <si>
    <t xml:space="preserve">TXN0030</t>
  </si>
  <si>
    <t xml:space="preserve">ACC488</t>
  </si>
  <si>
    <t xml:space="preserve">CUS488</t>
  </si>
  <si>
    <t xml:space="preserve">REF0030</t>
  </si>
  <si>
    <t xml:space="preserve">AGT091</t>
  </si>
  <si>
    <t xml:space="preserve">TXN0031</t>
  </si>
  <si>
    <t xml:space="preserve">ACC520</t>
  </si>
  <si>
    <t xml:space="preserve">CUS520</t>
  </si>
  <si>
    <t xml:space="preserve">REF0031</t>
  </si>
  <si>
    <t xml:space="preserve">AGT004</t>
  </si>
  <si>
    <t xml:space="preserve">TXN0032</t>
  </si>
  <si>
    <t xml:space="preserve">ACC720</t>
  </si>
  <si>
    <t xml:space="preserve">CUS720</t>
  </si>
  <si>
    <t xml:space="preserve">REF0032</t>
  </si>
  <si>
    <t xml:space="preserve">AGT017</t>
  </si>
  <si>
    <t xml:space="preserve">TXN0033</t>
  </si>
  <si>
    <t xml:space="preserve">ACC224</t>
  </si>
  <si>
    <t xml:space="preserve">CUS224</t>
  </si>
  <si>
    <t xml:space="preserve">REF0033</t>
  </si>
  <si>
    <t xml:space="preserve">MER112</t>
  </si>
  <si>
    <t xml:space="preserve">TXN0034</t>
  </si>
  <si>
    <t xml:space="preserve">ACC064</t>
  </si>
  <si>
    <t xml:space="preserve">CUS064</t>
  </si>
  <si>
    <t xml:space="preserve">REF0034</t>
  </si>
  <si>
    <t xml:space="preserve">MER129</t>
  </si>
  <si>
    <t xml:space="preserve">TXN0035</t>
  </si>
  <si>
    <t xml:space="preserve">ACC327</t>
  </si>
  <si>
    <t xml:space="preserve">CUS327</t>
  </si>
  <si>
    <t xml:space="preserve">REF0035</t>
  </si>
  <si>
    <t xml:space="preserve">MER146</t>
  </si>
  <si>
    <t xml:space="preserve">TXN0036</t>
  </si>
  <si>
    <t xml:space="preserve">ACC761</t>
  </si>
  <si>
    <t xml:space="preserve">CUS761</t>
  </si>
  <si>
    <t xml:space="preserve">REF0036</t>
  </si>
  <si>
    <t xml:space="preserve">MER013</t>
  </si>
  <si>
    <t xml:space="preserve">TXN0037</t>
  </si>
  <si>
    <t xml:space="preserve">ACC044</t>
  </si>
  <si>
    <t xml:space="preserve">CUS044</t>
  </si>
  <si>
    <t xml:space="preserve">REF0037</t>
  </si>
  <si>
    <t xml:space="preserve">AGT082</t>
  </si>
  <si>
    <t xml:space="preserve">TXN0038</t>
  </si>
  <si>
    <t xml:space="preserve">ACC157</t>
  </si>
  <si>
    <t xml:space="preserve">CUS157</t>
  </si>
  <si>
    <t xml:space="preserve">REF0038</t>
  </si>
  <si>
    <t xml:space="preserve">AGT095</t>
  </si>
  <si>
    <t xml:space="preserve">TXN0039</t>
  </si>
  <si>
    <t xml:space="preserve">ACC445</t>
  </si>
  <si>
    <t xml:space="preserve">CUS445</t>
  </si>
  <si>
    <t xml:space="preserve">REF0039</t>
  </si>
  <si>
    <t xml:space="preserve">AGT008</t>
  </si>
  <si>
    <t xml:space="preserve">TXN0040</t>
  </si>
  <si>
    <t xml:space="preserve">ACC346</t>
  </si>
  <si>
    <t xml:space="preserve">CUS346</t>
  </si>
  <si>
    <t xml:space="preserve">REF0040</t>
  </si>
  <si>
    <t xml:space="preserve">AGT021</t>
  </si>
  <si>
    <t xml:space="preserve">TXN0041</t>
  </si>
  <si>
    <t xml:space="preserve">ACC499</t>
  </si>
  <si>
    <t xml:space="preserve">CUS499</t>
  </si>
  <si>
    <t xml:space="preserve">REF0041</t>
  </si>
  <si>
    <t xml:space="preserve">MER098</t>
  </si>
  <si>
    <t xml:space="preserve">TXN0042</t>
  </si>
  <si>
    <t xml:space="preserve">ACC976</t>
  </si>
  <si>
    <t xml:space="preserve">CUS976</t>
  </si>
  <si>
    <t xml:space="preserve">REF0042</t>
  </si>
  <si>
    <t xml:space="preserve">AGT047</t>
  </si>
  <si>
    <t xml:space="preserve">TXN0043</t>
  </si>
  <si>
    <t xml:space="preserve">ACC980</t>
  </si>
  <si>
    <t xml:space="preserve">CUS980</t>
  </si>
  <si>
    <t xml:space="preserve">REF0043</t>
  </si>
  <si>
    <t xml:space="preserve">MER132</t>
  </si>
  <si>
    <t xml:space="preserve">TXN0044</t>
  </si>
  <si>
    <t xml:space="preserve">ACC350</t>
  </si>
  <si>
    <t xml:space="preserve">CUS350</t>
  </si>
  <si>
    <t xml:space="preserve">REF0044</t>
  </si>
  <si>
    <t xml:space="preserve">AGT073</t>
  </si>
  <si>
    <t xml:space="preserve">TXN0045</t>
  </si>
  <si>
    <t xml:space="preserve">ACC968</t>
  </si>
  <si>
    <t xml:space="preserve">CUS968</t>
  </si>
  <si>
    <t xml:space="preserve">REF0045</t>
  </si>
  <si>
    <t xml:space="preserve">MER016</t>
  </si>
  <si>
    <t xml:space="preserve">TXN0046</t>
  </si>
  <si>
    <t xml:space="preserve">ACC592</t>
  </si>
  <si>
    <t xml:space="preserve">CUS592</t>
  </si>
  <si>
    <t xml:space="preserve">REF0046</t>
  </si>
  <si>
    <t xml:space="preserve">MER033</t>
  </si>
  <si>
    <t xml:space="preserve">TXN0047</t>
  </si>
  <si>
    <t xml:space="preserve">ACC577</t>
  </si>
  <si>
    <t xml:space="preserve">CUS577</t>
  </si>
  <si>
    <t xml:space="preserve">REF0047</t>
  </si>
  <si>
    <t xml:space="preserve">AGT012</t>
  </si>
  <si>
    <t xml:space="preserve">TXN0048</t>
  </si>
  <si>
    <t xml:space="preserve">ACC474</t>
  </si>
  <si>
    <t xml:space="preserve">CUS474</t>
  </si>
  <si>
    <t xml:space="preserve">REF0048</t>
  </si>
  <si>
    <t xml:space="preserve">MER067</t>
  </si>
  <si>
    <t xml:space="preserve">TXN0049</t>
  </si>
  <si>
    <t xml:space="preserve">ACC486</t>
  </si>
  <si>
    <t xml:space="preserve">CUS486</t>
  </si>
  <si>
    <t xml:space="preserve">REF0049</t>
  </si>
  <si>
    <t xml:space="preserve">AGT038</t>
  </si>
  <si>
    <t xml:space="preserve">TXN0050</t>
  </si>
  <si>
    <t xml:space="preserve">ACC497</t>
  </si>
  <si>
    <t xml:space="preserve">CUS497</t>
  </si>
  <si>
    <t xml:space="preserve">REF0050</t>
  </si>
  <si>
    <t xml:space="preserve">AGT051</t>
  </si>
  <si>
    <t xml:space="preserve">TXN0051</t>
  </si>
  <si>
    <t xml:space="preserve">ACC754</t>
  </si>
  <si>
    <t xml:space="preserve">CUS754</t>
  </si>
  <si>
    <t xml:space="preserve">REF0051</t>
  </si>
  <si>
    <t xml:space="preserve">MER118</t>
  </si>
  <si>
    <t xml:space="preserve">TXN0052</t>
  </si>
  <si>
    <t xml:space="preserve">ACC148</t>
  </si>
  <si>
    <t xml:space="preserve">CUS148</t>
  </si>
  <si>
    <t xml:space="preserve">REF0052</t>
  </si>
  <si>
    <t xml:space="preserve">MER135</t>
  </si>
  <si>
    <t xml:space="preserve">TXN0053</t>
  </si>
  <si>
    <t xml:space="preserve">ACC569</t>
  </si>
  <si>
    <t xml:space="preserve">CUS569</t>
  </si>
  <si>
    <t xml:space="preserve">REF0053</t>
  </si>
  <si>
    <t xml:space="preserve">MER002</t>
  </si>
  <si>
    <t xml:space="preserve">TXN0054</t>
  </si>
  <si>
    <t xml:space="preserve">ACC331</t>
  </si>
  <si>
    <t xml:space="preserve">CUS331</t>
  </si>
  <si>
    <t xml:space="preserve">REF0054</t>
  </si>
  <si>
    <t xml:space="preserve">AGT003</t>
  </si>
  <si>
    <t xml:space="preserve">TXN0055</t>
  </si>
  <si>
    <t xml:space="preserve">ACC644</t>
  </si>
  <si>
    <t xml:space="preserve">CUS644</t>
  </si>
  <si>
    <t xml:space="preserve">REF0055</t>
  </si>
  <si>
    <t xml:space="preserve">MER036</t>
  </si>
  <si>
    <t xml:space="preserve">TXN0056</t>
  </si>
  <si>
    <t xml:space="preserve">ACC905</t>
  </si>
  <si>
    <t xml:space="preserve">CUS905</t>
  </si>
  <si>
    <t xml:space="preserve">REF0056</t>
  </si>
  <si>
    <t xml:space="preserve">MER053</t>
  </si>
  <si>
    <t xml:space="preserve">TXN0057</t>
  </si>
  <si>
    <t xml:space="preserve">ACC536</t>
  </si>
  <si>
    <t xml:space="preserve">CUS536</t>
  </si>
  <si>
    <t xml:space="preserve">REF0057</t>
  </si>
  <si>
    <t xml:space="preserve">AGT042</t>
  </si>
  <si>
    <t xml:space="preserve">TXN0058</t>
  </si>
  <si>
    <t xml:space="preserve">ACC538</t>
  </si>
  <si>
    <t xml:space="preserve">CUS538</t>
  </si>
  <si>
    <t xml:space="preserve">REF0058</t>
  </si>
  <si>
    <t xml:space="preserve">MER087</t>
  </si>
  <si>
    <t xml:space="preserve">TXN0059</t>
  </si>
  <si>
    <t xml:space="preserve">ACC661</t>
  </si>
  <si>
    <t xml:space="preserve">CUS661</t>
  </si>
  <si>
    <t xml:space="preserve">REF0059</t>
  </si>
  <si>
    <t xml:space="preserve">MER104</t>
  </si>
  <si>
    <t xml:space="preserve">TXN0060</t>
  </si>
  <si>
    <t xml:space="preserve">ACC978</t>
  </si>
  <si>
    <t xml:space="preserve">CUS978</t>
  </si>
  <si>
    <t xml:space="preserve">REF0060</t>
  </si>
  <si>
    <t xml:space="preserve">AGT081</t>
  </si>
  <si>
    <t xml:space="preserve">TXN0061</t>
  </si>
  <si>
    <t xml:space="preserve">ACC686</t>
  </si>
  <si>
    <t xml:space="preserve">CUS686</t>
  </si>
  <si>
    <t xml:space="preserve">REF0061</t>
  </si>
  <si>
    <t xml:space="preserve">AGT094</t>
  </si>
  <si>
    <t xml:space="preserve">TXN0062</t>
  </si>
  <si>
    <t xml:space="preserve">ACC719</t>
  </si>
  <si>
    <t xml:space="preserve">CUS719</t>
  </si>
  <si>
    <t xml:space="preserve">REF0062</t>
  </si>
  <si>
    <t xml:space="preserve">AGT007</t>
  </si>
  <si>
    <t xml:space="preserve">TXN0063</t>
  </si>
  <si>
    <t xml:space="preserve">ACC273</t>
  </si>
  <si>
    <t xml:space="preserve">CUS273</t>
  </si>
  <si>
    <t xml:space="preserve">REF0063</t>
  </si>
  <si>
    <t xml:space="preserve">MER022</t>
  </si>
  <si>
    <t xml:space="preserve">TXN0064</t>
  </si>
  <si>
    <t xml:space="preserve">ACC920</t>
  </si>
  <si>
    <t xml:space="preserve">CUS920</t>
  </si>
  <si>
    <t xml:space="preserve">REF0064</t>
  </si>
  <si>
    <t xml:space="preserve">AGT033</t>
  </si>
  <si>
    <t xml:space="preserve">TXN0065</t>
  </si>
  <si>
    <t xml:space="preserve">ACC116</t>
  </si>
  <si>
    <t xml:space="preserve">CUS116</t>
  </si>
  <si>
    <t xml:space="preserve">REF0065</t>
  </si>
  <si>
    <t xml:space="preserve">MER056</t>
  </si>
  <si>
    <t xml:space="preserve">TXN0066</t>
  </si>
  <si>
    <t xml:space="preserve">ACC370</t>
  </si>
  <si>
    <t xml:space="preserve">CUS370</t>
  </si>
  <si>
    <t xml:space="preserve">REF0066</t>
  </si>
  <si>
    <t xml:space="preserve">MER073</t>
  </si>
  <si>
    <t xml:space="preserve">TXN0067</t>
  </si>
  <si>
    <t xml:space="preserve">ACC318</t>
  </si>
  <si>
    <t xml:space="preserve">CUS318</t>
  </si>
  <si>
    <t xml:space="preserve">REF0067</t>
  </si>
  <si>
    <t xml:space="preserve">MER090</t>
  </si>
  <si>
    <t xml:space="preserve">TXN0068</t>
  </si>
  <si>
    <t xml:space="preserve">ACC617</t>
  </si>
  <si>
    <t xml:space="preserve">CUS617</t>
  </si>
  <si>
    <t xml:space="preserve">REF0068</t>
  </si>
  <si>
    <t xml:space="preserve">MER107</t>
  </si>
  <si>
    <t xml:space="preserve">TXN0069</t>
  </si>
  <si>
    <t xml:space="preserve">ACC906</t>
  </si>
  <si>
    <t xml:space="preserve">CUS906</t>
  </si>
  <si>
    <t xml:space="preserve">REF0069</t>
  </si>
  <si>
    <t xml:space="preserve">MER124</t>
  </si>
  <si>
    <t xml:space="preserve">TXN0070</t>
  </si>
  <si>
    <t xml:space="preserve">ACC662</t>
  </si>
  <si>
    <t xml:space="preserve">CUS662</t>
  </si>
  <si>
    <t xml:space="preserve">REF0070</t>
  </si>
  <si>
    <t xml:space="preserve">MER141</t>
  </si>
  <si>
    <t xml:space="preserve">TXN0071</t>
  </si>
  <si>
    <t xml:space="preserve">ACC468</t>
  </si>
  <si>
    <t xml:space="preserve">CUS468</t>
  </si>
  <si>
    <t xml:space="preserve">REF0071</t>
  </si>
  <si>
    <t xml:space="preserve">MER008</t>
  </si>
  <si>
    <t xml:space="preserve">TXN0072</t>
  </si>
  <si>
    <t xml:space="preserve">ACC065</t>
  </si>
  <si>
    <t xml:space="preserve">CUS065</t>
  </si>
  <si>
    <t xml:space="preserve">REF0072</t>
  </si>
  <si>
    <t xml:space="preserve">MER025</t>
  </si>
  <si>
    <t xml:space="preserve">TXN0073</t>
  </si>
  <si>
    <t xml:space="preserve">ACC673</t>
  </si>
  <si>
    <t xml:space="preserve">CUS673</t>
  </si>
  <si>
    <t xml:space="preserve">REF0073</t>
  </si>
  <si>
    <t xml:space="preserve">MER042</t>
  </si>
  <si>
    <t xml:space="preserve">TXN0074</t>
  </si>
  <si>
    <t xml:space="preserve">ACC707</t>
  </si>
  <si>
    <t xml:space="preserve">CUS707</t>
  </si>
  <si>
    <t xml:space="preserve">REF0074</t>
  </si>
  <si>
    <t xml:space="preserve">AGT063</t>
  </si>
  <si>
    <t xml:space="preserve">TXN0075</t>
  </si>
  <si>
    <t xml:space="preserve">ACC294</t>
  </si>
  <si>
    <t xml:space="preserve">CUS294</t>
  </si>
  <si>
    <t xml:space="preserve">REF0075</t>
  </si>
  <si>
    <t xml:space="preserve">MER076</t>
  </si>
  <si>
    <t xml:space="preserve">TXN0076</t>
  </si>
  <si>
    <t xml:space="preserve">ACC329</t>
  </si>
  <si>
    <t xml:space="preserve">CUS329</t>
  </si>
  <si>
    <t xml:space="preserve">REF0076</t>
  </si>
  <si>
    <t xml:space="preserve">MER093</t>
  </si>
  <si>
    <t xml:space="preserve">TXN0077</t>
  </si>
  <si>
    <t xml:space="preserve">ACC692</t>
  </si>
  <si>
    <t xml:space="preserve">CUS692</t>
  </si>
  <si>
    <t xml:space="preserve">REF0077</t>
  </si>
  <si>
    <t xml:space="preserve">AGT002</t>
  </si>
  <si>
    <t xml:space="preserve">TXN0078</t>
  </si>
  <si>
    <t xml:space="preserve">ACC912</t>
  </si>
  <si>
    <t xml:space="preserve">CUS912</t>
  </si>
  <si>
    <t xml:space="preserve">REF0078</t>
  </si>
  <si>
    <t xml:space="preserve">MER127</t>
  </si>
  <si>
    <t xml:space="preserve">TXN0079</t>
  </si>
  <si>
    <t xml:space="preserve">ACC084</t>
  </si>
  <si>
    <t xml:space="preserve">CUS084</t>
  </si>
  <si>
    <t xml:space="preserve">REF0079</t>
  </si>
  <si>
    <t xml:space="preserve">MER144</t>
  </si>
  <si>
    <t xml:space="preserve">TXN0080</t>
  </si>
  <si>
    <t xml:space="preserve">ACC701</t>
  </si>
  <si>
    <t xml:space="preserve">CUS701</t>
  </si>
  <si>
    <t xml:space="preserve">REF0080</t>
  </si>
  <si>
    <t xml:space="preserve">MER011</t>
  </si>
  <si>
    <t xml:space="preserve">TXN0081</t>
  </si>
  <si>
    <t xml:space="preserve">ACC768</t>
  </si>
  <si>
    <t xml:space="preserve">CUS768</t>
  </si>
  <si>
    <t xml:space="preserve">REF0081</t>
  </si>
  <si>
    <t xml:space="preserve">MER028</t>
  </si>
  <si>
    <t xml:space="preserve">TXN0082</t>
  </si>
  <si>
    <t xml:space="preserve">ACC508</t>
  </si>
  <si>
    <t xml:space="preserve">CUS508</t>
  </si>
  <si>
    <t xml:space="preserve">REF0082</t>
  </si>
  <si>
    <t xml:space="preserve">MER045</t>
  </si>
  <si>
    <t xml:space="preserve">TXN0083</t>
  </si>
  <si>
    <t xml:space="preserve">ACC017</t>
  </si>
  <si>
    <t xml:space="preserve">CUS017</t>
  </si>
  <si>
    <t xml:space="preserve">REF0083</t>
  </si>
  <si>
    <t xml:space="preserve">AGT080</t>
  </si>
  <si>
    <t xml:space="preserve">TXN0084</t>
  </si>
  <si>
    <t xml:space="preserve">ACC011</t>
  </si>
  <si>
    <t xml:space="preserve">CUS011</t>
  </si>
  <si>
    <t xml:space="preserve">REF0084</t>
  </si>
  <si>
    <t xml:space="preserve">AGT093</t>
  </si>
  <si>
    <t xml:space="preserve">TXN0085</t>
  </si>
  <si>
    <t xml:space="preserve">ACC696</t>
  </si>
  <si>
    <t xml:space="preserve">CUS696</t>
  </si>
  <si>
    <t xml:space="preserve">REF0085</t>
  </si>
  <si>
    <t xml:space="preserve">MER096</t>
  </si>
  <si>
    <t xml:space="preserve">TXN0086</t>
  </si>
  <si>
    <t xml:space="preserve">ACC972</t>
  </si>
  <si>
    <t xml:space="preserve">CUS972</t>
  </si>
  <si>
    <t xml:space="preserve">REF0086</t>
  </si>
  <si>
    <t xml:space="preserve">MER113</t>
  </si>
  <si>
    <t xml:space="preserve">TXN0087</t>
  </si>
  <si>
    <t xml:space="preserve">ACC466</t>
  </si>
  <si>
    <t xml:space="preserve">CUS466</t>
  </si>
  <si>
    <t xml:space="preserve">REF0087</t>
  </si>
  <si>
    <t xml:space="preserve">AGT032</t>
  </si>
  <si>
    <t xml:space="preserve">TXN0088</t>
  </si>
  <si>
    <t xml:space="preserve">ACC098</t>
  </si>
  <si>
    <t xml:space="preserve">CUS098</t>
  </si>
  <si>
    <t xml:space="preserve">REF0088</t>
  </si>
  <si>
    <t xml:space="preserve">MER147</t>
  </si>
  <si>
    <t xml:space="preserve">TXN0089</t>
  </si>
  <si>
    <t xml:space="preserve">ACC821</t>
  </si>
  <si>
    <t xml:space="preserve">CUS821</t>
  </si>
  <si>
    <t xml:space="preserve">REF0089</t>
  </si>
  <si>
    <t xml:space="preserve">MER014</t>
  </si>
  <si>
    <t xml:space="preserve">TXN0090</t>
  </si>
  <si>
    <t xml:space="preserve">ACC298</t>
  </si>
  <si>
    <t xml:space="preserve">CUS298</t>
  </si>
  <si>
    <t xml:space="preserve">REF0090</t>
  </si>
  <si>
    <t xml:space="preserve">AGT071</t>
  </si>
  <si>
    <t xml:space="preserve">TXN0091</t>
  </si>
  <si>
    <t xml:space="preserve">REF0091</t>
  </si>
  <si>
    <t xml:space="preserve">AGT084</t>
  </si>
  <si>
    <t xml:space="preserve">TXN0092</t>
  </si>
  <si>
    <t xml:space="preserve">ACC828</t>
  </si>
  <si>
    <t xml:space="preserve">CUS828</t>
  </si>
  <si>
    <t xml:space="preserve">REF0092</t>
  </si>
  <si>
    <t xml:space="preserve">AGT097</t>
  </si>
  <si>
    <t xml:space="preserve">TXN0093</t>
  </si>
  <si>
    <t xml:space="preserve">ACC376</t>
  </si>
  <si>
    <t xml:space="preserve">CUS376</t>
  </si>
  <si>
    <t xml:space="preserve">REF0093</t>
  </si>
  <si>
    <t xml:space="preserve">MER082</t>
  </si>
  <si>
    <t xml:space="preserve">TXN0094</t>
  </si>
  <si>
    <t xml:space="preserve">ACC069</t>
  </si>
  <si>
    <t xml:space="preserve">CUS069</t>
  </si>
  <si>
    <t xml:space="preserve">REF0094</t>
  </si>
  <si>
    <t xml:space="preserve">AGT023</t>
  </si>
  <si>
    <t xml:space="preserve">TXN0095</t>
  </si>
  <si>
    <t xml:space="preserve">ACC025</t>
  </si>
  <si>
    <t xml:space="preserve">CUS025</t>
  </si>
  <si>
    <t xml:space="preserve">REF0095</t>
  </si>
  <si>
    <t xml:space="preserve">AGT036</t>
  </si>
  <si>
    <t xml:space="preserve">TXN0096</t>
  </si>
  <si>
    <t xml:space="preserve">ACC490</t>
  </si>
  <si>
    <t xml:space="preserve">CUS490</t>
  </si>
  <si>
    <t xml:space="preserve">REF0096</t>
  </si>
  <si>
    <t xml:space="preserve">MER133</t>
  </si>
  <si>
    <t xml:space="preserve">TXN0097</t>
  </si>
  <si>
    <t xml:space="preserve">ACC012</t>
  </si>
  <si>
    <t xml:space="preserve">CUS012</t>
  </si>
  <si>
    <t xml:space="preserve">REF0097</t>
  </si>
  <si>
    <t xml:space="preserve">AGT062</t>
  </si>
  <si>
    <t xml:space="preserve">TXN0098</t>
  </si>
  <si>
    <t xml:space="preserve">ACC328</t>
  </si>
  <si>
    <t xml:space="preserve">CUS328</t>
  </si>
  <si>
    <t xml:space="preserve">REF0098</t>
  </si>
  <si>
    <t xml:space="preserve">MER017</t>
  </si>
  <si>
    <t xml:space="preserve">TXN0099</t>
  </si>
  <si>
    <t xml:space="preserve">ACC567</t>
  </si>
  <si>
    <t xml:space="preserve">CUS567</t>
  </si>
  <si>
    <t xml:space="preserve">REF0099</t>
  </si>
  <si>
    <t xml:space="preserve">AGT088</t>
  </si>
  <si>
    <t xml:space="preserve">TXN0100</t>
  </si>
  <si>
    <t xml:space="preserve">ACC580</t>
  </si>
  <si>
    <t xml:space="preserve">CUS580</t>
  </si>
  <si>
    <t xml:space="preserve">REF0100</t>
  </si>
  <si>
    <t xml:space="preserve">AGT001</t>
  </si>
  <si>
    <t xml:space="preserve">TXN0101</t>
  </si>
  <si>
    <t xml:space="preserve">ACC800</t>
  </si>
  <si>
    <t xml:space="preserve">CUS800</t>
  </si>
  <si>
    <t xml:space="preserve">REF0101</t>
  </si>
  <si>
    <t xml:space="preserve">AGT014</t>
  </si>
  <si>
    <t xml:space="preserve">TXN0102</t>
  </si>
  <si>
    <t xml:space="preserve">REF0102</t>
  </si>
  <si>
    <t xml:space="preserve">MER085</t>
  </si>
  <si>
    <t xml:space="preserve">TXN0103</t>
  </si>
  <si>
    <t xml:space="preserve">ACC576</t>
  </si>
  <si>
    <t xml:space="preserve">CUS576</t>
  </si>
  <si>
    <t xml:space="preserve">REF0103</t>
  </si>
  <si>
    <t xml:space="preserve">MER102</t>
  </si>
  <si>
    <t xml:space="preserve">TXN0104</t>
  </si>
  <si>
    <t xml:space="preserve">ACC942</t>
  </si>
  <si>
    <t xml:space="preserve">CUS942</t>
  </si>
  <si>
    <t xml:space="preserve">REF0104</t>
  </si>
  <si>
    <t xml:space="preserve">AGT053</t>
  </si>
  <si>
    <t xml:space="preserve">TXN0105</t>
  </si>
  <si>
    <t xml:space="preserve">ACC094</t>
  </si>
  <si>
    <t xml:space="preserve">CUS094</t>
  </si>
  <si>
    <t xml:space="preserve">REF0105</t>
  </si>
  <si>
    <t xml:space="preserve">MER136</t>
  </si>
  <si>
    <t xml:space="preserve">TXN0106</t>
  </si>
  <si>
    <t xml:space="preserve">ACC321</t>
  </si>
  <si>
    <t xml:space="preserve">CUS321</t>
  </si>
  <si>
    <t xml:space="preserve">REF0106</t>
  </si>
  <si>
    <t xml:space="preserve">MER003</t>
  </si>
  <si>
    <t xml:space="preserve">TXN0107</t>
  </si>
  <si>
    <t xml:space="preserve">REF0107</t>
  </si>
  <si>
    <t xml:space="preserve">MER020</t>
  </si>
  <si>
    <t xml:space="preserve">TXN0108</t>
  </si>
  <si>
    <t xml:space="preserve">ACC730</t>
  </si>
  <si>
    <t xml:space="preserve">CUS730</t>
  </si>
  <si>
    <t xml:space="preserve">REF0108</t>
  </si>
  <si>
    <t xml:space="preserve">MER037</t>
  </si>
  <si>
    <t xml:space="preserve">TXN0109</t>
  </si>
  <si>
    <t xml:space="preserve">ACC188</t>
  </si>
  <si>
    <t xml:space="preserve">CUS188</t>
  </si>
  <si>
    <t xml:space="preserve">REF0109</t>
  </si>
  <si>
    <t xml:space="preserve">AGT018</t>
  </si>
  <si>
    <t xml:space="preserve">TXN0110</t>
  </si>
  <si>
    <t xml:space="preserve">ACC150</t>
  </si>
  <si>
    <t xml:space="preserve">CUS150</t>
  </si>
  <si>
    <t xml:space="preserve">REF0110</t>
  </si>
  <si>
    <t xml:space="preserve">MER071</t>
  </si>
  <si>
    <t xml:space="preserve">TXN0111</t>
  </si>
  <si>
    <t xml:space="preserve">ACC832</t>
  </si>
  <si>
    <t xml:space="preserve">CUS832</t>
  </si>
  <si>
    <t xml:space="preserve">REF0111</t>
  </si>
  <si>
    <t xml:space="preserve">AGT044</t>
  </si>
  <si>
    <t xml:space="preserve">TXN0112</t>
  </si>
  <si>
    <t xml:space="preserve">ACC053</t>
  </si>
  <si>
    <t xml:space="preserve">CUS053</t>
  </si>
  <si>
    <t xml:space="preserve">REF0112</t>
  </si>
  <si>
    <t xml:space="preserve">MER105</t>
  </si>
  <si>
    <t xml:space="preserve">TXN0113</t>
  </si>
  <si>
    <t xml:space="preserve">ACC779</t>
  </si>
  <si>
    <t xml:space="preserve">CUS779</t>
  </si>
  <si>
    <t xml:space="preserve">REF0113</t>
  </si>
  <si>
    <t xml:space="preserve">MER122</t>
  </si>
  <si>
    <t xml:space="preserve">TXN0114</t>
  </si>
  <si>
    <t xml:space="preserve">REF0114</t>
  </si>
  <si>
    <t xml:space="preserve">MER139</t>
  </si>
  <si>
    <t xml:space="preserve">TXN0115</t>
  </si>
  <si>
    <t xml:space="preserve">ACC861</t>
  </si>
  <si>
    <t xml:space="preserve">CUS861</t>
  </si>
  <si>
    <t xml:space="preserve">REF0115</t>
  </si>
  <si>
    <t xml:space="preserve">MER006</t>
  </si>
  <si>
    <t xml:space="preserve">TXN0116</t>
  </si>
  <si>
    <t xml:space="preserve">REF0116</t>
  </si>
  <si>
    <t xml:space="preserve">MER023</t>
  </si>
  <si>
    <t xml:space="preserve">TXN0117</t>
  </si>
  <si>
    <t xml:space="preserve">ACC625</t>
  </si>
  <si>
    <t xml:space="preserve">CUS625</t>
  </si>
  <si>
    <t xml:space="preserve">REF0117</t>
  </si>
  <si>
    <t xml:space="preserve">TXN0118</t>
  </si>
  <si>
    <t xml:space="preserve">ACC457</t>
  </si>
  <si>
    <t xml:space="preserve">CUS457</t>
  </si>
  <si>
    <t xml:space="preserve">REF0118</t>
  </si>
  <si>
    <t xml:space="preserve">AGT035</t>
  </si>
  <si>
    <t xml:space="preserve">TXN0119</t>
  </si>
  <si>
    <t xml:space="preserve">ACC024</t>
  </si>
  <si>
    <t xml:space="preserve">CUS024</t>
  </si>
  <si>
    <t xml:space="preserve">REF0119</t>
  </si>
  <si>
    <t xml:space="preserve">AGT048</t>
  </si>
  <si>
    <t xml:space="preserve">TXN0120</t>
  </si>
  <si>
    <t xml:space="preserve">ACC512</t>
  </si>
  <si>
    <t xml:space="preserve">CUS512</t>
  </si>
  <si>
    <t xml:space="preserve">REF0120</t>
  </si>
  <si>
    <t xml:space="preserve">AGT061</t>
  </si>
  <si>
    <t xml:space="preserve">TXN0121</t>
  </si>
  <si>
    <t xml:space="preserve">ACC213</t>
  </si>
  <si>
    <t xml:space="preserve">CUS213</t>
  </si>
  <si>
    <t xml:space="preserve">REF0121</t>
  </si>
  <si>
    <t xml:space="preserve">TXN0122</t>
  </si>
  <si>
    <t xml:space="preserve">ACC984</t>
  </si>
  <si>
    <t xml:space="preserve">CUS984</t>
  </si>
  <si>
    <t xml:space="preserve">REF0122</t>
  </si>
  <si>
    <t xml:space="preserve">MER125</t>
  </si>
  <si>
    <t xml:space="preserve">TXN0123</t>
  </si>
  <si>
    <t xml:space="preserve">ACC021</t>
  </si>
  <si>
    <t xml:space="preserve">CUS021</t>
  </si>
  <si>
    <t xml:space="preserve">REF0123</t>
  </si>
  <si>
    <t xml:space="preserve">MER142</t>
  </si>
  <si>
    <t xml:space="preserve">TXN0124</t>
  </si>
  <si>
    <t xml:space="preserve">ACC934</t>
  </si>
  <si>
    <t xml:space="preserve">CUS934</t>
  </si>
  <si>
    <t xml:space="preserve">REF0124</t>
  </si>
  <si>
    <t xml:space="preserve">TXN0125</t>
  </si>
  <si>
    <t xml:space="preserve">REF0125</t>
  </si>
  <si>
    <t xml:space="preserve">TXN0126</t>
  </si>
  <si>
    <t xml:space="preserve">ACC146</t>
  </si>
  <si>
    <t xml:space="preserve">CUS146</t>
  </si>
  <si>
    <t xml:space="preserve">REF0126</t>
  </si>
  <si>
    <t xml:space="preserve">AGT039</t>
  </si>
  <si>
    <t xml:space="preserve">TXN0127</t>
  </si>
  <si>
    <t xml:space="preserve">ACC636</t>
  </si>
  <si>
    <t xml:space="preserve">CUS636</t>
  </si>
  <si>
    <t xml:space="preserve">REF0127</t>
  </si>
  <si>
    <t xml:space="preserve">MER060</t>
  </si>
  <si>
    <t xml:space="preserve">TXN0128</t>
  </si>
  <si>
    <t xml:space="preserve">REF0128</t>
  </si>
  <si>
    <t xml:space="preserve">AGT065</t>
  </si>
  <si>
    <t xml:space="preserve">TXN0129</t>
  </si>
  <si>
    <t xml:space="preserve">REF0129</t>
  </si>
  <si>
    <t xml:space="preserve">MER094</t>
  </si>
  <si>
    <t xml:space="preserve">TXN0130</t>
  </si>
  <si>
    <t xml:space="preserve">ACC404</t>
  </si>
  <si>
    <t xml:space="preserve">CUS404</t>
  </si>
  <si>
    <t xml:space="preserve">REF0130</t>
  </si>
  <si>
    <t xml:space="preserve">TXN0131</t>
  </si>
  <si>
    <t xml:space="preserve">REF0131</t>
  </si>
  <si>
    <t xml:space="preserve">TXN0132</t>
  </si>
  <si>
    <t xml:space="preserve">ACC140</t>
  </si>
  <si>
    <t xml:space="preserve">CUS140</t>
  </si>
  <si>
    <t xml:space="preserve">REF0132</t>
  </si>
  <si>
    <t xml:space="preserve">TXN0133</t>
  </si>
  <si>
    <t xml:space="preserve">ACC986</t>
  </si>
  <si>
    <t xml:space="preserve">CUS986</t>
  </si>
  <si>
    <t xml:space="preserve">REF0133</t>
  </si>
  <si>
    <t xml:space="preserve">AGT030</t>
  </si>
  <si>
    <t xml:space="preserve">TXN0134</t>
  </si>
  <si>
    <t xml:space="preserve">ACC130</t>
  </si>
  <si>
    <t xml:space="preserve">CUS130</t>
  </si>
  <si>
    <t xml:space="preserve">REF0134</t>
  </si>
  <si>
    <t xml:space="preserve">AGT043</t>
  </si>
  <si>
    <t xml:space="preserve">TXN0135</t>
  </si>
  <si>
    <t xml:space="preserve">ACC307</t>
  </si>
  <si>
    <t xml:space="preserve">CUS307</t>
  </si>
  <si>
    <t xml:space="preserve">REF0135</t>
  </si>
  <si>
    <t xml:space="preserve">AGT056</t>
  </si>
  <si>
    <t xml:space="preserve">TXN0136</t>
  </si>
  <si>
    <t xml:space="preserve">REF0136</t>
  </si>
  <si>
    <t xml:space="preserve">MER063</t>
  </si>
  <si>
    <t xml:space="preserve">TXN0137</t>
  </si>
  <si>
    <t xml:space="preserve">REF0137</t>
  </si>
  <si>
    <t xml:space="preserve">TXN0138</t>
  </si>
  <si>
    <t xml:space="preserve">ACC080</t>
  </si>
  <si>
    <t xml:space="preserve">CUS080</t>
  </si>
  <si>
    <t xml:space="preserve">REF0138</t>
  </si>
  <si>
    <t xml:space="preserve">MER097</t>
  </si>
  <si>
    <t xml:space="preserve">TXN0139</t>
  </si>
  <si>
    <t xml:space="preserve">ACC199</t>
  </si>
  <si>
    <t xml:space="preserve">CUS199</t>
  </si>
  <si>
    <t xml:space="preserve">REF0139</t>
  </si>
  <si>
    <t xml:space="preserve">MER114</t>
  </si>
  <si>
    <t xml:space="preserve">TXN0140</t>
  </si>
  <si>
    <t xml:space="preserve">ACC414</t>
  </si>
  <si>
    <t xml:space="preserve">CUS414</t>
  </si>
  <si>
    <t xml:space="preserve">REF0140</t>
  </si>
  <si>
    <t xml:space="preserve">TXN0141</t>
  </si>
  <si>
    <t xml:space="preserve">ACC444</t>
  </si>
  <si>
    <t xml:space="preserve">CUS444</t>
  </si>
  <si>
    <t xml:space="preserve">REF0141</t>
  </si>
  <si>
    <t xml:space="preserve">MER148</t>
  </si>
  <si>
    <t xml:space="preserve">TXN0142</t>
  </si>
  <si>
    <t xml:space="preserve">ACC677</t>
  </si>
  <si>
    <t xml:space="preserve">CUS677</t>
  </si>
  <si>
    <t xml:space="preserve">REF0142</t>
  </si>
  <si>
    <t xml:space="preserve">MER015</t>
  </si>
  <si>
    <t xml:space="preserve">TXN0143</t>
  </si>
  <si>
    <t xml:space="preserve">ACC977</t>
  </si>
  <si>
    <t xml:space="preserve">CUS977</t>
  </si>
  <si>
    <t xml:space="preserve">REF0143</t>
  </si>
  <si>
    <t xml:space="preserve">AGT060</t>
  </si>
  <si>
    <t xml:space="preserve">TXN0144</t>
  </si>
  <si>
    <t xml:space="preserve">ACC939</t>
  </si>
  <si>
    <t xml:space="preserve">CUS939</t>
  </si>
  <si>
    <t xml:space="preserve">REF0144</t>
  </si>
  <si>
    <t xml:space="preserve">TXN0145</t>
  </si>
  <si>
    <t xml:space="preserve">REF0145</t>
  </si>
  <si>
    <t xml:space="preserve">MER066</t>
  </si>
  <si>
    <t xml:space="preserve">TXN0146</t>
  </si>
  <si>
    <t xml:space="preserve">ACC540</t>
  </si>
  <si>
    <t xml:space="preserve">CUS540</t>
  </si>
  <si>
    <t xml:space="preserve">REF0146</t>
  </si>
  <si>
    <t xml:space="preserve">AGT099</t>
  </si>
  <si>
    <t xml:space="preserve">TXN0147</t>
  </si>
  <si>
    <t xml:space="preserve">ACC337</t>
  </si>
  <si>
    <t xml:space="preserve">CUS337</t>
  </si>
  <si>
    <t xml:space="preserve">REF0147</t>
  </si>
  <si>
    <t xml:space="preserve">MER100</t>
  </si>
  <si>
    <t xml:space="preserve">TXN0148</t>
  </si>
  <si>
    <t xml:space="preserve">ACC865</t>
  </si>
  <si>
    <t xml:space="preserve">CUS865</t>
  </si>
  <si>
    <t xml:space="preserve">REF0148</t>
  </si>
  <si>
    <t xml:space="preserve">AGT025</t>
  </si>
  <si>
    <t xml:space="preserve">TXN0149</t>
  </si>
  <si>
    <t xml:space="preserve">REF0149</t>
  </si>
  <si>
    <t xml:space="preserve">TXN0150</t>
  </si>
  <si>
    <t xml:space="preserve">ACC158</t>
  </si>
  <si>
    <t xml:space="preserve">CUS158</t>
  </si>
  <si>
    <t xml:space="preserve">REF0150</t>
  </si>
  <si>
    <t xml:space="preserve">TXN0151</t>
  </si>
  <si>
    <t xml:space="preserve">ACC416</t>
  </si>
  <si>
    <t xml:space="preserve">CUS416</t>
  </si>
  <si>
    <t xml:space="preserve">REF0151</t>
  </si>
  <si>
    <t xml:space="preserve">AGT064</t>
  </si>
  <si>
    <t xml:space="preserve">TXN0152</t>
  </si>
  <si>
    <t xml:space="preserve">ACC874</t>
  </si>
  <si>
    <t xml:space="preserve">CUS874</t>
  </si>
  <si>
    <t xml:space="preserve">REF0152</t>
  </si>
  <si>
    <t xml:space="preserve">TXN0153</t>
  </si>
  <si>
    <t xml:space="preserve">ACC182</t>
  </si>
  <si>
    <t xml:space="preserve">CUS182</t>
  </si>
  <si>
    <t xml:space="preserve">REF0153</t>
  </si>
  <si>
    <t xml:space="preserve">TXN0154</t>
  </si>
  <si>
    <t xml:space="preserve">ACC915</t>
  </si>
  <si>
    <t xml:space="preserve">CUS915</t>
  </si>
  <si>
    <t xml:space="preserve">REF0154</t>
  </si>
  <si>
    <t xml:space="preserve">TXN0155</t>
  </si>
  <si>
    <t xml:space="preserve">ACC608</t>
  </si>
  <si>
    <t xml:space="preserve">CUS608</t>
  </si>
  <si>
    <t xml:space="preserve">REF0155</t>
  </si>
  <si>
    <t xml:space="preserve">MER086</t>
  </si>
  <si>
    <t xml:space="preserve">TXN0156</t>
  </si>
  <si>
    <t xml:space="preserve">ACC509</t>
  </si>
  <si>
    <t xml:space="preserve">CUS509</t>
  </si>
  <si>
    <t xml:space="preserve">REF0156</t>
  </si>
  <si>
    <t xml:space="preserve">AGT029</t>
  </si>
  <si>
    <t xml:space="preserve">TXN0157</t>
  </si>
  <si>
    <t xml:space="preserve">ACC975</t>
  </si>
  <si>
    <t xml:space="preserve">CUS975</t>
  </si>
  <si>
    <t xml:space="preserve">REF0157</t>
  </si>
  <si>
    <t xml:space="preserve">TXN0158</t>
  </si>
  <si>
    <t xml:space="preserve">ACC216</t>
  </si>
  <si>
    <t xml:space="preserve">CUS216</t>
  </si>
  <si>
    <t xml:space="preserve">REF0158</t>
  </si>
  <si>
    <t xml:space="preserve">TXN0159</t>
  </si>
  <si>
    <t xml:space="preserve">REF0159</t>
  </si>
  <si>
    <t xml:space="preserve">AGT068</t>
  </si>
  <si>
    <t xml:space="preserve">TXN0160</t>
  </si>
  <si>
    <t xml:space="preserve">ACC953</t>
  </si>
  <si>
    <t xml:space="preserve">CUS953</t>
  </si>
  <si>
    <t xml:space="preserve">REF0160</t>
  </si>
  <si>
    <t xml:space="preserve">TXN0161</t>
  </si>
  <si>
    <t xml:space="preserve">ACC862</t>
  </si>
  <si>
    <t xml:space="preserve">CUS862</t>
  </si>
  <si>
    <t xml:space="preserve">REF0161</t>
  </si>
  <si>
    <t xml:space="preserve">TXN0162</t>
  </si>
  <si>
    <t xml:space="preserve">ACC764</t>
  </si>
  <si>
    <t xml:space="preserve">CUS764</t>
  </si>
  <si>
    <t xml:space="preserve">REF0162</t>
  </si>
  <si>
    <t xml:space="preserve">MER055</t>
  </si>
  <si>
    <t xml:space="preserve">TXN0163</t>
  </si>
  <si>
    <t xml:space="preserve">REF0163</t>
  </si>
  <si>
    <t xml:space="preserve">TXN0164</t>
  </si>
  <si>
    <t xml:space="preserve">ACC428</t>
  </si>
  <si>
    <t xml:space="preserve">CUS428</t>
  </si>
  <si>
    <t xml:space="preserve">REF0164</t>
  </si>
  <si>
    <t xml:space="preserve">TXN0165</t>
  </si>
  <si>
    <t xml:space="preserve">ACC791</t>
  </si>
  <si>
    <t xml:space="preserve">CUS791</t>
  </si>
  <si>
    <t xml:space="preserve">REF0165</t>
  </si>
  <si>
    <t xml:space="preserve">AGT046</t>
  </si>
  <si>
    <t xml:space="preserve">TXN0166</t>
  </si>
  <si>
    <t xml:space="preserve">ACC911</t>
  </si>
  <si>
    <t xml:space="preserve">CUS911</t>
  </si>
  <si>
    <t xml:space="preserve">REF0166</t>
  </si>
  <si>
    <t xml:space="preserve">AGT059</t>
  </si>
  <si>
    <t xml:space="preserve">TXN0167</t>
  </si>
  <si>
    <t xml:space="preserve">ACC046</t>
  </si>
  <si>
    <t xml:space="preserve">CUS046</t>
  </si>
  <si>
    <t xml:space="preserve">REF0167</t>
  </si>
  <si>
    <t xml:space="preserve">AGT072</t>
  </si>
  <si>
    <t xml:space="preserve">TXN0168</t>
  </si>
  <si>
    <t xml:space="preserve">ACC946</t>
  </si>
  <si>
    <t xml:space="preserve">CUS946</t>
  </si>
  <si>
    <t xml:space="preserve">REF0168</t>
  </si>
  <si>
    <t xml:space="preserve">TXN0169</t>
  </si>
  <si>
    <t xml:space="preserve">REF0169</t>
  </si>
  <si>
    <t xml:space="preserve">TXN0170</t>
  </si>
  <si>
    <t xml:space="preserve">REF0170</t>
  </si>
  <si>
    <t xml:space="preserve">AGT011</t>
  </si>
  <si>
    <t xml:space="preserve">TXN0171</t>
  </si>
  <si>
    <t xml:space="preserve">REF0171</t>
  </si>
  <si>
    <t xml:space="preserve">MER058</t>
  </si>
  <si>
    <t xml:space="preserve">TXN0172</t>
  </si>
  <si>
    <t xml:space="preserve">ACC954</t>
  </si>
  <si>
    <t xml:space="preserve">CUS954</t>
  </si>
  <si>
    <t xml:space="preserve">REF0172</t>
  </si>
  <si>
    <t xml:space="preserve">TXN0173</t>
  </si>
  <si>
    <t xml:space="preserve">ACC371</t>
  </si>
  <si>
    <t xml:space="preserve">CUS371</t>
  </si>
  <si>
    <t xml:space="preserve">REF0173</t>
  </si>
  <si>
    <t xml:space="preserve">TXN0174</t>
  </si>
  <si>
    <t xml:space="preserve">ACC798</t>
  </si>
  <si>
    <t xml:space="preserve">CUS798</t>
  </si>
  <si>
    <t xml:space="preserve">REF0174</t>
  </si>
  <si>
    <t xml:space="preserve">TXN0175</t>
  </si>
  <si>
    <t xml:space="preserve">ACC493</t>
  </si>
  <si>
    <t xml:space="preserve">CUS493</t>
  </si>
  <si>
    <t xml:space="preserve">REF0175</t>
  </si>
  <si>
    <t xml:space="preserve">MER126</t>
  </si>
  <si>
    <t xml:space="preserve">TXN0176</t>
  </si>
  <si>
    <t xml:space="preserve">REF0176</t>
  </si>
  <si>
    <t xml:space="preserve">TXN0177</t>
  </si>
  <si>
    <t xml:space="preserve">ACC812</t>
  </si>
  <si>
    <t xml:space="preserve">CUS812</t>
  </si>
  <si>
    <t xml:space="preserve">REF0177</t>
  </si>
  <si>
    <t xml:space="preserve">TXN0178</t>
  </si>
  <si>
    <t xml:space="preserve">ACC1000</t>
  </si>
  <si>
    <t xml:space="preserve">CUS1000</t>
  </si>
  <si>
    <t xml:space="preserve">REF0178</t>
  </si>
  <si>
    <t xml:space="preserve">TXN0179</t>
  </si>
  <si>
    <t xml:space="preserve">ACC193</t>
  </si>
  <si>
    <t xml:space="preserve">CUS193</t>
  </si>
  <si>
    <t xml:space="preserve">REF0179</t>
  </si>
  <si>
    <t xml:space="preserve">AGT028</t>
  </si>
  <si>
    <t xml:space="preserve">TXN0180</t>
  </si>
  <si>
    <t xml:space="preserve">ACC864</t>
  </si>
  <si>
    <t xml:space="preserve">CUS864</t>
  </si>
  <si>
    <t xml:space="preserve">REF0180</t>
  </si>
  <si>
    <t xml:space="preserve">MER061</t>
  </si>
  <si>
    <t xml:space="preserve">TXN0181</t>
  </si>
  <si>
    <t xml:space="preserve">ACC806</t>
  </si>
  <si>
    <t xml:space="preserve">CUS806</t>
  </si>
  <si>
    <t xml:space="preserve">REF0181</t>
  </si>
  <si>
    <t xml:space="preserve">MER078</t>
  </si>
  <si>
    <t xml:space="preserve">TXN0182</t>
  </si>
  <si>
    <t xml:space="preserve">ACC713</t>
  </si>
  <si>
    <t xml:space="preserve">CUS713</t>
  </si>
  <si>
    <t xml:space="preserve">REF0182</t>
  </si>
  <si>
    <t xml:space="preserve">AGT067</t>
  </si>
  <si>
    <t xml:space="preserve">TXN0183</t>
  </si>
  <si>
    <t xml:space="preserve">ACC316</t>
  </si>
  <si>
    <t xml:space="preserve">CUS316</t>
  </si>
  <si>
    <t xml:space="preserve">REF0183</t>
  </si>
  <si>
    <t xml:space="preserve">TXN0184</t>
  </si>
  <si>
    <t xml:space="preserve">REF0184</t>
  </si>
  <si>
    <t xml:space="preserve">TXN0185</t>
  </si>
  <si>
    <t xml:space="preserve">ACC238</t>
  </si>
  <si>
    <t xml:space="preserve">CUS238</t>
  </si>
  <si>
    <t xml:space="preserve">REF0185</t>
  </si>
  <si>
    <t xml:space="preserve">TXN0186</t>
  </si>
  <si>
    <t xml:space="preserve">ACC103</t>
  </si>
  <si>
    <t xml:space="preserve">CUS103</t>
  </si>
  <si>
    <t xml:space="preserve">REF0186</t>
  </si>
  <si>
    <t xml:space="preserve">TXN0187</t>
  </si>
  <si>
    <t xml:space="preserve">ACC097</t>
  </si>
  <si>
    <t xml:space="preserve">CUS097</t>
  </si>
  <si>
    <t xml:space="preserve">REF0187</t>
  </si>
  <si>
    <t xml:space="preserve">MER030</t>
  </si>
  <si>
    <t xml:space="preserve">TXN0188</t>
  </si>
  <si>
    <t xml:space="preserve">ACC173</t>
  </si>
  <si>
    <t xml:space="preserve">CUS173</t>
  </si>
  <si>
    <t xml:space="preserve">REF0188</t>
  </si>
  <si>
    <t xml:space="preserve">MER047</t>
  </si>
  <si>
    <t xml:space="preserve">TXN0189</t>
  </si>
  <si>
    <t xml:space="preserve">ACC418</t>
  </si>
  <si>
    <t xml:space="preserve">CUS418</t>
  </si>
  <si>
    <t xml:space="preserve">REF0189</t>
  </si>
  <si>
    <t xml:space="preserve">AGT058</t>
  </si>
  <si>
    <t xml:space="preserve">TXN0190</t>
  </si>
  <si>
    <t xml:space="preserve">ACC217</t>
  </si>
  <si>
    <t xml:space="preserve">CUS217</t>
  </si>
  <si>
    <t xml:space="preserve">REF0190</t>
  </si>
  <si>
    <t xml:space="preserve">TXN0191</t>
  </si>
  <si>
    <t xml:space="preserve">ACC276</t>
  </si>
  <si>
    <t xml:space="preserve">CUS276</t>
  </si>
  <si>
    <t xml:space="preserve">REF0191</t>
  </si>
  <si>
    <t xml:space="preserve">TXN0192</t>
  </si>
  <si>
    <t xml:space="preserve">ACC765</t>
  </si>
  <si>
    <t xml:space="preserve">CUS765</t>
  </si>
  <si>
    <t xml:space="preserve">REF0192</t>
  </si>
  <si>
    <t xml:space="preserve">MER115</t>
  </si>
  <si>
    <t xml:space="preserve">TXN0193</t>
  </si>
  <si>
    <t xml:space="preserve">ACC237</t>
  </si>
  <si>
    <t xml:space="preserve">CUS237</t>
  </si>
  <si>
    <t xml:space="preserve">REF0193</t>
  </si>
  <si>
    <t xml:space="preserve">TXN0194</t>
  </si>
  <si>
    <t xml:space="preserve">ACC668</t>
  </si>
  <si>
    <t xml:space="preserve">CUS668</t>
  </si>
  <si>
    <t xml:space="preserve">REF0194</t>
  </si>
  <si>
    <t xml:space="preserve">MER149</t>
  </si>
  <si>
    <t xml:space="preserve">TXN0195</t>
  </si>
  <si>
    <t xml:space="preserve">ACC890</t>
  </si>
  <si>
    <t xml:space="preserve">CUS890</t>
  </si>
  <si>
    <t xml:space="preserve">REF0195</t>
  </si>
  <si>
    <t xml:space="preserve">TXN0196</t>
  </si>
  <si>
    <t xml:space="preserve">ACC362</t>
  </si>
  <si>
    <t xml:space="preserve">CUS362</t>
  </si>
  <si>
    <t xml:space="preserve">REF0196</t>
  </si>
  <si>
    <t xml:space="preserve">AGT049</t>
  </si>
  <si>
    <t xml:space="preserve">TXN0197</t>
  </si>
  <si>
    <t xml:space="preserve">ACC063</t>
  </si>
  <si>
    <t xml:space="preserve">CUS063</t>
  </si>
  <si>
    <t xml:space="preserve">REF0197</t>
  </si>
  <si>
    <t xml:space="preserve">MER050</t>
  </si>
  <si>
    <t xml:space="preserve">TXN0198</t>
  </si>
  <si>
    <t xml:space="preserve">ACC437</t>
  </si>
  <si>
    <t xml:space="preserve">CUS437</t>
  </si>
  <si>
    <t xml:space="preserve">REF0198</t>
  </si>
  <si>
    <t xml:space="preserve">TXN0199</t>
  </si>
  <si>
    <t xml:space="preserve">ACC705</t>
  </si>
  <si>
    <t xml:space="preserve">CUS705</t>
  </si>
  <si>
    <t xml:space="preserve">REF0199</t>
  </si>
  <si>
    <t xml:space="preserve">MER084</t>
  </si>
  <si>
    <t xml:space="preserve">TXN0200</t>
  </si>
  <si>
    <t xml:space="preserve">ACC394</t>
  </si>
  <si>
    <t xml:space="preserve">CUS394</t>
  </si>
  <si>
    <t xml:space="preserve">REF0200</t>
  </si>
  <si>
    <t xml:space="preserve">MER101</t>
  </si>
  <si>
    <t xml:space="preserve">TXN0201</t>
  </si>
  <si>
    <t xml:space="preserve">REF0201</t>
  </si>
  <si>
    <t xml:space="preserve">TXN0202</t>
  </si>
  <si>
    <t xml:space="preserve">ACC643</t>
  </si>
  <si>
    <t xml:space="preserve">CUS643</t>
  </si>
  <si>
    <t xml:space="preserve">REF0202</t>
  </si>
  <si>
    <t xml:space="preserve">AGT027</t>
  </si>
  <si>
    <t xml:space="preserve">TXN0203</t>
  </si>
  <si>
    <t xml:space="preserve">REF0203</t>
  </si>
  <si>
    <t xml:space="preserve">TXN0204</t>
  </si>
  <si>
    <t xml:space="preserve">REF0204</t>
  </si>
  <si>
    <t xml:space="preserve">MER019</t>
  </si>
  <si>
    <t xml:space="preserve">TXN0205</t>
  </si>
  <si>
    <t xml:space="preserve">ACC483</t>
  </si>
  <si>
    <t xml:space="preserve">CUS483</t>
  </si>
  <si>
    <t xml:space="preserve">REF0205</t>
  </si>
  <si>
    <t xml:space="preserve">TXN0206</t>
  </si>
  <si>
    <t xml:space="preserve">ACC548</t>
  </si>
  <si>
    <t xml:space="preserve">CUS548</t>
  </si>
  <si>
    <t xml:space="preserve">REF0206</t>
  </si>
  <si>
    <t xml:space="preserve">TXN0207</t>
  </si>
  <si>
    <t xml:space="preserve">REF0207</t>
  </si>
  <si>
    <t xml:space="preserve">AGT092</t>
  </si>
  <si>
    <t xml:space="preserve">TXN0208</t>
  </si>
  <si>
    <t xml:space="preserve">ACC706</t>
  </si>
  <si>
    <t xml:space="preserve">CUS706</t>
  </si>
  <si>
    <t xml:space="preserve">REF0208</t>
  </si>
  <si>
    <t xml:space="preserve">TXN0209</t>
  </si>
  <si>
    <t xml:space="preserve">REF0209</t>
  </si>
  <si>
    <t xml:space="preserve">TXN0210</t>
  </si>
  <si>
    <t xml:space="preserve">ACC198</t>
  </si>
  <si>
    <t xml:space="preserve">CUS198</t>
  </si>
  <si>
    <t xml:space="preserve">REF0210</t>
  </si>
  <si>
    <t xml:space="preserve">MER121</t>
  </si>
  <si>
    <t xml:space="preserve">TXN0211</t>
  </si>
  <si>
    <t xml:space="preserve">ACC472</t>
  </si>
  <si>
    <t xml:space="preserve">CUS472</t>
  </si>
  <si>
    <t xml:space="preserve">REF0211</t>
  </si>
  <si>
    <t xml:space="preserve">MER138</t>
  </si>
  <si>
    <t xml:space="preserve">TXN0212</t>
  </si>
  <si>
    <t xml:space="preserve">ACC855</t>
  </si>
  <si>
    <t xml:space="preserve">CUS855</t>
  </si>
  <si>
    <t xml:space="preserve">REF0212</t>
  </si>
  <si>
    <t xml:space="preserve">MER005</t>
  </si>
  <si>
    <t xml:space="preserve">TXN0213</t>
  </si>
  <si>
    <t xml:space="preserve">ACC036</t>
  </si>
  <si>
    <t xml:space="preserve">CUS036</t>
  </si>
  <si>
    <t xml:space="preserve">REF0213</t>
  </si>
  <si>
    <t xml:space="preserve">TXN0214</t>
  </si>
  <si>
    <t xml:space="preserve">ACC426</t>
  </si>
  <si>
    <t xml:space="preserve">CUS426</t>
  </si>
  <si>
    <t xml:space="preserve">REF0214</t>
  </si>
  <si>
    <t xml:space="preserve">AGT083</t>
  </si>
  <si>
    <t xml:space="preserve">TXN0215</t>
  </si>
  <si>
    <t xml:space="preserve">ACC849</t>
  </si>
  <si>
    <t xml:space="preserve">CUS849</t>
  </si>
  <si>
    <t xml:space="preserve">REF0215</t>
  </si>
  <si>
    <t xml:space="preserve">TXN0216</t>
  </si>
  <si>
    <t xml:space="preserve">ACC949</t>
  </si>
  <si>
    <t xml:space="preserve">CUS949</t>
  </si>
  <si>
    <t xml:space="preserve">REF0216</t>
  </si>
  <si>
    <t xml:space="preserve">TXN0217</t>
  </si>
  <si>
    <t xml:space="preserve">ACC923</t>
  </si>
  <si>
    <t xml:space="preserve">CUS923</t>
  </si>
  <si>
    <t xml:space="preserve">REF0217</t>
  </si>
  <si>
    <t xml:space="preserve">TXN0218</t>
  </si>
  <si>
    <t xml:space="preserve">ACC552</t>
  </si>
  <si>
    <t xml:space="preserve">CUS552</t>
  </si>
  <si>
    <t xml:space="preserve">REF0218</t>
  </si>
  <si>
    <t xml:space="preserve">TXN0219</t>
  </si>
  <si>
    <t xml:space="preserve">ACC348</t>
  </si>
  <si>
    <t xml:space="preserve">CUS348</t>
  </si>
  <si>
    <t xml:space="preserve">REF0219</t>
  </si>
  <si>
    <t xml:space="preserve">TXN0220</t>
  </si>
  <si>
    <t xml:space="preserve">ACC144</t>
  </si>
  <si>
    <t xml:space="preserve">CUS144</t>
  </si>
  <si>
    <t xml:space="preserve">REF0220</t>
  </si>
  <si>
    <t xml:space="preserve">TXN0221</t>
  </si>
  <si>
    <t xml:space="preserve">REF0221</t>
  </si>
  <si>
    <t xml:space="preserve">TXN0222</t>
  </si>
  <si>
    <t xml:space="preserve">ACC086</t>
  </si>
  <si>
    <t xml:space="preserve">CUS086</t>
  </si>
  <si>
    <t xml:space="preserve">REF0222</t>
  </si>
  <si>
    <t xml:space="preserve">AGT087</t>
  </si>
  <si>
    <t xml:space="preserve">TXN0223</t>
  </si>
  <si>
    <t xml:space="preserve">ACC803</t>
  </si>
  <si>
    <t xml:space="preserve">CUS803</t>
  </si>
  <si>
    <t xml:space="preserve">REF0223</t>
  </si>
  <si>
    <t xml:space="preserve">TXN0224</t>
  </si>
  <si>
    <t xml:space="preserve">ACC689</t>
  </si>
  <si>
    <t xml:space="preserve">CUS689</t>
  </si>
  <si>
    <t xml:space="preserve">REF0224</t>
  </si>
  <si>
    <t xml:space="preserve">TXN0225</t>
  </si>
  <si>
    <t xml:space="preserve">ACC535</t>
  </si>
  <si>
    <t xml:space="preserve">CUS535</t>
  </si>
  <si>
    <t xml:space="preserve">REF0225</t>
  </si>
  <si>
    <t xml:space="preserve">TXN0226</t>
  </si>
  <si>
    <t xml:space="preserve">ACC042</t>
  </si>
  <si>
    <t xml:space="preserve">CUS042</t>
  </si>
  <si>
    <t xml:space="preserve">REF0226</t>
  </si>
  <si>
    <t xml:space="preserve">TXN0227</t>
  </si>
  <si>
    <t xml:space="preserve">ACC415</t>
  </si>
  <si>
    <t xml:space="preserve">CUS415</t>
  </si>
  <si>
    <t xml:space="preserve">REF0227</t>
  </si>
  <si>
    <t xml:space="preserve">MER110</t>
  </si>
  <si>
    <t xml:space="preserve">TXN0228</t>
  </si>
  <si>
    <t xml:space="preserve">ACC375</t>
  </si>
  <si>
    <t xml:space="preserve">CUS375</t>
  </si>
  <si>
    <t xml:space="preserve">REF0228</t>
  </si>
  <si>
    <t xml:space="preserve">TXN0229</t>
  </si>
  <si>
    <t xml:space="preserve">REF0229</t>
  </si>
  <si>
    <t xml:space="preserve">TXN0230</t>
  </si>
  <si>
    <t xml:space="preserve">REF0230</t>
  </si>
  <si>
    <t xml:space="preserve">TXN0231</t>
  </si>
  <si>
    <t xml:space="preserve">REF0231</t>
  </si>
  <si>
    <t xml:space="preserve">TXN0232</t>
  </si>
  <si>
    <t xml:space="preserve">ACC542</t>
  </si>
  <si>
    <t xml:space="preserve">CUS542</t>
  </si>
  <si>
    <t xml:space="preserve">REF0232</t>
  </si>
  <si>
    <t xml:space="preserve">TXN0233</t>
  </si>
  <si>
    <t xml:space="preserve">REF0233</t>
  </si>
  <si>
    <t xml:space="preserve">MER062</t>
  </si>
  <si>
    <t xml:space="preserve">TXN0234</t>
  </si>
  <si>
    <t xml:space="preserve">ACC842</t>
  </si>
  <si>
    <t xml:space="preserve">CUS842</t>
  </si>
  <si>
    <t xml:space="preserve">REF0234</t>
  </si>
  <si>
    <t xml:space="preserve">MER079</t>
  </si>
  <si>
    <t xml:space="preserve">TXN0235</t>
  </si>
  <si>
    <t xml:space="preserve">ACC808</t>
  </si>
  <si>
    <t xml:space="preserve">CUS808</t>
  </si>
  <si>
    <t xml:space="preserve">REF0235</t>
  </si>
  <si>
    <t xml:space="preserve">TXN0236</t>
  </si>
  <si>
    <t xml:space="preserve">REF0236</t>
  </si>
  <si>
    <t xml:space="preserve">AGT069</t>
  </si>
  <si>
    <t xml:space="preserve">TXN0237</t>
  </si>
  <si>
    <t xml:space="preserve">ACC378</t>
  </si>
  <si>
    <t xml:space="preserve">CUS378</t>
  </si>
  <si>
    <t xml:space="preserve">REF0237</t>
  </si>
  <si>
    <t xml:space="preserve">MER130</t>
  </si>
  <si>
    <t xml:space="preserve">TXN0238</t>
  </si>
  <si>
    <t xml:space="preserve">ACC039</t>
  </si>
  <si>
    <t xml:space="preserve">CUS039</t>
  </si>
  <si>
    <t xml:space="preserve">REF0238</t>
  </si>
  <si>
    <t xml:space="preserve">TXN0239</t>
  </si>
  <si>
    <t xml:space="preserve">ACC602</t>
  </si>
  <si>
    <t xml:space="preserve">CUS602</t>
  </si>
  <si>
    <t xml:space="preserve">REF0239</t>
  </si>
  <si>
    <t xml:space="preserve">TXN0240</t>
  </si>
  <si>
    <t xml:space="preserve">ACC539</t>
  </si>
  <si>
    <t xml:space="preserve">CUS539</t>
  </si>
  <si>
    <t xml:space="preserve">REF0240</t>
  </si>
  <si>
    <t xml:space="preserve">MER031</t>
  </si>
  <si>
    <t xml:space="preserve">TXN0241</t>
  </si>
  <si>
    <t xml:space="preserve">ACC660</t>
  </si>
  <si>
    <t xml:space="preserve">CUS660</t>
  </si>
  <si>
    <t xml:space="preserve">REF0241</t>
  </si>
  <si>
    <t xml:space="preserve">AGT034</t>
  </si>
  <si>
    <t xml:space="preserve">TXN0242</t>
  </si>
  <si>
    <t xml:space="preserve">REF0242</t>
  </si>
  <si>
    <t xml:space="preserve">MER065</t>
  </si>
  <si>
    <t xml:space="preserve">TXN0243</t>
  </si>
  <si>
    <t xml:space="preserve">ACC831</t>
  </si>
  <si>
    <t xml:space="preserve">CUS831</t>
  </si>
  <si>
    <t xml:space="preserve">REF0243</t>
  </si>
  <si>
    <t xml:space="preserve">TXN0244</t>
  </si>
  <si>
    <t xml:space="preserve">ACC342</t>
  </si>
  <si>
    <t xml:space="preserve">CUS342</t>
  </si>
  <si>
    <t xml:space="preserve">REF0244</t>
  </si>
  <si>
    <t xml:space="preserve">MER099</t>
  </si>
  <si>
    <t xml:space="preserve">TXN0245</t>
  </si>
  <si>
    <t xml:space="preserve">ACC402</t>
  </si>
  <si>
    <t xml:space="preserve">CUS402</t>
  </si>
  <si>
    <t xml:space="preserve">REF0245</t>
  </si>
  <si>
    <t xml:space="preserve">AGT086</t>
  </si>
  <si>
    <t xml:space="preserve">TXN0246</t>
  </si>
  <si>
    <t xml:space="preserve">ACC232</t>
  </si>
  <si>
    <t xml:space="preserve">CUS232</t>
  </si>
  <si>
    <t xml:space="preserve">REF0246</t>
  </si>
  <si>
    <t xml:space="preserve">TXN0247</t>
  </si>
  <si>
    <t xml:space="preserve">ACC965</t>
  </si>
  <si>
    <t xml:space="preserve">CUS965</t>
  </si>
  <si>
    <t xml:space="preserve">REF0247</t>
  </si>
  <si>
    <t xml:space="preserve">MER150</t>
  </si>
  <si>
    <t xml:space="preserve">TXN0248</t>
  </si>
  <si>
    <t xml:space="preserve">REF0248</t>
  </si>
  <si>
    <t xml:space="preserve">TXN0249</t>
  </si>
  <si>
    <t xml:space="preserve">ACC505</t>
  </si>
  <si>
    <t xml:space="preserve">CUS505</t>
  </si>
  <si>
    <t xml:space="preserve">REF0249</t>
  </si>
  <si>
    <t xml:space="preserve">MER034</t>
  </si>
  <si>
    <t xml:space="preserve">TXN0250</t>
  </si>
  <si>
    <t xml:space="preserve">ACC896</t>
  </si>
  <si>
    <t xml:space="preserve">CUS896</t>
  </si>
  <si>
    <t xml:space="preserve">REF0250</t>
  </si>
  <si>
    <t xml:space="preserve">TXN0251</t>
  </si>
  <si>
    <t xml:space="preserve">ACC075</t>
  </si>
  <si>
    <t xml:space="preserve">CUS075</t>
  </si>
  <si>
    <t xml:space="preserve">REF0251</t>
  </si>
  <si>
    <t xml:space="preserve">MER068</t>
  </si>
  <si>
    <t xml:space="preserve">TXN0252</t>
  </si>
  <si>
    <t xml:space="preserve">ACC498</t>
  </si>
  <si>
    <t xml:space="preserve">CUS498</t>
  </si>
  <si>
    <t xml:space="preserve">REF0252</t>
  </si>
  <si>
    <t xml:space="preserve">TXN0253</t>
  </si>
  <si>
    <t xml:space="preserve">ACC119</t>
  </si>
  <si>
    <t xml:space="preserve">CUS119</t>
  </si>
  <si>
    <t xml:space="preserve">REF0253</t>
  </si>
  <si>
    <t xml:space="preserve">TXN0254</t>
  </si>
  <si>
    <t xml:space="preserve">ACC489</t>
  </si>
  <si>
    <t xml:space="preserve">CUS489</t>
  </si>
  <si>
    <t xml:space="preserve">REF0254</t>
  </si>
  <si>
    <t xml:space="preserve">MER119</t>
  </si>
  <si>
    <t xml:space="preserve">TXN0255</t>
  </si>
  <si>
    <t xml:space="preserve">ACC463</t>
  </si>
  <si>
    <t xml:space="preserve">CUS463</t>
  </si>
  <si>
    <t xml:space="preserve">REF0255</t>
  </si>
  <si>
    <t xml:space="preserve">AGT016</t>
  </si>
  <si>
    <t xml:space="preserve">TXN0256</t>
  </si>
  <si>
    <t xml:space="preserve">ACC588</t>
  </si>
  <si>
    <t xml:space="preserve">CUS588</t>
  </si>
  <si>
    <t xml:space="preserve">REF0256</t>
  </si>
  <si>
    <t xml:space="preserve">TXN0257</t>
  </si>
  <si>
    <t xml:space="preserve">ACC891</t>
  </si>
  <si>
    <t xml:space="preserve">CUS891</t>
  </si>
  <si>
    <t xml:space="preserve">REF0257</t>
  </si>
  <si>
    <t xml:space="preserve">TXN0258</t>
  </si>
  <si>
    <t xml:space="preserve">ACC149</t>
  </si>
  <si>
    <t xml:space="preserve">CUS149</t>
  </si>
  <si>
    <t xml:space="preserve">REF0258</t>
  </si>
  <si>
    <t xml:space="preserve">TXN0259</t>
  </si>
  <si>
    <t xml:space="preserve">REF0259</t>
  </si>
  <si>
    <t xml:space="preserve">MER054</t>
  </si>
  <si>
    <t xml:space="preserve">TXN0260</t>
  </si>
  <si>
    <t xml:space="preserve">ACC578</t>
  </si>
  <si>
    <t xml:space="preserve">CUS578</t>
  </si>
  <si>
    <t xml:space="preserve">REF0260</t>
  </si>
  <si>
    <t xml:space="preserve">TXN0261</t>
  </si>
  <si>
    <t xml:space="preserve">ACC469</t>
  </si>
  <si>
    <t xml:space="preserve">CUS469</t>
  </si>
  <si>
    <t xml:space="preserve">REF0261</t>
  </si>
  <si>
    <t xml:space="preserve">MER088</t>
  </si>
  <si>
    <t xml:space="preserve">TXN0262</t>
  </si>
  <si>
    <t xml:space="preserve">ACC666</t>
  </si>
  <si>
    <t xml:space="preserve">CUS666</t>
  </si>
  <si>
    <t xml:space="preserve">REF0262</t>
  </si>
  <si>
    <t xml:space="preserve">TXN0263</t>
  </si>
  <si>
    <t xml:space="preserve">ACC563</t>
  </si>
  <si>
    <t xml:space="preserve">CUS563</t>
  </si>
  <si>
    <t xml:space="preserve">REF0263</t>
  </si>
  <si>
    <t xml:space="preserve">TXN0264</t>
  </si>
  <si>
    <t xml:space="preserve">ACC587</t>
  </si>
  <si>
    <t xml:space="preserve">CUS587</t>
  </si>
  <si>
    <t xml:space="preserve">REF0264</t>
  </si>
  <si>
    <t xml:space="preserve">TXN0265</t>
  </si>
  <si>
    <t xml:space="preserve">REF0265</t>
  </si>
  <si>
    <t xml:space="preserve">TXN0266</t>
  </si>
  <si>
    <t xml:space="preserve">ACC409</t>
  </si>
  <si>
    <t xml:space="preserve">CUS409</t>
  </si>
  <si>
    <t xml:space="preserve">REF0266</t>
  </si>
  <si>
    <t xml:space="preserve">TXN0267</t>
  </si>
  <si>
    <t xml:space="preserve">REF0267</t>
  </si>
  <si>
    <t xml:space="preserve">MER040</t>
  </si>
  <si>
    <t xml:space="preserve">TXN0268</t>
  </si>
  <si>
    <t xml:space="preserve">ACC854</t>
  </si>
  <si>
    <t xml:space="preserve">CUS854</t>
  </si>
  <si>
    <t xml:space="preserve">REF0268</t>
  </si>
  <si>
    <t xml:space="preserve">MER057</t>
  </si>
  <si>
    <t xml:space="preserve">TXN0269</t>
  </si>
  <si>
    <t xml:space="preserve">ACC541</t>
  </si>
  <si>
    <t xml:space="preserve">CUS541</t>
  </si>
  <si>
    <t xml:space="preserve">REF0269</t>
  </si>
  <si>
    <t xml:space="preserve">MER074</t>
  </si>
  <si>
    <t xml:space="preserve">TXN0270</t>
  </si>
  <si>
    <t xml:space="preserve">ACC793</t>
  </si>
  <si>
    <t xml:space="preserve">CUS793</t>
  </si>
  <si>
    <t xml:space="preserve">REF0270</t>
  </si>
  <si>
    <t xml:space="preserve">MER091</t>
  </si>
  <si>
    <t xml:space="preserve">TXN0271</t>
  </si>
  <si>
    <t xml:space="preserve">ACC226</t>
  </si>
  <si>
    <t xml:space="preserve">CUS226</t>
  </si>
  <si>
    <t xml:space="preserve">REF0271</t>
  </si>
  <si>
    <t xml:space="preserve">AGT024</t>
  </si>
  <si>
    <t xml:space="preserve">TXN0272</t>
  </si>
  <si>
    <t xml:space="preserve">ACC732</t>
  </si>
  <si>
    <t xml:space="preserve">CUS732</t>
  </si>
  <si>
    <t xml:space="preserve">REF0272</t>
  </si>
  <si>
    <t xml:space="preserve">AGT037</t>
  </si>
  <si>
    <t xml:space="preserve">TXN0273</t>
  </si>
  <si>
    <t xml:space="preserve">REF0273</t>
  </si>
  <si>
    <t xml:space="preserve">TXN0274</t>
  </si>
  <si>
    <t xml:space="preserve">ACC788</t>
  </si>
  <si>
    <t xml:space="preserve">CUS788</t>
  </si>
  <si>
    <t xml:space="preserve">REF0274</t>
  </si>
  <si>
    <t xml:space="preserve">MER009</t>
  </si>
  <si>
    <t xml:space="preserve">TXN0275</t>
  </si>
  <si>
    <t xml:space="preserve">ACC208</t>
  </si>
  <si>
    <t xml:space="preserve">CUS208</t>
  </si>
  <si>
    <t xml:space="preserve">REF0275</t>
  </si>
  <si>
    <t xml:space="preserve">MER026</t>
  </si>
  <si>
    <t xml:space="preserve">TXN0276</t>
  </si>
  <si>
    <t xml:space="preserve">ACC081</t>
  </si>
  <si>
    <t xml:space="preserve">CUS081</t>
  </si>
  <si>
    <t xml:space="preserve">REF0276</t>
  </si>
  <si>
    <t xml:space="preserve">AGT089</t>
  </si>
  <si>
    <t xml:space="preserve">TXN0277</t>
  </si>
  <si>
    <t xml:space="preserve">REF0277</t>
  </si>
  <si>
    <t xml:space="preserve">TXN0278</t>
  </si>
  <si>
    <t xml:space="preserve">ACC607</t>
  </si>
  <si>
    <t xml:space="preserve">CUS607</t>
  </si>
  <si>
    <t xml:space="preserve">REF0278</t>
  </si>
  <si>
    <t xml:space="preserve">MER077</t>
  </si>
  <si>
    <t xml:space="preserve">TXN0279</t>
  </si>
  <si>
    <t xml:space="preserve">ACC283</t>
  </si>
  <si>
    <t xml:space="preserve">CUS283</t>
  </si>
  <si>
    <t xml:space="preserve">REF0279</t>
  </si>
  <si>
    <t xml:space="preserve">TXN0280</t>
  </si>
  <si>
    <t xml:space="preserve">ACC950</t>
  </si>
  <si>
    <t xml:space="preserve">CUS950</t>
  </si>
  <si>
    <t xml:space="preserve">REF0280</t>
  </si>
  <si>
    <t xml:space="preserve">MER111</t>
  </si>
  <si>
    <t xml:space="preserve">TXN0281</t>
  </si>
  <si>
    <t xml:space="preserve">ACC655</t>
  </si>
  <si>
    <t xml:space="preserve">CUS655</t>
  </si>
  <si>
    <t xml:space="preserve">REF0281</t>
  </si>
  <si>
    <t xml:space="preserve">MER128</t>
  </si>
  <si>
    <t xml:space="preserve">TXN0282</t>
  </si>
  <si>
    <t xml:space="preserve">ACC176</t>
  </si>
  <si>
    <t xml:space="preserve">CUS176</t>
  </si>
  <si>
    <t xml:space="preserve">REF0282</t>
  </si>
  <si>
    <t xml:space="preserve">MER145</t>
  </si>
  <si>
    <t xml:space="preserve">TXN0283</t>
  </si>
  <si>
    <t xml:space="preserve">ACC557</t>
  </si>
  <si>
    <t xml:space="preserve">CUS557</t>
  </si>
  <si>
    <t xml:space="preserve">REF0283</t>
  </si>
  <si>
    <t xml:space="preserve">TXN0284</t>
  </si>
  <si>
    <t xml:space="preserve">ACC413</t>
  </si>
  <si>
    <t xml:space="preserve">CUS413</t>
  </si>
  <si>
    <t xml:space="preserve">REF0284</t>
  </si>
  <si>
    <t xml:space="preserve">MER029</t>
  </si>
  <si>
    <t xml:space="preserve">TXN0285</t>
  </si>
  <si>
    <t xml:space="preserve">ACC554</t>
  </si>
  <si>
    <t xml:space="preserve">CUS554</t>
  </si>
  <si>
    <t xml:space="preserve">REF0285</t>
  </si>
  <si>
    <t xml:space="preserve">MER046</t>
  </si>
  <si>
    <t xml:space="preserve">TXN0286</t>
  </si>
  <si>
    <t xml:space="preserve">REF0286</t>
  </si>
  <si>
    <t xml:space="preserve">TXN0287</t>
  </si>
  <si>
    <t xml:space="preserve">ACC751</t>
  </si>
  <si>
    <t xml:space="preserve">CUS751</t>
  </si>
  <si>
    <t xml:space="preserve">REF0287</t>
  </si>
  <si>
    <t xml:space="preserve">TXN0288</t>
  </si>
  <si>
    <t xml:space="preserve">REF0288</t>
  </si>
  <si>
    <t xml:space="preserve">TXN0289</t>
  </si>
  <si>
    <t xml:space="preserve">ACC306</t>
  </si>
  <si>
    <t xml:space="preserve">CUS306</t>
  </si>
  <si>
    <t xml:space="preserve">REF0289</t>
  </si>
  <si>
    <t xml:space="preserve">TXN0290</t>
  </si>
  <si>
    <t xml:space="preserve">ACC642</t>
  </si>
  <si>
    <t xml:space="preserve">CUS642</t>
  </si>
  <si>
    <t xml:space="preserve">REF0290</t>
  </si>
  <si>
    <t xml:space="preserve">TXN0291</t>
  </si>
  <si>
    <t xml:space="preserve">REF0291</t>
  </si>
  <si>
    <t xml:space="preserve">TXN0292</t>
  </si>
  <si>
    <t xml:space="preserve">ACC507</t>
  </si>
  <si>
    <t xml:space="preserve">CUS507</t>
  </si>
  <si>
    <t xml:space="preserve">REF0292</t>
  </si>
  <si>
    <t xml:space="preserve">TXN0293</t>
  </si>
  <si>
    <t xml:space="preserve">ACC858</t>
  </si>
  <si>
    <t xml:space="preserve">CUS858</t>
  </si>
  <si>
    <t xml:space="preserve">REF0293</t>
  </si>
  <si>
    <t xml:space="preserve">AGT010</t>
  </si>
  <si>
    <t xml:space="preserve">TXN0294</t>
  </si>
  <si>
    <t xml:space="preserve">REF0294</t>
  </si>
  <si>
    <t xml:space="preserve">MER049</t>
  </si>
  <si>
    <t xml:space="preserve">TXN0295</t>
  </si>
  <si>
    <t xml:space="preserve">ACC774</t>
  </si>
  <si>
    <t xml:space="preserve">CUS774</t>
  </si>
  <si>
    <t xml:space="preserve">REF0295</t>
  </si>
  <si>
    <t xml:space="preserve">TXN0296</t>
  </si>
  <si>
    <t xml:space="preserve">ACC922</t>
  </si>
  <si>
    <t xml:space="preserve">CUS922</t>
  </si>
  <si>
    <t xml:space="preserve">REF0296</t>
  </si>
  <si>
    <t xml:space="preserve">TXN0297</t>
  </si>
  <si>
    <t xml:space="preserve">REF0297</t>
  </si>
  <si>
    <t xml:space="preserve">TXN0298</t>
  </si>
  <si>
    <t xml:space="preserve">ACC888</t>
  </si>
  <si>
    <t xml:space="preserve">CUS888</t>
  </si>
  <si>
    <t xml:space="preserve">REF0298</t>
  </si>
  <si>
    <t xml:space="preserve">MER117</t>
  </si>
  <si>
    <t xml:space="preserve">TXN0299</t>
  </si>
  <si>
    <t xml:space="preserve">ACC740</t>
  </si>
  <si>
    <t xml:space="preserve">CUS740</t>
  </si>
  <si>
    <t xml:space="preserve">REF0299</t>
  </si>
  <si>
    <t xml:space="preserve">TXN0300</t>
  </si>
  <si>
    <t xml:space="preserve">REF0300</t>
  </si>
  <si>
    <t xml:space="preserve">MER001</t>
  </si>
  <si>
    <t xml:space="preserve">TXN0301</t>
  </si>
  <si>
    <t xml:space="preserve">ACC379</t>
  </si>
  <si>
    <t xml:space="preserve">CUS379</t>
  </si>
  <si>
    <t xml:space="preserve">REF0301</t>
  </si>
  <si>
    <t xml:space="preserve">TXN0302</t>
  </si>
  <si>
    <t xml:space="preserve">ACC775</t>
  </si>
  <si>
    <t xml:space="preserve">CUS775</t>
  </si>
  <si>
    <t xml:space="preserve">REF0302</t>
  </si>
  <si>
    <t xml:space="preserve">TXN0303</t>
  </si>
  <si>
    <t xml:space="preserve">ACC614</t>
  </si>
  <si>
    <t xml:space="preserve">CUS614</t>
  </si>
  <si>
    <t xml:space="preserve">REF0303</t>
  </si>
  <si>
    <t xml:space="preserve">TXN0304</t>
  </si>
  <si>
    <t xml:space="preserve">ACC315</t>
  </si>
  <si>
    <t xml:space="preserve">CUS315</t>
  </si>
  <si>
    <t xml:space="preserve">REF0304</t>
  </si>
  <si>
    <t xml:space="preserve">TXN0305</t>
  </si>
  <si>
    <t xml:space="preserve">REF0305</t>
  </si>
  <si>
    <t xml:space="preserve">TXN0306</t>
  </si>
  <si>
    <t xml:space="preserve">REF0306</t>
  </si>
  <si>
    <t xml:space="preserve">TXN0307</t>
  </si>
  <si>
    <t xml:space="preserve">ACC795</t>
  </si>
  <si>
    <t xml:space="preserve">CUS795</t>
  </si>
  <si>
    <t xml:space="preserve">REF0307</t>
  </si>
  <si>
    <t xml:space="preserve">TXN0308</t>
  </si>
  <si>
    <t xml:space="preserve">ACC620</t>
  </si>
  <si>
    <t xml:space="preserve">CUS620</t>
  </si>
  <si>
    <t xml:space="preserve">REF0308</t>
  </si>
  <si>
    <t xml:space="preserve">AGT005</t>
  </si>
  <si>
    <t xml:space="preserve">TXN0309</t>
  </si>
  <si>
    <t xml:space="preserve">REF0309</t>
  </si>
  <si>
    <t xml:space="preserve">TXN0310</t>
  </si>
  <si>
    <t xml:space="preserve">ACC287</t>
  </si>
  <si>
    <t xml:space="preserve">CUS287</t>
  </si>
  <si>
    <t xml:space="preserve">REF0310</t>
  </si>
  <si>
    <t xml:space="preserve">TXN0311</t>
  </si>
  <si>
    <t xml:space="preserve">ACC988</t>
  </si>
  <si>
    <t xml:space="preserve">CUS988</t>
  </si>
  <si>
    <t xml:space="preserve">REF0311</t>
  </si>
  <si>
    <t xml:space="preserve">TXN0312</t>
  </si>
  <si>
    <t xml:space="preserve">ACC991</t>
  </si>
  <si>
    <t xml:space="preserve">CUS991</t>
  </si>
  <si>
    <t xml:space="preserve">REF0312</t>
  </si>
  <si>
    <t xml:space="preserve">TXN0313</t>
  </si>
  <si>
    <t xml:space="preserve">ACC135</t>
  </si>
  <si>
    <t xml:space="preserve">CUS135</t>
  </si>
  <si>
    <t xml:space="preserve">REF0313</t>
  </si>
  <si>
    <t xml:space="preserve">TXN0314</t>
  </si>
  <si>
    <t xml:space="preserve">REF0314</t>
  </si>
  <si>
    <t xml:space="preserve">TXN0315</t>
  </si>
  <si>
    <t xml:space="preserve">REF0315</t>
  </si>
  <si>
    <t xml:space="preserve">AGT096</t>
  </si>
  <si>
    <t xml:space="preserve">TXN0316</t>
  </si>
  <si>
    <t xml:space="preserve">ACC133</t>
  </si>
  <si>
    <t xml:space="preserve">CUS133</t>
  </si>
  <si>
    <t xml:space="preserve">REF0316</t>
  </si>
  <si>
    <t xml:space="preserve">AGT009</t>
  </si>
  <si>
    <t xml:space="preserve">TXN0317</t>
  </si>
  <si>
    <t xml:space="preserve">REF0317</t>
  </si>
  <si>
    <t xml:space="preserve">MER140</t>
  </si>
  <si>
    <t xml:space="preserve">TXN0318</t>
  </si>
  <si>
    <t xml:space="preserve">ACC061</t>
  </si>
  <si>
    <t xml:space="preserve">CUS061</t>
  </si>
  <si>
    <t xml:space="preserve">REF0318</t>
  </si>
  <si>
    <t xml:space="preserve">TXN0319</t>
  </si>
  <si>
    <t xml:space="preserve">ACC354</t>
  </si>
  <si>
    <t xml:space="preserve">CUS354</t>
  </si>
  <si>
    <t xml:space="preserve">REF0319</t>
  </si>
  <si>
    <t xml:space="preserve">TXN0320</t>
  </si>
  <si>
    <t xml:space="preserve">ACC492</t>
  </si>
  <si>
    <t xml:space="preserve">CUS492</t>
  </si>
  <si>
    <t xml:space="preserve">REF0320</t>
  </si>
  <si>
    <t xml:space="preserve">TXN0321</t>
  </si>
  <si>
    <t xml:space="preserve">ACC884</t>
  </si>
  <si>
    <t xml:space="preserve">CUS884</t>
  </si>
  <si>
    <t xml:space="preserve">REF0321</t>
  </si>
  <si>
    <t xml:space="preserve">TXN0322</t>
  </si>
  <si>
    <t xml:space="preserve">REF0322</t>
  </si>
  <si>
    <t xml:space="preserve">TXN0323</t>
  </si>
  <si>
    <t xml:space="preserve">REF0323</t>
  </si>
  <si>
    <t xml:space="preserve">AGT100</t>
  </si>
  <si>
    <t xml:space="preserve">TXN0324</t>
  </si>
  <si>
    <t xml:space="preserve">ACC903</t>
  </si>
  <si>
    <t xml:space="preserve">CUS903</t>
  </si>
  <si>
    <t xml:space="preserve">REF0324</t>
  </si>
  <si>
    <t xml:space="preserve">MER109</t>
  </si>
  <si>
    <t xml:space="preserve">TXN0325</t>
  </si>
  <si>
    <t xml:space="preserve">ACC243</t>
  </si>
  <si>
    <t xml:space="preserve">CUS243</t>
  </si>
  <si>
    <t xml:space="preserve">REF0325</t>
  </si>
  <si>
    <t xml:space="preserve">TXN0326</t>
  </si>
  <si>
    <t xml:space="preserve">ACC743</t>
  </si>
  <si>
    <t xml:space="preserve">CUS743</t>
  </si>
  <si>
    <t xml:space="preserve">REF0326</t>
  </si>
  <si>
    <t xml:space="preserve">TXN0327</t>
  </si>
  <si>
    <t xml:space="preserve">ACC585</t>
  </si>
  <si>
    <t xml:space="preserve">CUS585</t>
  </si>
  <si>
    <t xml:space="preserve">REF0327</t>
  </si>
  <si>
    <t xml:space="preserve">AGT052</t>
  </si>
  <si>
    <t xml:space="preserve">TXN0328</t>
  </si>
  <si>
    <t xml:space="preserve">ACC619</t>
  </si>
  <si>
    <t xml:space="preserve">CUS619</t>
  </si>
  <si>
    <t xml:space="preserve">REF0328</t>
  </si>
  <si>
    <t xml:space="preserve">TXN0329</t>
  </si>
  <si>
    <t xml:space="preserve">ACC778</t>
  </si>
  <si>
    <t xml:space="preserve">CUS778</t>
  </si>
  <si>
    <t xml:space="preserve">REF0329</t>
  </si>
  <si>
    <t xml:space="preserve">MER044</t>
  </si>
  <si>
    <t xml:space="preserve">TXN0330</t>
  </si>
  <si>
    <t xml:space="preserve">REF0330</t>
  </si>
  <si>
    <t xml:space="preserve">TXN0331</t>
  </si>
  <si>
    <t xml:space="preserve">REF0331</t>
  </si>
  <si>
    <t xml:space="preserve">TXN0332</t>
  </si>
  <si>
    <t xml:space="preserve">ACC710</t>
  </si>
  <si>
    <t xml:space="preserve">CUS710</t>
  </si>
  <si>
    <t xml:space="preserve">REF0332</t>
  </si>
  <si>
    <t xml:space="preserve">MER095</t>
  </si>
  <si>
    <t xml:space="preserve">TXN0333</t>
  </si>
  <si>
    <t xml:space="preserve">ACC018</t>
  </si>
  <si>
    <t xml:space="preserve">CUS018</t>
  </si>
  <si>
    <t xml:space="preserve">REF0333</t>
  </si>
  <si>
    <t xml:space="preserve">TXN0334</t>
  </si>
  <si>
    <t xml:space="preserve">REF0334</t>
  </si>
  <si>
    <t xml:space="preserve">TXN0335</t>
  </si>
  <si>
    <t xml:space="preserve">ACC059</t>
  </si>
  <si>
    <t xml:space="preserve">CUS059</t>
  </si>
  <si>
    <t xml:space="preserve">REF0335</t>
  </si>
  <si>
    <t xml:space="preserve">TXN0336</t>
  </si>
  <si>
    <t xml:space="preserve">REF0336</t>
  </si>
  <si>
    <t xml:space="preserve">TXN0337</t>
  </si>
  <si>
    <t xml:space="preserve">ACC771</t>
  </si>
  <si>
    <t xml:space="preserve">CUS771</t>
  </si>
  <si>
    <t xml:space="preserve">REF0337</t>
  </si>
  <si>
    <t xml:space="preserve">TXN0338</t>
  </si>
  <si>
    <t xml:space="preserve">ACC124</t>
  </si>
  <si>
    <t xml:space="preserve">CUS124</t>
  </si>
  <si>
    <t xml:space="preserve">REF0338</t>
  </si>
  <si>
    <t xml:space="preserve">TXN0339</t>
  </si>
  <si>
    <t xml:space="preserve">ACC948</t>
  </si>
  <si>
    <t xml:space="preserve">CUS948</t>
  </si>
  <si>
    <t xml:space="preserve">REF0339</t>
  </si>
  <si>
    <t xml:space="preserve">MER064</t>
  </si>
  <si>
    <t xml:space="preserve">TXN0340</t>
  </si>
  <si>
    <t xml:space="preserve">ACC467</t>
  </si>
  <si>
    <t xml:space="preserve">CUS467</t>
  </si>
  <si>
    <t xml:space="preserve">REF0340</t>
  </si>
  <si>
    <t xml:space="preserve">MER081</t>
  </si>
  <si>
    <t xml:space="preserve">TXN0341</t>
  </si>
  <si>
    <t xml:space="preserve">REF0341</t>
  </si>
  <si>
    <t xml:space="preserve">TXN0342</t>
  </si>
  <si>
    <t xml:space="preserve">ACC611</t>
  </si>
  <si>
    <t xml:space="preserve">CUS611</t>
  </si>
  <si>
    <t xml:space="preserve">REF0342</t>
  </si>
  <si>
    <t xml:space="preserve">TXN0343</t>
  </si>
  <si>
    <t xml:space="preserve">ACC132</t>
  </si>
  <si>
    <t xml:space="preserve">CUS132</t>
  </si>
  <si>
    <t xml:space="preserve">REF0343</t>
  </si>
  <si>
    <t xml:space="preserve">TXN0344</t>
  </si>
  <si>
    <t xml:space="preserve">ACC781</t>
  </si>
  <si>
    <t xml:space="preserve">CUS781</t>
  </si>
  <si>
    <t xml:space="preserve">REF0344</t>
  </si>
  <si>
    <t xml:space="preserve">TXN0345</t>
  </si>
  <si>
    <t xml:space="preserve">ACC285</t>
  </si>
  <si>
    <t xml:space="preserve">CUS285</t>
  </si>
  <si>
    <t xml:space="preserve">REF0345</t>
  </si>
  <si>
    <t xml:space="preserve">TXN0346</t>
  </si>
  <si>
    <t xml:space="preserve">ACC423</t>
  </si>
  <si>
    <t xml:space="preserve">CUS423</t>
  </si>
  <si>
    <t xml:space="preserve">REF0346</t>
  </si>
  <si>
    <t xml:space="preserve">TXN0347</t>
  </si>
  <si>
    <t xml:space="preserve">REF0347</t>
  </si>
  <si>
    <t xml:space="preserve">TXN0348</t>
  </si>
  <si>
    <t xml:space="preserve">ACC930</t>
  </si>
  <si>
    <t xml:space="preserve">CUS930</t>
  </si>
  <si>
    <t xml:space="preserve">REF0348</t>
  </si>
  <si>
    <t xml:space="preserve">TXN0349</t>
  </si>
  <si>
    <t xml:space="preserve">ACC605</t>
  </si>
  <si>
    <t xml:space="preserve">CUS605</t>
  </si>
  <si>
    <t xml:space="preserve">REF0349</t>
  </si>
  <si>
    <t xml:space="preserve">TXN0350</t>
  </si>
  <si>
    <t xml:space="preserve">ACC857</t>
  </si>
  <si>
    <t xml:space="preserve">CUS857</t>
  </si>
  <si>
    <t xml:space="preserve">REF0350</t>
  </si>
  <si>
    <t xml:space="preserve">TXN0351</t>
  </si>
  <si>
    <t xml:space="preserve">REF0351</t>
  </si>
  <si>
    <t xml:space="preserve">TXN0352</t>
  </si>
  <si>
    <t xml:space="preserve">ACC459</t>
  </si>
  <si>
    <t xml:space="preserve">CUS459</t>
  </si>
  <si>
    <t xml:space="preserve">REF0352</t>
  </si>
  <si>
    <t xml:space="preserve">TXN0353</t>
  </si>
  <si>
    <t xml:space="preserve">REF0353</t>
  </si>
  <si>
    <t xml:space="preserve">AGT090</t>
  </si>
  <si>
    <t xml:space="preserve">TXN0354</t>
  </si>
  <si>
    <t xml:space="preserve">REF0354</t>
  </si>
  <si>
    <t xml:space="preserve">TXN0355</t>
  </si>
  <si>
    <t xml:space="preserve">ACC721</t>
  </si>
  <si>
    <t xml:space="preserve">CUS721</t>
  </si>
  <si>
    <t xml:space="preserve">REF0355</t>
  </si>
  <si>
    <t xml:space="preserve">TXN0356</t>
  </si>
  <si>
    <t xml:space="preserve">ACC859</t>
  </si>
  <si>
    <t xml:space="preserve">CUS859</t>
  </si>
  <si>
    <t xml:space="preserve">REF0356</t>
  </si>
  <si>
    <t xml:space="preserve">TXN0357</t>
  </si>
  <si>
    <t xml:space="preserve">REF0357</t>
  </si>
  <si>
    <t xml:space="preserve">MER070</t>
  </si>
  <si>
    <t xml:space="preserve">TXN0358</t>
  </si>
  <si>
    <t xml:space="preserve">ACC683</t>
  </si>
  <si>
    <t xml:space="preserve">CUS683</t>
  </si>
  <si>
    <t xml:space="preserve">REF0358</t>
  </si>
  <si>
    <t xml:space="preserve">AGT055</t>
  </si>
  <si>
    <t xml:space="preserve">TXN0359</t>
  </si>
  <si>
    <t xml:space="preserve">REF0359</t>
  </si>
  <si>
    <t xml:space="preserve">TXN0360</t>
  </si>
  <si>
    <t xml:space="preserve">REF0360</t>
  </si>
  <si>
    <t xml:space="preserve">TXN0361</t>
  </si>
  <si>
    <t xml:space="preserve">ACC204</t>
  </si>
  <si>
    <t xml:space="preserve">CUS204</t>
  </si>
  <si>
    <t xml:space="preserve">REF0361</t>
  </si>
  <si>
    <t xml:space="preserve">TXN0362</t>
  </si>
  <si>
    <t xml:space="preserve">ACC979</t>
  </si>
  <si>
    <t xml:space="preserve">CUS979</t>
  </si>
  <si>
    <t xml:space="preserve">REF0362</t>
  </si>
  <si>
    <t xml:space="preserve">TXN0363</t>
  </si>
  <si>
    <t xml:space="preserve">ACC851</t>
  </si>
  <si>
    <t xml:space="preserve">CUS851</t>
  </si>
  <si>
    <t xml:space="preserve">REF0363</t>
  </si>
  <si>
    <t xml:space="preserve">AGT020</t>
  </si>
  <si>
    <t xml:space="preserve">TXN0364</t>
  </si>
  <si>
    <t xml:space="preserve">ACC626</t>
  </si>
  <si>
    <t xml:space="preserve">CUS626</t>
  </si>
  <si>
    <t xml:space="preserve">REF0364</t>
  </si>
  <si>
    <t xml:space="preserve">MER039</t>
  </si>
  <si>
    <t xml:space="preserve">TXN0365</t>
  </si>
  <si>
    <t xml:space="preserve">REF0365</t>
  </si>
  <si>
    <t xml:space="preserve">TXN0366</t>
  </si>
  <si>
    <t xml:space="preserve">ACC241</t>
  </si>
  <si>
    <t xml:space="preserve">CUS241</t>
  </si>
  <si>
    <t xml:space="preserve">REF0366</t>
  </si>
  <si>
    <t xml:space="preserve">TXN0367</t>
  </si>
  <si>
    <t xml:space="preserve">ACC835</t>
  </si>
  <si>
    <t xml:space="preserve">CUS835</t>
  </si>
  <si>
    <t xml:space="preserve">REF0367</t>
  </si>
  <si>
    <t xml:space="preserve">TXN0368</t>
  </si>
  <si>
    <t xml:space="preserve">REF0368</t>
  </si>
  <si>
    <t xml:space="preserve">TXN0369</t>
  </si>
  <si>
    <t xml:space="preserve">ACC429</t>
  </si>
  <si>
    <t xml:space="preserve">CUS429</t>
  </si>
  <si>
    <t xml:space="preserve">REF0369</t>
  </si>
  <si>
    <t xml:space="preserve">AGT098</t>
  </si>
  <si>
    <t xml:space="preserve">TXN0370</t>
  </si>
  <si>
    <t xml:space="preserve">REF0370</t>
  </si>
  <si>
    <t xml:space="preserve">TXN0371</t>
  </si>
  <si>
    <t xml:space="preserve">ACC811</t>
  </si>
  <si>
    <t xml:space="preserve">CUS811</t>
  </si>
  <si>
    <t xml:space="preserve">REF0371</t>
  </si>
  <si>
    <t xml:space="preserve">TXN0372</t>
  </si>
  <si>
    <t xml:space="preserve">ACC603</t>
  </si>
  <si>
    <t xml:space="preserve">CUS603</t>
  </si>
  <si>
    <t xml:space="preserve">REF0372</t>
  </si>
  <si>
    <t xml:space="preserve">TXN0373</t>
  </si>
  <si>
    <t xml:space="preserve">REF0373</t>
  </si>
  <si>
    <t xml:space="preserve">AGT050</t>
  </si>
  <si>
    <t xml:space="preserve">TXN0374</t>
  </si>
  <si>
    <t xml:space="preserve">ACC187</t>
  </si>
  <si>
    <t xml:space="preserve">CUS187</t>
  </si>
  <si>
    <t xml:space="preserve">REF0374</t>
  </si>
  <si>
    <t xml:space="preserve">TXN0375</t>
  </si>
  <si>
    <t xml:space="preserve">ACC738</t>
  </si>
  <si>
    <t xml:space="preserve">CUS738</t>
  </si>
  <si>
    <t xml:space="preserve">REF0375</t>
  </si>
  <si>
    <t xml:space="preserve">TXN0376</t>
  </si>
  <si>
    <t xml:space="preserve">ACC105</t>
  </si>
  <si>
    <t xml:space="preserve">CUS105</t>
  </si>
  <si>
    <t xml:space="preserve">REF0376</t>
  </si>
  <si>
    <t xml:space="preserve">TXN0377</t>
  </si>
  <si>
    <t xml:space="preserve">REF0377</t>
  </si>
  <si>
    <t xml:space="preserve">TXN0378</t>
  </si>
  <si>
    <t xml:space="preserve">ACC265</t>
  </si>
  <si>
    <t xml:space="preserve">CUS265</t>
  </si>
  <si>
    <t xml:space="preserve">REF0378</t>
  </si>
  <si>
    <t xml:space="preserve">AGT015</t>
  </si>
  <si>
    <t xml:space="preserve">TXN0379</t>
  </si>
  <si>
    <t xml:space="preserve">ACC076</t>
  </si>
  <si>
    <t xml:space="preserve">CUS076</t>
  </si>
  <si>
    <t xml:space="preserve">REF0379</t>
  </si>
  <si>
    <t xml:space="preserve">TXN0380</t>
  </si>
  <si>
    <t xml:space="preserve">ACC111</t>
  </si>
  <si>
    <t xml:space="preserve">CUS111</t>
  </si>
  <si>
    <t xml:space="preserve">REF0380</t>
  </si>
  <si>
    <t xml:space="preserve">AGT041</t>
  </si>
  <si>
    <t xml:space="preserve">TXN0381</t>
  </si>
  <si>
    <t xml:space="preserve">ACC932</t>
  </si>
  <si>
    <t xml:space="preserve">CUS932</t>
  </si>
  <si>
    <t xml:space="preserve">REF0381</t>
  </si>
  <si>
    <t xml:space="preserve">TXN0382</t>
  </si>
  <si>
    <t xml:space="preserve">ACC894</t>
  </si>
  <si>
    <t xml:space="preserve">CUS894</t>
  </si>
  <si>
    <t xml:space="preserve">REF0382</t>
  </si>
  <si>
    <t xml:space="preserve">TXN0383</t>
  </si>
  <si>
    <t xml:space="preserve">REF0383</t>
  </si>
  <si>
    <t xml:space="preserve">TXN0384</t>
  </si>
  <si>
    <t xml:space="preserve">ACC100</t>
  </si>
  <si>
    <t xml:space="preserve">CUS100</t>
  </si>
  <si>
    <t xml:space="preserve">REF0384</t>
  </si>
  <si>
    <t xml:space="preserve">TXN0385</t>
  </si>
  <si>
    <t xml:space="preserve">REF0385</t>
  </si>
  <si>
    <t xml:space="preserve">AGT006</t>
  </si>
  <si>
    <t xml:space="preserve">TXN0386</t>
  </si>
  <si>
    <t xml:space="preserve">ACC320</t>
  </si>
  <si>
    <t xml:space="preserve">CUS320</t>
  </si>
  <si>
    <t xml:space="preserve">REF0386</t>
  </si>
  <si>
    <t xml:space="preserve">TXN0387</t>
  </si>
  <si>
    <t xml:space="preserve">ACC629</t>
  </si>
  <si>
    <t xml:space="preserve">CUS629</t>
  </si>
  <si>
    <t xml:space="preserve">REF0387</t>
  </si>
  <si>
    <t xml:space="preserve">TXN0388</t>
  </si>
  <si>
    <t xml:space="preserve">ACC322</t>
  </si>
  <si>
    <t xml:space="preserve">CUS322</t>
  </si>
  <si>
    <t xml:space="preserve">REF0388</t>
  </si>
  <si>
    <t xml:space="preserve">TXN0389</t>
  </si>
  <si>
    <t xml:space="preserve">REF0389</t>
  </si>
  <si>
    <t xml:space="preserve">TXN0390</t>
  </si>
  <si>
    <t xml:space="preserve">ACC301</t>
  </si>
  <si>
    <t xml:space="preserve">CUS301</t>
  </si>
  <si>
    <t xml:space="preserve">REF0390</t>
  </si>
  <si>
    <t xml:space="preserve">TXN0391</t>
  </si>
  <si>
    <t xml:space="preserve">ACC809</t>
  </si>
  <si>
    <t xml:space="preserve">CUS809</t>
  </si>
  <si>
    <t xml:space="preserve">REF0391</t>
  </si>
  <si>
    <t xml:space="preserve">MER048</t>
  </si>
  <si>
    <t xml:space="preserve">TXN0392</t>
  </si>
  <si>
    <t xml:space="preserve">REF0392</t>
  </si>
  <si>
    <t xml:space="preserve">TXN0393</t>
  </si>
  <si>
    <t xml:space="preserve">ACC249</t>
  </si>
  <si>
    <t xml:space="preserve">CUS249</t>
  </si>
  <si>
    <t xml:space="preserve">REF0393</t>
  </si>
  <si>
    <t xml:space="preserve">TXN0394</t>
  </si>
  <si>
    <t xml:space="preserve">ACC056</t>
  </si>
  <si>
    <t xml:space="preserve">CUS056</t>
  </si>
  <si>
    <t xml:space="preserve">REF0394</t>
  </si>
  <si>
    <t xml:space="preserve">TXN0395</t>
  </si>
  <si>
    <t xml:space="preserve">ACC165</t>
  </si>
  <si>
    <t xml:space="preserve">CUS165</t>
  </si>
  <si>
    <t xml:space="preserve">REF0395</t>
  </si>
  <si>
    <t xml:space="preserve">TXN0396</t>
  </si>
  <si>
    <t xml:space="preserve">ACC319</t>
  </si>
  <si>
    <t xml:space="preserve">CUS319</t>
  </si>
  <si>
    <t xml:space="preserve">REF0396</t>
  </si>
  <si>
    <t xml:space="preserve">TXN0397</t>
  </si>
  <si>
    <t xml:space="preserve">ACC095</t>
  </si>
  <si>
    <t xml:space="preserve">CUS095</t>
  </si>
  <si>
    <t xml:space="preserve">REF0397</t>
  </si>
  <si>
    <t xml:space="preserve">TXN0398</t>
  </si>
  <si>
    <t xml:space="preserve">REF0398</t>
  </si>
  <si>
    <t xml:space="preserve">TXN0399</t>
  </si>
  <si>
    <t xml:space="preserve">ACC139</t>
  </si>
  <si>
    <t xml:space="preserve">CUS139</t>
  </si>
  <si>
    <t xml:space="preserve">REF0399</t>
  </si>
  <si>
    <t xml:space="preserve">TXN0400</t>
  </si>
  <si>
    <t xml:space="preserve">ACC355</t>
  </si>
  <si>
    <t xml:space="preserve">CUS355</t>
  </si>
  <si>
    <t xml:space="preserve">REF0400</t>
  </si>
  <si>
    <t xml:space="preserve">MER051</t>
  </si>
  <si>
    <t xml:space="preserve">TXN0401</t>
  </si>
  <si>
    <t xml:space="preserve">REF0401</t>
  </si>
  <si>
    <t xml:space="preserve">TXN0402</t>
  </si>
  <si>
    <t xml:space="preserve">ACC033</t>
  </si>
  <si>
    <t xml:space="preserve">CUS033</t>
  </si>
  <si>
    <t xml:space="preserve">REF0402</t>
  </si>
  <si>
    <t xml:space="preserve">TXN0403</t>
  </si>
  <si>
    <t xml:space="preserve">ACC115</t>
  </si>
  <si>
    <t xml:space="preserve">CUS115</t>
  </si>
  <si>
    <t xml:space="preserve">REF0403</t>
  </si>
  <si>
    <t xml:space="preserve">TXN0404</t>
  </si>
  <si>
    <t xml:space="preserve">REF0404</t>
  </si>
  <si>
    <t xml:space="preserve">TXN0405</t>
  </si>
  <si>
    <t xml:space="preserve">ACC197</t>
  </si>
  <si>
    <t xml:space="preserve">CUS197</t>
  </si>
  <si>
    <t xml:space="preserve">REF0405</t>
  </si>
  <si>
    <t xml:space="preserve">TXN0406</t>
  </si>
  <si>
    <t xml:space="preserve">REF0406</t>
  </si>
  <si>
    <t xml:space="preserve">AGT079</t>
  </si>
  <si>
    <t xml:space="preserve">TXN0407</t>
  </si>
  <si>
    <t xml:space="preserve">ACC274</t>
  </si>
  <si>
    <t xml:space="preserve">CUS274</t>
  </si>
  <si>
    <t xml:space="preserve">REF0407</t>
  </si>
  <si>
    <t xml:space="preserve">TXN0408</t>
  </si>
  <si>
    <t xml:space="preserve">ACC527</t>
  </si>
  <si>
    <t xml:space="preserve">CUS527</t>
  </si>
  <si>
    <t xml:space="preserve">REF0408</t>
  </si>
  <si>
    <t xml:space="preserve">TXN0409</t>
  </si>
  <si>
    <t xml:space="preserve">ACC840</t>
  </si>
  <si>
    <t xml:space="preserve">CUS840</t>
  </si>
  <si>
    <t xml:space="preserve">REF0409</t>
  </si>
  <si>
    <t xml:space="preserve">TXN0410</t>
  </si>
  <si>
    <t xml:space="preserve">ACC247</t>
  </si>
  <si>
    <t xml:space="preserve">CUS247</t>
  </si>
  <si>
    <t xml:space="preserve">REF0410</t>
  </si>
  <si>
    <t xml:space="preserve">AGT031</t>
  </si>
  <si>
    <t xml:space="preserve">TXN0411</t>
  </si>
  <si>
    <t xml:space="preserve">ACC601</t>
  </si>
  <si>
    <t xml:space="preserve">CUS601</t>
  </si>
  <si>
    <t xml:space="preserve">REF0411</t>
  </si>
  <si>
    <t xml:space="preserve">TXN0412</t>
  </si>
  <si>
    <t xml:space="preserve">REF0412</t>
  </si>
  <si>
    <t xml:space="preserve">TXN0413</t>
  </si>
  <si>
    <t xml:space="preserve">ACC728</t>
  </si>
  <si>
    <t xml:space="preserve">CUS728</t>
  </si>
  <si>
    <t xml:space="preserve">REF0413</t>
  </si>
  <si>
    <t xml:space="preserve">AGT070</t>
  </si>
  <si>
    <t xml:space="preserve">TXN0414</t>
  </si>
  <si>
    <t xml:space="preserve">ACC244</t>
  </si>
  <si>
    <t xml:space="preserve">CUS244</t>
  </si>
  <si>
    <t xml:space="preserve">REF0414</t>
  </si>
  <si>
    <t xml:space="preserve">TXN0415</t>
  </si>
  <si>
    <t xml:space="preserve">ACC729</t>
  </si>
  <si>
    <t xml:space="preserve">CUS729</t>
  </si>
  <si>
    <t xml:space="preserve">REF0415</t>
  </si>
  <si>
    <t xml:space="preserve">TXN0416</t>
  </si>
  <si>
    <t xml:space="preserve">ACC473</t>
  </si>
  <si>
    <t xml:space="preserve">CUS473</t>
  </si>
  <si>
    <t xml:space="preserve">REF0416</t>
  </si>
  <si>
    <t xml:space="preserve">TXN0417</t>
  </si>
  <si>
    <t xml:space="preserve">ACC561</t>
  </si>
  <si>
    <t xml:space="preserve">CUS561</t>
  </si>
  <si>
    <t xml:space="preserve">REF0417</t>
  </si>
  <si>
    <t xml:space="preserve">TXN0418</t>
  </si>
  <si>
    <t xml:space="preserve">ACC657</t>
  </si>
  <si>
    <t xml:space="preserve">CUS657</t>
  </si>
  <si>
    <t xml:space="preserve">REF0418</t>
  </si>
  <si>
    <t xml:space="preserve">TXN0419</t>
  </si>
  <si>
    <t xml:space="preserve">ACC317</t>
  </si>
  <si>
    <t xml:space="preserve">CUS317</t>
  </si>
  <si>
    <t xml:space="preserve">REF0419</t>
  </si>
  <si>
    <t xml:space="preserve">TXN0420</t>
  </si>
  <si>
    <t xml:space="preserve">REF0420</t>
  </si>
  <si>
    <t xml:space="preserve">TXN0421</t>
  </si>
  <si>
    <t xml:space="preserve">ACC433</t>
  </si>
  <si>
    <t xml:space="preserve">CUS433</t>
  </si>
  <si>
    <t xml:space="preserve">REF0421</t>
  </si>
  <si>
    <t xml:space="preserve">MER108</t>
  </si>
  <si>
    <t xml:space="preserve">TXN0422</t>
  </si>
  <si>
    <t xml:space="preserve">REF0422</t>
  </si>
  <si>
    <t xml:space="preserve">TXN0423</t>
  </si>
  <si>
    <t xml:space="preserve">ACC377</t>
  </si>
  <si>
    <t xml:space="preserve">CUS377</t>
  </si>
  <si>
    <t xml:space="preserve">REF0423</t>
  </si>
  <si>
    <t xml:space="preserve">TXN0424</t>
  </si>
  <si>
    <t xml:space="preserve">ACC622</t>
  </si>
  <si>
    <t xml:space="preserve">CUS622</t>
  </si>
  <si>
    <t xml:space="preserve">REF0424</t>
  </si>
  <si>
    <t xml:space="preserve">TXN0425</t>
  </si>
  <si>
    <t xml:space="preserve">ACC801</t>
  </si>
  <si>
    <t xml:space="preserve">CUS801</t>
  </si>
  <si>
    <t xml:space="preserve">REF0425</t>
  </si>
  <si>
    <t xml:space="preserve">TXN0426</t>
  </si>
  <si>
    <t xml:space="preserve">REF0426</t>
  </si>
  <si>
    <t xml:space="preserve">MER043</t>
  </si>
  <si>
    <t xml:space="preserve">TXN0427</t>
  </si>
  <si>
    <t xml:space="preserve">ACC310</t>
  </si>
  <si>
    <t xml:space="preserve">CUS310</t>
  </si>
  <si>
    <t xml:space="preserve">REF0427</t>
  </si>
  <si>
    <t xml:space="preserve">TXN0428</t>
  </si>
  <si>
    <t xml:space="preserve">ACC995</t>
  </si>
  <si>
    <t xml:space="preserve">CUS995</t>
  </si>
  <si>
    <t xml:space="preserve">REF0428</t>
  </si>
  <si>
    <t xml:space="preserve">TXN0429</t>
  </si>
  <si>
    <t xml:space="preserve">REF0429</t>
  </si>
  <si>
    <t xml:space="preserve">TXN0430</t>
  </si>
  <si>
    <t xml:space="preserve">ACC963</t>
  </si>
  <si>
    <t xml:space="preserve">CUS963</t>
  </si>
  <si>
    <t xml:space="preserve">REF0430</t>
  </si>
  <si>
    <t xml:space="preserve">TXN0431</t>
  </si>
  <si>
    <t xml:space="preserve">REF0431</t>
  </si>
  <si>
    <t xml:space="preserve">TXN0432</t>
  </si>
  <si>
    <t xml:space="preserve">ACC382</t>
  </si>
  <si>
    <t xml:space="preserve">CUS382</t>
  </si>
  <si>
    <t xml:space="preserve">REF0432</t>
  </si>
  <si>
    <t xml:space="preserve">TXN0433</t>
  </si>
  <si>
    <t xml:space="preserve">REF0433</t>
  </si>
  <si>
    <t xml:space="preserve">MER012</t>
  </si>
  <si>
    <t xml:space="preserve">TXN0434</t>
  </si>
  <si>
    <t xml:space="preserve">REF0434</t>
  </si>
  <si>
    <t xml:space="preserve">TXN0435</t>
  </si>
  <si>
    <t xml:space="preserve">REF0435</t>
  </si>
  <si>
    <t xml:space="preserve">TXN0436</t>
  </si>
  <si>
    <t xml:space="preserve">REF0436</t>
  </si>
  <si>
    <t xml:space="preserve">TXN0437</t>
  </si>
  <si>
    <t xml:space="preserve">ACC589</t>
  </si>
  <si>
    <t xml:space="preserve">CUS589</t>
  </si>
  <si>
    <t xml:space="preserve">REF0437</t>
  </si>
  <si>
    <t xml:space="preserve">MER080</t>
  </si>
  <si>
    <t xml:space="preserve">TXN0438</t>
  </si>
  <si>
    <t xml:space="preserve">ACC083</t>
  </si>
  <si>
    <t xml:space="preserve">CUS083</t>
  </si>
  <si>
    <t xml:space="preserve">REF0438</t>
  </si>
  <si>
    <t xml:space="preserve">TXN0439</t>
  </si>
  <si>
    <t xml:space="preserve">ACC830</t>
  </si>
  <si>
    <t xml:space="preserve">CUS830</t>
  </si>
  <si>
    <t xml:space="preserve">REF0439</t>
  </si>
  <si>
    <t xml:space="preserve">TXN0440</t>
  </si>
  <si>
    <t xml:space="preserve">ACC716</t>
  </si>
  <si>
    <t xml:space="preserve">CUS716</t>
  </si>
  <si>
    <t xml:space="preserve">REF0440</t>
  </si>
  <si>
    <t xml:space="preserve">MER131</t>
  </si>
  <si>
    <t xml:space="preserve">TXN0441</t>
  </si>
  <si>
    <t xml:space="preserve">REF0441</t>
  </si>
  <si>
    <t xml:space="preserve">TXN0442</t>
  </si>
  <si>
    <t xml:space="preserve">ACC825</t>
  </si>
  <si>
    <t xml:space="preserve">CUS825</t>
  </si>
  <si>
    <t xml:space="preserve">REF0442</t>
  </si>
  <si>
    <t xml:space="preserve">TXN0443</t>
  </si>
  <si>
    <t xml:space="preserve">ACC071</t>
  </si>
  <si>
    <t xml:space="preserve">CUS071</t>
  </si>
  <si>
    <t xml:space="preserve">REF0443</t>
  </si>
  <si>
    <t xml:space="preserve">MER032</t>
  </si>
  <si>
    <t xml:space="preserve">TXN0444</t>
  </si>
  <si>
    <t xml:space="preserve">ACC543</t>
  </si>
  <si>
    <t xml:space="preserve">CUS543</t>
  </si>
  <si>
    <t xml:space="preserve">REF0444</t>
  </si>
  <si>
    <t xml:space="preserve">TXN0445</t>
  </si>
  <si>
    <t xml:space="preserve">ACC735</t>
  </si>
  <si>
    <t xml:space="preserve">CUS735</t>
  </si>
  <si>
    <t xml:space="preserve">REF0445</t>
  </si>
  <si>
    <t xml:space="preserve">TXN0446</t>
  </si>
  <si>
    <t xml:space="preserve">ACC944</t>
  </si>
  <si>
    <t xml:space="preserve">CUS944</t>
  </si>
  <si>
    <t xml:space="preserve">REF0446</t>
  </si>
  <si>
    <t xml:space="preserve">TXN0447</t>
  </si>
  <si>
    <t xml:space="preserve">ACC722</t>
  </si>
  <si>
    <t xml:space="preserve">CUS722</t>
  </si>
  <si>
    <t xml:space="preserve">REF0447</t>
  </si>
  <si>
    <t xml:space="preserve">TXN0448</t>
  </si>
  <si>
    <t xml:space="preserve">ACC747</t>
  </si>
  <si>
    <t xml:space="preserve">CUS747</t>
  </si>
  <si>
    <t xml:space="preserve">REF0448</t>
  </si>
  <si>
    <t xml:space="preserve">TXN0449</t>
  </si>
  <si>
    <t xml:space="preserve">REF0449</t>
  </si>
  <si>
    <t xml:space="preserve">MER134</t>
  </si>
  <si>
    <t xml:space="preserve">TXN0450</t>
  </si>
  <si>
    <t xml:space="preserve">REF0450</t>
  </si>
  <si>
    <t xml:space="preserve">TXN0451</t>
  </si>
  <si>
    <t xml:space="preserve">ACC838</t>
  </si>
  <si>
    <t xml:space="preserve">CUS838</t>
  </si>
  <si>
    <t xml:space="preserve">REF0451</t>
  </si>
  <si>
    <t xml:space="preserve">TXN0452</t>
  </si>
  <si>
    <t xml:space="preserve">ACC162</t>
  </si>
  <si>
    <t xml:space="preserve">CUS162</t>
  </si>
  <si>
    <t xml:space="preserve">REF0452</t>
  </si>
  <si>
    <t xml:space="preserve">TXN0453</t>
  </si>
  <si>
    <t xml:space="preserve">ACC451</t>
  </si>
  <si>
    <t xml:space="preserve">CUS451</t>
  </si>
  <si>
    <t xml:space="preserve">REF0453</t>
  </si>
  <si>
    <t xml:space="preserve">TXN0454</t>
  </si>
  <si>
    <t xml:space="preserve">REF0454</t>
  </si>
  <si>
    <t xml:space="preserve">TXN0455</t>
  </si>
  <si>
    <t xml:space="preserve">ACC936</t>
  </si>
  <si>
    <t xml:space="preserve">CUS936</t>
  </si>
  <si>
    <t xml:space="preserve">REF0455</t>
  </si>
  <si>
    <t xml:space="preserve">TXN0456</t>
  </si>
  <si>
    <t xml:space="preserve">ACC209</t>
  </si>
  <si>
    <t xml:space="preserve">CUS209</t>
  </si>
  <si>
    <t xml:space="preserve">REF0456</t>
  </si>
  <si>
    <t xml:space="preserve">TXN0457</t>
  </si>
  <si>
    <t xml:space="preserve">ACC066</t>
  </si>
  <si>
    <t xml:space="preserve">CUS066</t>
  </si>
  <si>
    <t xml:space="preserve">REF0457</t>
  </si>
  <si>
    <t xml:space="preserve">TXN0458</t>
  </si>
  <si>
    <t xml:space="preserve">REF0458</t>
  </si>
  <si>
    <t xml:space="preserve">TXN0459</t>
  </si>
  <si>
    <t xml:space="preserve">ACC987</t>
  </si>
  <si>
    <t xml:space="preserve">CUS987</t>
  </si>
  <si>
    <t xml:space="preserve">REF0459</t>
  </si>
  <si>
    <t xml:space="preserve">TXN0460</t>
  </si>
  <si>
    <t xml:space="preserve">ACC797</t>
  </si>
  <si>
    <t xml:space="preserve">CUS797</t>
  </si>
  <si>
    <t xml:space="preserve">REF0460</t>
  </si>
  <si>
    <t xml:space="preserve">TXN0461</t>
  </si>
  <si>
    <t xml:space="preserve">REF0461</t>
  </si>
  <si>
    <t xml:space="preserve">TXN0462</t>
  </si>
  <si>
    <t xml:space="preserve">REF0462</t>
  </si>
  <si>
    <t xml:space="preserve">TXN0463</t>
  </si>
  <si>
    <t xml:space="preserve">ACC471</t>
  </si>
  <si>
    <t xml:space="preserve">CUS471</t>
  </si>
  <si>
    <t xml:space="preserve">REF0463</t>
  </si>
  <si>
    <t xml:space="preserve">TXN0464</t>
  </si>
  <si>
    <t xml:space="preserve">REF0464</t>
  </si>
  <si>
    <t xml:space="preserve">TXN0465</t>
  </si>
  <si>
    <t xml:space="preserve">ACC653</t>
  </si>
  <si>
    <t xml:space="preserve">CUS653</t>
  </si>
  <si>
    <t xml:space="preserve">REF0465</t>
  </si>
  <si>
    <t xml:space="preserve">TXN0466</t>
  </si>
  <si>
    <t xml:space="preserve">ACC981</t>
  </si>
  <si>
    <t xml:space="preserve">CUS981</t>
  </si>
  <si>
    <t xml:space="preserve">REF0466</t>
  </si>
  <si>
    <t xml:space="preserve">TXN0467</t>
  </si>
  <si>
    <t xml:space="preserve">ACC090</t>
  </si>
  <si>
    <t xml:space="preserve">CUS090</t>
  </si>
  <si>
    <t xml:space="preserve">REF0467</t>
  </si>
  <si>
    <t xml:space="preserve">TXN0468</t>
  </si>
  <si>
    <t xml:space="preserve">REF0468</t>
  </si>
  <si>
    <t xml:space="preserve">TXN0469</t>
  </si>
  <si>
    <t xml:space="preserve">ACC118</t>
  </si>
  <si>
    <t xml:space="preserve">CUS118</t>
  </si>
  <si>
    <t xml:space="preserve">REF0469</t>
  </si>
  <si>
    <t xml:space="preserve">TXN0470</t>
  </si>
  <si>
    <t xml:space="preserve">ACC102</t>
  </si>
  <si>
    <t xml:space="preserve">CUS102</t>
  </si>
  <si>
    <t xml:space="preserve">REF0470</t>
  </si>
  <si>
    <t xml:space="preserve">TXN0471</t>
  </si>
  <si>
    <t xml:space="preserve">ACC703</t>
  </si>
  <si>
    <t xml:space="preserve">CUS703</t>
  </si>
  <si>
    <t xml:space="preserve">REF0471</t>
  </si>
  <si>
    <t xml:space="preserve">TXN0472</t>
  </si>
  <si>
    <t xml:space="preserve">ACC583</t>
  </si>
  <si>
    <t xml:space="preserve">CUS583</t>
  </si>
  <si>
    <t xml:space="preserve">REF0472</t>
  </si>
  <si>
    <t xml:space="preserve">TXN0473</t>
  </si>
  <si>
    <t xml:space="preserve">ACC491</t>
  </si>
  <si>
    <t xml:space="preserve">CUS491</t>
  </si>
  <si>
    <t xml:space="preserve">REF0473</t>
  </si>
  <si>
    <t xml:space="preserve">TXN0474</t>
  </si>
  <si>
    <t xml:space="preserve">ACC340</t>
  </si>
  <si>
    <t xml:space="preserve">CUS340</t>
  </si>
  <si>
    <t xml:space="preserve">REF0474</t>
  </si>
  <si>
    <t xml:space="preserve">TXN0475</t>
  </si>
  <si>
    <t xml:space="preserve">REF0475</t>
  </si>
  <si>
    <t xml:space="preserve">TXN0476</t>
  </si>
  <si>
    <t xml:space="preserve">REF0476</t>
  </si>
  <si>
    <t xml:space="preserve">TXN0477</t>
  </si>
  <si>
    <t xml:space="preserve">ACC998</t>
  </si>
  <si>
    <t xml:space="preserve">CUS998</t>
  </si>
  <si>
    <t xml:space="preserve">REF0477</t>
  </si>
  <si>
    <t xml:space="preserve">TXN0478</t>
  </si>
  <si>
    <t xml:space="preserve">ACC225</t>
  </si>
  <si>
    <t xml:space="preserve">CUS225</t>
  </si>
  <si>
    <t xml:space="preserve">REF0478</t>
  </si>
  <si>
    <t xml:space="preserve">TXN0479</t>
  </si>
  <si>
    <t xml:space="preserve">ACC043</t>
  </si>
  <si>
    <t xml:space="preserve">CUS043</t>
  </si>
  <si>
    <t xml:space="preserve">REF0479</t>
  </si>
  <si>
    <t xml:space="preserve">TXN0480</t>
  </si>
  <si>
    <t xml:space="preserve">ACC353</t>
  </si>
  <si>
    <t xml:space="preserve">CUS353</t>
  </si>
  <si>
    <t xml:space="preserve">REF0480</t>
  </si>
  <si>
    <t xml:space="preserve">TXN0481</t>
  </si>
  <si>
    <t xml:space="preserve">REF0481</t>
  </si>
  <si>
    <t xml:space="preserve">AGT054</t>
  </si>
  <si>
    <t xml:space="preserve">TXN0482</t>
  </si>
  <si>
    <t xml:space="preserve">ACC886</t>
  </si>
  <si>
    <t xml:space="preserve">CUS886</t>
  </si>
  <si>
    <t xml:space="preserve">REF0482</t>
  </si>
  <si>
    <t xml:space="preserve">TXN0483</t>
  </si>
  <si>
    <t xml:space="preserve">ACC254</t>
  </si>
  <si>
    <t xml:space="preserve">CUS254</t>
  </si>
  <si>
    <t xml:space="preserve">REF0483</t>
  </si>
  <si>
    <t xml:space="preserve">TXN0484</t>
  </si>
  <si>
    <t xml:space="preserve">REF0484</t>
  </si>
  <si>
    <t xml:space="preserve">TXN0485</t>
  </si>
  <si>
    <t xml:space="preserve">ACC393</t>
  </si>
  <si>
    <t xml:space="preserve">CUS393</t>
  </si>
  <si>
    <t xml:space="preserve">REF0485</t>
  </si>
  <si>
    <t xml:space="preserve">TXN0486</t>
  </si>
  <si>
    <t xml:space="preserve">ACC596</t>
  </si>
  <si>
    <t xml:space="preserve">CUS596</t>
  </si>
  <si>
    <t xml:space="preserve">REF0486</t>
  </si>
  <si>
    <t xml:space="preserve">TXN0487</t>
  </si>
  <si>
    <t xml:space="preserve">REF0487</t>
  </si>
  <si>
    <t xml:space="preserve">TXN0488</t>
  </si>
  <si>
    <t xml:space="preserve">ACC904</t>
  </si>
  <si>
    <t xml:space="preserve">CUS904</t>
  </si>
  <si>
    <t xml:space="preserve">REF0488</t>
  </si>
  <si>
    <t xml:space="preserve">TXN0489</t>
  </si>
  <si>
    <t xml:space="preserve">REF0489</t>
  </si>
  <si>
    <t xml:space="preserve">TXN0490</t>
  </si>
  <si>
    <t xml:space="preserve">ACC758</t>
  </si>
  <si>
    <t xml:space="preserve">CUS758</t>
  </si>
  <si>
    <t xml:space="preserve">REF0490</t>
  </si>
  <si>
    <t xml:space="preserve">TXN0491</t>
  </si>
  <si>
    <t xml:space="preserve">ACC206</t>
  </si>
  <si>
    <t xml:space="preserve">CUS206</t>
  </si>
  <si>
    <t xml:space="preserve">REF0491</t>
  </si>
  <si>
    <t xml:space="preserve">TXN0492</t>
  </si>
  <si>
    <t xml:space="preserve">REF0492</t>
  </si>
  <si>
    <t xml:space="preserve">TXN0493</t>
  </si>
  <si>
    <t xml:space="preserve">ACC724</t>
  </si>
  <si>
    <t xml:space="preserve">CUS724</t>
  </si>
  <si>
    <t xml:space="preserve">REF0493</t>
  </si>
  <si>
    <t xml:space="preserve">TXN0494</t>
  </si>
  <si>
    <t xml:space="preserve">ACC412</t>
  </si>
  <si>
    <t xml:space="preserve">CUS412</t>
  </si>
  <si>
    <t xml:space="preserve">REF0494</t>
  </si>
  <si>
    <t xml:space="preserve">TXN0495</t>
  </si>
  <si>
    <t xml:space="preserve">REF0495</t>
  </si>
  <si>
    <t xml:space="preserve">TXN0496</t>
  </si>
  <si>
    <t xml:space="preserve">REF0496</t>
  </si>
  <si>
    <t xml:space="preserve">TXN0497</t>
  </si>
  <si>
    <t xml:space="preserve">REF0497</t>
  </si>
  <si>
    <t xml:space="preserve">TXN0498</t>
  </si>
  <si>
    <t xml:space="preserve">REF0498</t>
  </si>
  <si>
    <t xml:space="preserve">AGT075</t>
  </si>
  <si>
    <t xml:space="preserve">TXN0499</t>
  </si>
  <si>
    <t xml:space="preserve">ACC395</t>
  </si>
  <si>
    <t xml:space="preserve">CUS395</t>
  </si>
  <si>
    <t xml:space="preserve">REF0499</t>
  </si>
  <si>
    <t xml:space="preserve">TXN0500</t>
  </si>
  <si>
    <t xml:space="preserve">ACC796</t>
  </si>
  <si>
    <t xml:space="preserve">CUS796</t>
  </si>
  <si>
    <t xml:space="preserve">REF0500</t>
  </si>
  <si>
    <t xml:space="preserve">TXN0501</t>
  </si>
  <si>
    <t xml:space="preserve">REF0501</t>
  </si>
  <si>
    <t xml:space="preserve">TXN0502</t>
  </si>
  <si>
    <t xml:space="preserve">ACC955</t>
  </si>
  <si>
    <t xml:space="preserve">CUS955</t>
  </si>
  <si>
    <t xml:space="preserve">REF0502</t>
  </si>
  <si>
    <t xml:space="preserve">TXN0503</t>
  </si>
  <si>
    <t xml:space="preserve">ACC215</t>
  </si>
  <si>
    <t xml:space="preserve">CUS215</t>
  </si>
  <si>
    <t xml:space="preserve">REF0503</t>
  </si>
  <si>
    <t xml:space="preserve">TXN0504</t>
  </si>
  <si>
    <t xml:space="preserve">ACC050</t>
  </si>
  <si>
    <t xml:space="preserve">CUS050</t>
  </si>
  <si>
    <t xml:space="preserve">REF0504</t>
  </si>
  <si>
    <t xml:space="preserve">TXN0505</t>
  </si>
  <si>
    <t xml:space="preserve">ACC228</t>
  </si>
  <si>
    <t xml:space="preserve">CUS228</t>
  </si>
  <si>
    <t xml:space="preserve">REF0505</t>
  </si>
  <si>
    <t xml:space="preserve">TXN0506</t>
  </si>
  <si>
    <t xml:space="preserve">REF0506</t>
  </si>
  <si>
    <t xml:space="preserve">TXN0507</t>
  </si>
  <si>
    <t xml:space="preserve">ACC026</t>
  </si>
  <si>
    <t xml:space="preserve">CUS026</t>
  </si>
  <si>
    <t xml:space="preserve">REF0507</t>
  </si>
  <si>
    <t xml:space="preserve">TXN0508</t>
  </si>
  <si>
    <t xml:space="preserve">REF0508</t>
  </si>
  <si>
    <t xml:space="preserve">TXN0509</t>
  </si>
  <si>
    <t xml:space="preserve">REF0509</t>
  </si>
  <si>
    <t xml:space="preserve">TXN0510</t>
  </si>
  <si>
    <t xml:space="preserve">ACC931</t>
  </si>
  <si>
    <t xml:space="preserve">CUS931</t>
  </si>
  <si>
    <t xml:space="preserve">REF0510</t>
  </si>
  <si>
    <t xml:space="preserve">TXN0511</t>
  </si>
  <si>
    <t xml:space="preserve">ACC616</t>
  </si>
  <si>
    <t xml:space="preserve">CUS616</t>
  </si>
  <si>
    <t xml:space="preserve">REF0511</t>
  </si>
  <si>
    <t xml:space="preserve">TXN0512</t>
  </si>
  <si>
    <t xml:space="preserve">ACC990</t>
  </si>
  <si>
    <t xml:space="preserve">CUS990</t>
  </si>
  <si>
    <t xml:space="preserve">REF0512</t>
  </si>
  <si>
    <t xml:space="preserve">TXN0513</t>
  </si>
  <si>
    <t xml:space="preserve">ACC656</t>
  </si>
  <si>
    <t xml:space="preserve">CUS656</t>
  </si>
  <si>
    <t xml:space="preserve">REF0513</t>
  </si>
  <si>
    <t xml:space="preserve">TXN0514</t>
  </si>
  <si>
    <t xml:space="preserve">ACC373</t>
  </si>
  <si>
    <t xml:space="preserve">CUS373</t>
  </si>
  <si>
    <t xml:space="preserve">REF0514</t>
  </si>
  <si>
    <t xml:space="preserve">TXN0515</t>
  </si>
  <si>
    <t xml:space="preserve">ACC407</t>
  </si>
  <si>
    <t xml:space="preserve">CUS407</t>
  </si>
  <si>
    <t xml:space="preserve">REF0515</t>
  </si>
  <si>
    <t xml:space="preserve">TXN0516</t>
  </si>
  <si>
    <t xml:space="preserve">ACC040</t>
  </si>
  <si>
    <t xml:space="preserve">CUS040</t>
  </si>
  <si>
    <t xml:space="preserve">REF0516</t>
  </si>
  <si>
    <t xml:space="preserve">TXN0517</t>
  </si>
  <si>
    <t xml:space="preserve">REF0517</t>
  </si>
  <si>
    <t xml:space="preserve">TXN0518</t>
  </si>
  <si>
    <t xml:space="preserve">REF0518</t>
  </si>
  <si>
    <t xml:space="preserve">TXN0519</t>
  </si>
  <si>
    <t xml:space="preserve">REF0519</t>
  </si>
  <si>
    <t xml:space="preserve">TXN0520</t>
  </si>
  <si>
    <t xml:space="preserve">REF0520</t>
  </si>
  <si>
    <t xml:space="preserve">TXN0521</t>
  </si>
  <si>
    <t xml:space="preserve">ACC672</t>
  </si>
  <si>
    <t xml:space="preserve">CUS672</t>
  </si>
  <si>
    <t xml:space="preserve">REF0521</t>
  </si>
  <si>
    <t xml:space="preserve">TXN0522</t>
  </si>
  <si>
    <t xml:space="preserve">ACC545</t>
  </si>
  <si>
    <t xml:space="preserve">CUS545</t>
  </si>
  <si>
    <t xml:space="preserve">REF0522</t>
  </si>
  <si>
    <t xml:space="preserve">TXN0523</t>
  </si>
  <si>
    <t xml:space="preserve">ACC235</t>
  </si>
  <si>
    <t xml:space="preserve">CUS235</t>
  </si>
  <si>
    <t xml:space="preserve">REF0523</t>
  </si>
  <si>
    <t xml:space="preserve">TXN0524</t>
  </si>
  <si>
    <t xml:space="preserve">ACC411</t>
  </si>
  <si>
    <t xml:space="preserve">CUS411</t>
  </si>
  <si>
    <t xml:space="preserve">REF0524</t>
  </si>
  <si>
    <t xml:space="preserve">MER059</t>
  </si>
  <si>
    <t xml:space="preserve">TXN0525</t>
  </si>
  <si>
    <t xml:space="preserve">REF0525</t>
  </si>
  <si>
    <t xml:space="preserve">TXN0526</t>
  </si>
  <si>
    <t xml:space="preserve">ACC439</t>
  </si>
  <si>
    <t xml:space="preserve">CUS439</t>
  </si>
  <si>
    <t xml:space="preserve">REF0526</t>
  </si>
  <si>
    <t xml:space="preserve">TXN0527</t>
  </si>
  <si>
    <t xml:space="preserve">ACC591</t>
  </si>
  <si>
    <t xml:space="preserve">CUS591</t>
  </si>
  <si>
    <t xml:space="preserve">REF0527</t>
  </si>
  <si>
    <t xml:space="preserve">TXN0528</t>
  </si>
  <si>
    <t xml:space="preserve">REF0528</t>
  </si>
  <si>
    <t xml:space="preserve">TXN0529</t>
  </si>
  <si>
    <t xml:space="preserve">ACC154</t>
  </si>
  <si>
    <t xml:space="preserve">CUS154</t>
  </si>
  <si>
    <t xml:space="preserve">REF0529</t>
  </si>
  <si>
    <t xml:space="preserve">TXN0530</t>
  </si>
  <si>
    <t xml:space="preserve">REF0530</t>
  </si>
  <si>
    <t xml:space="preserve">TXN0531</t>
  </si>
  <si>
    <t xml:space="preserve">REF0531</t>
  </si>
  <si>
    <t xml:space="preserve">TXN0532</t>
  </si>
  <si>
    <t xml:space="preserve">ACC361</t>
  </si>
  <si>
    <t xml:space="preserve">CUS361</t>
  </si>
  <si>
    <t xml:space="preserve">REF0532</t>
  </si>
  <si>
    <t xml:space="preserve">TXN0533</t>
  </si>
  <si>
    <t xml:space="preserve">REF0533</t>
  </si>
  <si>
    <t xml:space="preserve">TXN0534</t>
  </si>
  <si>
    <t xml:space="preserve">ACC794</t>
  </si>
  <si>
    <t xml:space="preserve">CUS794</t>
  </si>
  <si>
    <t xml:space="preserve">REF0534</t>
  </si>
  <si>
    <t xml:space="preserve">TXN0535</t>
  </si>
  <si>
    <t xml:space="preserve">REF0535</t>
  </si>
  <si>
    <t xml:space="preserve">TXN0536</t>
  </si>
  <si>
    <t xml:space="preserve">REF0536</t>
  </si>
  <si>
    <t xml:space="preserve">TXN0537</t>
  </si>
  <si>
    <t xml:space="preserve">ACC034</t>
  </si>
  <si>
    <t xml:space="preserve">CUS034</t>
  </si>
  <si>
    <t xml:space="preserve">REF0537</t>
  </si>
  <si>
    <t xml:space="preserve">TXN0538</t>
  </si>
  <si>
    <t xml:space="preserve">ACC632</t>
  </si>
  <si>
    <t xml:space="preserve">CUS632</t>
  </si>
  <si>
    <t xml:space="preserve">REF0538</t>
  </si>
  <si>
    <t xml:space="preserve">TXN0539</t>
  </si>
  <si>
    <t xml:space="preserve">ACC051</t>
  </si>
  <si>
    <t xml:space="preserve">CUS051</t>
  </si>
  <si>
    <t xml:space="preserve">REF0539</t>
  </si>
  <si>
    <t xml:space="preserve">TXN0540</t>
  </si>
  <si>
    <t xml:space="preserve">REF0540</t>
  </si>
  <si>
    <t xml:space="preserve">TXN0541</t>
  </si>
  <si>
    <t xml:space="preserve">ACC358</t>
  </si>
  <si>
    <t xml:space="preserve">CUS358</t>
  </si>
  <si>
    <t xml:space="preserve">REF0541</t>
  </si>
  <si>
    <t xml:space="preserve">TXN0542</t>
  </si>
  <si>
    <t xml:space="preserve">REF0542</t>
  </si>
  <si>
    <t xml:space="preserve">TXN0543</t>
  </si>
  <si>
    <t xml:space="preserve">REF0543</t>
  </si>
  <si>
    <t xml:space="preserve">TXN0544</t>
  </si>
  <si>
    <t xml:space="preserve">REF0544</t>
  </si>
  <si>
    <t xml:space="preserve">TXN0545</t>
  </si>
  <si>
    <t xml:space="preserve">ACC590</t>
  </si>
  <si>
    <t xml:space="preserve">CUS590</t>
  </si>
  <si>
    <t xml:space="preserve">REF0545</t>
  </si>
  <si>
    <t xml:space="preserve">TXN0546</t>
  </si>
  <si>
    <t xml:space="preserve">ACC708</t>
  </si>
  <si>
    <t xml:space="preserve">CUS708</t>
  </si>
  <si>
    <t xml:space="preserve">REF0546</t>
  </si>
  <si>
    <t xml:space="preserve">TXN0547</t>
  </si>
  <si>
    <t xml:space="preserve">ACC646</t>
  </si>
  <si>
    <t xml:space="preserve">CUS646</t>
  </si>
  <si>
    <t xml:space="preserve">REF0547</t>
  </si>
  <si>
    <t xml:space="preserve">TXN0548</t>
  </si>
  <si>
    <t xml:space="preserve">REF0548</t>
  </si>
  <si>
    <t xml:space="preserve">TXN0549</t>
  </si>
  <si>
    <t xml:space="preserve">ACC843</t>
  </si>
  <si>
    <t xml:space="preserve">CUS843</t>
  </si>
  <si>
    <t xml:space="preserve">REF0549</t>
  </si>
  <si>
    <t xml:space="preserve">TXN0550</t>
  </si>
  <si>
    <t xml:space="preserve">REF0550</t>
  </si>
  <si>
    <t xml:space="preserve">TXN0551</t>
  </si>
  <si>
    <t xml:space="preserve">REF0551</t>
  </si>
  <si>
    <t xml:space="preserve">TXN0552</t>
  </si>
  <si>
    <t xml:space="preserve">ACC227</t>
  </si>
  <si>
    <t xml:space="preserve">CUS227</t>
  </si>
  <si>
    <t xml:space="preserve">REF0552</t>
  </si>
  <si>
    <t xml:space="preserve">TXN0553</t>
  </si>
  <si>
    <t xml:space="preserve">REF0553</t>
  </si>
  <si>
    <t xml:space="preserve">TXN0554</t>
  </si>
  <si>
    <t xml:space="preserve">REF0554</t>
  </si>
  <si>
    <t xml:space="preserve">TXN0555</t>
  </si>
  <si>
    <t xml:space="preserve">REF0555</t>
  </si>
  <si>
    <t xml:space="preserve">TXN0556</t>
  </si>
  <si>
    <t xml:space="preserve">ACC391</t>
  </si>
  <si>
    <t xml:space="preserve">CUS391</t>
  </si>
  <si>
    <t xml:space="preserve">REF0556</t>
  </si>
  <si>
    <t xml:space="preserve">TXN0557</t>
  </si>
  <si>
    <t xml:space="preserve">ACC477</t>
  </si>
  <si>
    <t xml:space="preserve">CUS477</t>
  </si>
  <si>
    <t xml:space="preserve">REF0557</t>
  </si>
  <si>
    <t xml:space="preserve">TXN0558</t>
  </si>
  <si>
    <t xml:space="preserve">ACC166</t>
  </si>
  <si>
    <t xml:space="preserve">CUS166</t>
  </si>
  <si>
    <t xml:space="preserve">REF0558</t>
  </si>
  <si>
    <t xml:space="preserve">TXN0559</t>
  </si>
  <si>
    <t xml:space="preserve">ACC533</t>
  </si>
  <si>
    <t xml:space="preserve">CUS533</t>
  </si>
  <si>
    <t xml:space="preserve">REF0559</t>
  </si>
  <si>
    <t xml:space="preserve">TXN0560</t>
  </si>
  <si>
    <t xml:space="preserve">ACC236</t>
  </si>
  <si>
    <t xml:space="preserve">CUS236</t>
  </si>
  <si>
    <t xml:space="preserve">REF0560</t>
  </si>
  <si>
    <t xml:space="preserve">TXN0561</t>
  </si>
  <si>
    <t xml:space="preserve">ACC956</t>
  </si>
  <si>
    <t xml:space="preserve">CUS956</t>
  </si>
  <si>
    <t xml:space="preserve">REF0561</t>
  </si>
  <si>
    <t xml:space="preserve">TXN0562</t>
  </si>
  <si>
    <t xml:space="preserve">ACC178</t>
  </si>
  <si>
    <t xml:space="preserve">CUS178</t>
  </si>
  <si>
    <t xml:space="preserve">REF0562</t>
  </si>
  <si>
    <t xml:space="preserve">TXN0563</t>
  </si>
  <si>
    <t xml:space="preserve">ACC030</t>
  </si>
  <si>
    <t xml:space="preserve">CUS030</t>
  </si>
  <si>
    <t xml:space="preserve">REF0563</t>
  </si>
  <si>
    <t xml:space="preserve">TXN0564</t>
  </si>
  <si>
    <t xml:space="preserve">REF0564</t>
  </si>
  <si>
    <t xml:space="preserve">TXN0565</t>
  </si>
  <si>
    <t xml:space="preserve">REF0565</t>
  </si>
  <si>
    <t xml:space="preserve">TXN0566</t>
  </si>
  <si>
    <t xml:space="preserve">ACC109</t>
  </si>
  <si>
    <t xml:space="preserve">CUS109</t>
  </si>
  <si>
    <t xml:space="preserve">REF0566</t>
  </si>
  <si>
    <t xml:space="preserve">TXN0567</t>
  </si>
  <si>
    <t xml:space="preserve">ACC645</t>
  </si>
  <si>
    <t xml:space="preserve">CUS645</t>
  </si>
  <si>
    <t xml:space="preserve">REF0567</t>
  </si>
  <si>
    <t xml:space="preserve">TXN0568</t>
  </si>
  <si>
    <t xml:space="preserve">ACC777</t>
  </si>
  <si>
    <t xml:space="preserve">CUS777</t>
  </si>
  <si>
    <t xml:space="preserve">REF0568</t>
  </si>
  <si>
    <t xml:space="preserve">AGT085</t>
  </si>
  <si>
    <t xml:space="preserve">TXN0569</t>
  </si>
  <si>
    <t xml:space="preserve">REF0569</t>
  </si>
  <si>
    <t xml:space="preserve">TXN0570</t>
  </si>
  <si>
    <t xml:space="preserve">REF0570</t>
  </si>
  <si>
    <t xml:space="preserve">TXN0571</t>
  </si>
  <si>
    <t xml:space="preserve">REF0571</t>
  </si>
  <si>
    <t xml:space="preserve">TXN0572</t>
  </si>
  <si>
    <t xml:space="preserve">ACC183</t>
  </si>
  <si>
    <t xml:space="preserve">CUS183</t>
  </si>
  <si>
    <t xml:space="preserve">REF0572</t>
  </si>
  <si>
    <t xml:space="preserve">TXN0573</t>
  </si>
  <si>
    <t xml:space="preserve">ACC256</t>
  </si>
  <si>
    <t xml:space="preserve">CUS256</t>
  </si>
  <si>
    <t xml:space="preserve">REF0573</t>
  </si>
  <si>
    <t xml:space="preserve">TXN0574</t>
  </si>
  <si>
    <t xml:space="preserve">ACC386</t>
  </si>
  <si>
    <t xml:space="preserve">CUS386</t>
  </si>
  <si>
    <t xml:space="preserve">REF0574</t>
  </si>
  <si>
    <t xml:space="preserve">TXN0575</t>
  </si>
  <si>
    <t xml:space="preserve">ACC709</t>
  </si>
  <si>
    <t xml:space="preserve">CUS709</t>
  </si>
  <si>
    <t xml:space="preserve">REF0575</t>
  </si>
  <si>
    <t xml:space="preserve">TXN0576</t>
  </si>
  <si>
    <t xml:space="preserve">ACC521</t>
  </si>
  <si>
    <t xml:space="preserve">CUS521</t>
  </si>
  <si>
    <t xml:space="preserve">REF0576</t>
  </si>
  <si>
    <t xml:space="preserve">TXN0577</t>
  </si>
  <si>
    <t xml:space="preserve">ACC195</t>
  </si>
  <si>
    <t xml:space="preserve">CUS195</t>
  </si>
  <si>
    <t xml:space="preserve">REF0577</t>
  </si>
  <si>
    <t xml:space="preserve">TXN0578</t>
  </si>
  <si>
    <t xml:space="preserve">ACC425</t>
  </si>
  <si>
    <t xml:space="preserve">CUS425</t>
  </si>
  <si>
    <t xml:space="preserve">REF0578</t>
  </si>
  <si>
    <t xml:space="preserve">TXN0579</t>
  </si>
  <si>
    <t xml:space="preserve">REF0579</t>
  </si>
  <si>
    <t xml:space="preserve">TXN0580</t>
  </si>
  <si>
    <t xml:space="preserve">REF0580</t>
  </si>
  <si>
    <t xml:space="preserve">TXN0581</t>
  </si>
  <si>
    <t xml:space="preserve">ACC606</t>
  </si>
  <si>
    <t xml:space="preserve">CUS606</t>
  </si>
  <si>
    <t xml:space="preserve">REF0581</t>
  </si>
  <si>
    <t xml:space="preserve">TXN0582</t>
  </si>
  <si>
    <t xml:space="preserve">REF0582</t>
  </si>
  <si>
    <t xml:space="preserve">TXN0583</t>
  </si>
  <si>
    <t xml:space="preserve">ACC078</t>
  </si>
  <si>
    <t xml:space="preserve">CUS078</t>
  </si>
  <si>
    <t xml:space="preserve">REF0583</t>
  </si>
  <si>
    <t xml:space="preserve">TXN0584</t>
  </si>
  <si>
    <t xml:space="preserve">ACC229</t>
  </si>
  <si>
    <t xml:space="preserve">CUS229</t>
  </si>
  <si>
    <t xml:space="preserve">REF0584</t>
  </si>
  <si>
    <t xml:space="preserve">TXN0585</t>
  </si>
  <si>
    <t xml:space="preserve">REF0585</t>
  </si>
  <si>
    <t xml:space="preserve">TXN0586</t>
  </si>
  <si>
    <t xml:space="preserve">REF0586</t>
  </si>
  <si>
    <t xml:space="preserve">TXN0587</t>
  </si>
  <si>
    <t xml:space="preserve">ACC269</t>
  </si>
  <si>
    <t xml:space="preserve">CUS269</t>
  </si>
  <si>
    <t xml:space="preserve">REF0587</t>
  </si>
  <si>
    <t xml:space="preserve">TXN0588</t>
  </si>
  <si>
    <t xml:space="preserve">ACC584</t>
  </si>
  <si>
    <t xml:space="preserve">CUS584</t>
  </si>
  <si>
    <t xml:space="preserve">REF0588</t>
  </si>
  <si>
    <t xml:space="preserve">AGT045</t>
  </si>
  <si>
    <t xml:space="preserve">TXN0589</t>
  </si>
  <si>
    <t xml:space="preserve">ACC654</t>
  </si>
  <si>
    <t xml:space="preserve">CUS654</t>
  </si>
  <si>
    <t xml:space="preserve">REF0589</t>
  </si>
  <si>
    <t xml:space="preserve">TXN0590</t>
  </si>
  <si>
    <t xml:space="preserve">ACC223</t>
  </si>
  <si>
    <t xml:space="preserve">CUS223</t>
  </si>
  <si>
    <t xml:space="preserve">REF0590</t>
  </si>
  <si>
    <t xml:space="preserve">TXN0591</t>
  </si>
  <si>
    <t xml:space="preserve">REF0591</t>
  </si>
  <si>
    <t xml:space="preserve">TXN0592</t>
  </si>
  <si>
    <t xml:space="preserve">REF0592</t>
  </si>
  <si>
    <t xml:space="preserve">TXN0593</t>
  </si>
  <si>
    <t xml:space="preserve">REF0593</t>
  </si>
  <si>
    <t xml:space="preserve">TXN0594</t>
  </si>
  <si>
    <t xml:space="preserve">ACC357</t>
  </si>
  <si>
    <t xml:space="preserve">CUS357</t>
  </si>
  <si>
    <t xml:space="preserve">REF0594</t>
  </si>
  <si>
    <t xml:space="preserve">TXN0595</t>
  </si>
  <si>
    <t xml:space="preserve">ACC335</t>
  </si>
  <si>
    <t xml:space="preserve">CUS335</t>
  </si>
  <si>
    <t xml:space="preserve">REF0595</t>
  </si>
  <si>
    <t xml:space="preserve">TXN0596</t>
  </si>
  <si>
    <t xml:space="preserve">ACC676</t>
  </si>
  <si>
    <t xml:space="preserve">CUS676</t>
  </si>
  <si>
    <t xml:space="preserve">REF0596</t>
  </si>
  <si>
    <t xml:space="preserve">TXN0597</t>
  </si>
  <si>
    <t xml:space="preserve">REF0597</t>
  </si>
  <si>
    <t xml:space="preserve">TXN0598</t>
  </si>
  <si>
    <t xml:space="preserve">REF0598</t>
  </si>
  <si>
    <t xml:space="preserve">TXN0599</t>
  </si>
  <si>
    <t xml:space="preserve">ACC108</t>
  </si>
  <si>
    <t xml:space="preserve">CUS108</t>
  </si>
  <si>
    <t xml:space="preserve">REF0599</t>
  </si>
  <si>
    <t xml:space="preserve">TXN0600</t>
  </si>
  <si>
    <t xml:space="preserve">REF0600</t>
  </si>
  <si>
    <t xml:space="preserve">TXN0601</t>
  </si>
  <si>
    <t xml:space="preserve">REF0601</t>
  </si>
  <si>
    <t xml:space="preserve">TXN0602</t>
  </si>
  <si>
    <t xml:space="preserve">REF0602</t>
  </si>
  <si>
    <t xml:space="preserve">TXN0603</t>
  </si>
  <si>
    <t xml:space="preserve">ACC877</t>
  </si>
  <si>
    <t xml:space="preserve">CUS877</t>
  </si>
  <si>
    <t xml:space="preserve">REF0603</t>
  </si>
  <si>
    <t xml:space="preserve">AGT040</t>
  </si>
  <si>
    <t xml:space="preserve">TXN0604</t>
  </si>
  <si>
    <t xml:space="preserve">ACC941</t>
  </si>
  <si>
    <t xml:space="preserve">CUS941</t>
  </si>
  <si>
    <t xml:space="preserve">REF0604</t>
  </si>
  <si>
    <t xml:space="preserve">TXN0605</t>
  </si>
  <si>
    <t xml:space="preserve">REF0605</t>
  </si>
  <si>
    <t xml:space="preserve">TXN0606</t>
  </si>
  <si>
    <t xml:space="preserve">ACC783</t>
  </si>
  <si>
    <t xml:space="preserve">CUS783</t>
  </si>
  <si>
    <t xml:space="preserve">REF0606</t>
  </si>
  <si>
    <t xml:space="preserve">TXN0607</t>
  </si>
  <si>
    <t xml:space="preserve">REF0607</t>
  </si>
  <si>
    <t xml:space="preserve">TXN0608</t>
  </si>
  <si>
    <t xml:space="preserve">ACC456</t>
  </si>
  <si>
    <t xml:space="preserve">CUS456</t>
  </si>
  <si>
    <t xml:space="preserve">REF0608</t>
  </si>
  <si>
    <t xml:space="preserve">TXN0609</t>
  </si>
  <si>
    <t xml:space="preserve">REF0609</t>
  </si>
  <si>
    <t xml:space="preserve">TXN0610</t>
  </si>
  <si>
    <t xml:space="preserve">REF0610</t>
  </si>
  <si>
    <t xml:space="preserve">TXN0611</t>
  </si>
  <si>
    <t xml:space="preserve">REF0611</t>
  </si>
  <si>
    <t xml:space="preserve">TXN0612</t>
  </si>
  <si>
    <t xml:space="preserve">REF0612</t>
  </si>
  <si>
    <t xml:space="preserve">TXN0613</t>
  </si>
  <si>
    <t xml:space="preserve">ACC122</t>
  </si>
  <si>
    <t xml:space="preserve">CUS122</t>
  </si>
  <si>
    <t xml:space="preserve">REF0613</t>
  </si>
  <si>
    <t xml:space="preserve">TXN0614</t>
  </si>
  <si>
    <t xml:space="preserve">ACC278</t>
  </si>
  <si>
    <t xml:space="preserve">CUS278</t>
  </si>
  <si>
    <t xml:space="preserve">REF0614</t>
  </si>
  <si>
    <t xml:space="preserve">TXN0615</t>
  </si>
  <si>
    <t xml:space="preserve">ACC338</t>
  </si>
  <si>
    <t xml:space="preserve">CUS338</t>
  </si>
  <si>
    <t xml:space="preserve">REF0615</t>
  </si>
  <si>
    <t xml:space="preserve">TXN0616</t>
  </si>
  <si>
    <t xml:space="preserve">REF0616</t>
  </si>
  <si>
    <t xml:space="preserve">TXN0617</t>
  </si>
  <si>
    <t xml:space="preserve">ACC218</t>
  </si>
  <si>
    <t xml:space="preserve">CUS218</t>
  </si>
  <si>
    <t xml:space="preserve">REF0617</t>
  </si>
  <si>
    <t xml:space="preserve">TXN0618</t>
  </si>
  <si>
    <t xml:space="preserve">REF0618</t>
  </si>
  <si>
    <t xml:space="preserve">TXN0619</t>
  </si>
  <si>
    <t xml:space="preserve">REF0619</t>
  </si>
  <si>
    <t xml:space="preserve">TXN0620</t>
  </si>
  <si>
    <t xml:space="preserve">ACC438</t>
  </si>
  <si>
    <t xml:space="preserve">CUS438</t>
  </si>
  <si>
    <t xml:space="preserve">REF0620</t>
  </si>
  <si>
    <t xml:space="preserve">TXN0621</t>
  </si>
  <si>
    <t xml:space="preserve">REF0621</t>
  </si>
  <si>
    <t xml:space="preserve">TXN0622</t>
  </si>
  <si>
    <t xml:space="preserve">REF0622</t>
  </si>
  <si>
    <t xml:space="preserve">TXN0623</t>
  </si>
  <si>
    <t xml:space="preserve">ACC624</t>
  </si>
  <si>
    <t xml:space="preserve">CUS624</t>
  </si>
  <si>
    <t xml:space="preserve">REF0623</t>
  </si>
  <si>
    <t xml:space="preserve">TXN0624</t>
  </si>
  <si>
    <t xml:space="preserve">REF0624</t>
  </si>
  <si>
    <t xml:space="preserve">TXN0625</t>
  </si>
  <si>
    <t xml:space="preserve">REF0625</t>
  </si>
  <si>
    <t xml:space="preserve">TXN0626</t>
  </si>
  <si>
    <t xml:space="preserve">ACC295</t>
  </si>
  <si>
    <t xml:space="preserve">CUS295</t>
  </si>
  <si>
    <t xml:space="preserve">REF0626</t>
  </si>
  <si>
    <t xml:space="preserve">TXN0627</t>
  </si>
  <si>
    <t xml:space="preserve">ACC970</t>
  </si>
  <si>
    <t xml:space="preserve">CUS970</t>
  </si>
  <si>
    <t xml:space="preserve">REF0627</t>
  </si>
  <si>
    <t xml:space="preserve">TXN0628</t>
  </si>
  <si>
    <t xml:space="preserve">ACC436</t>
  </si>
  <si>
    <t xml:space="preserve">CUS436</t>
  </si>
  <si>
    <t xml:space="preserve">REF0628</t>
  </si>
  <si>
    <t xml:space="preserve">TXN0629</t>
  </si>
  <si>
    <t xml:space="preserve">ACC599</t>
  </si>
  <si>
    <t xml:space="preserve">CUS599</t>
  </si>
  <si>
    <t xml:space="preserve">REF0629</t>
  </si>
  <si>
    <t xml:space="preserve">TXN0630</t>
  </si>
  <si>
    <t xml:space="preserve">ACC515</t>
  </si>
  <si>
    <t xml:space="preserve">CUS515</t>
  </si>
  <si>
    <t xml:space="preserve">REF0630</t>
  </si>
  <si>
    <t xml:space="preserve">TXN0631</t>
  </si>
  <si>
    <t xml:space="preserve">REF0631</t>
  </si>
  <si>
    <t xml:space="preserve">TXN0632</t>
  </si>
  <si>
    <t xml:space="preserve">ACC305</t>
  </si>
  <si>
    <t xml:space="preserve">CUS305</t>
  </si>
  <si>
    <t xml:space="preserve">REF0632</t>
  </si>
  <si>
    <t xml:space="preserve">TXN0633</t>
  </si>
  <si>
    <t xml:space="preserve">ACC297</t>
  </si>
  <si>
    <t xml:space="preserve">CUS297</t>
  </si>
  <si>
    <t xml:space="preserve">REF0633</t>
  </si>
  <si>
    <t xml:space="preserve">TXN0634</t>
  </si>
  <si>
    <t xml:space="preserve">ACC432</t>
  </si>
  <si>
    <t xml:space="preserve">CUS432</t>
  </si>
  <si>
    <t xml:space="preserve">REF0634</t>
  </si>
  <si>
    <t xml:space="preserve">TXN0635</t>
  </si>
  <si>
    <t xml:space="preserve">REF0635</t>
  </si>
  <si>
    <t xml:space="preserve">TXN0636</t>
  </si>
  <si>
    <t xml:space="preserve">ACC189</t>
  </si>
  <si>
    <t xml:space="preserve">CUS189</t>
  </si>
  <si>
    <t xml:space="preserve">REF0636</t>
  </si>
  <si>
    <t xml:space="preserve">TXN0637</t>
  </si>
  <si>
    <t xml:space="preserve">ACC495</t>
  </si>
  <si>
    <t xml:space="preserve">CUS495</t>
  </si>
  <si>
    <t xml:space="preserve">REF0637</t>
  </si>
  <si>
    <t xml:space="preserve">TXN0638</t>
  </si>
  <si>
    <t xml:space="preserve">REF0638</t>
  </si>
  <si>
    <t xml:space="preserve">TXN0639</t>
  </si>
  <si>
    <t xml:space="preserve">REF0639</t>
  </si>
  <si>
    <t xml:space="preserve">TXN0640</t>
  </si>
  <si>
    <t xml:space="preserve">ACC054</t>
  </si>
  <si>
    <t xml:space="preserve">CUS054</t>
  </si>
  <si>
    <t xml:space="preserve">REF0640</t>
  </si>
  <si>
    <t xml:space="preserve">TXN0641</t>
  </si>
  <si>
    <t xml:space="preserve">ACC168</t>
  </si>
  <si>
    <t xml:space="preserve">CUS168</t>
  </si>
  <si>
    <t xml:space="preserve">REF0641</t>
  </si>
  <si>
    <t xml:space="preserve">TXN0642</t>
  </si>
  <si>
    <t xml:space="preserve">ACC400</t>
  </si>
  <si>
    <t xml:space="preserve">CUS400</t>
  </si>
  <si>
    <t xml:space="preserve">REF0642</t>
  </si>
  <si>
    <t xml:space="preserve">TXN0643</t>
  </si>
  <si>
    <t xml:space="preserve">ACC844</t>
  </si>
  <si>
    <t xml:space="preserve">CUS844</t>
  </si>
  <si>
    <t xml:space="preserve">REF0643</t>
  </si>
  <si>
    <t xml:space="preserve">TXN0644</t>
  </si>
  <si>
    <t xml:space="preserve">ACC184</t>
  </si>
  <si>
    <t xml:space="preserve">CUS184</t>
  </si>
  <si>
    <t xml:space="preserve">REF0644</t>
  </si>
  <si>
    <t xml:space="preserve">TXN0645</t>
  </si>
  <si>
    <t xml:space="preserve">REF0645</t>
  </si>
  <si>
    <t xml:space="preserve">TXN0646</t>
  </si>
  <si>
    <t xml:space="preserve">ACC814</t>
  </si>
  <si>
    <t xml:space="preserve">CUS814</t>
  </si>
  <si>
    <t xml:space="preserve">REF0646</t>
  </si>
  <si>
    <t xml:space="preserve">TXN0647</t>
  </si>
  <si>
    <t xml:space="preserve">ACC744</t>
  </si>
  <si>
    <t xml:space="preserve">CUS744</t>
  </si>
  <si>
    <t xml:space="preserve">REF0647</t>
  </si>
  <si>
    <t xml:space="preserve">TXN0648</t>
  </si>
  <si>
    <t xml:space="preserve">REF0648</t>
  </si>
  <si>
    <t xml:space="preserve">TXN0649</t>
  </si>
  <si>
    <t xml:space="preserve">ACC480</t>
  </si>
  <si>
    <t xml:space="preserve">CUS480</t>
  </si>
  <si>
    <t xml:space="preserve">REF0649</t>
  </si>
  <si>
    <t xml:space="preserve">TXN0650</t>
  </si>
  <si>
    <t xml:space="preserve">ACC092</t>
  </si>
  <si>
    <t xml:space="preserve">CUS092</t>
  </si>
  <si>
    <t xml:space="preserve">REF0650</t>
  </si>
  <si>
    <t xml:space="preserve">TXN0651</t>
  </si>
  <si>
    <t xml:space="preserve">ACC200</t>
  </si>
  <si>
    <t xml:space="preserve">CUS200</t>
  </si>
  <si>
    <t xml:space="preserve">REF0651</t>
  </si>
  <si>
    <t xml:space="preserve">TXN0652</t>
  </si>
  <si>
    <t xml:space="preserve">ACC982</t>
  </si>
  <si>
    <t xml:space="preserve">CUS982</t>
  </si>
  <si>
    <t xml:space="preserve">REF0652</t>
  </si>
  <si>
    <t xml:space="preserve">TXN0653</t>
  </si>
  <si>
    <t xml:space="preserve">ACC741</t>
  </si>
  <si>
    <t xml:space="preserve">CUS741</t>
  </si>
  <si>
    <t xml:space="preserve">REF0653</t>
  </si>
  <si>
    <t xml:space="preserve">TXN0654</t>
  </si>
  <si>
    <t xml:space="preserve">ACC336</t>
  </si>
  <si>
    <t xml:space="preserve">CUS336</t>
  </si>
  <si>
    <t xml:space="preserve">REF0654</t>
  </si>
  <si>
    <t xml:space="preserve">TXN0655</t>
  </si>
  <si>
    <t xml:space="preserve">ACC776</t>
  </si>
  <si>
    <t xml:space="preserve">CUS776</t>
  </si>
  <si>
    <t xml:space="preserve">REF0655</t>
  </si>
  <si>
    <t xml:space="preserve">TXN0656</t>
  </si>
  <si>
    <t xml:space="preserve">REF0656</t>
  </si>
  <si>
    <t xml:space="preserve">TXN0657</t>
  </si>
  <si>
    <t xml:space="preserve">REF0657</t>
  </si>
  <si>
    <t xml:space="preserve">TXN0658</t>
  </si>
  <si>
    <t xml:space="preserve">ACC582</t>
  </si>
  <si>
    <t xml:space="preserve">CUS582</t>
  </si>
  <si>
    <t xml:space="preserve">REF0658</t>
  </si>
  <si>
    <t xml:space="preserve">TXN0659</t>
  </si>
  <si>
    <t xml:space="preserve">REF0659</t>
  </si>
  <si>
    <t xml:space="preserve">TXN0660</t>
  </si>
  <si>
    <t xml:space="preserve">ACC420</t>
  </si>
  <si>
    <t xml:space="preserve">CUS420</t>
  </si>
  <si>
    <t xml:space="preserve">REF0660</t>
  </si>
  <si>
    <t xml:space="preserve">TXN0661</t>
  </si>
  <si>
    <t xml:space="preserve">ACC079</t>
  </si>
  <si>
    <t xml:space="preserve">CUS079</t>
  </si>
  <si>
    <t xml:space="preserve">REF0661</t>
  </si>
  <si>
    <t xml:space="preserve">TXN0662</t>
  </si>
  <si>
    <t xml:space="preserve">ACC999</t>
  </si>
  <si>
    <t xml:space="preserve">CUS999</t>
  </si>
  <si>
    <t xml:space="preserve">REF0662</t>
  </si>
  <si>
    <t xml:space="preserve">TXN0663</t>
  </si>
  <si>
    <t xml:space="preserve">ACC147</t>
  </si>
  <si>
    <t xml:space="preserve">CUS147</t>
  </si>
  <si>
    <t xml:space="preserve">REF0663</t>
  </si>
  <si>
    <t xml:space="preserve">TXN0664</t>
  </si>
  <si>
    <t xml:space="preserve">ACC693</t>
  </si>
  <si>
    <t xml:space="preserve">CUS693</t>
  </si>
  <si>
    <t xml:space="preserve">REF0664</t>
  </si>
  <si>
    <t xml:space="preserve">TXN0665</t>
  </si>
  <si>
    <t xml:space="preserve">REF0665</t>
  </si>
  <si>
    <t xml:space="preserve">TXN0666</t>
  </si>
  <si>
    <t xml:space="preserve">REF0666</t>
  </si>
  <si>
    <t xml:space="preserve">TXN0667</t>
  </si>
  <si>
    <t xml:space="preserve">ACC852</t>
  </si>
  <si>
    <t xml:space="preserve">CUS852</t>
  </si>
  <si>
    <t xml:space="preserve">REF0667</t>
  </si>
  <si>
    <t xml:space="preserve">TXN0668</t>
  </si>
  <si>
    <t xml:space="preserve">ACC826</t>
  </si>
  <si>
    <t xml:space="preserve">CUS826</t>
  </si>
  <si>
    <t xml:space="preserve">REF0668</t>
  </si>
  <si>
    <t xml:space="preserve">TXN0669</t>
  </si>
  <si>
    <t xml:space="preserve">REF0669</t>
  </si>
  <si>
    <t xml:space="preserve">TXN0670</t>
  </si>
  <si>
    <t xml:space="preserve">ACC220</t>
  </si>
  <si>
    <t xml:space="preserve">CUS220</t>
  </si>
  <si>
    <t xml:space="preserve">REF0670</t>
  </si>
  <si>
    <t xml:space="preserve">TXN0671</t>
  </si>
  <si>
    <t xml:space="preserve">ACC638</t>
  </si>
  <si>
    <t xml:space="preserve">CUS638</t>
  </si>
  <si>
    <t xml:space="preserve">REF0671</t>
  </si>
  <si>
    <t xml:space="preserve">TXN0672</t>
  </si>
  <si>
    <t xml:space="preserve">ACC406</t>
  </si>
  <si>
    <t xml:space="preserve">CUS406</t>
  </si>
  <si>
    <t xml:space="preserve">REF0672</t>
  </si>
  <si>
    <t xml:space="preserve">TXN0673</t>
  </si>
  <si>
    <t xml:space="preserve">REF0673</t>
  </si>
  <si>
    <t xml:space="preserve">TXN0674</t>
  </si>
  <si>
    <t xml:space="preserve">ACC381</t>
  </si>
  <si>
    <t xml:space="preserve">CUS381</t>
  </si>
  <si>
    <t xml:space="preserve">REF0674</t>
  </si>
  <si>
    <t xml:space="preserve">TXN0675</t>
  </si>
  <si>
    <t xml:space="preserve">ACC029</t>
  </si>
  <si>
    <t xml:space="preserve">CUS029</t>
  </si>
  <si>
    <t xml:space="preserve">REF0675</t>
  </si>
  <si>
    <t xml:space="preserve">TXN0676</t>
  </si>
  <si>
    <t xml:space="preserve">ACC863</t>
  </si>
  <si>
    <t xml:space="preserve">CUS863</t>
  </si>
  <si>
    <t xml:space="preserve">REF0676</t>
  </si>
  <si>
    <t xml:space="preserve">TXN0677</t>
  </si>
  <si>
    <t xml:space="preserve">REF0677</t>
  </si>
  <si>
    <t xml:space="preserve">TXN0678</t>
  </si>
  <si>
    <t xml:space="preserve">ACC013</t>
  </si>
  <si>
    <t xml:space="preserve">CUS013</t>
  </si>
  <si>
    <t xml:space="preserve">REF0678</t>
  </si>
  <si>
    <t xml:space="preserve">TXN0679</t>
  </si>
  <si>
    <t xml:space="preserve">ACC799</t>
  </si>
  <si>
    <t xml:space="preserve">CUS799</t>
  </si>
  <si>
    <t xml:space="preserve">REF0679</t>
  </si>
  <si>
    <t xml:space="preserve">TXN0680</t>
  </si>
  <si>
    <t xml:space="preserve">REF0680</t>
  </si>
  <si>
    <t xml:space="preserve">TXN0681</t>
  </si>
  <si>
    <t xml:space="preserve">ACC027</t>
  </si>
  <si>
    <t xml:space="preserve">CUS027</t>
  </si>
  <si>
    <t xml:space="preserve">REF0681</t>
  </si>
  <si>
    <t xml:space="preserve">TXN0682</t>
  </si>
  <si>
    <t xml:space="preserve">ACC112</t>
  </si>
  <si>
    <t xml:space="preserve">CUS112</t>
  </si>
  <si>
    <t xml:space="preserve">REF0682</t>
  </si>
  <si>
    <t xml:space="preserve">TXN0683</t>
  </si>
  <si>
    <t xml:space="preserve">ACC123</t>
  </si>
  <si>
    <t xml:space="preserve">CUS123</t>
  </si>
  <si>
    <t xml:space="preserve">REF0683</t>
  </si>
  <si>
    <t xml:space="preserve">TXN0684</t>
  </si>
  <si>
    <t xml:space="preserve">REF0684</t>
  </si>
  <si>
    <t xml:space="preserve">TXN0685</t>
  </si>
  <si>
    <t xml:space="preserve">REF0685</t>
  </si>
  <si>
    <t xml:space="preserve">TXN0686</t>
  </si>
  <si>
    <t xml:space="preserve">REF0686</t>
  </si>
  <si>
    <t xml:space="preserve">AGT019</t>
  </si>
  <si>
    <t xml:space="preserve">TXN0687</t>
  </si>
  <si>
    <t xml:space="preserve">ACC214</t>
  </si>
  <si>
    <t xml:space="preserve">CUS214</t>
  </si>
  <si>
    <t xml:space="preserve">REF0687</t>
  </si>
  <si>
    <t xml:space="preserve">TXN0688</t>
  </si>
  <si>
    <t xml:space="preserve">REF0688</t>
  </si>
  <si>
    <t xml:space="preserve">TXN0689</t>
  </si>
  <si>
    <t xml:space="preserve">REF0689</t>
  </si>
  <si>
    <t xml:space="preserve">TXN0690</t>
  </si>
  <si>
    <t xml:space="preserve">ACC175</t>
  </si>
  <si>
    <t xml:space="preserve">CUS175</t>
  </si>
  <si>
    <t xml:space="preserve">REF0690</t>
  </si>
  <si>
    <t xml:space="preserve">TXN0691</t>
  </si>
  <si>
    <t xml:space="preserve">REF0691</t>
  </si>
  <si>
    <t xml:space="preserve">TXN0692</t>
  </si>
  <si>
    <t xml:space="preserve">ACC266</t>
  </si>
  <si>
    <t xml:space="preserve">CUS266</t>
  </si>
  <si>
    <t xml:space="preserve">REF0692</t>
  </si>
  <si>
    <t xml:space="preserve">TXN0693</t>
  </si>
  <si>
    <t xml:space="preserve">ACC503</t>
  </si>
  <si>
    <t xml:space="preserve">CUS503</t>
  </si>
  <si>
    <t xml:space="preserve">REF0693</t>
  </si>
  <si>
    <t xml:space="preserve">TXN0694</t>
  </si>
  <si>
    <t xml:space="preserve">REF0694</t>
  </si>
  <si>
    <t xml:space="preserve">TXN0695</t>
  </si>
  <si>
    <t xml:space="preserve">ACC121</t>
  </si>
  <si>
    <t xml:space="preserve">CUS121</t>
  </si>
  <si>
    <t xml:space="preserve">REF0695</t>
  </si>
  <si>
    <t xml:space="preserve">MER116</t>
  </si>
  <si>
    <t xml:space="preserve">TXN0696</t>
  </si>
  <si>
    <t xml:space="preserve">ACC205</t>
  </si>
  <si>
    <t xml:space="preserve">CUS205</t>
  </si>
  <si>
    <t xml:space="preserve">REF0696</t>
  </si>
  <si>
    <t xml:space="preserve">TXN0697</t>
  </si>
  <si>
    <t xml:space="preserve">ACC627</t>
  </si>
  <si>
    <t xml:space="preserve">CUS627</t>
  </si>
  <si>
    <t xml:space="preserve">REF0697</t>
  </si>
  <si>
    <t xml:space="preserve">TXN0698</t>
  </si>
  <si>
    <t xml:space="preserve">REF0698</t>
  </si>
  <si>
    <t xml:space="preserve">TXN0699</t>
  </si>
  <si>
    <t xml:space="preserve">ACC207</t>
  </si>
  <si>
    <t xml:space="preserve">CUS207</t>
  </si>
  <si>
    <t xml:space="preserve">REF0699</t>
  </si>
  <si>
    <t xml:space="preserve">TXN0700</t>
  </si>
  <si>
    <t xml:space="preserve">ACC966</t>
  </si>
  <si>
    <t xml:space="preserve">CUS966</t>
  </si>
  <si>
    <t xml:space="preserve">REF0700</t>
  </si>
  <si>
    <t xml:space="preserve">TXN0701</t>
  </si>
  <si>
    <t xml:space="preserve">REF0701</t>
  </si>
  <si>
    <t xml:space="preserve">TXN0702</t>
  </si>
  <si>
    <t xml:space="preserve">REF0702</t>
  </si>
  <si>
    <t xml:space="preserve">TXN0703</t>
  </si>
  <si>
    <t xml:space="preserve">REF0703</t>
  </si>
  <si>
    <t xml:space="preserve">TXN0704</t>
  </si>
  <si>
    <t xml:space="preserve">ACC330</t>
  </si>
  <si>
    <t xml:space="preserve">CUS330</t>
  </si>
  <si>
    <t xml:space="preserve">REF0704</t>
  </si>
  <si>
    <t xml:space="preserve">TXN0705</t>
  </si>
  <si>
    <t xml:space="preserve">REF0705</t>
  </si>
  <si>
    <t xml:space="preserve">TXN0706</t>
  </si>
  <si>
    <t xml:space="preserve">ACC526</t>
  </si>
  <si>
    <t xml:space="preserve">CUS526</t>
  </si>
  <si>
    <t xml:space="preserve">REF0706</t>
  </si>
  <si>
    <t xml:space="preserve">TXN0707</t>
  </si>
  <si>
    <t xml:space="preserve">ACC927</t>
  </si>
  <si>
    <t xml:space="preserve">CUS927</t>
  </si>
  <si>
    <t xml:space="preserve">REF0707</t>
  </si>
  <si>
    <t xml:space="preserve">TXN0708</t>
  </si>
  <si>
    <t xml:space="preserve">REF0708</t>
  </si>
  <si>
    <t xml:space="preserve">TXN0709</t>
  </si>
  <si>
    <t xml:space="preserve">ACC110</t>
  </si>
  <si>
    <t xml:space="preserve">CUS110</t>
  </si>
  <si>
    <t xml:space="preserve">REF0709</t>
  </si>
  <si>
    <t xml:space="preserve">TXN0710</t>
  </si>
  <si>
    <t xml:space="preserve">REF0710</t>
  </si>
  <si>
    <t xml:space="preserve">TXN0711</t>
  </si>
  <si>
    <t xml:space="preserve">ACC131</t>
  </si>
  <si>
    <t xml:space="preserve">CUS131</t>
  </si>
  <si>
    <t xml:space="preserve">REF0711</t>
  </si>
  <si>
    <t xml:space="preserve">TXN0712</t>
  </si>
  <si>
    <t xml:space="preserve">REF0712</t>
  </si>
  <si>
    <t xml:space="preserve">TXN0713</t>
  </si>
  <si>
    <t xml:space="preserve">ACC994</t>
  </si>
  <si>
    <t xml:space="preserve">CUS994</t>
  </si>
  <si>
    <t xml:space="preserve">REF0713</t>
  </si>
  <si>
    <t xml:space="preserve">TXN0714</t>
  </si>
  <si>
    <t xml:space="preserve">ACC637</t>
  </si>
  <si>
    <t xml:space="preserve">CUS637</t>
  </si>
  <si>
    <t xml:space="preserve">REF0714</t>
  </si>
  <si>
    <t xml:space="preserve">TXN0715</t>
  </si>
  <si>
    <t xml:space="preserve">REF0715</t>
  </si>
  <si>
    <t xml:space="preserve">TXN0716</t>
  </si>
  <si>
    <t xml:space="preserve">ACC846</t>
  </si>
  <si>
    <t xml:space="preserve">CUS846</t>
  </si>
  <si>
    <t xml:space="preserve">REF0716</t>
  </si>
  <si>
    <t xml:space="preserve">TXN0717</t>
  </si>
  <si>
    <t xml:space="preserve">REF0717</t>
  </si>
  <si>
    <t xml:space="preserve">TXN0718</t>
  </si>
  <si>
    <t xml:space="preserve">ACC810</t>
  </si>
  <si>
    <t xml:space="preserve">CUS810</t>
  </si>
  <si>
    <t xml:space="preserve">REF0718</t>
  </si>
  <si>
    <t xml:space="preserve">TXN0719</t>
  </si>
  <si>
    <t xml:space="preserve">ACC038</t>
  </si>
  <si>
    <t xml:space="preserve">CUS038</t>
  </si>
  <si>
    <t xml:space="preserve">REF0719</t>
  </si>
  <si>
    <t xml:space="preserve">TXN0720</t>
  </si>
  <si>
    <t xml:space="preserve">REF0720</t>
  </si>
  <si>
    <t xml:space="preserve">TXN0721</t>
  </si>
  <si>
    <t xml:space="preserve">REF0721</t>
  </si>
  <si>
    <t xml:space="preserve">TXN0722</t>
  </si>
  <si>
    <t xml:space="preserve">REF0722</t>
  </si>
  <si>
    <t xml:space="preserve">TXN0723</t>
  </si>
  <si>
    <t xml:space="preserve">REF0723</t>
  </si>
  <si>
    <t xml:space="preserve">TXN0724</t>
  </si>
  <si>
    <t xml:space="preserve">ACC550</t>
  </si>
  <si>
    <t xml:space="preserve">CUS550</t>
  </si>
  <si>
    <t xml:space="preserve">REF0724</t>
  </si>
  <si>
    <t xml:space="preserve">TXN0725</t>
  </si>
  <si>
    <t xml:space="preserve">REF0725</t>
  </si>
  <si>
    <t xml:space="preserve">TXN0726</t>
  </si>
  <si>
    <t xml:space="preserve">ACC726</t>
  </si>
  <si>
    <t xml:space="preserve">CUS726</t>
  </si>
  <si>
    <t xml:space="preserve">REF0726</t>
  </si>
  <si>
    <t xml:space="preserve">TXN0727</t>
  </si>
  <si>
    <t xml:space="preserve">ACC055</t>
  </si>
  <si>
    <t xml:space="preserve">CUS055</t>
  </si>
  <si>
    <t xml:space="preserve">REF0727</t>
  </si>
  <si>
    <t xml:space="preserve">TXN0728</t>
  </si>
  <si>
    <t xml:space="preserve">ACC827</t>
  </si>
  <si>
    <t xml:space="preserve">CUS827</t>
  </si>
  <si>
    <t xml:space="preserve">REF0728</t>
  </si>
  <si>
    <t xml:space="preserve">TXN0729</t>
  </si>
  <si>
    <t xml:space="preserve">REF0729</t>
  </si>
  <si>
    <t xml:space="preserve">TXN0730</t>
  </si>
  <si>
    <t xml:space="preserve">REF0730</t>
  </si>
  <si>
    <t xml:space="preserve">TXN0731</t>
  </si>
  <si>
    <t xml:space="preserve">REF0731</t>
  </si>
  <si>
    <t xml:space="preserve">TXN0732</t>
  </si>
  <si>
    <t xml:space="preserve">ACC945</t>
  </si>
  <si>
    <t xml:space="preserve">CUS945</t>
  </si>
  <si>
    <t xml:space="preserve">REF0732</t>
  </si>
  <si>
    <t xml:space="preserve">TXN0733</t>
  </si>
  <si>
    <t xml:space="preserve">REF0733</t>
  </si>
  <si>
    <t xml:space="preserve">TXN0734</t>
  </si>
  <si>
    <t xml:space="preserve">ACC916</t>
  </si>
  <si>
    <t xml:space="preserve">CUS916</t>
  </si>
  <si>
    <t xml:space="preserve">REF0734</t>
  </si>
  <si>
    <t xml:space="preserve">TXN0735</t>
  </si>
  <si>
    <t xml:space="preserve">REF0735</t>
  </si>
  <si>
    <t xml:space="preserve">TXN0736</t>
  </si>
  <si>
    <t xml:space="preserve">REF0736</t>
  </si>
  <si>
    <t xml:space="preserve">TXN0737</t>
  </si>
  <si>
    <t xml:space="preserve">REF0737</t>
  </si>
  <si>
    <t xml:space="preserve">TXN0738</t>
  </si>
  <si>
    <t xml:space="preserve">ACC868</t>
  </si>
  <si>
    <t xml:space="preserve">CUS868</t>
  </si>
  <si>
    <t xml:space="preserve">REF0738</t>
  </si>
  <si>
    <t xml:space="preserve">TXN0739</t>
  </si>
  <si>
    <t xml:space="preserve">ACC714</t>
  </si>
  <si>
    <t xml:space="preserve">CUS714</t>
  </si>
  <si>
    <t xml:space="preserve">REF0739</t>
  </si>
  <si>
    <t xml:space="preserve">TXN0740</t>
  </si>
  <si>
    <t xml:space="preserve">REF0740</t>
  </si>
  <si>
    <t xml:space="preserve">TXN0741</t>
  </si>
  <si>
    <t xml:space="preserve">ACC635</t>
  </si>
  <si>
    <t xml:space="preserve">CUS635</t>
  </si>
  <si>
    <t xml:space="preserve">REF0741</t>
  </si>
  <si>
    <t xml:space="preserve">TXN0742</t>
  </si>
  <si>
    <t xml:space="preserve">ACC309</t>
  </si>
  <si>
    <t xml:space="preserve">CUS309</t>
  </si>
  <si>
    <t xml:space="preserve">REF0742</t>
  </si>
  <si>
    <t xml:space="preserve">TXN0743</t>
  </si>
  <si>
    <t xml:space="preserve">REF0743</t>
  </si>
  <si>
    <t xml:space="preserve">TXN0744</t>
  </si>
  <si>
    <t xml:space="preserve">ACC334</t>
  </si>
  <si>
    <t xml:space="preserve">CUS334</t>
  </si>
  <si>
    <t xml:space="preserve">REF0744</t>
  </si>
  <si>
    <t xml:space="preserve">TXN0745</t>
  </si>
  <si>
    <t xml:space="preserve">ACC484</t>
  </si>
  <si>
    <t xml:space="preserve">CUS484</t>
  </si>
  <si>
    <t xml:space="preserve">REF0745</t>
  </si>
  <si>
    <t xml:space="preserve">TXN0746</t>
  </si>
  <si>
    <t xml:space="preserve">ACC138</t>
  </si>
  <si>
    <t xml:space="preserve">CUS138</t>
  </si>
  <si>
    <t xml:space="preserve">REF0746</t>
  </si>
  <si>
    <t xml:space="preserve">MER083</t>
  </si>
  <si>
    <t xml:space="preserve">TXN0747</t>
  </si>
  <si>
    <t xml:space="preserve">REF0747</t>
  </si>
  <si>
    <t xml:space="preserve">TXN0748</t>
  </si>
  <si>
    <t xml:space="preserve">REF0748</t>
  </si>
  <si>
    <t xml:space="preserve">TXN0749</t>
  </si>
  <si>
    <t xml:space="preserve">REF0749</t>
  </si>
  <si>
    <t xml:space="preserve">TXN0750</t>
  </si>
  <si>
    <t xml:space="preserve">ACC222</t>
  </si>
  <si>
    <t xml:space="preserve">CUS222</t>
  </si>
  <si>
    <t xml:space="preserve">REF0750</t>
  </si>
  <si>
    <t xml:space="preserve">TXN0751</t>
  </si>
  <si>
    <t xml:space="preserve">REF0751</t>
  </si>
  <si>
    <t xml:space="preserve">TXN0752</t>
  </si>
  <si>
    <t xml:space="preserve">ACC790</t>
  </si>
  <si>
    <t xml:space="preserve">CUS790</t>
  </si>
  <si>
    <t xml:space="preserve">REF0752</t>
  </si>
  <si>
    <t xml:space="preserve">TXN0753</t>
  </si>
  <si>
    <t xml:space="preserve">REF0753</t>
  </si>
  <si>
    <t xml:space="preserve">TXN0754</t>
  </si>
  <si>
    <t xml:space="preserve">REF0754</t>
  </si>
  <si>
    <t xml:space="preserve">TXN0755</t>
  </si>
  <si>
    <t xml:space="preserve">REF0755</t>
  </si>
  <si>
    <t xml:space="preserve">TXN0756</t>
  </si>
  <si>
    <t xml:space="preserve">REF0756</t>
  </si>
  <si>
    <t xml:space="preserve">TXN0757</t>
  </si>
  <si>
    <t xml:space="preserve">REF0757</t>
  </si>
  <si>
    <t xml:space="preserve">TXN0758</t>
  </si>
  <si>
    <t xml:space="preserve">REF0758</t>
  </si>
  <si>
    <t xml:space="preserve">TXN0759</t>
  </si>
  <si>
    <t xml:space="preserve">REF0759</t>
  </si>
  <si>
    <t xml:space="preserve">TXN0760</t>
  </si>
  <si>
    <t xml:space="preserve">ACC151</t>
  </si>
  <si>
    <t xml:space="preserve">CUS151</t>
  </si>
  <si>
    <t xml:space="preserve">REF0760</t>
  </si>
  <si>
    <t xml:space="preserve">TXN0761</t>
  </si>
  <si>
    <t xml:space="preserve">ACC780</t>
  </si>
  <si>
    <t xml:space="preserve">CUS780</t>
  </si>
  <si>
    <t xml:space="preserve">REF0761</t>
  </si>
  <si>
    <t xml:space="preserve">TXN0762</t>
  </si>
  <si>
    <t xml:space="preserve">ACC169</t>
  </si>
  <si>
    <t xml:space="preserve">CUS169</t>
  </si>
  <si>
    <t xml:space="preserve">REF0762</t>
  </si>
  <si>
    <t xml:space="preserve">TXN0763</t>
  </si>
  <si>
    <t xml:space="preserve">REF0763</t>
  </si>
  <si>
    <t xml:space="preserve">TXN0764</t>
  </si>
  <si>
    <t xml:space="preserve">REF0764</t>
  </si>
  <si>
    <t xml:space="preserve">TXN0765</t>
  </si>
  <si>
    <t xml:space="preserve">REF0765</t>
  </si>
  <si>
    <t xml:space="preserve">TXN0766</t>
  </si>
  <si>
    <t xml:space="preserve">ACC964</t>
  </si>
  <si>
    <t xml:space="preserve">CUS964</t>
  </si>
  <si>
    <t xml:space="preserve">REF0766</t>
  </si>
  <si>
    <t xml:space="preserve">TXN0767</t>
  </si>
  <si>
    <t xml:space="preserve">REF0767</t>
  </si>
  <si>
    <t xml:space="preserve">TXN0768</t>
  </si>
  <si>
    <t xml:space="preserve">ACC553</t>
  </si>
  <si>
    <t xml:space="preserve">CUS553</t>
  </si>
  <si>
    <t xml:space="preserve">REF0768</t>
  </si>
  <si>
    <t xml:space="preserve">TXN0769</t>
  </si>
  <si>
    <t xml:space="preserve">REF0769</t>
  </si>
  <si>
    <t xml:space="preserve">TXN0770</t>
  </si>
  <si>
    <t xml:space="preserve">ACC164</t>
  </si>
  <si>
    <t xml:space="preserve">CUS164</t>
  </si>
  <si>
    <t xml:space="preserve">REF0770</t>
  </si>
  <si>
    <t xml:space="preserve">TXN0771</t>
  </si>
  <si>
    <t xml:space="preserve">REF0771</t>
  </si>
  <si>
    <t xml:space="preserve">TXN0772</t>
  </si>
  <si>
    <t xml:space="preserve">REF0772</t>
  </si>
  <si>
    <t xml:space="preserve">TXN0773</t>
  </si>
  <si>
    <t xml:space="preserve">REF0773</t>
  </si>
  <si>
    <t xml:space="preserve">TXN0774</t>
  </si>
  <si>
    <t xml:space="preserve">ACC579</t>
  </si>
  <si>
    <t xml:space="preserve">CUS579</t>
  </si>
  <si>
    <t xml:space="preserve">REF0774</t>
  </si>
  <si>
    <t xml:space="preserve">TXN0775</t>
  </si>
  <si>
    <t xml:space="preserve">ACC556</t>
  </si>
  <si>
    <t xml:space="preserve">CUS556</t>
  </si>
  <si>
    <t xml:space="preserve">REF0775</t>
  </si>
  <si>
    <t xml:space="preserve">TXN0776</t>
  </si>
  <si>
    <t xml:space="preserve">REF0776</t>
  </si>
  <si>
    <t xml:space="preserve">TXN0777</t>
  </si>
  <si>
    <t xml:space="preserve">REF0777</t>
  </si>
  <si>
    <t xml:space="preserve">TXN0778</t>
  </si>
  <si>
    <t xml:space="preserve">ACC639</t>
  </si>
  <si>
    <t xml:space="preserve">CUS639</t>
  </si>
  <si>
    <t xml:space="preserve">REF0778</t>
  </si>
  <si>
    <t xml:space="preserve">TXN0779</t>
  </si>
  <si>
    <t xml:space="preserve">REF0779</t>
  </si>
  <si>
    <t xml:space="preserve">TXN0780</t>
  </si>
  <si>
    <t xml:space="preserve">REF0780</t>
  </si>
  <si>
    <t xml:space="preserve">TXN0781</t>
  </si>
  <si>
    <t xml:space="preserve">REF0781</t>
  </si>
  <si>
    <t xml:space="preserve">TXN0782</t>
  </si>
  <si>
    <t xml:space="preserve">ACC929</t>
  </si>
  <si>
    <t xml:space="preserve">CUS929</t>
  </si>
  <si>
    <t xml:space="preserve">REF0782</t>
  </si>
  <si>
    <t xml:space="preserve">TXN0783</t>
  </si>
  <si>
    <t xml:space="preserve">REF0783</t>
  </si>
  <si>
    <t xml:space="preserve">TXN0784</t>
  </si>
  <si>
    <t xml:space="preserve">REF0784</t>
  </si>
  <si>
    <t xml:space="preserve">TXN0785</t>
  </si>
  <si>
    <t xml:space="preserve">ACC919</t>
  </si>
  <si>
    <t xml:space="preserve">CUS919</t>
  </si>
  <si>
    <t xml:space="preserve">REF0785</t>
  </si>
  <si>
    <t xml:space="preserve">TXN0786</t>
  </si>
  <si>
    <t xml:space="preserve">REF0786</t>
  </si>
  <si>
    <t xml:space="preserve">TXN0787</t>
  </si>
  <si>
    <t xml:space="preserve">ACC881</t>
  </si>
  <si>
    <t xml:space="preserve">CUS881</t>
  </si>
  <si>
    <t xml:space="preserve">REF0787</t>
  </si>
  <si>
    <t xml:space="preserve">TXN0788</t>
  </si>
  <si>
    <t xml:space="preserve">REF0788</t>
  </si>
  <si>
    <t xml:space="preserve">TXN0789</t>
  </si>
  <si>
    <t xml:space="preserve">ACC384</t>
  </si>
  <si>
    <t xml:space="preserve">CUS384</t>
  </si>
  <si>
    <t xml:space="preserve">REF0789</t>
  </si>
  <si>
    <t xml:space="preserve">TXN0790</t>
  </si>
  <si>
    <t xml:space="preserve">REF0790</t>
  </si>
  <si>
    <t xml:space="preserve">TXN0791</t>
  </si>
  <si>
    <t xml:space="preserve">REF0791</t>
  </si>
  <si>
    <t xml:space="preserve">TXN0792</t>
  </si>
  <si>
    <t xml:space="preserve">ACC652</t>
  </si>
  <si>
    <t xml:space="preserve">CUS652</t>
  </si>
  <si>
    <t xml:space="preserve">REF0792</t>
  </si>
  <si>
    <t xml:space="preserve">TXN0793</t>
  </si>
  <si>
    <t xml:space="preserve">REF0793</t>
  </si>
  <si>
    <t xml:space="preserve">TXN0794</t>
  </si>
  <si>
    <t xml:space="preserve">ACC947</t>
  </si>
  <si>
    <t xml:space="preserve">CUS947</t>
  </si>
  <si>
    <t xml:space="preserve">REF0794</t>
  </si>
  <si>
    <t xml:space="preserve">TXN0795</t>
  </si>
  <si>
    <t xml:space="preserve">REF0795</t>
  </si>
  <si>
    <t xml:space="preserve">TXN0796</t>
  </si>
  <si>
    <t xml:space="preserve">ACC177</t>
  </si>
  <si>
    <t xml:space="preserve">CUS177</t>
  </si>
  <si>
    <t xml:space="preserve">REF0796</t>
  </si>
  <si>
    <t xml:space="preserve">TXN0797</t>
  </si>
  <si>
    <t xml:space="preserve">ACC252</t>
  </si>
  <si>
    <t xml:space="preserve">CUS252</t>
  </si>
  <si>
    <t xml:space="preserve">REF0797</t>
  </si>
  <si>
    <t xml:space="preserve">TXN0798</t>
  </si>
  <si>
    <t xml:space="preserve">REF0798</t>
  </si>
  <si>
    <t xml:space="preserve">TXN0799</t>
  </si>
  <si>
    <t xml:space="preserve">ACC441</t>
  </si>
  <si>
    <t xml:space="preserve">CUS441</t>
  </si>
  <si>
    <t xml:space="preserve">REF0799</t>
  </si>
  <si>
    <t xml:space="preserve">TXN0800</t>
  </si>
  <si>
    <t xml:space="preserve">REF0800</t>
  </si>
  <si>
    <t xml:space="preserve">TXN0801</t>
  </si>
  <si>
    <t xml:space="preserve">ACC089</t>
  </si>
  <si>
    <t xml:space="preserve">CUS089</t>
  </si>
  <si>
    <t xml:space="preserve">REF0801</t>
  </si>
  <si>
    <t xml:space="preserve">TXN0802</t>
  </si>
  <si>
    <t xml:space="preserve">ACC675</t>
  </si>
  <si>
    <t xml:space="preserve">CUS675</t>
  </si>
  <si>
    <t xml:space="preserve">REF0802</t>
  </si>
  <si>
    <t xml:space="preserve">TXN0803</t>
  </si>
  <si>
    <t xml:space="preserve">ACC892</t>
  </si>
  <si>
    <t xml:space="preserve">CUS892</t>
  </si>
  <si>
    <t xml:space="preserve">REF0803</t>
  </si>
  <si>
    <t xml:space="preserve">TXN0804</t>
  </si>
  <si>
    <t xml:space="preserve">ACC234</t>
  </si>
  <si>
    <t xml:space="preserve">CUS234</t>
  </si>
  <si>
    <t xml:space="preserve">REF0804</t>
  </si>
  <si>
    <t xml:space="preserve">TXN0805</t>
  </si>
  <si>
    <t xml:space="preserve">ACC211</t>
  </si>
  <si>
    <t xml:space="preserve">CUS211</t>
  </si>
  <si>
    <t xml:space="preserve">REF0805</t>
  </si>
  <si>
    <t xml:space="preserve">TXN0806</t>
  </si>
  <si>
    <t xml:space="preserve">ACC733</t>
  </si>
  <si>
    <t xml:space="preserve">CUS733</t>
  </si>
  <si>
    <t xml:space="preserve">REF0806</t>
  </si>
  <si>
    <t xml:space="preserve">TXN0807</t>
  </si>
  <si>
    <t xml:space="preserve">ACC482</t>
  </si>
  <si>
    <t xml:space="preserve">CUS482</t>
  </si>
  <si>
    <t xml:space="preserve">REF0807</t>
  </si>
  <si>
    <t xml:space="preserve">TXN0808</t>
  </si>
  <si>
    <t xml:space="preserve">ACC839</t>
  </si>
  <si>
    <t xml:space="preserve">CUS839</t>
  </si>
  <si>
    <t xml:space="preserve">REF0808</t>
  </si>
  <si>
    <t xml:space="preserve">TXN0809</t>
  </si>
  <si>
    <t xml:space="preserve">ACC856</t>
  </si>
  <si>
    <t xml:space="preserve">CUS856</t>
  </si>
  <si>
    <t xml:space="preserve">REF0809</t>
  </si>
  <si>
    <t xml:space="preserve">TXN0810</t>
  </si>
  <si>
    <t xml:space="preserve">REF0810</t>
  </si>
  <si>
    <t xml:space="preserve">TXN0811</t>
  </si>
  <si>
    <t xml:space="preserve">REF0811</t>
  </si>
  <si>
    <t xml:space="preserve">TXN0812</t>
  </si>
  <si>
    <t xml:space="preserve">ACC573</t>
  </si>
  <si>
    <t xml:space="preserve">CUS573</t>
  </si>
  <si>
    <t xml:space="preserve">REF0812</t>
  </si>
  <si>
    <t xml:space="preserve">TXN0813</t>
  </si>
  <si>
    <t xml:space="preserve">REF0813</t>
  </si>
  <si>
    <t xml:space="preserve">TXN0814</t>
  </si>
  <si>
    <t xml:space="preserve">ACC401</t>
  </si>
  <si>
    <t xml:space="preserve">CUS401</t>
  </si>
  <si>
    <t xml:space="preserve">REF0814</t>
  </si>
  <si>
    <t xml:space="preserve">TXN0815</t>
  </si>
  <si>
    <t xml:space="preserve">REF0815</t>
  </si>
  <si>
    <t xml:space="preserve">TXN0816</t>
  </si>
  <si>
    <t xml:space="preserve">ACC518</t>
  </si>
  <si>
    <t xml:space="preserve">CUS518</t>
  </si>
  <si>
    <t xml:space="preserve">REF0816</t>
  </si>
  <si>
    <t xml:space="preserve">TXN0817</t>
  </si>
  <si>
    <t xml:space="preserve">ACC870</t>
  </si>
  <si>
    <t xml:space="preserve">CUS870</t>
  </si>
  <si>
    <t xml:space="preserve">REF0817</t>
  </si>
  <si>
    <t xml:space="preserve">TXN0818</t>
  </si>
  <si>
    <t xml:space="preserve">REF0818</t>
  </si>
  <si>
    <t xml:space="preserve">TXN0819</t>
  </si>
  <si>
    <t xml:space="preserve">ACC487</t>
  </si>
  <si>
    <t xml:space="preserve">CUS487</t>
  </si>
  <si>
    <t xml:space="preserve">REF0819</t>
  </si>
  <si>
    <t xml:space="preserve">TXN0820</t>
  </si>
  <si>
    <t xml:space="preserve">REF0820</t>
  </si>
  <si>
    <t xml:space="preserve">TXN0821</t>
  </si>
  <si>
    <t xml:space="preserve">ACC455</t>
  </si>
  <si>
    <t xml:space="preserve">CUS455</t>
  </si>
  <si>
    <t xml:space="preserve">REF0821</t>
  </si>
  <si>
    <t xml:space="preserve">TXN0822</t>
  </si>
  <si>
    <t xml:space="preserve">REF0822</t>
  </si>
  <si>
    <t xml:space="preserve">TXN0823</t>
  </si>
  <si>
    <t xml:space="preserve">REF0823</t>
  </si>
  <si>
    <t xml:space="preserve">TXN0824</t>
  </si>
  <si>
    <t xml:space="preserve">ACC770</t>
  </si>
  <si>
    <t xml:space="preserve">CUS770</t>
  </si>
  <si>
    <t xml:space="preserve">REF0824</t>
  </si>
  <si>
    <t xml:space="preserve">TXN0825</t>
  </si>
  <si>
    <t xml:space="preserve">ACC760</t>
  </si>
  <si>
    <t xml:space="preserve">CUS760</t>
  </si>
  <si>
    <t xml:space="preserve">REF0825</t>
  </si>
  <si>
    <t xml:space="preserve">TXN0826</t>
  </si>
  <si>
    <t xml:space="preserve">ACC784</t>
  </si>
  <si>
    <t xml:space="preserve">CUS784</t>
  </si>
  <si>
    <t xml:space="preserve">REF0826</t>
  </si>
  <si>
    <t xml:space="preserve">TXN0827</t>
  </si>
  <si>
    <t xml:space="preserve">ACC860</t>
  </si>
  <si>
    <t xml:space="preserve">CUS860</t>
  </si>
  <si>
    <t xml:space="preserve">REF0827</t>
  </si>
  <si>
    <t xml:space="preserve">TXN0828</t>
  </si>
  <si>
    <t xml:space="preserve">ACC786</t>
  </si>
  <si>
    <t xml:space="preserve">CUS786</t>
  </si>
  <si>
    <t xml:space="preserve">REF0828</t>
  </si>
  <si>
    <t xml:space="preserve">TXN0829</t>
  </si>
  <si>
    <t xml:space="preserve">ACC475</t>
  </si>
  <si>
    <t xml:space="preserve">CUS475</t>
  </si>
  <si>
    <t xml:space="preserve">REF0829</t>
  </si>
  <si>
    <t xml:space="preserve">TXN0830</t>
  </si>
  <si>
    <t xml:space="preserve">REF0830</t>
  </si>
  <si>
    <t xml:space="preserve">TXN0831</t>
  </si>
  <si>
    <t xml:space="preserve">REF0831</t>
  </si>
  <si>
    <t xml:space="preserve">TXN0832</t>
  </si>
  <si>
    <t xml:space="preserve">ACC390</t>
  </si>
  <si>
    <t xml:space="preserve">CUS390</t>
  </si>
  <si>
    <t xml:space="preserve">REF0832</t>
  </si>
  <si>
    <t xml:space="preserve">TXN0833</t>
  </si>
  <si>
    <t xml:space="preserve">REF0833</t>
  </si>
  <si>
    <t xml:space="preserve">TXN0834</t>
  </si>
  <si>
    <t xml:space="preserve">REF0834</t>
  </si>
  <si>
    <t xml:space="preserve">TXN0835</t>
  </si>
  <si>
    <t xml:space="preserve">ACC667</t>
  </si>
  <si>
    <t xml:space="preserve">CUS667</t>
  </si>
  <si>
    <t xml:space="preserve">REF0835</t>
  </si>
  <si>
    <t xml:space="preserve">TXN0836</t>
  </si>
  <si>
    <t xml:space="preserve">REF0836</t>
  </si>
  <si>
    <t xml:space="preserve">TXN0837</t>
  </si>
  <si>
    <t xml:space="preserve">ACC531</t>
  </si>
  <si>
    <t xml:space="preserve">CUS531</t>
  </si>
  <si>
    <t xml:space="preserve">REF0837</t>
  </si>
  <si>
    <t xml:space="preserve">TXN0838</t>
  </si>
  <si>
    <t xml:space="preserve">ACC853</t>
  </si>
  <si>
    <t xml:space="preserve">CUS853</t>
  </si>
  <si>
    <t xml:space="preserve">REF0838</t>
  </si>
  <si>
    <t xml:space="preserve">TXN0839</t>
  </si>
  <si>
    <t xml:space="preserve">ACC647</t>
  </si>
  <si>
    <t xml:space="preserve">CUS647</t>
  </si>
  <si>
    <t xml:space="preserve">REF0839</t>
  </si>
  <si>
    <t xml:space="preserve">TXN0840</t>
  </si>
  <si>
    <t xml:space="preserve">ACC571</t>
  </si>
  <si>
    <t xml:space="preserve">CUS571</t>
  </si>
  <si>
    <t xml:space="preserve">REF0840</t>
  </si>
  <si>
    <t xml:space="preserve">TXN0841</t>
  </si>
  <si>
    <t xml:space="preserve">ACC288</t>
  </si>
  <si>
    <t xml:space="preserve">CUS288</t>
  </si>
  <si>
    <t xml:space="preserve">REF0841</t>
  </si>
  <si>
    <t xml:space="preserve">TXN0842</t>
  </si>
  <si>
    <t xml:space="preserve">REF0842</t>
  </si>
  <si>
    <t xml:space="preserve">TXN0843</t>
  </si>
  <si>
    <t xml:space="preserve">ACC600</t>
  </si>
  <si>
    <t xml:space="preserve">CUS600</t>
  </si>
  <si>
    <t xml:space="preserve">REF0843</t>
  </si>
  <si>
    <t xml:space="preserve">TXN0844</t>
  </si>
  <si>
    <t xml:space="preserve">REF0844</t>
  </si>
  <si>
    <t xml:space="preserve">TXN0845</t>
  </si>
  <si>
    <t xml:space="preserve">ACC364</t>
  </si>
  <si>
    <t xml:space="preserve">CUS364</t>
  </si>
  <si>
    <t xml:space="preserve">REF0845</t>
  </si>
  <si>
    <t xml:space="preserve">TXN0846</t>
  </si>
  <si>
    <t xml:space="preserve">REF0846</t>
  </si>
  <si>
    <t xml:space="preserve">TXN0847</t>
  </si>
  <si>
    <t xml:space="preserve">REF0847</t>
  </si>
  <si>
    <t xml:space="preserve">TXN0848</t>
  </si>
  <si>
    <t xml:space="preserve">REF0848</t>
  </si>
  <si>
    <t xml:space="preserve">TXN0849</t>
  </si>
  <si>
    <t xml:space="preserve">REF0849</t>
  </si>
  <si>
    <t xml:space="preserve">TXN0850</t>
  </si>
  <si>
    <t xml:space="preserve">REF0850</t>
  </si>
  <si>
    <t xml:space="preserve">TXN0851</t>
  </si>
  <si>
    <t xml:space="preserve">REF0851</t>
  </si>
  <si>
    <t xml:space="preserve">TXN0852</t>
  </si>
  <si>
    <t xml:space="preserve">ACC221</t>
  </si>
  <si>
    <t xml:space="preserve">CUS221</t>
  </si>
  <si>
    <t xml:space="preserve">REF0852</t>
  </si>
  <si>
    <t xml:space="preserve">AGT077</t>
  </si>
  <si>
    <t xml:space="preserve">TXN0853</t>
  </si>
  <si>
    <t xml:space="preserve">ACC125</t>
  </si>
  <si>
    <t xml:space="preserve">CUS125</t>
  </si>
  <si>
    <t xml:space="preserve">REF0853</t>
  </si>
  <si>
    <t xml:space="preserve">TXN0854</t>
  </si>
  <si>
    <t xml:space="preserve">REF0854</t>
  </si>
  <si>
    <t xml:space="preserve">TXN0855</t>
  </si>
  <si>
    <t xml:space="preserve">REF0855</t>
  </si>
  <si>
    <t xml:space="preserve">TXN0856</t>
  </si>
  <si>
    <t xml:space="preserve">ACC749</t>
  </si>
  <si>
    <t xml:space="preserve">CUS749</t>
  </si>
  <si>
    <t xml:space="preserve">REF0856</t>
  </si>
  <si>
    <t xml:space="preserve">TXN0857</t>
  </si>
  <si>
    <t xml:space="preserve">REF0857</t>
  </si>
  <si>
    <t xml:space="preserve">TXN0858</t>
  </si>
  <si>
    <t xml:space="preserve">REF0858</t>
  </si>
  <si>
    <t xml:space="preserve">TXN0859</t>
  </si>
  <si>
    <t xml:space="preserve">REF0859</t>
  </si>
  <si>
    <t xml:space="preserve">TXN0860</t>
  </si>
  <si>
    <t xml:space="preserve">REF0860</t>
  </si>
  <si>
    <t xml:space="preserve">TXN0861</t>
  </si>
  <si>
    <t xml:space="preserve">ACC959</t>
  </si>
  <si>
    <t xml:space="preserve">CUS959</t>
  </si>
  <si>
    <t xml:space="preserve">REF0861</t>
  </si>
  <si>
    <t xml:space="preserve">TXN0862</t>
  </si>
  <si>
    <t xml:space="preserve">ACC815</t>
  </si>
  <si>
    <t xml:space="preserve">CUS815</t>
  </si>
  <si>
    <t xml:space="preserve">REF0862</t>
  </si>
  <si>
    <t xml:space="preserve">TXN0863</t>
  </si>
  <si>
    <t xml:space="preserve">ACC871</t>
  </si>
  <si>
    <t xml:space="preserve">CUS871</t>
  </si>
  <si>
    <t xml:space="preserve">REF0863</t>
  </si>
  <si>
    <t xml:space="preserve">TXN0864</t>
  </si>
  <si>
    <t xml:space="preserve">REF0864</t>
  </si>
  <si>
    <t xml:space="preserve">TXN0865</t>
  </si>
  <si>
    <t xml:space="preserve">REF0865</t>
  </si>
  <si>
    <t xml:space="preserve">TXN0866</t>
  </si>
  <si>
    <t xml:space="preserve">REF0866</t>
  </si>
  <si>
    <t xml:space="preserve">TXN0867</t>
  </si>
  <si>
    <t xml:space="preserve">REF0867</t>
  </si>
  <si>
    <t xml:space="preserve">TXN0868</t>
  </si>
  <si>
    <t xml:space="preserve">REF0868</t>
  </si>
  <si>
    <t xml:space="preserve">TXN0869</t>
  </si>
  <si>
    <t xml:space="preserve">REF0869</t>
  </si>
  <si>
    <t xml:space="preserve">TXN0870</t>
  </si>
  <si>
    <t xml:space="preserve">REF0870</t>
  </si>
  <si>
    <t xml:space="preserve">TXN0871</t>
  </si>
  <si>
    <t xml:space="preserve">ACC736</t>
  </si>
  <si>
    <t xml:space="preserve">CUS736</t>
  </si>
  <si>
    <t xml:space="preserve">REF0871</t>
  </si>
  <si>
    <t xml:space="preserve">TXN0872</t>
  </si>
  <si>
    <t xml:space="preserve">ACC841</t>
  </si>
  <si>
    <t xml:space="preserve">CUS841</t>
  </si>
  <si>
    <t xml:space="preserve">REF0872</t>
  </si>
  <si>
    <t xml:space="preserve">TXN0873</t>
  </si>
  <si>
    <t xml:space="preserve">REF0873</t>
  </si>
  <si>
    <t xml:space="preserve">TXN0874</t>
  </si>
  <si>
    <t xml:space="preserve">ACC245</t>
  </si>
  <si>
    <t xml:space="preserve">CUS245</t>
  </si>
  <si>
    <t xml:space="preserve">REF0874</t>
  </si>
  <si>
    <t xml:space="preserve">TXN0875</t>
  </si>
  <si>
    <t xml:space="preserve">ACC547</t>
  </si>
  <si>
    <t xml:space="preserve">CUS547</t>
  </si>
  <si>
    <t xml:space="preserve">REF0875</t>
  </si>
  <si>
    <t xml:space="preserve">AGT076</t>
  </si>
  <si>
    <t xml:space="preserve">TXN0876</t>
  </si>
  <si>
    <t xml:space="preserve">ACC727</t>
  </si>
  <si>
    <t xml:space="preserve">CUS727</t>
  </si>
  <si>
    <t xml:space="preserve">REF0876</t>
  </si>
  <si>
    <t xml:space="preserve">TXN0877</t>
  </si>
  <si>
    <t xml:space="preserve">REF0877</t>
  </si>
  <si>
    <t xml:space="preserve">TXN0878</t>
  </si>
  <si>
    <t xml:space="preserve">REF0878</t>
  </si>
  <si>
    <t xml:space="preserve">TXN0879</t>
  </si>
  <si>
    <t xml:space="preserve">ACC887</t>
  </si>
  <si>
    <t xml:space="preserve">CUS887</t>
  </si>
  <si>
    <t xml:space="preserve">REF0879</t>
  </si>
  <si>
    <t xml:space="preserve">TXN0880</t>
  </si>
  <si>
    <t xml:space="preserve">ACC575</t>
  </si>
  <si>
    <t xml:space="preserve">CUS575</t>
  </si>
  <si>
    <t xml:space="preserve">REF0880</t>
  </si>
  <si>
    <t xml:space="preserve">TXN0881</t>
  </si>
  <si>
    <t xml:space="preserve">REF0881</t>
  </si>
  <si>
    <t xml:space="preserve">TXN0882</t>
  </si>
  <si>
    <t xml:space="preserve">ACC885</t>
  </si>
  <si>
    <t xml:space="preserve">CUS885</t>
  </si>
  <si>
    <t xml:space="preserve">REF0882</t>
  </si>
  <si>
    <t xml:space="preserve">TXN0883</t>
  </si>
  <si>
    <t xml:space="preserve">REF0883</t>
  </si>
  <si>
    <t xml:space="preserve">TXN0884</t>
  </si>
  <si>
    <t xml:space="preserve">REF0884</t>
  </si>
  <si>
    <t xml:space="preserve">TXN0885</t>
  </si>
  <si>
    <t xml:space="preserve">ACC142</t>
  </si>
  <si>
    <t xml:space="preserve">CUS142</t>
  </si>
  <si>
    <t xml:space="preserve">REF0885</t>
  </si>
  <si>
    <t xml:space="preserve">TXN0886</t>
  </si>
  <si>
    <t xml:space="preserve">REF0886</t>
  </si>
  <si>
    <t xml:space="preserve">TXN0887</t>
  </si>
  <si>
    <t xml:space="preserve">REF0887</t>
  </si>
  <si>
    <t xml:space="preserve">TXN0888</t>
  </si>
  <si>
    <t xml:space="preserve">REF0888</t>
  </si>
  <si>
    <t xml:space="preserve">TXN0889</t>
  </si>
  <si>
    <t xml:space="preserve">REF0889</t>
  </si>
  <si>
    <t xml:space="preserve">TXN0890</t>
  </si>
  <si>
    <t xml:space="preserve">REF0890</t>
  </si>
  <si>
    <t xml:space="preserve">TXN0891</t>
  </si>
  <si>
    <t xml:space="preserve">ACC678</t>
  </si>
  <si>
    <t xml:space="preserve">CUS678</t>
  </si>
  <si>
    <t xml:space="preserve">REF0891</t>
  </si>
  <si>
    <t xml:space="preserve">TXN0892</t>
  </si>
  <si>
    <t xml:space="preserve">ACC711</t>
  </si>
  <si>
    <t xml:space="preserve">CUS711</t>
  </si>
  <si>
    <t xml:space="preserve">REF0892</t>
  </si>
  <si>
    <t xml:space="preserve">TXN0893</t>
  </si>
  <si>
    <t xml:space="preserve">REF0893</t>
  </si>
  <si>
    <t xml:space="preserve">TXN0894</t>
  </si>
  <si>
    <t xml:space="preserve">ACC506</t>
  </si>
  <si>
    <t xml:space="preserve">CUS506</t>
  </si>
  <si>
    <t xml:space="preserve">REF0894</t>
  </si>
  <si>
    <t xml:space="preserve">TXN0895</t>
  </si>
  <si>
    <t xml:space="preserve">REF0895</t>
  </si>
  <si>
    <t xml:space="preserve">TXN0896</t>
  </si>
  <si>
    <t xml:space="preserve">REF0896</t>
  </si>
  <si>
    <t xml:space="preserve">TXN0897</t>
  </si>
  <si>
    <t xml:space="preserve">ACC070</t>
  </si>
  <si>
    <t xml:space="preserve">CUS070</t>
  </si>
  <si>
    <t xml:space="preserve">REF0897</t>
  </si>
  <si>
    <t xml:space="preserve">TXN0898</t>
  </si>
  <si>
    <t xml:space="preserve">ACC586</t>
  </si>
  <si>
    <t xml:space="preserve">CUS586</t>
  </si>
  <si>
    <t xml:space="preserve">REF0898</t>
  </si>
  <si>
    <t xml:space="preserve">TXN0899</t>
  </si>
  <si>
    <t xml:space="preserve">ACC581</t>
  </si>
  <si>
    <t xml:space="preserve">CUS581</t>
  </si>
  <si>
    <t xml:space="preserve">REF0899</t>
  </si>
  <si>
    <t xml:space="preserve">TXN0900</t>
  </si>
  <si>
    <t xml:space="preserve">REF0900</t>
  </si>
  <si>
    <t xml:space="preserve">TXN0901</t>
  </si>
  <si>
    <t xml:space="preserve">REF0901</t>
  </si>
  <si>
    <t xml:space="preserve">TXN0902</t>
  </si>
  <si>
    <t xml:space="preserve">ACC271</t>
  </si>
  <si>
    <t xml:space="preserve">CUS271</t>
  </si>
  <si>
    <t xml:space="preserve">REF0902</t>
  </si>
  <si>
    <t xml:space="preserve">TXN0903</t>
  </si>
  <si>
    <t xml:space="preserve">REF0903</t>
  </si>
  <si>
    <t xml:space="preserve">TXN0904</t>
  </si>
  <si>
    <t xml:space="preserve">ACC248</t>
  </si>
  <si>
    <t xml:space="preserve">CUS248</t>
  </si>
  <si>
    <t xml:space="preserve">REF0904</t>
  </si>
  <si>
    <t xml:space="preserve">TXN0905</t>
  </si>
  <si>
    <t xml:space="preserve">REF0905</t>
  </si>
  <si>
    <t xml:space="preserve">TXN0906</t>
  </si>
  <si>
    <t xml:space="preserve">ACC836</t>
  </si>
  <si>
    <t xml:space="preserve">CUS836</t>
  </si>
  <si>
    <t xml:space="preserve">REF0906</t>
  </si>
  <si>
    <t xml:space="preserve">TXN0907</t>
  </si>
  <si>
    <t xml:space="preserve">REF0907</t>
  </si>
  <si>
    <t xml:space="preserve">TXN0908</t>
  </si>
  <si>
    <t xml:space="preserve">ACC258</t>
  </si>
  <si>
    <t xml:space="preserve">CUS258</t>
  </si>
  <si>
    <t xml:space="preserve">REF0908</t>
  </si>
  <si>
    <t xml:space="preserve">TXN0909</t>
  </si>
  <si>
    <t xml:space="preserve">REF0909</t>
  </si>
  <si>
    <t xml:space="preserve">TXN0910</t>
  </si>
  <si>
    <t xml:space="preserve">REF0910</t>
  </si>
  <si>
    <t xml:space="preserve">TXN0911</t>
  </si>
  <si>
    <t xml:space="preserve">ACC447</t>
  </si>
  <si>
    <t xml:space="preserve">CUS447</t>
  </si>
  <si>
    <t xml:space="preserve">REF0911</t>
  </si>
  <si>
    <t xml:space="preserve">TXN0912</t>
  </si>
  <si>
    <t xml:space="preserve">ACC690</t>
  </si>
  <si>
    <t xml:space="preserve">CUS690</t>
  </si>
  <si>
    <t xml:space="preserve">REF0912</t>
  </si>
  <si>
    <t xml:space="preserve">TXN0913</t>
  </si>
  <si>
    <t xml:space="preserve">REF0913</t>
  </si>
  <si>
    <t xml:space="preserve">TXN0914</t>
  </si>
  <si>
    <t xml:space="preserve">REF0914</t>
  </si>
  <si>
    <t xml:space="preserve">TXN0915</t>
  </si>
  <si>
    <t xml:space="preserve">ACC174</t>
  </si>
  <si>
    <t xml:space="preserve">CUS174</t>
  </si>
  <si>
    <t xml:space="preserve">REF0915</t>
  </si>
  <si>
    <t xml:space="preserve">TXN0916</t>
  </si>
  <si>
    <t xml:space="preserve">REF0916</t>
  </si>
  <si>
    <t xml:space="preserve">TXN0917</t>
  </si>
  <si>
    <t xml:space="preserve">ACC431</t>
  </si>
  <si>
    <t xml:space="preserve">CUS431</t>
  </si>
  <si>
    <t xml:space="preserve">REF0917</t>
  </si>
  <si>
    <t xml:space="preserve">TXN0918</t>
  </si>
  <si>
    <t xml:space="preserve">ACC650</t>
  </si>
  <si>
    <t xml:space="preserve">CUS650</t>
  </si>
  <si>
    <t xml:space="preserve">REF0918</t>
  </si>
  <si>
    <t xml:space="preserve">TXN0919</t>
  </si>
  <si>
    <t xml:space="preserve">ACC107</t>
  </si>
  <si>
    <t xml:space="preserve">CUS107</t>
  </si>
  <si>
    <t xml:space="preserve">REF0919</t>
  </si>
  <si>
    <t xml:space="preserve">TXN0920</t>
  </si>
  <si>
    <t xml:space="preserve">ACC264</t>
  </si>
  <si>
    <t xml:space="preserve">CUS264</t>
  </si>
  <si>
    <t xml:space="preserve">REF0920</t>
  </si>
  <si>
    <t xml:space="preserve">TXN0921</t>
  </si>
  <si>
    <t xml:space="preserve">REF0921</t>
  </si>
  <si>
    <t xml:space="preserve">TXN0922</t>
  </si>
  <si>
    <t xml:space="preserve">REF0922</t>
  </si>
  <si>
    <t xml:space="preserve">TXN0923</t>
  </si>
  <si>
    <t xml:space="preserve">REF0923</t>
  </si>
  <si>
    <t xml:space="preserve">TXN0924</t>
  </si>
  <si>
    <t xml:space="preserve">ACC962</t>
  </si>
  <si>
    <t xml:space="preserve">CUS962</t>
  </si>
  <si>
    <t xml:space="preserve">REF0924</t>
  </si>
  <si>
    <t xml:space="preserve">TXN0925</t>
  </si>
  <si>
    <t xml:space="preserve">REF0925</t>
  </si>
  <si>
    <t xml:space="preserve">TXN0926</t>
  </si>
  <si>
    <t xml:space="preserve">REF0926</t>
  </si>
  <si>
    <t xml:space="preserve">TXN0927</t>
  </si>
  <si>
    <t xml:space="preserve">REF0927</t>
  </si>
  <si>
    <t xml:space="preserve">TXN0928</t>
  </si>
  <si>
    <t xml:space="preserve">REF0928</t>
  </si>
  <si>
    <t xml:space="preserve">TXN0929</t>
  </si>
  <si>
    <t xml:space="preserve">REF0929</t>
  </si>
  <si>
    <t xml:space="preserve">TXN0930</t>
  </si>
  <si>
    <t xml:space="preserve">REF0930</t>
  </si>
  <si>
    <t xml:space="preserve">TXN0931</t>
  </si>
  <si>
    <t xml:space="preserve">REF0931</t>
  </si>
  <si>
    <t xml:space="preserve">TXN0932</t>
  </si>
  <si>
    <t xml:space="preserve">ACC299</t>
  </si>
  <si>
    <t xml:space="preserve">CUS299</t>
  </si>
  <si>
    <t xml:space="preserve">REF0932</t>
  </si>
  <si>
    <t xml:space="preserve">TXN0933</t>
  </si>
  <si>
    <t xml:space="preserve">REF0933</t>
  </si>
  <si>
    <t xml:space="preserve">TXN0934</t>
  </si>
  <si>
    <t xml:space="preserve">REF0934</t>
  </si>
  <si>
    <t xml:space="preserve">TXN0935</t>
  </si>
  <si>
    <t xml:space="preserve">ACC748</t>
  </si>
  <si>
    <t xml:space="preserve">CUS748</t>
  </si>
  <si>
    <t xml:space="preserve">REF0935</t>
  </si>
  <si>
    <t xml:space="preserve">TXN0936</t>
  </si>
  <si>
    <t xml:space="preserve">REF0936</t>
  </si>
  <si>
    <t xml:space="preserve">TXN0937</t>
  </si>
  <si>
    <t xml:space="preserve">REF0937</t>
  </si>
  <si>
    <t xml:space="preserve">TXN0938</t>
  </si>
  <si>
    <t xml:space="preserve">REF0938</t>
  </si>
  <si>
    <t xml:space="preserve">TXN0939</t>
  </si>
  <si>
    <t xml:space="preserve">REF0939</t>
  </si>
  <si>
    <t xml:space="preserve">TXN0940</t>
  </si>
  <si>
    <t xml:space="preserve">REF0940</t>
  </si>
  <si>
    <t xml:space="preserve">TXN0941</t>
  </si>
  <si>
    <t xml:space="preserve">REF0941</t>
  </si>
  <si>
    <t xml:space="preserve">TXN0942</t>
  </si>
  <si>
    <t xml:space="preserve">REF0942</t>
  </si>
  <si>
    <t xml:space="preserve">TXN0943</t>
  </si>
  <si>
    <t xml:space="preserve">REF0943</t>
  </si>
  <si>
    <t xml:space="preserve">TXN0944</t>
  </si>
  <si>
    <t xml:space="preserve">REF0944</t>
  </si>
  <si>
    <t xml:space="preserve">TXN0945</t>
  </si>
  <si>
    <t xml:space="preserve">ACC513</t>
  </si>
  <si>
    <t xml:space="preserve">CUS513</t>
  </si>
  <si>
    <t xml:space="preserve">REF0945</t>
  </si>
  <si>
    <t xml:space="preserve">TXN0946</t>
  </si>
  <si>
    <t xml:space="preserve">ACC163</t>
  </si>
  <si>
    <t xml:space="preserve">CUS163</t>
  </si>
  <si>
    <t xml:space="preserve">REF0946</t>
  </si>
  <si>
    <t xml:space="preserve">TXN0947</t>
  </si>
  <si>
    <t xml:space="preserve">ACC170</t>
  </si>
  <si>
    <t xml:space="preserve">CUS170</t>
  </si>
  <si>
    <t xml:space="preserve">REF0947</t>
  </si>
  <si>
    <t xml:space="preserve">TXN0948</t>
  </si>
  <si>
    <t xml:space="preserve">REF0948</t>
  </si>
  <si>
    <t xml:space="preserve">TXN0949</t>
  </si>
  <si>
    <t xml:space="preserve">REF0949</t>
  </si>
  <si>
    <t xml:space="preserve">TXN0950</t>
  </si>
  <si>
    <t xml:space="preserve">ACC137</t>
  </si>
  <si>
    <t xml:space="preserve">CUS137</t>
  </si>
  <si>
    <t xml:space="preserve">REF0950</t>
  </si>
  <si>
    <t xml:space="preserve">TXN0951</t>
  </si>
  <si>
    <t xml:space="preserve">REF0951</t>
  </si>
  <si>
    <t xml:space="preserve">TXN0952</t>
  </si>
  <si>
    <t xml:space="preserve">ACC057</t>
  </si>
  <si>
    <t xml:space="preserve">CUS057</t>
  </si>
  <si>
    <t xml:space="preserve">REF0952</t>
  </si>
  <si>
    <t xml:space="preserve">TXN0953</t>
  </si>
  <si>
    <t xml:space="preserve">REF0953</t>
  </si>
  <si>
    <t xml:space="preserve">TXN0954</t>
  </si>
  <si>
    <t xml:space="preserve">REF0954</t>
  </si>
  <si>
    <t xml:space="preserve">TXN0955</t>
  </si>
  <si>
    <t xml:space="preserve">ACC172</t>
  </si>
  <si>
    <t xml:space="preserve">CUS172</t>
  </si>
  <si>
    <t xml:space="preserve">REF0955</t>
  </si>
  <si>
    <t xml:space="preserve">TXN0956</t>
  </si>
  <si>
    <t xml:space="preserve">ACC702</t>
  </si>
  <si>
    <t xml:space="preserve">CUS702</t>
  </si>
  <si>
    <t xml:space="preserve">REF0956</t>
  </si>
  <si>
    <t xml:space="preserve">TXN0957</t>
  </si>
  <si>
    <t xml:space="preserve">ACC648</t>
  </si>
  <si>
    <t xml:space="preserve">CUS648</t>
  </si>
  <si>
    <t xml:space="preserve">REF0957</t>
  </si>
  <si>
    <t xml:space="preserve">TXN0958</t>
  </si>
  <si>
    <t xml:space="preserve">ACC524</t>
  </si>
  <si>
    <t xml:space="preserve">CUS524</t>
  </si>
  <si>
    <t xml:space="preserve">REF0958</t>
  </si>
  <si>
    <t xml:space="preserve">TXN0959</t>
  </si>
  <si>
    <t xml:space="preserve">REF0959</t>
  </si>
  <si>
    <t xml:space="preserve">TXN0960</t>
  </si>
  <si>
    <t xml:space="preserve">ACC928</t>
  </si>
  <si>
    <t xml:space="preserve">CUS928</t>
  </si>
  <si>
    <t xml:space="preserve">REF0960</t>
  </si>
  <si>
    <t xml:space="preserve">TXN0961</t>
  </si>
  <si>
    <t xml:space="preserve">REF0961</t>
  </si>
  <si>
    <t xml:space="preserve">TXN0962</t>
  </si>
  <si>
    <t xml:space="preserve">ACC014</t>
  </si>
  <si>
    <t xml:space="preserve">CUS014</t>
  </si>
  <si>
    <t xml:space="preserve">REF0962</t>
  </si>
  <si>
    <t xml:space="preserve">TXN0963</t>
  </si>
  <si>
    <t xml:space="preserve">ACC349</t>
  </si>
  <si>
    <t xml:space="preserve">CUS349</t>
  </si>
  <si>
    <t xml:space="preserve">REF0963</t>
  </si>
  <si>
    <t xml:space="preserve">TXN0964</t>
  </si>
  <si>
    <t xml:space="preserve">REF0964</t>
  </si>
  <si>
    <t xml:space="preserve">TXN0965</t>
  </si>
  <si>
    <t xml:space="preserve">REF0965</t>
  </si>
  <si>
    <t xml:space="preserve">TXN0966</t>
  </si>
  <si>
    <t xml:space="preserve">REF0966</t>
  </si>
  <si>
    <t xml:space="preserve">TXN0967</t>
  </si>
  <si>
    <t xml:space="preserve">ACC597</t>
  </si>
  <si>
    <t xml:space="preserve">CUS597</t>
  </si>
  <si>
    <t xml:space="preserve">REF0967</t>
  </si>
  <si>
    <t xml:space="preserve">TXN0968</t>
  </si>
  <si>
    <t xml:space="preserve">ACC824</t>
  </si>
  <si>
    <t xml:space="preserve">CUS824</t>
  </si>
  <si>
    <t xml:space="preserve">REF0968</t>
  </si>
  <si>
    <t xml:space="preserve">TXN0969</t>
  </si>
  <si>
    <t xml:space="preserve">REF0969</t>
  </si>
  <si>
    <t xml:space="preserve">TXN0970</t>
  </si>
  <si>
    <t xml:space="preserve">REF0970</t>
  </si>
  <si>
    <t xml:space="preserve">TXN0971</t>
  </si>
  <si>
    <t xml:space="preserve">ACC240</t>
  </si>
  <si>
    <t xml:space="preserve">CUS240</t>
  </si>
  <si>
    <t xml:space="preserve">REF0971</t>
  </si>
  <si>
    <t xml:space="preserve">TXN0972</t>
  </si>
  <si>
    <t xml:space="preserve">REF0972</t>
  </si>
  <si>
    <t xml:space="preserve">TXN0973</t>
  </si>
  <si>
    <t xml:space="preserve">REF0973</t>
  </si>
  <si>
    <t xml:space="preserve">TXN0974</t>
  </si>
  <si>
    <t xml:space="preserve">ACC867</t>
  </si>
  <si>
    <t xml:space="preserve">CUS867</t>
  </si>
  <si>
    <t xml:space="preserve">REF0974</t>
  </si>
  <si>
    <t xml:space="preserve">TXN0975</t>
  </si>
  <si>
    <t xml:space="preserve">REF0975</t>
  </si>
  <si>
    <t xml:space="preserve">TXN0976</t>
  </si>
  <si>
    <t xml:space="preserve">REF0976</t>
  </si>
  <si>
    <t xml:space="preserve">TXN0977</t>
  </si>
  <si>
    <t xml:space="preserve">REF0977</t>
  </si>
  <si>
    <t xml:space="preserve">TXN0978</t>
  </si>
  <si>
    <t xml:space="preserve">REF0978</t>
  </si>
  <si>
    <t xml:space="preserve">TXN0979</t>
  </si>
  <si>
    <t xml:space="preserve">REF0979</t>
  </si>
  <si>
    <t xml:space="preserve">TXN0980</t>
  </si>
  <si>
    <t xml:space="preserve">REF0980</t>
  </si>
  <si>
    <t xml:space="preserve">TXN0981</t>
  </si>
  <si>
    <t xml:space="preserve">ACC938</t>
  </si>
  <si>
    <t xml:space="preserve">CUS938</t>
  </si>
  <si>
    <t xml:space="preserve">REF0981</t>
  </si>
  <si>
    <t xml:space="preserve">TXN0982</t>
  </si>
  <si>
    <t xml:space="preserve">REF0982</t>
  </si>
  <si>
    <t xml:space="preserve">TXN0983</t>
  </si>
  <si>
    <t xml:space="preserve">ACC630</t>
  </si>
  <si>
    <t xml:space="preserve">CUS630</t>
  </si>
  <si>
    <t xml:space="preserve">REF0983</t>
  </si>
  <si>
    <t xml:space="preserve">TXN0984</t>
  </si>
  <si>
    <t xml:space="preserve">REF0984</t>
  </si>
  <si>
    <t xml:space="preserve">TXN0985</t>
  </si>
  <si>
    <t xml:space="preserve">ACC834</t>
  </si>
  <si>
    <t xml:space="preserve">CUS834</t>
  </si>
  <si>
    <t xml:space="preserve">REF0985</t>
  </si>
  <si>
    <t xml:space="preserve">TXN0986</t>
  </si>
  <si>
    <t xml:space="preserve">ACC753</t>
  </si>
  <si>
    <t xml:space="preserve">CUS753</t>
  </si>
  <si>
    <t xml:space="preserve">REF0986</t>
  </si>
  <si>
    <t xml:space="preserve">TXN0987</t>
  </si>
  <si>
    <t xml:space="preserve">ACC385</t>
  </si>
  <si>
    <t xml:space="preserve">CUS385</t>
  </si>
  <si>
    <t xml:space="preserve">REF0987</t>
  </si>
  <si>
    <t xml:space="preserve">TXN0988</t>
  </si>
  <si>
    <t xml:space="preserve">REF0988</t>
  </si>
  <si>
    <t xml:space="preserve">TXN0989</t>
  </si>
  <si>
    <t xml:space="preserve">ACC185</t>
  </si>
  <si>
    <t xml:space="preserve">CUS185</t>
  </si>
  <si>
    <t xml:space="preserve">REF0989</t>
  </si>
  <si>
    <t xml:space="preserve">TXN0990</t>
  </si>
  <si>
    <t xml:space="preserve">ACC383</t>
  </si>
  <si>
    <t xml:space="preserve">CUS383</t>
  </si>
  <si>
    <t xml:space="preserve">REF0990</t>
  </si>
  <si>
    <t xml:space="preserve">TXN0991</t>
  </si>
  <si>
    <t xml:space="preserve">REF0991</t>
  </si>
  <si>
    <t xml:space="preserve">TXN0992</t>
  </si>
  <si>
    <t xml:space="preserve">ACC293</t>
  </si>
  <si>
    <t xml:space="preserve">CUS293</t>
  </si>
  <si>
    <t xml:space="preserve">REF0992</t>
  </si>
  <si>
    <t xml:space="preserve">TXN0993</t>
  </si>
  <si>
    <t xml:space="preserve">ACC062</t>
  </si>
  <si>
    <t xml:space="preserve">CUS062</t>
  </si>
  <si>
    <t xml:space="preserve">REF0993</t>
  </si>
  <si>
    <t xml:space="preserve">TXN0994</t>
  </si>
  <si>
    <t xml:space="preserve">REF0994</t>
  </si>
  <si>
    <t xml:space="preserve">TXN0995</t>
  </si>
  <si>
    <t xml:space="preserve">REF0995</t>
  </si>
  <si>
    <t xml:space="preserve">TXN0996</t>
  </si>
  <si>
    <t xml:space="preserve">REF0996</t>
  </si>
  <si>
    <t xml:space="preserve">TXN0997</t>
  </si>
  <si>
    <t xml:space="preserve">REF0997</t>
  </si>
  <si>
    <t xml:space="preserve">TXN0998</t>
  </si>
  <si>
    <t xml:space="preserve">REF0998</t>
  </si>
  <si>
    <t xml:space="preserve">TXN0999</t>
  </si>
  <si>
    <t xml:space="preserve">REF0999</t>
  </si>
  <si>
    <t xml:space="preserve">TXN1000</t>
  </si>
  <si>
    <t xml:space="preserve">REF1000</t>
  </si>
  <si>
    <t xml:space="preserve">TXN1001</t>
  </si>
  <si>
    <t xml:space="preserve">REF1001</t>
  </si>
  <si>
    <t xml:space="preserve">TXN1002</t>
  </si>
  <si>
    <t xml:space="preserve">ACC658</t>
  </si>
  <si>
    <t xml:space="preserve">CUS658</t>
  </si>
  <si>
    <t xml:space="preserve">REF1002</t>
  </si>
  <si>
    <t xml:space="preserve">TXN1003</t>
  </si>
  <si>
    <t xml:space="preserve">ACC344</t>
  </si>
  <si>
    <t xml:space="preserve">CUS344</t>
  </si>
  <si>
    <t xml:space="preserve">REF1003</t>
  </si>
  <si>
    <t xml:space="preserve">TXN1004</t>
  </si>
  <si>
    <t xml:space="preserve">REF1004</t>
  </si>
  <si>
    <t xml:space="preserve">TXN1005</t>
  </si>
  <si>
    <t xml:space="preserve">REF1005</t>
  </si>
  <si>
    <t xml:space="preserve">TXN1006</t>
  </si>
  <si>
    <t xml:space="preserve">REF1006</t>
  </si>
  <si>
    <t xml:space="preserve">TXN1007</t>
  </si>
  <si>
    <t xml:space="preserve">ACC380</t>
  </si>
  <si>
    <t xml:space="preserve">CUS380</t>
  </si>
  <si>
    <t xml:space="preserve">REF1007</t>
  </si>
  <si>
    <t xml:space="preserve">TXN1008</t>
  </si>
  <si>
    <t xml:space="preserve">REF1008</t>
  </si>
  <si>
    <t xml:space="preserve">TXN1009</t>
  </si>
  <si>
    <t xml:space="preserve">REF1009</t>
  </si>
  <si>
    <t xml:space="preserve">TXN1010</t>
  </si>
  <si>
    <t xml:space="preserve">REF1010</t>
  </si>
  <si>
    <t xml:space="preserve">TXN1011</t>
  </si>
  <si>
    <t xml:space="preserve">REF1011</t>
  </si>
  <si>
    <t xml:space="preserve">TXN1012</t>
  </si>
  <si>
    <t xml:space="preserve">ACC332</t>
  </si>
  <si>
    <t xml:space="preserve">CUS332</t>
  </si>
  <si>
    <t xml:space="preserve">REF1012</t>
  </si>
  <si>
    <t xml:space="preserve">TXN1013</t>
  </si>
  <si>
    <t xml:space="preserve">REF1013</t>
  </si>
  <si>
    <t xml:space="preserve">TXN1014</t>
  </si>
  <si>
    <t xml:space="preserve">ACC363</t>
  </si>
  <si>
    <t xml:space="preserve">CUS363</t>
  </si>
  <si>
    <t xml:space="preserve">REF1014</t>
  </si>
  <si>
    <t xml:space="preserve">TXN1015</t>
  </si>
  <si>
    <t xml:space="preserve">REF1015</t>
  </si>
  <si>
    <t xml:space="preserve">TXN1016</t>
  </si>
  <si>
    <t xml:space="preserve">REF1016</t>
  </si>
  <si>
    <t xml:space="preserve">TXN1017</t>
  </si>
  <si>
    <t xml:space="preserve">REF1017</t>
  </si>
  <si>
    <t xml:space="preserve">TXN1018</t>
  </si>
  <si>
    <t xml:space="preserve">REF1018</t>
  </si>
  <si>
    <t xml:space="preserve">TXN1019</t>
  </si>
  <si>
    <t xml:space="preserve">REF1019</t>
  </si>
  <si>
    <t xml:space="preserve">TXN1020</t>
  </si>
  <si>
    <t xml:space="preserve">REF1020</t>
  </si>
  <si>
    <t xml:space="preserve">TXN1021</t>
  </si>
  <si>
    <t xml:space="preserve">REF1021</t>
  </si>
  <si>
    <t xml:space="preserve">TXN1022</t>
  </si>
  <si>
    <t xml:space="preserve">REF1022</t>
  </si>
  <si>
    <t xml:space="preserve">TXN1023</t>
  </si>
  <si>
    <t xml:space="preserve">REF1023</t>
  </si>
  <si>
    <t xml:space="preserve">TXN1024</t>
  </si>
  <si>
    <t xml:space="preserve">REF1024</t>
  </si>
  <si>
    <t xml:space="preserve">TXN1025</t>
  </si>
  <si>
    <t xml:space="preserve">REF1025</t>
  </si>
  <si>
    <t xml:space="preserve">TXN1026</t>
  </si>
  <si>
    <t xml:space="preserve">REF1026</t>
  </si>
  <si>
    <t xml:space="preserve">TXN1027</t>
  </si>
  <si>
    <t xml:space="preserve">ACC766</t>
  </si>
  <si>
    <t xml:space="preserve">CUS766</t>
  </si>
  <si>
    <t xml:space="preserve">REF1027</t>
  </si>
  <si>
    <t xml:space="preserve">TXN1028</t>
  </si>
  <si>
    <t xml:space="preserve">REF1028</t>
  </si>
  <si>
    <t xml:space="preserve">TXN1029</t>
  </si>
  <si>
    <t xml:space="preserve">REF1029</t>
  </si>
  <si>
    <t xml:space="preserve">TXN1030</t>
  </si>
  <si>
    <t xml:space="preserve">REF1030</t>
  </si>
  <si>
    <t xml:space="preserve">TXN1031</t>
  </si>
  <si>
    <t xml:space="preserve">REF1031</t>
  </si>
  <si>
    <t xml:space="preserve">TXN1032</t>
  </si>
  <si>
    <t xml:space="preserve">REF1032</t>
  </si>
  <si>
    <t xml:space="preserve">TXN1033</t>
  </si>
  <si>
    <t xml:space="preserve">REF1033</t>
  </si>
  <si>
    <t xml:space="preserve">TXN1034</t>
  </si>
  <si>
    <t xml:space="preserve">REF1034</t>
  </si>
  <si>
    <t xml:space="preserve">TXN1035</t>
  </si>
  <si>
    <t xml:space="preserve">REF1035</t>
  </si>
  <si>
    <t xml:space="preserve">TXN1036</t>
  </si>
  <si>
    <t xml:space="preserve">REF1036</t>
  </si>
  <si>
    <t xml:space="preserve">TXN1037</t>
  </si>
  <si>
    <t xml:space="preserve">ACC534</t>
  </si>
  <si>
    <t xml:space="preserve">CUS534</t>
  </si>
  <si>
    <t xml:space="preserve">REF1037</t>
  </si>
  <si>
    <t xml:space="preserve">TXN1038</t>
  </si>
  <si>
    <t xml:space="preserve">REF1038</t>
  </si>
  <si>
    <t xml:space="preserve">TXN1039</t>
  </si>
  <si>
    <t xml:space="preserve">REF1039</t>
  </si>
  <si>
    <t xml:space="preserve">TXN1040</t>
  </si>
  <si>
    <t xml:space="preserve">REF1040</t>
  </si>
  <si>
    <t xml:space="preserve">TXN1041</t>
  </si>
  <si>
    <t xml:space="preserve">REF1041</t>
  </si>
  <si>
    <t xml:space="preserve">TXN1042</t>
  </si>
  <si>
    <t xml:space="preserve">REF1042</t>
  </si>
  <si>
    <t xml:space="preserve">TXN1043</t>
  </si>
  <si>
    <t xml:space="preserve">REF1043</t>
  </si>
  <si>
    <t xml:space="preserve">TXN1044</t>
  </si>
  <si>
    <t xml:space="preserve">REF1044</t>
  </si>
  <si>
    <t xml:space="preserve">TXN1045</t>
  </si>
  <si>
    <t xml:space="preserve">REF1045</t>
  </si>
  <si>
    <t xml:space="preserve">TXN1046</t>
  </si>
  <si>
    <t xml:space="preserve">REF1046</t>
  </si>
  <si>
    <t xml:space="preserve">TXN1047</t>
  </si>
  <si>
    <t xml:space="preserve">ACC537</t>
  </si>
  <si>
    <t xml:space="preserve">CUS537</t>
  </si>
  <si>
    <t xml:space="preserve">REF1047</t>
  </si>
  <si>
    <t xml:space="preserve">TXN1048</t>
  </si>
  <si>
    <t xml:space="preserve">ACC628</t>
  </si>
  <si>
    <t xml:space="preserve">CUS628</t>
  </si>
  <si>
    <t xml:space="preserve">REF1048</t>
  </si>
  <si>
    <t xml:space="preserve">TXN1049</t>
  </si>
  <si>
    <t xml:space="preserve">ACC820</t>
  </si>
  <si>
    <t xml:space="preserve">CUS820</t>
  </si>
  <si>
    <t xml:space="preserve">REF1049</t>
  </si>
  <si>
    <t xml:space="preserve">TXN1050</t>
  </si>
  <si>
    <t xml:space="preserve">ACC510</t>
  </si>
  <si>
    <t xml:space="preserve">CUS510</t>
  </si>
  <si>
    <t xml:space="preserve">REF1050</t>
  </si>
  <si>
    <t xml:space="preserve">TXN1051</t>
  </si>
  <si>
    <t xml:space="preserve">REF1051</t>
  </si>
  <si>
    <t xml:space="preserve">TXN1052</t>
  </si>
  <si>
    <t xml:space="preserve">ACC715</t>
  </si>
  <si>
    <t xml:space="preserve">CUS715</t>
  </si>
  <si>
    <t xml:space="preserve">REF1052</t>
  </si>
  <si>
    <t xml:space="preserve">TXN1053</t>
  </si>
  <si>
    <t xml:space="preserve">REF1053</t>
  </si>
  <si>
    <t xml:space="preserve">TXN1054</t>
  </si>
  <si>
    <t xml:space="preserve">ACC398</t>
  </si>
  <si>
    <t xml:space="preserve">CUS398</t>
  </si>
  <si>
    <t xml:space="preserve">REF1054</t>
  </si>
  <si>
    <t xml:space="preserve">TXN1055</t>
  </si>
  <si>
    <t xml:space="preserve">ACC326</t>
  </si>
  <si>
    <t xml:space="preserve">CUS326</t>
  </si>
  <si>
    <t xml:space="preserve">REF1055</t>
  </si>
  <si>
    <t xml:space="preserve">TXN1056</t>
  </si>
  <si>
    <t xml:space="preserve">REF1056</t>
  </si>
  <si>
    <t xml:space="preserve">TXN1057</t>
  </si>
  <si>
    <t xml:space="preserve">ACC303</t>
  </si>
  <si>
    <t xml:space="preserve">CUS303</t>
  </si>
  <si>
    <t xml:space="preserve">REF1057</t>
  </si>
  <si>
    <t xml:space="preserve">TXN1058</t>
  </si>
  <si>
    <t xml:space="preserve">REF1058</t>
  </si>
  <si>
    <t xml:space="preserve">TXN1059</t>
  </si>
  <si>
    <t xml:space="preserve">ACC082</t>
  </si>
  <si>
    <t xml:space="preserve">CUS082</t>
  </si>
  <si>
    <t xml:space="preserve">REF1059</t>
  </si>
  <si>
    <t xml:space="preserve">TXN1060</t>
  </si>
  <si>
    <t xml:space="preserve">ACC323</t>
  </si>
  <si>
    <t xml:space="preserve">CUS323</t>
  </si>
  <si>
    <t xml:space="preserve">REF1060</t>
  </si>
  <si>
    <t xml:space="preserve">TXN1061</t>
  </si>
  <si>
    <t xml:space="preserve">REF1061</t>
  </si>
  <si>
    <t xml:space="preserve">TXN1062</t>
  </si>
  <si>
    <t xml:space="preserve">ACC368</t>
  </si>
  <si>
    <t xml:space="preserve">CUS368</t>
  </si>
  <si>
    <t xml:space="preserve">REF1062</t>
  </si>
  <si>
    <t xml:space="preserve">TXN1063</t>
  </si>
  <si>
    <t xml:space="preserve">REF1063</t>
  </si>
  <si>
    <t xml:space="preserve">TXN1064</t>
  </si>
  <si>
    <t xml:space="preserve">REF1064</t>
  </si>
  <si>
    <t xml:space="preserve">TXN1065</t>
  </si>
  <si>
    <t xml:space="preserve">REF1065</t>
  </si>
  <si>
    <t xml:space="preserve">TXN1066</t>
  </si>
  <si>
    <t xml:space="preserve">REF1066</t>
  </si>
  <si>
    <t xml:space="preserve">TXN1067</t>
  </si>
  <si>
    <t xml:space="preserve">REF1067</t>
  </si>
  <si>
    <t xml:space="preserve">TXN1068</t>
  </si>
  <si>
    <t xml:space="preserve">ACC634</t>
  </si>
  <si>
    <t xml:space="preserve">CUS634</t>
  </si>
  <si>
    <t xml:space="preserve">REF1068</t>
  </si>
  <si>
    <t xml:space="preserve">TXN1069</t>
  </si>
  <si>
    <t xml:space="preserve">REF1069</t>
  </si>
  <si>
    <t xml:space="preserve">TXN1070</t>
  </si>
  <si>
    <t xml:space="preserve">REF1070</t>
  </si>
  <si>
    <t xml:space="preserve">TXN1071</t>
  </si>
  <si>
    <t xml:space="preserve">ACC813</t>
  </si>
  <si>
    <t xml:space="preserve">CUS813</t>
  </si>
  <si>
    <t xml:space="preserve">REF1071</t>
  </si>
  <si>
    <t xml:space="preserve">TXN1072</t>
  </si>
  <si>
    <t xml:space="preserve">ACC292</t>
  </si>
  <si>
    <t xml:space="preserve">CUS292</t>
  </si>
  <si>
    <t xml:space="preserve">REF1072</t>
  </si>
  <si>
    <t xml:space="preserve">TXN1073</t>
  </si>
  <si>
    <t xml:space="preserve">REF1073</t>
  </si>
  <si>
    <t xml:space="preserve">TXN1074</t>
  </si>
  <si>
    <t xml:space="preserve">REF1074</t>
  </si>
  <si>
    <t xml:space="preserve">TXN1075</t>
  </si>
  <si>
    <t xml:space="preserve">REF1075</t>
  </si>
  <si>
    <t xml:space="preserve">TXN1076</t>
  </si>
  <si>
    <t xml:space="preserve">REF1076</t>
  </si>
  <si>
    <t xml:space="preserve">TXN1077</t>
  </si>
  <si>
    <t xml:space="preserve">REF1077</t>
  </si>
  <si>
    <t xml:space="preserve">TXN1078</t>
  </si>
  <si>
    <t xml:space="preserve">ACC074</t>
  </si>
  <si>
    <t xml:space="preserve">CUS074</t>
  </si>
  <si>
    <t xml:space="preserve">REF1078</t>
  </si>
  <si>
    <t xml:space="preserve">TXN1079</t>
  </si>
  <si>
    <t xml:space="preserve">REF1079</t>
  </si>
  <si>
    <t xml:space="preserve">TXN1080</t>
  </si>
  <si>
    <t xml:space="preserve">ACC792</t>
  </si>
  <si>
    <t xml:space="preserve">CUS792</t>
  </si>
  <si>
    <t xml:space="preserve">REF1080</t>
  </si>
  <si>
    <t xml:space="preserve">TXN1081</t>
  </si>
  <si>
    <t xml:space="preserve">REF1081</t>
  </si>
  <si>
    <t xml:space="preserve">TXN1082</t>
  </si>
  <si>
    <t xml:space="preserve">REF1082</t>
  </si>
  <si>
    <t xml:space="preserve">TXN1083</t>
  </si>
  <si>
    <t xml:space="preserve">ACC403</t>
  </si>
  <si>
    <t xml:space="preserve">CUS403</t>
  </si>
  <si>
    <t xml:space="preserve">REF1083</t>
  </si>
  <si>
    <t xml:space="preserve">TXN1084</t>
  </si>
  <si>
    <t xml:space="preserve">REF1084</t>
  </si>
  <si>
    <t xml:space="preserve">TXN1085</t>
  </si>
  <si>
    <t xml:space="preserve">REF1085</t>
  </si>
  <si>
    <t xml:space="preserve">TXN1086</t>
  </si>
  <si>
    <t xml:space="preserve">REF1086</t>
  </si>
  <si>
    <t xml:space="preserve">TXN1087</t>
  </si>
  <si>
    <t xml:space="preserve">REF1087</t>
  </si>
  <si>
    <t xml:space="preserve">TXN1088</t>
  </si>
  <si>
    <t xml:space="preserve">REF1088</t>
  </si>
  <si>
    <t xml:space="preserve">TXN1089</t>
  </si>
  <si>
    <t xml:space="preserve">REF1089</t>
  </si>
  <si>
    <t xml:space="preserve">TXN1090</t>
  </si>
  <si>
    <t xml:space="preserve">REF1090</t>
  </si>
  <si>
    <t xml:space="preserve">TXN1091</t>
  </si>
  <si>
    <t xml:space="preserve">ACC879</t>
  </si>
  <si>
    <t xml:space="preserve">CUS879</t>
  </si>
  <si>
    <t xml:space="preserve">REF1091</t>
  </si>
  <si>
    <t xml:space="preserve">TXN1092</t>
  </si>
  <si>
    <t xml:space="preserve">REF1092</t>
  </si>
  <si>
    <t xml:space="preserve">TXN1093</t>
  </si>
  <si>
    <t xml:space="preserve">REF1093</t>
  </si>
  <si>
    <t xml:space="preserve">TXN1094</t>
  </si>
  <si>
    <t xml:space="preserve">REF1094</t>
  </si>
  <si>
    <t xml:space="preserve">TXN1095</t>
  </si>
  <si>
    <t xml:space="preserve">REF1095</t>
  </si>
  <si>
    <t xml:space="preserve">TXN1096</t>
  </si>
  <si>
    <t xml:space="preserve">REF1096</t>
  </si>
  <si>
    <t xml:space="preserve">TXN1097</t>
  </si>
  <si>
    <t xml:space="preserve">REF1097</t>
  </si>
  <si>
    <t xml:space="preserve">TXN1098</t>
  </si>
  <si>
    <t xml:space="preserve">ACC873</t>
  </si>
  <si>
    <t xml:space="preserve">CUS873</t>
  </si>
  <si>
    <t xml:space="preserve">REF1098</t>
  </si>
  <si>
    <t xml:space="preserve">TXN1099</t>
  </si>
  <si>
    <t xml:space="preserve">ACC117</t>
  </si>
  <si>
    <t xml:space="preserve">CUS117</t>
  </si>
  <si>
    <t xml:space="preserve">REF1099</t>
  </si>
  <si>
    <t xml:space="preserve">TXN1100</t>
  </si>
  <si>
    <t xml:space="preserve">ACC845</t>
  </si>
  <si>
    <t xml:space="preserve">CUS845</t>
  </si>
  <si>
    <t xml:space="preserve">REF1100</t>
  </si>
  <si>
    <t xml:space="preserve">TXN1101</t>
  </si>
  <si>
    <t xml:space="preserve">REF1101</t>
  </si>
  <si>
    <t xml:space="preserve">TXN1102</t>
  </si>
  <si>
    <t xml:space="preserve">REF1102</t>
  </si>
  <si>
    <t xml:space="preserve">TXN1103</t>
  </si>
  <si>
    <t xml:space="preserve">REF1103</t>
  </si>
  <si>
    <t xml:space="preserve">TXN1104</t>
  </si>
  <si>
    <t xml:space="preserve">REF1104</t>
  </si>
  <si>
    <t xml:space="preserve">TXN1105</t>
  </si>
  <si>
    <t xml:space="preserve">REF1105</t>
  </si>
  <si>
    <t xml:space="preserve">TXN1106</t>
  </si>
  <si>
    <t xml:space="preserve">REF1106</t>
  </si>
  <si>
    <t xml:space="preserve">TXN1107</t>
  </si>
  <si>
    <t xml:space="preserve">REF1107</t>
  </si>
  <si>
    <t xml:space="preserve">TXN1108</t>
  </si>
  <si>
    <t xml:space="preserve">REF1108</t>
  </si>
  <si>
    <t xml:space="preserve">TXN1109</t>
  </si>
  <si>
    <t xml:space="preserve">ACC366</t>
  </si>
  <si>
    <t xml:space="preserve">CUS366</t>
  </si>
  <si>
    <t xml:space="preserve">REF1109</t>
  </si>
  <si>
    <t xml:space="preserve">TXN1110</t>
  </si>
  <si>
    <t xml:space="preserve">REF1110</t>
  </si>
  <si>
    <t xml:space="preserve">TXN1111</t>
  </si>
  <si>
    <t xml:space="preserve">REF1111</t>
  </si>
  <si>
    <t xml:space="preserve">TXN1112</t>
  </si>
  <si>
    <t xml:space="preserve">ACC562</t>
  </si>
  <si>
    <t xml:space="preserve">CUS562</t>
  </si>
  <si>
    <t xml:space="preserve">REF1112</t>
  </si>
  <si>
    <t xml:space="preserve">TXN1113</t>
  </si>
  <si>
    <t xml:space="preserve">REF1113</t>
  </si>
  <si>
    <t xml:space="preserve">TXN1114</t>
  </si>
  <si>
    <t xml:space="preserve">REF1114</t>
  </si>
  <si>
    <t xml:space="preserve">TXN1115</t>
  </si>
  <si>
    <t xml:space="preserve">REF1115</t>
  </si>
  <si>
    <t xml:space="preserve">TXN1116</t>
  </si>
  <si>
    <t xml:space="preserve">ACC973</t>
  </si>
  <si>
    <t xml:space="preserve">CUS973</t>
  </si>
  <si>
    <t xml:space="preserve">REF1116</t>
  </si>
  <si>
    <t xml:space="preserve">TXN1117</t>
  </si>
  <si>
    <t xml:space="preserve">REF1117</t>
  </si>
  <si>
    <t xml:space="preserve">TXN1118</t>
  </si>
  <si>
    <t xml:space="preserve">REF1118</t>
  </si>
  <si>
    <t xml:space="preserve">TXN1119</t>
  </si>
  <si>
    <t xml:space="preserve">REF1119</t>
  </si>
  <si>
    <t xml:space="preserve">TXN1120</t>
  </si>
  <si>
    <t xml:space="preserve">REF1120</t>
  </si>
  <si>
    <t xml:space="preserve">TXN1121</t>
  </si>
  <si>
    <t xml:space="preserve">REF1121</t>
  </si>
  <si>
    <t xml:space="preserve">TXN1122</t>
  </si>
  <si>
    <t xml:space="preserve">ACC156</t>
  </si>
  <si>
    <t xml:space="preserve">CUS156</t>
  </si>
  <si>
    <t xml:space="preserve">REF1122</t>
  </si>
  <si>
    <t xml:space="preserve">TXN1123</t>
  </si>
  <si>
    <t xml:space="preserve">REF1123</t>
  </si>
  <si>
    <t xml:space="preserve">TXN1124</t>
  </si>
  <si>
    <t xml:space="preserve">REF1124</t>
  </si>
  <si>
    <t xml:space="preserve">TXN1125</t>
  </si>
  <si>
    <t xml:space="preserve">ACC085</t>
  </si>
  <si>
    <t xml:space="preserve">CUS085</t>
  </si>
  <si>
    <t xml:space="preserve">REF1125</t>
  </si>
  <si>
    <t xml:space="preserve">TXN1126</t>
  </si>
  <si>
    <t xml:space="preserve">ACC517</t>
  </si>
  <si>
    <t xml:space="preserve">CUS517</t>
  </si>
  <si>
    <t xml:space="preserve">REF1126</t>
  </si>
  <si>
    <t xml:space="preserve">TXN1127</t>
  </si>
  <si>
    <t xml:space="preserve">REF1127</t>
  </si>
  <si>
    <t xml:space="preserve">TXN1128</t>
  </si>
  <si>
    <t xml:space="preserve">REF1128</t>
  </si>
  <si>
    <t xml:space="preserve">TXN1129</t>
  </si>
  <si>
    <t xml:space="preserve">REF1129</t>
  </si>
  <si>
    <t xml:space="preserve">TXN1130</t>
  </si>
  <si>
    <t xml:space="preserve">REF1130</t>
  </si>
  <si>
    <t xml:space="preserve">TXN1131</t>
  </si>
  <si>
    <t xml:space="preserve">ACC041</t>
  </si>
  <si>
    <t xml:space="preserve">CUS041</t>
  </si>
  <si>
    <t xml:space="preserve">REF1131</t>
  </si>
  <si>
    <t xml:space="preserve">TXN1132</t>
  </si>
  <si>
    <t xml:space="preserve">ACC604</t>
  </si>
  <si>
    <t xml:space="preserve">CUS604</t>
  </si>
  <si>
    <t xml:space="preserve">REF1132</t>
  </si>
  <si>
    <t xml:space="preserve">TXN1133</t>
  </si>
  <si>
    <t xml:space="preserve">ACC901</t>
  </si>
  <si>
    <t xml:space="preserve">CUS901</t>
  </si>
  <si>
    <t xml:space="preserve">REF1133</t>
  </si>
  <si>
    <t xml:space="preserve">TXN1134</t>
  </si>
  <si>
    <t xml:space="preserve">REF1134</t>
  </si>
  <si>
    <t xml:space="preserve">TXN1135</t>
  </si>
  <si>
    <t xml:space="preserve">REF1135</t>
  </si>
  <si>
    <t xml:space="preserve">TXN1136</t>
  </si>
  <si>
    <t xml:space="preserve">ACC067</t>
  </si>
  <si>
    <t xml:space="preserve">CUS067</t>
  </si>
  <si>
    <t xml:space="preserve">REF1136</t>
  </si>
  <si>
    <t xml:space="preserve">TXN1137</t>
  </si>
  <si>
    <t xml:space="preserve">REF1137</t>
  </si>
  <si>
    <t xml:space="preserve">TXN1138</t>
  </si>
  <si>
    <t xml:space="preserve">ACC691</t>
  </si>
  <si>
    <t xml:space="preserve">CUS691</t>
  </si>
  <si>
    <t xml:space="preserve">REF1138</t>
  </si>
  <si>
    <t xml:space="preserve">TXN1139</t>
  </si>
  <si>
    <t xml:space="preserve">REF1139</t>
  </si>
  <si>
    <t xml:space="preserve">TXN1140</t>
  </si>
  <si>
    <t xml:space="preserve">ACC572</t>
  </si>
  <si>
    <t xml:space="preserve">CUS572</t>
  </si>
  <si>
    <t xml:space="preserve">REF1140</t>
  </si>
  <si>
    <t xml:space="preserve">TXN1141</t>
  </si>
  <si>
    <t xml:space="preserve">ACC664</t>
  </si>
  <si>
    <t xml:space="preserve">CUS664</t>
  </si>
  <si>
    <t xml:space="preserve">REF1141</t>
  </si>
  <si>
    <t xml:space="preserve">TXN1142</t>
  </si>
  <si>
    <t xml:space="preserve">REF1142</t>
  </si>
  <si>
    <t xml:space="preserve">TXN1143</t>
  </si>
  <si>
    <t xml:space="preserve">REF1143</t>
  </si>
  <si>
    <t xml:space="preserve">TXN1144</t>
  </si>
  <si>
    <t xml:space="preserve">REF1144</t>
  </si>
  <si>
    <t xml:space="preserve">TXN1145</t>
  </si>
  <si>
    <t xml:space="preserve">ACC595</t>
  </si>
  <si>
    <t xml:space="preserve">CUS595</t>
  </si>
  <si>
    <t xml:space="preserve">REF1145</t>
  </si>
  <si>
    <t xml:space="preserve">TXN1146</t>
  </si>
  <si>
    <t xml:space="preserve">REF1146</t>
  </si>
  <si>
    <t xml:space="preserve">TXN1147</t>
  </si>
  <si>
    <t xml:space="preserve">ACC325</t>
  </si>
  <si>
    <t xml:space="preserve">CUS325</t>
  </si>
  <si>
    <t xml:space="preserve">REF1147</t>
  </si>
  <si>
    <t xml:space="preserve">TXN1148</t>
  </si>
  <si>
    <t xml:space="preserve">REF1148</t>
  </si>
  <si>
    <t xml:space="preserve">TXN1149</t>
  </si>
  <si>
    <t xml:space="preserve">REF1149</t>
  </si>
  <si>
    <t xml:space="preserve">TXN1150</t>
  </si>
  <si>
    <t xml:space="preserve">REF1150</t>
  </si>
  <si>
    <t xml:space="preserve">TXN1151</t>
  </si>
  <si>
    <t xml:space="preserve">REF1151</t>
  </si>
  <si>
    <t xml:space="preserve">TXN1152</t>
  </si>
  <si>
    <t xml:space="preserve">ACC153</t>
  </si>
  <si>
    <t xml:space="preserve">CUS153</t>
  </si>
  <si>
    <t xml:space="preserve">REF1152</t>
  </si>
  <si>
    <t xml:space="preserve">TXN1153</t>
  </si>
  <si>
    <t xml:space="preserve">REF1153</t>
  </si>
  <si>
    <t xml:space="preserve">TXN1154</t>
  </si>
  <si>
    <t xml:space="preserve">REF1154</t>
  </si>
  <si>
    <t xml:space="preserve">TXN1155</t>
  </si>
  <si>
    <t xml:space="preserve">REF1155</t>
  </si>
  <si>
    <t xml:space="preserve">TXN1156</t>
  </si>
  <si>
    <t xml:space="preserve">REF1156</t>
  </si>
  <si>
    <t xml:space="preserve">TXN1157</t>
  </si>
  <si>
    <t xml:space="preserve">ACC742</t>
  </si>
  <si>
    <t xml:space="preserve">CUS742</t>
  </si>
  <si>
    <t xml:space="preserve">REF1157</t>
  </si>
  <si>
    <t xml:space="preserve">TXN1158</t>
  </si>
  <si>
    <t xml:space="preserve">REF1158</t>
  </si>
  <si>
    <t xml:space="preserve">TXN1159</t>
  </si>
  <si>
    <t xml:space="preserve">ACC876</t>
  </si>
  <si>
    <t xml:space="preserve">CUS876</t>
  </si>
  <si>
    <t xml:space="preserve">REF1159</t>
  </si>
  <si>
    <t xml:space="preserve">TXN1160</t>
  </si>
  <si>
    <t xml:space="preserve">ACC882</t>
  </si>
  <si>
    <t xml:space="preserve">CUS882</t>
  </si>
  <si>
    <t xml:space="preserve">REF1160</t>
  </si>
  <si>
    <t xml:space="preserve">TXN1161</t>
  </si>
  <si>
    <t xml:space="preserve">REF1161</t>
  </si>
  <si>
    <t xml:space="preserve">TXN1162</t>
  </si>
  <si>
    <t xml:space="preserve">ACC612</t>
  </si>
  <si>
    <t xml:space="preserve">CUS612</t>
  </si>
  <si>
    <t xml:space="preserve">REF1162</t>
  </si>
  <si>
    <t xml:space="preserve">TXN1163</t>
  </si>
  <si>
    <t xml:space="preserve">ACC739</t>
  </si>
  <si>
    <t xml:space="preserve">CUS739</t>
  </si>
  <si>
    <t xml:space="preserve">REF1163</t>
  </si>
  <si>
    <t xml:space="preserve">TXN1164</t>
  </si>
  <si>
    <t xml:space="preserve">REF1164</t>
  </si>
  <si>
    <t xml:space="preserve">TXN1165</t>
  </si>
  <si>
    <t xml:space="preserve">ACC277</t>
  </si>
  <si>
    <t xml:space="preserve">CUS277</t>
  </si>
  <si>
    <t xml:space="preserve">REF1165</t>
  </si>
  <si>
    <t xml:space="preserve">TXN1166</t>
  </si>
  <si>
    <t xml:space="preserve">REF1166</t>
  </si>
  <si>
    <t xml:space="preserve">TXN1167</t>
  </si>
  <si>
    <t xml:space="preserve">ACC674</t>
  </si>
  <si>
    <t xml:space="preserve">CUS674</t>
  </si>
  <si>
    <t xml:space="preserve">REF1167</t>
  </si>
  <si>
    <t xml:space="preserve">TXN1168</t>
  </si>
  <si>
    <t xml:space="preserve">REF1168</t>
  </si>
  <si>
    <t xml:space="preserve">TXN1169</t>
  </si>
  <si>
    <t xml:space="preserve">REF1169</t>
  </si>
  <si>
    <t xml:space="preserve">TXN1170</t>
  </si>
  <si>
    <t xml:space="preserve">ACC114</t>
  </si>
  <si>
    <t xml:space="preserve">CUS114</t>
  </si>
  <si>
    <t xml:space="preserve">REF1170</t>
  </si>
  <si>
    <t xml:space="preserve">TXN1171</t>
  </si>
  <si>
    <t xml:space="preserve">REF1171</t>
  </si>
  <si>
    <t xml:space="preserve">TXN1172</t>
  </si>
  <si>
    <t xml:space="preserve">REF1172</t>
  </si>
  <si>
    <t xml:space="preserve">TXN1173</t>
  </si>
  <si>
    <t xml:space="preserve">REF1173</t>
  </si>
  <si>
    <t xml:space="preserve">TXN1174</t>
  </si>
  <si>
    <t xml:space="preserve">REF1174</t>
  </si>
  <si>
    <t xml:space="preserve">TXN1175</t>
  </si>
  <si>
    <t xml:space="preserve">ACC772</t>
  </si>
  <si>
    <t xml:space="preserve">CUS772</t>
  </si>
  <si>
    <t xml:space="preserve">REF1175</t>
  </si>
  <si>
    <t xml:space="preserve">TXN1176</t>
  </si>
  <si>
    <t xml:space="preserve">REF1176</t>
  </si>
  <si>
    <t xml:space="preserve">TXN1177</t>
  </si>
  <si>
    <t xml:space="preserve">REF1177</t>
  </si>
  <si>
    <t xml:space="preserve">TXN1178</t>
  </si>
  <si>
    <t xml:space="preserve">ACC452</t>
  </si>
  <si>
    <t xml:space="preserve">CUS452</t>
  </si>
  <si>
    <t xml:space="preserve">REF1178</t>
  </si>
  <si>
    <t xml:space="preserve">TXN1179</t>
  </si>
  <si>
    <t xml:space="preserve">REF1179</t>
  </si>
  <si>
    <t xml:space="preserve">TXN1180</t>
  </si>
  <si>
    <t xml:space="preserve">REF1180</t>
  </si>
  <si>
    <t xml:space="preserve">TXN1181</t>
  </si>
  <si>
    <t xml:space="preserve">ACC190</t>
  </si>
  <si>
    <t xml:space="preserve">CUS190</t>
  </si>
  <si>
    <t xml:space="preserve">REF1181</t>
  </si>
  <si>
    <t xml:space="preserve">TXN1182</t>
  </si>
  <si>
    <t xml:space="preserve">REF1182</t>
  </si>
  <si>
    <t xml:space="preserve">TXN1183</t>
  </si>
  <si>
    <t xml:space="preserve">ACC681</t>
  </si>
  <si>
    <t xml:space="preserve">CUS681</t>
  </si>
  <si>
    <t xml:space="preserve">REF1183</t>
  </si>
  <si>
    <t xml:space="preserve">TXN1184</t>
  </si>
  <si>
    <t xml:space="preserve">REF1184</t>
  </si>
  <si>
    <t xml:space="preserve">TXN1185</t>
  </si>
  <si>
    <t xml:space="preserve">ACC762</t>
  </si>
  <si>
    <t xml:space="preserve">CUS762</t>
  </si>
  <si>
    <t xml:space="preserve">REF1185</t>
  </si>
  <si>
    <t xml:space="preserve">TXN1186</t>
  </si>
  <si>
    <t xml:space="preserve">REF1186</t>
  </si>
  <si>
    <t xml:space="preserve">TXN1187</t>
  </si>
  <si>
    <t xml:space="preserve">ACC500</t>
  </si>
  <si>
    <t xml:space="preserve">CUS500</t>
  </si>
  <si>
    <t xml:space="preserve">REF1187</t>
  </si>
  <si>
    <t xml:space="preserve">TXN1188</t>
  </si>
  <si>
    <t xml:space="preserve">ACC261</t>
  </si>
  <si>
    <t xml:space="preserve">CUS261</t>
  </si>
  <si>
    <t xml:space="preserve">REF1188</t>
  </si>
  <si>
    <t xml:space="preserve">TXN1189</t>
  </si>
  <si>
    <t xml:space="preserve">REF1189</t>
  </si>
  <si>
    <t xml:space="preserve">TXN1190</t>
  </si>
  <si>
    <t xml:space="preserve">ACC279</t>
  </si>
  <si>
    <t xml:space="preserve">CUS279</t>
  </si>
  <si>
    <t xml:space="preserve">REF1190</t>
  </si>
  <si>
    <t xml:space="preserve">TXN1191</t>
  </si>
  <si>
    <t xml:space="preserve">ACC246</t>
  </si>
  <si>
    <t xml:space="preserve">CUS246</t>
  </si>
  <si>
    <t xml:space="preserve">REF1191</t>
  </si>
  <si>
    <t xml:space="preserve">TXN1192</t>
  </si>
  <si>
    <t xml:space="preserve">REF1192</t>
  </si>
  <si>
    <t xml:space="preserve">TXN1193</t>
  </si>
  <si>
    <t xml:space="preserve">ACC101</t>
  </si>
  <si>
    <t xml:space="preserve">CUS101</t>
  </si>
  <si>
    <t xml:space="preserve">REF1193</t>
  </si>
  <si>
    <t xml:space="preserve">TXN1194</t>
  </si>
  <si>
    <t xml:space="preserve">REF1194</t>
  </si>
  <si>
    <t xml:space="preserve">TXN1195</t>
  </si>
  <si>
    <t xml:space="preserve">ACC615</t>
  </si>
  <si>
    <t xml:space="preserve">CUS615</t>
  </si>
  <si>
    <t xml:space="preserve">REF1195</t>
  </si>
  <si>
    <t xml:space="preserve">TXN1196</t>
  </si>
  <si>
    <t xml:space="preserve">REF1196</t>
  </si>
  <si>
    <t xml:space="preserve">TXN1197</t>
  </si>
  <si>
    <t xml:space="preserve">ACC893</t>
  </si>
  <si>
    <t xml:space="preserve">CUS893</t>
  </si>
  <si>
    <t xml:space="preserve">REF1197</t>
  </si>
  <si>
    <t xml:space="preserve">TXN1198</t>
  </si>
  <si>
    <t xml:space="preserve">REF1198</t>
  </si>
  <si>
    <t xml:space="preserve">TXN1199</t>
  </si>
  <si>
    <t xml:space="preserve">ACC399</t>
  </si>
  <si>
    <t xml:space="preserve">CUS399</t>
  </si>
  <si>
    <t xml:space="preserve">REF1199</t>
  </si>
  <si>
    <t xml:space="preserve">TXN1200</t>
  </si>
  <si>
    <t xml:space="preserve">REF1200</t>
  </si>
  <si>
    <t xml:space="preserve">TXN1201</t>
  </si>
  <si>
    <t xml:space="preserve">REF1201</t>
  </si>
  <si>
    <t xml:space="preserve">TXN1202</t>
  </si>
  <si>
    <t xml:space="preserve">REF1202</t>
  </si>
  <si>
    <t xml:space="preserve">TXN1203</t>
  </si>
  <si>
    <t xml:space="preserve">ACC807</t>
  </si>
  <si>
    <t xml:space="preserve">CUS807</t>
  </si>
  <si>
    <t xml:space="preserve">REF1203</t>
  </si>
  <si>
    <t xml:space="preserve">TXN1204</t>
  </si>
  <si>
    <t xml:space="preserve">ACC427</t>
  </si>
  <si>
    <t xml:space="preserve">CUS427</t>
  </si>
  <si>
    <t xml:space="preserve">REF1204</t>
  </si>
  <si>
    <t xml:space="preserve">TXN1205</t>
  </si>
  <si>
    <t xml:space="preserve">REF1205</t>
  </si>
  <si>
    <t xml:space="preserve">TXN1206</t>
  </si>
  <si>
    <t xml:space="preserve">REF1206</t>
  </si>
  <si>
    <t xml:space="preserve">TXN1207</t>
  </si>
  <si>
    <t xml:space="preserve">REF1207</t>
  </si>
  <si>
    <t xml:space="preserve">TXN1208</t>
  </si>
  <si>
    <t xml:space="preserve">REF1208</t>
  </si>
  <si>
    <t xml:space="preserve">TXN1209</t>
  </si>
  <si>
    <t xml:space="preserve">ACC045</t>
  </si>
  <si>
    <t xml:space="preserve">CUS045</t>
  </si>
  <si>
    <t xml:space="preserve">REF1209</t>
  </si>
  <si>
    <t xml:space="preserve">TXN1210</t>
  </si>
  <si>
    <t xml:space="preserve">REF1210</t>
  </si>
  <si>
    <t xml:space="preserve">TXN1211</t>
  </si>
  <si>
    <t xml:space="preserve">REF1211</t>
  </si>
  <si>
    <t xml:space="preserve">TXN1212</t>
  </si>
  <si>
    <t xml:space="preserve">REF1212</t>
  </si>
  <si>
    <t xml:space="preserve">TXN1213</t>
  </si>
  <si>
    <t xml:space="preserve">REF1213</t>
  </si>
  <si>
    <t xml:space="preserve">TXN1214</t>
  </si>
  <si>
    <t xml:space="preserve">REF1214</t>
  </si>
  <si>
    <t xml:space="preserve">TXN1215</t>
  </si>
  <si>
    <t xml:space="preserve">REF1215</t>
  </si>
  <si>
    <t xml:space="preserve">TXN1216</t>
  </si>
  <si>
    <t xml:space="preserve">REF1216</t>
  </si>
  <si>
    <t xml:space="preserve">TXN1217</t>
  </si>
  <si>
    <t xml:space="preserve">REF1217</t>
  </si>
  <si>
    <t xml:space="preserve">TXN1218</t>
  </si>
  <si>
    <t xml:space="preserve">REF1218</t>
  </si>
  <si>
    <t xml:space="preserve">TXN1219</t>
  </si>
  <si>
    <t xml:space="preserve">ACC773</t>
  </si>
  <si>
    <t xml:space="preserve">CUS773</t>
  </si>
  <si>
    <t xml:space="preserve">REF1219</t>
  </si>
  <si>
    <t xml:space="preserve">TXN1220</t>
  </si>
  <si>
    <t xml:space="preserve">REF1220</t>
  </si>
  <si>
    <t xml:space="preserve">TXN1221</t>
  </si>
  <si>
    <t xml:space="preserve">REF1221</t>
  </si>
  <si>
    <t xml:space="preserve">TXN1222</t>
  </si>
  <si>
    <t xml:space="preserve">ACC072</t>
  </si>
  <si>
    <t xml:space="preserve">CUS072</t>
  </si>
  <si>
    <t xml:space="preserve">REF1222</t>
  </si>
  <si>
    <t xml:space="preserve">TXN1223</t>
  </si>
  <si>
    <t xml:space="preserve">REF1223</t>
  </si>
  <si>
    <t xml:space="preserve">TXN1224</t>
  </si>
  <si>
    <t xml:space="preserve">REF1224</t>
  </si>
  <si>
    <t xml:space="preserve">TXN1225</t>
  </si>
  <si>
    <t xml:space="preserve">ACC613</t>
  </si>
  <si>
    <t xml:space="preserve">CUS613</t>
  </si>
  <si>
    <t xml:space="preserve">REF1225</t>
  </si>
  <si>
    <t xml:space="preserve">TXN1226</t>
  </si>
  <si>
    <t xml:space="preserve">ACC937</t>
  </si>
  <si>
    <t xml:space="preserve">CUS937</t>
  </si>
  <si>
    <t xml:space="preserve">REF1226</t>
  </si>
  <si>
    <t xml:space="preserve">TXN1227</t>
  </si>
  <si>
    <t xml:space="preserve">REF1227</t>
  </si>
  <si>
    <t xml:space="preserve">TXN1228</t>
  </si>
  <si>
    <t xml:space="preserve">REF1228</t>
  </si>
  <si>
    <t xml:space="preserve">TXN1229</t>
  </si>
  <si>
    <t xml:space="preserve">REF1229</t>
  </si>
  <si>
    <t xml:space="preserve">TXN1230</t>
  </si>
  <si>
    <t xml:space="preserve">REF1230</t>
  </si>
  <si>
    <t xml:space="preserve">TXN1231</t>
  </si>
  <si>
    <t xml:space="preserve">REF1231</t>
  </si>
  <si>
    <t xml:space="preserve">TXN1232</t>
  </si>
  <si>
    <t xml:space="preserve">ACC251</t>
  </si>
  <si>
    <t xml:space="preserve">CUS251</t>
  </si>
  <si>
    <t xml:space="preserve">REF1232</t>
  </si>
  <si>
    <t xml:space="preserve">TXN1233</t>
  </si>
  <si>
    <t xml:space="preserve">REF1233</t>
  </si>
  <si>
    <t xml:space="preserve">TXN1234</t>
  </si>
  <si>
    <t xml:space="preserve">REF1234</t>
  </si>
  <si>
    <t xml:space="preserve">TXN1235</t>
  </si>
  <si>
    <t xml:space="preserve">REF1235</t>
  </si>
  <si>
    <t xml:space="preserve">TXN1236</t>
  </si>
  <si>
    <t xml:space="preserve">REF1236</t>
  </si>
  <si>
    <t xml:space="preserve">TXN1237</t>
  </si>
  <si>
    <t xml:space="preserve">REF1237</t>
  </si>
  <si>
    <t xml:space="preserve">TXN1238</t>
  </si>
  <si>
    <t xml:space="preserve">REF1238</t>
  </si>
  <si>
    <t xml:space="preserve">TXN1239</t>
  </si>
  <si>
    <t xml:space="preserve">ACC435</t>
  </si>
  <si>
    <t xml:space="preserve">CUS435</t>
  </si>
  <si>
    <t xml:space="preserve">REF1239</t>
  </si>
  <si>
    <t xml:space="preserve">TXN1240</t>
  </si>
  <si>
    <t xml:space="preserve">REF1240</t>
  </si>
  <si>
    <t xml:space="preserve">TXN1241</t>
  </si>
  <si>
    <t xml:space="preserve">ACC180</t>
  </si>
  <si>
    <t xml:space="preserve">CUS180</t>
  </si>
  <si>
    <t xml:space="preserve">REF1241</t>
  </si>
  <si>
    <t xml:space="preserve">TXN1242</t>
  </si>
  <si>
    <t xml:space="preserve">ACC461</t>
  </si>
  <si>
    <t xml:space="preserve">CUS461</t>
  </si>
  <si>
    <t xml:space="preserve">REF1242</t>
  </si>
  <si>
    <t xml:space="preserve">TXN1243</t>
  </si>
  <si>
    <t xml:space="preserve">REF1243</t>
  </si>
  <si>
    <t xml:space="preserve">TXN1244</t>
  </si>
  <si>
    <t xml:space="preserve">REF1244</t>
  </si>
  <si>
    <t xml:space="preserve">TXN1245</t>
  </si>
  <si>
    <t xml:space="preserve">REF1245</t>
  </si>
  <si>
    <t xml:space="preserve">TXN1246</t>
  </si>
  <si>
    <t xml:space="preserve">REF1246</t>
  </si>
  <si>
    <t xml:space="preserve">TXN1247</t>
  </si>
  <si>
    <t xml:space="preserve">REF1247</t>
  </si>
  <si>
    <t xml:space="preserve">TXN1248</t>
  </si>
  <si>
    <t xml:space="preserve">REF1248</t>
  </si>
  <si>
    <t xml:space="preserve">TXN1249</t>
  </si>
  <si>
    <t xml:space="preserve">REF1249</t>
  </si>
  <si>
    <t xml:space="preserve">TXN1250</t>
  </si>
  <si>
    <t xml:space="preserve">REF1250</t>
  </si>
  <si>
    <t xml:space="preserve">TXN1251</t>
  </si>
  <si>
    <t xml:space="preserve">REF1251</t>
  </si>
  <si>
    <t xml:space="preserve">TXN1252</t>
  </si>
  <si>
    <t xml:space="preserve">REF1252</t>
  </si>
  <si>
    <t xml:space="preserve">TXN1253</t>
  </si>
  <si>
    <t xml:space="preserve">ACC128</t>
  </si>
  <si>
    <t xml:space="preserve">CUS128</t>
  </si>
  <si>
    <t xml:space="preserve">REF1253</t>
  </si>
  <si>
    <t xml:space="preserve">TXN1254</t>
  </si>
  <si>
    <t xml:space="preserve">REF1254</t>
  </si>
  <si>
    <t xml:space="preserve">TXN1255</t>
  </si>
  <si>
    <t xml:space="preserve">ACC688</t>
  </si>
  <si>
    <t xml:space="preserve">CUS688</t>
  </si>
  <si>
    <t xml:space="preserve">REF1255</t>
  </si>
  <si>
    <t xml:space="preserve">TXN1256</t>
  </si>
  <si>
    <t xml:space="preserve">ACC450</t>
  </si>
  <si>
    <t xml:space="preserve">CUS450</t>
  </si>
  <si>
    <t xml:space="preserve">REF1256</t>
  </si>
  <si>
    <t xml:space="preserve">TXN1257</t>
  </si>
  <si>
    <t xml:space="preserve">REF1257</t>
  </si>
  <si>
    <t xml:space="preserve">TXN1258</t>
  </si>
  <si>
    <t xml:space="preserve">REF1258</t>
  </si>
  <si>
    <t xml:space="preserve">TXN1259</t>
  </si>
  <si>
    <t xml:space="preserve">REF1259</t>
  </si>
  <si>
    <t xml:space="preserve">TXN1260</t>
  </si>
  <si>
    <t xml:space="preserve">ACC091</t>
  </si>
  <si>
    <t xml:space="preserve">CUS091</t>
  </si>
  <si>
    <t xml:space="preserve">REF1260</t>
  </si>
  <si>
    <t xml:space="preserve">TXN1261</t>
  </si>
  <si>
    <t xml:space="preserve">REF1261</t>
  </si>
  <si>
    <t xml:space="preserve">TXN1262</t>
  </si>
  <si>
    <t xml:space="preserve">REF1262</t>
  </si>
  <si>
    <t xml:space="preserve">TXN1263</t>
  </si>
  <si>
    <t xml:space="preserve">ACC869</t>
  </si>
  <si>
    <t xml:space="preserve">CUS869</t>
  </si>
  <si>
    <t xml:space="preserve">REF1263</t>
  </si>
  <si>
    <t xml:space="preserve">TXN1264</t>
  </si>
  <si>
    <t xml:space="preserve">REF1264</t>
  </si>
  <si>
    <t xml:space="preserve">TXN1265</t>
  </si>
  <si>
    <t xml:space="preserve">REF1265</t>
  </si>
  <si>
    <t xml:space="preserve">TXN1266</t>
  </si>
  <si>
    <t xml:space="preserve">REF1266</t>
  </si>
  <si>
    <t xml:space="preserve">TXN1267</t>
  </si>
  <si>
    <t xml:space="preserve">REF1267</t>
  </si>
  <si>
    <t xml:space="preserve">TXN1268</t>
  </si>
  <si>
    <t xml:space="preserve">REF1268</t>
  </si>
  <si>
    <t xml:space="preserve">TXN1269</t>
  </si>
  <si>
    <t xml:space="preserve">REF1269</t>
  </si>
  <si>
    <t xml:space="preserve">TXN1270</t>
  </si>
  <si>
    <t xml:space="preserve">REF1270</t>
  </si>
  <si>
    <t xml:space="preserve">TXN1271</t>
  </si>
  <si>
    <t xml:space="preserve">REF1271</t>
  </si>
  <si>
    <t xml:space="preserve">TXN1272</t>
  </si>
  <si>
    <t xml:space="preserve">REF1272</t>
  </si>
  <si>
    <t xml:space="preserve">TXN1273</t>
  </si>
  <si>
    <t xml:space="preserve">ACC759</t>
  </si>
  <si>
    <t xml:space="preserve">CUS759</t>
  </si>
  <si>
    <t xml:space="preserve">REF1273</t>
  </si>
  <si>
    <t xml:space="preserve">TXN1274</t>
  </si>
  <si>
    <t xml:space="preserve">REF1274</t>
  </si>
  <si>
    <t xml:space="preserve">TXN1275</t>
  </si>
  <si>
    <t xml:space="preserve">REF1275</t>
  </si>
  <si>
    <t xml:space="preserve">TXN1276</t>
  </si>
  <si>
    <t xml:space="preserve">REF1276</t>
  </si>
  <si>
    <t xml:space="preserve">TXN1277</t>
  </si>
  <si>
    <t xml:space="preserve">ACC260</t>
  </si>
  <si>
    <t xml:space="preserve">CUS260</t>
  </si>
  <si>
    <t xml:space="preserve">REF1277</t>
  </si>
  <si>
    <t xml:space="preserve">TXN1278</t>
  </si>
  <si>
    <t xml:space="preserve">ACC621</t>
  </si>
  <si>
    <t xml:space="preserve">CUS621</t>
  </si>
  <si>
    <t xml:space="preserve">REF1278</t>
  </si>
  <si>
    <t xml:space="preserve">TXN1279</t>
  </si>
  <si>
    <t xml:space="preserve">REF1279</t>
  </si>
  <si>
    <t xml:space="preserve">TXN1280</t>
  </si>
  <si>
    <t xml:space="preserve">REF1280</t>
  </si>
  <si>
    <t xml:space="preserve">TXN1281</t>
  </si>
  <si>
    <t xml:space="preserve">ACC201</t>
  </si>
  <si>
    <t xml:space="preserve">CUS201</t>
  </si>
  <si>
    <t xml:space="preserve">REF1281</t>
  </si>
  <si>
    <t xml:space="preserve">TXN1282</t>
  </si>
  <si>
    <t xml:space="preserve">REF1282</t>
  </si>
  <si>
    <t xml:space="preserve">TXN1283</t>
  </si>
  <si>
    <t xml:space="preserve">ACC723</t>
  </si>
  <si>
    <t xml:space="preserve">CUS723</t>
  </si>
  <si>
    <t xml:space="preserve">REF1283</t>
  </si>
  <si>
    <t xml:space="preserve">TXN1284</t>
  </si>
  <si>
    <t xml:space="preserve">REF1284</t>
  </si>
  <si>
    <t xml:space="preserve">TXN1285</t>
  </si>
  <si>
    <t xml:space="preserve">REF1285</t>
  </si>
  <si>
    <t xml:space="preserve">TXN1286</t>
  </si>
  <si>
    <t xml:space="preserve">ACC106</t>
  </si>
  <si>
    <t xml:space="preserve">CUS106</t>
  </si>
  <si>
    <t xml:space="preserve">REF1286</t>
  </si>
  <si>
    <t xml:space="preserve">TXN1287</t>
  </si>
  <si>
    <t xml:space="preserve">ACC528</t>
  </si>
  <si>
    <t xml:space="preserve">CUS528</t>
  </si>
  <si>
    <t xml:space="preserve">REF1287</t>
  </si>
  <si>
    <t xml:space="preserve">TXN1288</t>
  </si>
  <si>
    <t xml:space="preserve">REF1288</t>
  </si>
  <si>
    <t xml:space="preserve">TXN1289</t>
  </si>
  <si>
    <t xml:space="preserve">REF1289</t>
  </si>
  <si>
    <t xml:space="preserve">TXN1290</t>
  </si>
  <si>
    <t xml:space="preserve">REF1290</t>
  </si>
  <si>
    <t xml:space="preserve">TXN1291</t>
  </si>
  <si>
    <t xml:space="preserve">REF1291</t>
  </si>
  <si>
    <t xml:space="preserve">TXN1292</t>
  </si>
  <si>
    <t xml:space="preserve">REF1292</t>
  </si>
  <si>
    <t xml:space="preserve">TXN1293</t>
  </si>
  <si>
    <t xml:space="preserve">ACC940</t>
  </si>
  <si>
    <t xml:space="preserve">CUS940</t>
  </si>
  <si>
    <t xml:space="preserve">REF1293</t>
  </si>
  <si>
    <t xml:space="preserve">TXN1294</t>
  </si>
  <si>
    <t xml:space="preserve">REF1294</t>
  </si>
  <si>
    <t xml:space="preserve">TXN1295</t>
  </si>
  <si>
    <t xml:space="preserve">REF1295</t>
  </si>
  <si>
    <t xml:space="preserve">TXN1296</t>
  </si>
  <si>
    <t xml:space="preserve">ACC143</t>
  </si>
  <si>
    <t xml:space="preserve">CUS143</t>
  </si>
  <si>
    <t xml:space="preserve">REF1296</t>
  </si>
  <si>
    <t xml:space="preserve">TXN1297</t>
  </si>
  <si>
    <t xml:space="preserve">ACC032</t>
  </si>
  <si>
    <t xml:space="preserve">CUS032</t>
  </si>
  <si>
    <t xml:space="preserve">REF1297</t>
  </si>
  <si>
    <t xml:space="preserve">TXN1298</t>
  </si>
  <si>
    <t xml:space="preserve">REF1298</t>
  </si>
  <si>
    <t xml:space="preserve">TXN1299</t>
  </si>
  <si>
    <t xml:space="preserve">REF1299</t>
  </si>
  <si>
    <t xml:space="preserve">TXN1300</t>
  </si>
  <si>
    <t xml:space="preserve">ACC802</t>
  </si>
  <si>
    <t xml:space="preserve">CUS802</t>
  </si>
  <si>
    <t xml:space="preserve">REF1300</t>
  </si>
  <si>
    <t xml:space="preserve">TXN1301</t>
  </si>
  <si>
    <t xml:space="preserve">REF1301</t>
  </si>
  <si>
    <t xml:space="preserve">TXN1302</t>
  </si>
  <si>
    <t xml:space="preserve">ACC442</t>
  </si>
  <si>
    <t xml:space="preserve">CUS442</t>
  </si>
  <si>
    <t xml:space="preserve">REF1302</t>
  </si>
  <si>
    <t xml:space="preserve">TXN1303</t>
  </si>
  <si>
    <t xml:space="preserve">REF1303</t>
  </si>
  <si>
    <t xml:space="preserve">TXN1304</t>
  </si>
  <si>
    <t xml:space="preserve">REF1304</t>
  </si>
  <si>
    <t xml:space="preserve">TXN1305</t>
  </si>
  <si>
    <t xml:space="preserve">ACC682</t>
  </si>
  <si>
    <t xml:space="preserve">CUS682</t>
  </si>
  <si>
    <t xml:space="preserve">REF1305</t>
  </si>
  <si>
    <t xml:space="preserve">TXN1306</t>
  </si>
  <si>
    <t xml:space="preserve">ACC878</t>
  </si>
  <si>
    <t xml:space="preserve">CUS878</t>
  </si>
  <si>
    <t xml:space="preserve">REF1306</t>
  </si>
  <si>
    <t xml:space="preserve">TXN1307</t>
  </si>
  <si>
    <t xml:space="preserve">REF1307</t>
  </si>
  <si>
    <t xml:space="preserve">TXN1308</t>
  </si>
  <si>
    <t xml:space="preserve">REF1308</t>
  </si>
  <si>
    <t xml:space="preserve">TXN1309</t>
  </si>
  <si>
    <t xml:space="preserve">REF1309</t>
  </si>
  <si>
    <t xml:space="preserve">TXN1310</t>
  </si>
  <si>
    <t xml:space="preserve">REF1310</t>
  </si>
  <si>
    <t xml:space="preserve">TXN1311</t>
  </si>
  <si>
    <t xml:space="preserve">REF1311</t>
  </si>
  <si>
    <t xml:space="preserve">TXN1312</t>
  </si>
  <si>
    <t xml:space="preserve">ACC698</t>
  </si>
  <si>
    <t xml:space="preserve">CUS698</t>
  </si>
  <si>
    <t xml:space="preserve">REF1312</t>
  </si>
  <si>
    <t xml:space="preserve">TXN1313</t>
  </si>
  <si>
    <t xml:space="preserve">REF1313</t>
  </si>
  <si>
    <t xml:space="preserve">TXN1314</t>
  </si>
  <si>
    <t xml:space="preserve">REF1314</t>
  </si>
  <si>
    <t xml:space="preserve">TXN1315</t>
  </si>
  <si>
    <t xml:space="preserve">ACC989</t>
  </si>
  <si>
    <t xml:space="preserve">CUS989</t>
  </si>
  <si>
    <t xml:space="preserve">REF1315</t>
  </si>
  <si>
    <t xml:space="preserve">TXN1316</t>
  </si>
  <si>
    <t xml:space="preserve">REF1316</t>
  </si>
  <si>
    <t xml:space="preserve">TXN1317</t>
  </si>
  <si>
    <t xml:space="preserve">ACC365</t>
  </si>
  <si>
    <t xml:space="preserve">CUS365</t>
  </si>
  <si>
    <t xml:space="preserve">REF1317</t>
  </si>
  <si>
    <t xml:space="preserve">TXN1318</t>
  </si>
  <si>
    <t xml:space="preserve">REF1318</t>
  </si>
  <si>
    <t xml:space="preserve">TXN1319</t>
  </si>
  <si>
    <t xml:space="preserve">ACC804</t>
  </si>
  <si>
    <t xml:space="preserve">CUS804</t>
  </si>
  <si>
    <t xml:space="preserve">REF1319</t>
  </si>
  <si>
    <t xml:space="preserve">TXN1320</t>
  </si>
  <si>
    <t xml:space="preserve">REF1320</t>
  </si>
  <si>
    <t xml:space="preserve">TXN1321</t>
  </si>
  <si>
    <t xml:space="preserve">ACC421</t>
  </si>
  <si>
    <t xml:space="preserve">CUS421</t>
  </si>
  <si>
    <t xml:space="preserve">REF1321</t>
  </si>
  <si>
    <t xml:space="preserve">TXN1322</t>
  </si>
  <si>
    <t xml:space="preserve">ACC282</t>
  </si>
  <si>
    <t xml:space="preserve">CUS282</t>
  </si>
  <si>
    <t xml:space="preserve">REF1322</t>
  </si>
  <si>
    <t xml:space="preserve">TXN1323</t>
  </si>
  <si>
    <t xml:space="preserve">REF1323</t>
  </si>
  <si>
    <t xml:space="preserve">TXN1324</t>
  </si>
  <si>
    <t xml:space="preserve">ACC902</t>
  </si>
  <si>
    <t xml:space="preserve">CUS902</t>
  </si>
  <si>
    <t xml:space="preserve">REF1324</t>
  </si>
  <si>
    <t xml:space="preserve">TXN1325</t>
  </si>
  <si>
    <t xml:space="preserve">ACC649</t>
  </si>
  <si>
    <t xml:space="preserve">CUS649</t>
  </si>
  <si>
    <t xml:space="preserve">REF1325</t>
  </si>
  <si>
    <t xml:space="preserve">TXN1326</t>
  </si>
  <si>
    <t xml:space="preserve">REF1326</t>
  </si>
  <si>
    <t xml:space="preserve">TXN1327</t>
  </si>
  <si>
    <t xml:space="preserve">REF1327</t>
  </si>
  <si>
    <t xml:space="preserve">TXN1328</t>
  </si>
  <si>
    <t xml:space="preserve">ACC465</t>
  </si>
  <si>
    <t xml:space="preserve">CUS465</t>
  </si>
  <si>
    <t xml:space="preserve">REF1328</t>
  </si>
  <si>
    <t xml:space="preserve">TXN1329</t>
  </si>
  <si>
    <t xml:space="preserve">REF1329</t>
  </si>
  <si>
    <t xml:space="preserve">TXN1330</t>
  </si>
  <si>
    <t xml:space="preserve">REF1330</t>
  </si>
  <si>
    <t xml:space="preserve">TXN1331</t>
  </si>
  <si>
    <t xml:space="preserve">REF1331</t>
  </si>
  <si>
    <t xml:space="preserve">TXN1332</t>
  </si>
  <si>
    <t xml:space="preserve">ACC530</t>
  </si>
  <si>
    <t xml:space="preserve">CUS530</t>
  </si>
  <si>
    <t xml:space="preserve">REF1332</t>
  </si>
  <si>
    <t xml:space="preserve">TXN1333</t>
  </si>
  <si>
    <t xml:space="preserve">REF1333</t>
  </si>
  <si>
    <t xml:space="preserve">TXN1334</t>
  </si>
  <si>
    <t xml:space="preserve">REF1334</t>
  </si>
  <si>
    <t xml:space="preserve">TXN1335</t>
  </si>
  <si>
    <t xml:space="preserve">ACC787</t>
  </si>
  <si>
    <t xml:space="preserve">CUS787</t>
  </si>
  <si>
    <t xml:space="preserve">REF1335</t>
  </si>
  <si>
    <t xml:space="preserve">TXN1336</t>
  </si>
  <si>
    <t xml:space="preserve">REF1336</t>
  </si>
  <si>
    <t xml:space="preserve">TXN1337</t>
  </si>
  <si>
    <t xml:space="preserve">REF1337</t>
  </si>
  <si>
    <t xml:space="preserve">TXN1338</t>
  </si>
  <si>
    <t xml:space="preserve">REF1338</t>
  </si>
  <si>
    <t xml:space="preserve">TXN1339</t>
  </si>
  <si>
    <t xml:space="preserve">REF1339</t>
  </si>
  <si>
    <t xml:space="preserve">TXN1340</t>
  </si>
  <si>
    <t xml:space="preserve">ACC566</t>
  </si>
  <si>
    <t xml:space="preserve">CUS566</t>
  </si>
  <si>
    <t xml:space="preserve">REF1340</t>
  </si>
  <si>
    <t xml:space="preserve">TXN1341</t>
  </si>
  <si>
    <t xml:space="preserve">REF1341</t>
  </si>
  <si>
    <t xml:space="preserve">TXN1342</t>
  </si>
  <si>
    <t xml:space="preserve">REF1342</t>
  </si>
  <si>
    <t xml:space="preserve">TXN1343</t>
  </si>
  <si>
    <t xml:space="preserve">REF1343</t>
  </si>
  <si>
    <t xml:space="preserve">TXN1344</t>
  </si>
  <si>
    <t xml:space="preserve">REF1344</t>
  </si>
  <si>
    <t xml:space="preserve">TXN1345</t>
  </si>
  <si>
    <t xml:space="preserve">REF1345</t>
  </si>
  <si>
    <t xml:space="preserve">TXN1346</t>
  </si>
  <si>
    <t xml:space="preserve">ACC501</t>
  </si>
  <si>
    <t xml:space="preserve">CUS501</t>
  </si>
  <si>
    <t xml:space="preserve">REF1346</t>
  </si>
  <si>
    <t xml:space="preserve">TXN1347</t>
  </si>
  <si>
    <t xml:space="preserve">ACC113</t>
  </si>
  <si>
    <t xml:space="preserve">CUS113</t>
  </si>
  <si>
    <t xml:space="preserve">REF1347</t>
  </si>
  <si>
    <t xml:space="preserve">TXN1348</t>
  </si>
  <si>
    <t xml:space="preserve">REF1348</t>
  </si>
  <si>
    <t xml:space="preserve">TXN1349</t>
  </si>
  <si>
    <t xml:space="preserve">REF1349</t>
  </si>
  <si>
    <t xml:space="preserve">TXN1350</t>
  </si>
  <si>
    <t xml:space="preserve">REF1350</t>
  </si>
  <si>
    <t xml:space="preserve">TXN1351</t>
  </si>
  <si>
    <t xml:space="preserve">REF1351</t>
  </si>
  <si>
    <t xml:space="preserve">TXN1352</t>
  </si>
  <si>
    <t xml:space="preserve">ACC974</t>
  </si>
  <si>
    <t xml:space="preserve">CUS974</t>
  </si>
  <si>
    <t xml:space="preserve">REF1352</t>
  </si>
  <si>
    <t xml:space="preserve">TXN1353</t>
  </si>
  <si>
    <t xml:space="preserve">REF1353</t>
  </si>
  <si>
    <t xml:space="preserve">TXN1354</t>
  </si>
  <si>
    <t xml:space="preserve">REF1354</t>
  </si>
  <si>
    <t xml:space="preserve">TXN1355</t>
  </si>
  <si>
    <t xml:space="preserve">REF1355</t>
  </si>
  <si>
    <t xml:space="preserve">TXN1356</t>
  </si>
  <si>
    <t xml:space="preserve">REF1356</t>
  </si>
  <si>
    <t xml:space="preserve">TXN1357</t>
  </si>
  <si>
    <t xml:space="preserve">REF1357</t>
  </si>
  <si>
    <t xml:space="preserve">TXN1358</t>
  </si>
  <si>
    <t xml:space="preserve">ACC817</t>
  </si>
  <si>
    <t xml:space="preserve">CUS817</t>
  </si>
  <si>
    <t xml:space="preserve">REF1358</t>
  </si>
  <si>
    <t xml:space="preserve">TXN1359</t>
  </si>
  <si>
    <t xml:space="preserve">REF1359</t>
  </si>
  <si>
    <t xml:space="preserve">TXN1360</t>
  </si>
  <si>
    <t xml:space="preserve">ACC969</t>
  </si>
  <si>
    <t xml:space="preserve">CUS969</t>
  </si>
  <si>
    <t xml:space="preserve">REF1360</t>
  </si>
  <si>
    <t xml:space="preserve">TXN1361</t>
  </si>
  <si>
    <t xml:space="preserve">ACC454</t>
  </si>
  <si>
    <t xml:space="preserve">CUS454</t>
  </si>
  <si>
    <t xml:space="preserve">REF1361</t>
  </si>
  <si>
    <t xml:space="preserve">TXN1362</t>
  </si>
  <si>
    <t xml:space="preserve">ACC048</t>
  </si>
  <si>
    <t xml:space="preserve">CUS048</t>
  </si>
  <si>
    <t xml:space="preserve">REF1362</t>
  </si>
  <si>
    <t xml:space="preserve">TXN1363</t>
  </si>
  <si>
    <t xml:space="preserve">REF1363</t>
  </si>
  <si>
    <t xml:space="preserve">TXN1364</t>
  </si>
  <si>
    <t xml:space="preserve">ACC511</t>
  </si>
  <si>
    <t xml:space="preserve">CUS511</t>
  </si>
  <si>
    <t xml:space="preserve">REF1364</t>
  </si>
  <si>
    <t xml:space="preserve">TXN1365</t>
  </si>
  <si>
    <t xml:space="preserve">REF1365</t>
  </si>
  <si>
    <t xml:space="preserve">TXN1366</t>
  </si>
  <si>
    <t xml:space="preserve">REF1366</t>
  </si>
  <si>
    <t xml:space="preserve">TXN1367</t>
  </si>
  <si>
    <t xml:space="preserve">REF1367</t>
  </si>
  <si>
    <t xml:space="preserve">TXN1368</t>
  </si>
  <si>
    <t xml:space="preserve">ACC127</t>
  </si>
  <si>
    <t xml:space="preserve">CUS127</t>
  </si>
  <si>
    <t xml:space="preserve">REF1368</t>
  </si>
  <si>
    <t xml:space="preserve">TXN1369</t>
  </si>
  <si>
    <t xml:space="preserve">ACC476</t>
  </si>
  <si>
    <t xml:space="preserve">CUS476</t>
  </si>
  <si>
    <t xml:space="preserve">REF1369</t>
  </si>
  <si>
    <t xml:space="preserve">TXN1370</t>
  </si>
  <si>
    <t xml:space="preserve">ACC179</t>
  </si>
  <si>
    <t xml:space="preserve">CUS179</t>
  </si>
  <si>
    <t xml:space="preserve">REF1370</t>
  </si>
  <si>
    <t xml:space="preserve">TXN1371</t>
  </si>
  <si>
    <t xml:space="preserve">REF1371</t>
  </si>
  <si>
    <t xml:space="preserve">TXN1372</t>
  </si>
  <si>
    <t xml:space="preserve">REF1372</t>
  </si>
  <si>
    <t xml:space="preserve">TXN1373</t>
  </si>
  <si>
    <t xml:space="preserve">ACC347</t>
  </si>
  <si>
    <t xml:space="preserve">CUS347</t>
  </si>
  <si>
    <t xml:space="preserve">REF1373</t>
  </si>
  <si>
    <t xml:space="preserve">TXN1374</t>
  </si>
  <si>
    <t xml:space="preserve">ACC312</t>
  </si>
  <si>
    <t xml:space="preserve">CUS312</t>
  </si>
  <si>
    <t xml:space="preserve">REF1374</t>
  </si>
  <si>
    <t xml:space="preserve">TXN1375</t>
  </si>
  <si>
    <t xml:space="preserve">REF1375</t>
  </si>
  <si>
    <t xml:space="preserve">TXN1376</t>
  </si>
  <si>
    <t xml:space="preserve">REF1376</t>
  </si>
  <si>
    <t xml:space="preserve">TXN1377</t>
  </si>
  <si>
    <t xml:space="preserve">REF1377</t>
  </si>
  <si>
    <t xml:space="preserve">TXN1378</t>
  </si>
  <si>
    <t xml:space="preserve">REF1378</t>
  </si>
  <si>
    <t xml:space="preserve">TXN1379</t>
  </si>
  <si>
    <t xml:space="preserve">REF1379</t>
  </si>
  <si>
    <t xml:space="preserve">TXN1380</t>
  </si>
  <si>
    <t xml:space="preserve">REF1380</t>
  </si>
  <si>
    <t xml:space="preserve">TXN1381</t>
  </si>
  <si>
    <t xml:space="preserve">REF1381</t>
  </si>
  <si>
    <t xml:space="preserve">TXN1382</t>
  </si>
  <si>
    <t xml:space="preserve">ACC718</t>
  </si>
  <si>
    <t xml:space="preserve">CUS718</t>
  </si>
  <si>
    <t xml:space="preserve">REF1382</t>
  </si>
  <si>
    <t xml:space="preserve">TXN1383</t>
  </si>
  <si>
    <t xml:space="preserve">REF1383</t>
  </si>
  <si>
    <t xml:space="preserve">TXN1384</t>
  </si>
  <si>
    <t xml:space="preserve">REF1384</t>
  </si>
  <si>
    <t xml:space="preserve">TXN1385</t>
  </si>
  <si>
    <t xml:space="preserve">REF1385</t>
  </si>
  <si>
    <t xml:space="preserve">TXN1386</t>
  </si>
  <si>
    <t xml:space="preserve">REF1386</t>
  </si>
  <si>
    <t xml:space="preserve">TXN1387</t>
  </si>
  <si>
    <t xml:space="preserve">REF1387</t>
  </si>
  <si>
    <t xml:space="preserve">TXN1388</t>
  </si>
  <si>
    <t xml:space="preserve">REF1388</t>
  </si>
  <si>
    <t xml:space="preserve">TXN1389</t>
  </si>
  <si>
    <t xml:space="preserve">REF1389</t>
  </si>
  <si>
    <t xml:space="preserve">TXN1390</t>
  </si>
  <si>
    <t xml:space="preserve">REF1390</t>
  </si>
  <si>
    <t xml:space="preserve">TXN1391</t>
  </si>
  <si>
    <t xml:space="preserve">REF1391</t>
  </si>
  <si>
    <t xml:space="preserve">TXN1392</t>
  </si>
  <si>
    <t xml:space="preserve">REF1392</t>
  </si>
  <si>
    <t xml:space="preserve">TXN1393</t>
  </si>
  <si>
    <t xml:space="preserve">ACC697</t>
  </si>
  <si>
    <t xml:space="preserve">CUS697</t>
  </si>
  <si>
    <t xml:space="preserve">REF1393</t>
  </si>
  <si>
    <t xml:space="preserve">TXN1394</t>
  </si>
  <si>
    <t xml:space="preserve">REF1394</t>
  </si>
  <si>
    <t xml:space="preserve">TXN1395</t>
  </si>
  <si>
    <t xml:space="preserve">REF1395</t>
  </si>
  <si>
    <t xml:space="preserve">TXN1396</t>
  </si>
  <si>
    <t xml:space="preserve">ACC263</t>
  </si>
  <si>
    <t xml:space="preserve">CUS263</t>
  </si>
  <si>
    <t xml:space="preserve">REF1396</t>
  </si>
  <si>
    <t xml:space="preserve">TXN1397</t>
  </si>
  <si>
    <t xml:space="preserve">ACC374</t>
  </si>
  <si>
    <t xml:space="preserve">CUS374</t>
  </si>
  <si>
    <t xml:space="preserve">REF1397</t>
  </si>
  <si>
    <t xml:space="preserve">TXN1398</t>
  </si>
  <si>
    <t xml:space="preserve">REF1398</t>
  </si>
  <si>
    <t xml:space="preserve">TXN1399</t>
  </si>
  <si>
    <t xml:space="preserve">REF1399</t>
  </si>
  <si>
    <t xml:space="preserve">TXN1400</t>
  </si>
  <si>
    <t xml:space="preserve">REF1400</t>
  </si>
  <si>
    <t xml:space="preserve">TXN1401</t>
  </si>
  <si>
    <t xml:space="preserve">REF1401</t>
  </si>
  <si>
    <t xml:space="preserve">TXN1402</t>
  </si>
  <si>
    <t xml:space="preserve">REF1402</t>
  </si>
  <si>
    <t xml:space="preserve">TXN1403</t>
  </si>
  <si>
    <t xml:space="preserve">REF1403</t>
  </si>
  <si>
    <t xml:space="preserve">TXN1404</t>
  </si>
  <si>
    <t xml:space="preserve">REF1404</t>
  </si>
  <si>
    <t xml:space="preserve">TXN1405</t>
  </si>
  <si>
    <t xml:space="preserve">REF1405</t>
  </si>
  <si>
    <t xml:space="preserve">TXN1406</t>
  </si>
  <si>
    <t xml:space="preserve">REF1406</t>
  </si>
  <si>
    <t xml:space="preserve">TXN1407</t>
  </si>
  <si>
    <t xml:space="preserve">ACC889</t>
  </si>
  <si>
    <t xml:space="preserve">CUS889</t>
  </si>
  <si>
    <t xml:space="preserve">REF1407</t>
  </si>
  <si>
    <t xml:space="preserve">TXN1408</t>
  </si>
  <si>
    <t xml:space="preserve">REF1408</t>
  </si>
  <si>
    <t xml:space="preserve">TXN1409</t>
  </si>
  <si>
    <t xml:space="preserve">REF1409</t>
  </si>
  <si>
    <t xml:space="preserve">TXN1410</t>
  </si>
  <si>
    <t xml:space="preserve">REF1410</t>
  </si>
  <si>
    <t xml:space="preserve">TXN1411</t>
  </si>
  <si>
    <t xml:space="preserve">ACC359</t>
  </si>
  <si>
    <t xml:space="preserve">CUS359</t>
  </si>
  <si>
    <t xml:space="preserve">REF1411</t>
  </si>
  <si>
    <t xml:space="preserve">TXN1412</t>
  </si>
  <si>
    <t xml:space="preserve">REF1412</t>
  </si>
  <si>
    <t xml:space="preserve">TXN1413</t>
  </si>
  <si>
    <t xml:space="preserve">ACC352</t>
  </si>
  <si>
    <t xml:space="preserve">CUS352</t>
  </si>
  <si>
    <t xml:space="preserve">REF1413</t>
  </si>
  <si>
    <t xml:space="preserve">TXN1414</t>
  </si>
  <si>
    <t xml:space="preserve">REF1414</t>
  </si>
  <si>
    <t xml:space="preserve">TXN1415</t>
  </si>
  <si>
    <t xml:space="preserve">REF1415</t>
  </si>
  <si>
    <t xml:space="preserve">TXN1416</t>
  </si>
  <si>
    <t xml:space="preserve">REF1416</t>
  </si>
  <si>
    <t xml:space="preserve">TXN1417</t>
  </si>
  <si>
    <t xml:space="preserve">REF1417</t>
  </si>
  <si>
    <t xml:space="preserve">TXN1418</t>
  </si>
  <si>
    <t xml:space="preserve">REF1418</t>
  </si>
  <si>
    <t xml:space="preserve">TXN1419</t>
  </si>
  <si>
    <t xml:space="preserve">REF1419</t>
  </si>
  <si>
    <t xml:space="preserve">TXN1420</t>
  </si>
  <si>
    <t xml:space="preserve">REF1420</t>
  </si>
  <si>
    <t xml:space="preserve">TXN1421</t>
  </si>
  <si>
    <t xml:space="preserve">REF1421</t>
  </si>
  <si>
    <t xml:space="preserve">TXN1422</t>
  </si>
  <si>
    <t xml:space="preserve">ACC609</t>
  </si>
  <si>
    <t xml:space="preserve">CUS609</t>
  </si>
  <si>
    <t xml:space="preserve">REF1422</t>
  </si>
  <si>
    <t xml:space="preserve">TXN1423</t>
  </si>
  <si>
    <t xml:space="preserve">ACC935</t>
  </si>
  <si>
    <t xml:space="preserve">CUS935</t>
  </si>
  <si>
    <t xml:space="preserve">REF1423</t>
  </si>
  <si>
    <t xml:space="preserve">TXN1424</t>
  </si>
  <si>
    <t xml:space="preserve">REF1424</t>
  </si>
  <si>
    <t xml:space="preserve">TXN1425</t>
  </si>
  <si>
    <t xml:space="preserve">REF1425</t>
  </si>
  <si>
    <t xml:space="preserve">TXN1426</t>
  </si>
  <si>
    <t xml:space="preserve">REF1426</t>
  </si>
  <si>
    <t xml:space="preserve">TXN1427</t>
  </si>
  <si>
    <t xml:space="preserve">REF1427</t>
  </si>
  <si>
    <t xml:space="preserve">TXN1428</t>
  </si>
  <si>
    <t xml:space="preserve">REF1428</t>
  </si>
  <si>
    <t xml:space="preserve">TXN1429</t>
  </si>
  <si>
    <t xml:space="preserve">REF1429</t>
  </si>
  <si>
    <t xml:space="preserve">TXN1430</t>
  </si>
  <si>
    <t xml:space="preserve">ACC516</t>
  </si>
  <si>
    <t xml:space="preserve">CUS516</t>
  </si>
  <si>
    <t xml:space="preserve">REF1430</t>
  </si>
  <si>
    <t xml:space="preserve">TXN1431</t>
  </si>
  <si>
    <t xml:space="preserve">REF1431</t>
  </si>
  <si>
    <t xml:space="preserve">TXN1432</t>
  </si>
  <si>
    <t xml:space="preserve">REF1432</t>
  </si>
  <si>
    <t xml:space="preserve">TXN1433</t>
  </si>
  <si>
    <t xml:space="preserve">REF1433</t>
  </si>
  <si>
    <t xml:space="preserve">TXN1434</t>
  </si>
  <si>
    <t xml:space="preserve">ACC914</t>
  </si>
  <si>
    <t xml:space="preserve">CUS914</t>
  </si>
  <si>
    <t xml:space="preserve">REF1434</t>
  </si>
  <si>
    <t xml:space="preserve">TXN1435</t>
  </si>
  <si>
    <t xml:space="preserve">ACC434</t>
  </si>
  <si>
    <t xml:space="preserve">CUS434</t>
  </si>
  <si>
    <t xml:space="preserve">REF1435</t>
  </si>
  <si>
    <t xml:space="preserve">TXN1436</t>
  </si>
  <si>
    <t xml:space="preserve">ACC196</t>
  </si>
  <si>
    <t xml:space="preserve">CUS196</t>
  </si>
  <si>
    <t xml:space="preserve">REF1436</t>
  </si>
  <si>
    <t xml:space="preserve">TXN1437</t>
  </si>
  <si>
    <t xml:space="preserve">ACC255</t>
  </si>
  <si>
    <t xml:space="preserve">CUS255</t>
  </si>
  <si>
    <t xml:space="preserve">REF1437</t>
  </si>
  <si>
    <t xml:space="preserve">TXN1438</t>
  </si>
  <si>
    <t xml:space="preserve">REF1438</t>
  </si>
  <si>
    <t xml:space="preserve">TXN1439</t>
  </si>
  <si>
    <t xml:space="preserve">REF1439</t>
  </si>
  <si>
    <t xml:space="preserve">TXN1440</t>
  </si>
  <si>
    <t xml:space="preserve">REF1440</t>
  </si>
  <si>
    <t xml:space="preserve">TXN1441</t>
  </si>
  <si>
    <t xml:space="preserve">REF1441</t>
  </si>
  <si>
    <t xml:space="preserve">TXN1442</t>
  </si>
  <si>
    <t xml:space="preserve">ACC443</t>
  </si>
  <si>
    <t xml:space="preserve">CUS443</t>
  </si>
  <si>
    <t xml:space="preserve">REF1442</t>
  </si>
  <si>
    <t xml:space="preserve">TXN1443</t>
  </si>
  <si>
    <t xml:space="preserve">ACC763</t>
  </si>
  <si>
    <t xml:space="preserve">CUS763</t>
  </si>
  <si>
    <t xml:space="preserve">REF1443</t>
  </si>
  <si>
    <t xml:space="preserve">TXN1444</t>
  </si>
  <si>
    <t xml:space="preserve">REF1444</t>
  </si>
  <si>
    <t xml:space="preserve">TXN1445</t>
  </si>
  <si>
    <t xml:space="preserve">REF1445</t>
  </si>
  <si>
    <t xml:space="preserve">TXN1446</t>
  </si>
  <si>
    <t xml:space="preserve">REF1446</t>
  </si>
  <si>
    <t xml:space="preserve">TXN1447</t>
  </si>
  <si>
    <t xml:space="preserve">REF1447</t>
  </si>
  <si>
    <t xml:space="preserve">TXN1448</t>
  </si>
  <si>
    <t xml:space="preserve">REF1448</t>
  </si>
  <si>
    <t xml:space="preserve">TXN1449</t>
  </si>
  <si>
    <t xml:space="preserve">REF1449</t>
  </si>
  <si>
    <t xml:space="preserve">TXN1450</t>
  </si>
  <si>
    <t xml:space="preserve">ACC181</t>
  </si>
  <si>
    <t xml:space="preserve">CUS181</t>
  </si>
  <si>
    <t xml:space="preserve">REF1450</t>
  </si>
  <si>
    <t xml:space="preserve">TXN1451</t>
  </si>
  <si>
    <t xml:space="preserve">REF1451</t>
  </si>
  <si>
    <t xml:space="preserve">TXN1452</t>
  </si>
  <si>
    <t xml:space="preserve">ACC983</t>
  </si>
  <si>
    <t xml:space="preserve">CUS983</t>
  </si>
  <si>
    <t xml:space="preserve">REF1452</t>
  </si>
  <si>
    <t xml:space="preserve">TXN1453</t>
  </si>
  <si>
    <t xml:space="preserve">REF1453</t>
  </si>
  <si>
    <t xml:space="preserve">TXN1454</t>
  </si>
  <si>
    <t xml:space="preserve">REF1454</t>
  </si>
  <si>
    <t xml:space="preserve">TXN1455</t>
  </si>
  <si>
    <t xml:space="preserve">REF1455</t>
  </si>
  <si>
    <t xml:space="preserve">TXN1456</t>
  </si>
  <si>
    <t xml:space="preserve">REF1456</t>
  </si>
  <si>
    <t xml:space="preserve">TXN1457</t>
  </si>
  <si>
    <t xml:space="preserve">REF1457</t>
  </si>
  <si>
    <t xml:space="preserve">TXN1458</t>
  </si>
  <si>
    <t xml:space="preserve">ACC019</t>
  </si>
  <si>
    <t xml:space="preserve">CUS019</t>
  </si>
  <si>
    <t xml:space="preserve">REF1458</t>
  </si>
  <si>
    <t xml:space="preserve">TXN1459</t>
  </si>
  <si>
    <t xml:space="preserve">REF1459</t>
  </si>
  <si>
    <t xml:space="preserve">TXN1460</t>
  </si>
  <si>
    <t xml:space="preserve">REF1460</t>
  </si>
  <si>
    <t xml:space="preserve">TXN1461</t>
  </si>
  <si>
    <t xml:space="preserve">REF1461</t>
  </si>
  <si>
    <t xml:space="preserve">TXN1462</t>
  </si>
  <si>
    <t xml:space="preserve">REF1462</t>
  </si>
  <si>
    <t xml:space="preserve">TXN1463</t>
  </si>
  <si>
    <t xml:space="preserve">REF1463</t>
  </si>
  <si>
    <t xml:space="preserve">TXN1464</t>
  </si>
  <si>
    <t xml:space="preserve">ACC424</t>
  </si>
  <si>
    <t xml:space="preserve">CUS424</t>
  </si>
  <si>
    <t xml:space="preserve">REF1464</t>
  </si>
  <si>
    <t xml:space="preserve">TXN1465</t>
  </si>
  <si>
    <t xml:space="preserve">ACC345</t>
  </si>
  <si>
    <t xml:space="preserve">CUS345</t>
  </si>
  <si>
    <t xml:space="preserve">REF1465</t>
  </si>
  <si>
    <t xml:space="preserve">TXN1466</t>
  </si>
  <si>
    <t xml:space="preserve">ACC230</t>
  </si>
  <si>
    <t xml:space="preserve">CUS230</t>
  </si>
  <si>
    <t xml:space="preserve">REF1466</t>
  </si>
  <si>
    <t xml:space="preserve">TXN1467</t>
  </si>
  <si>
    <t xml:space="preserve">REF1467</t>
  </si>
  <si>
    <t xml:space="preserve">TXN1468</t>
  </si>
  <si>
    <t xml:space="preserve">REF1468</t>
  </si>
  <si>
    <t xml:space="preserve">TXN1469</t>
  </si>
  <si>
    <t xml:space="preserve">REF1469</t>
  </si>
  <si>
    <t xml:space="preserve">TXN1470</t>
  </si>
  <si>
    <t xml:space="preserve">REF1470</t>
  </si>
  <si>
    <t xml:space="preserve">TXN1471</t>
  </si>
  <si>
    <t xml:space="preserve">ACC016</t>
  </si>
  <si>
    <t xml:space="preserve">CUS016</t>
  </si>
  <si>
    <t xml:space="preserve">REF1471</t>
  </si>
  <si>
    <t xml:space="preserve">TXN1472</t>
  </si>
  <si>
    <t xml:space="preserve">REF1472</t>
  </si>
  <si>
    <t xml:space="preserve">TXN1473</t>
  </si>
  <si>
    <t xml:space="preserve">REF1473</t>
  </si>
  <si>
    <t xml:space="preserve">TXN1474</t>
  </si>
  <si>
    <t xml:space="preserve">REF1474</t>
  </si>
  <si>
    <t xml:space="preserve">TXN1475</t>
  </si>
  <si>
    <t xml:space="preserve">REF1475</t>
  </si>
  <si>
    <t xml:space="preserve">TXN1476</t>
  </si>
  <si>
    <t xml:space="preserve">REF1476</t>
  </si>
  <si>
    <t xml:space="preserve">TXN1477</t>
  </si>
  <si>
    <t xml:space="preserve">REF1477</t>
  </si>
  <si>
    <t xml:space="preserve">TXN1478</t>
  </si>
  <si>
    <t xml:space="preserve">ACC462</t>
  </si>
  <si>
    <t xml:space="preserve">CUS462</t>
  </si>
  <si>
    <t xml:space="preserve">REF1478</t>
  </si>
  <si>
    <t xml:space="preserve">TXN1479</t>
  </si>
  <si>
    <t xml:space="preserve">REF1479</t>
  </si>
  <si>
    <t xml:space="preserve">TXN1480</t>
  </si>
  <si>
    <t xml:space="preserve">ACC129</t>
  </si>
  <si>
    <t xml:space="preserve">CUS129</t>
  </si>
  <si>
    <t xml:space="preserve">REF1480</t>
  </si>
  <si>
    <t xml:space="preserve">TXN1481</t>
  </si>
  <si>
    <t xml:space="preserve">ACC028</t>
  </si>
  <si>
    <t xml:space="preserve">CUS028</t>
  </si>
  <si>
    <t xml:space="preserve">REF1481</t>
  </si>
  <si>
    <t xml:space="preserve">TXN1482</t>
  </si>
  <si>
    <t xml:space="preserve">ACC253</t>
  </si>
  <si>
    <t xml:space="preserve">CUS253</t>
  </si>
  <si>
    <t xml:space="preserve">REF1482</t>
  </si>
  <si>
    <t xml:space="preserve">TXN1483</t>
  </si>
  <si>
    <t xml:space="preserve">REF1483</t>
  </si>
  <si>
    <t xml:space="preserve">TXN1484</t>
  </si>
  <si>
    <t xml:space="preserve">REF1484</t>
  </si>
  <si>
    <t xml:space="preserve">TXN1485</t>
  </si>
  <si>
    <t xml:space="preserve">REF1485</t>
  </si>
  <si>
    <t xml:space="preserve">TXN1486</t>
  </si>
  <si>
    <t xml:space="preserve">ACC898</t>
  </si>
  <si>
    <t xml:space="preserve">CUS898</t>
  </si>
  <si>
    <t xml:space="preserve">REF1486</t>
  </si>
  <si>
    <t xml:space="preserve">TXN1487</t>
  </si>
  <si>
    <t xml:space="preserve">ACC479</t>
  </si>
  <si>
    <t xml:space="preserve">CUS479</t>
  </si>
  <si>
    <t xml:space="preserve">REF1487</t>
  </si>
  <si>
    <t xml:space="preserve">TXN1488</t>
  </si>
  <si>
    <t xml:space="preserve">ACC610</t>
  </si>
  <si>
    <t xml:space="preserve">CUS610</t>
  </si>
  <si>
    <t xml:space="preserve">REF1488</t>
  </si>
  <si>
    <t xml:space="preserve">TXN1489</t>
  </si>
  <si>
    <t xml:space="preserve">REF1489</t>
  </si>
  <si>
    <t xml:space="preserve">TXN1490</t>
  </si>
  <si>
    <t xml:space="preserve">ACC343</t>
  </si>
  <si>
    <t xml:space="preserve">CUS343</t>
  </si>
  <si>
    <t xml:space="preserve">REF1490</t>
  </si>
  <si>
    <t xml:space="preserve">TXN1491</t>
  </si>
  <si>
    <t xml:space="preserve">REF1491</t>
  </si>
  <si>
    <t xml:space="preserve">TXN1492</t>
  </si>
  <si>
    <t xml:space="preserve">REF1492</t>
  </si>
  <si>
    <t xml:space="preserve">TXN1493</t>
  </si>
  <si>
    <t xml:space="preserve">REF1493</t>
  </si>
  <si>
    <t xml:space="preserve">TXN1494</t>
  </si>
  <si>
    <t xml:space="preserve">ACC280</t>
  </si>
  <si>
    <t xml:space="preserve">CUS280</t>
  </si>
  <si>
    <t xml:space="preserve">REF1494</t>
  </si>
  <si>
    <t xml:space="preserve">TXN1495</t>
  </si>
  <si>
    <t xml:space="preserve">REF1495</t>
  </si>
  <si>
    <t xml:space="preserve">TXN1496</t>
  </si>
  <si>
    <t xml:space="preserve">REF1496</t>
  </si>
  <si>
    <t xml:space="preserve">TXN1497</t>
  </si>
  <si>
    <t xml:space="preserve">REF1497</t>
  </si>
  <si>
    <t xml:space="preserve">TXN1498</t>
  </si>
  <si>
    <t xml:space="preserve">REF1498</t>
  </si>
  <si>
    <t xml:space="preserve">TXN1499</t>
  </si>
  <si>
    <t xml:space="preserve">REF1499</t>
  </si>
  <si>
    <t xml:space="preserve">TXN1500</t>
  </si>
  <si>
    <t xml:space="preserve">REF1500</t>
  </si>
  <si>
    <t xml:space="preserve">TXN1501</t>
  </si>
  <si>
    <t xml:space="preserve">REF1501</t>
  </si>
  <si>
    <t xml:space="preserve">TXN1502</t>
  </si>
  <si>
    <t xml:space="preserve">REF1502</t>
  </si>
  <si>
    <t xml:space="preserve">TXN1503</t>
  </si>
  <si>
    <t xml:space="preserve">REF1503</t>
  </si>
  <si>
    <t xml:space="preserve">TXN1504</t>
  </si>
  <si>
    <t xml:space="preserve">REF1504</t>
  </si>
  <si>
    <t xml:space="preserve">TXN1505</t>
  </si>
  <si>
    <t xml:space="preserve">REF1505</t>
  </si>
  <si>
    <t xml:space="preserve">TXN1506</t>
  </si>
  <si>
    <t xml:space="preserve">REF1506</t>
  </si>
  <si>
    <t xml:space="preserve">TXN1507</t>
  </si>
  <si>
    <t xml:space="preserve">REF1507</t>
  </si>
  <si>
    <t xml:space="preserve">TXN1508</t>
  </si>
  <si>
    <t xml:space="preserve">REF1508</t>
  </si>
  <si>
    <t xml:space="preserve">TXN1509</t>
  </si>
  <si>
    <t xml:space="preserve">REF1509</t>
  </si>
  <si>
    <t xml:space="preserve">TXN1510</t>
  </si>
  <si>
    <t xml:space="preserve">REF1510</t>
  </si>
  <si>
    <t xml:space="preserve">TXN1511</t>
  </si>
  <si>
    <t xml:space="preserve">REF1511</t>
  </si>
  <si>
    <t xml:space="preserve">TXN1512</t>
  </si>
  <si>
    <t xml:space="preserve">REF1512</t>
  </si>
  <si>
    <t xml:space="preserve">TXN1513</t>
  </si>
  <si>
    <t xml:space="preserve">REF1513</t>
  </si>
  <si>
    <t xml:space="preserve">TXN1514</t>
  </si>
  <si>
    <t xml:space="preserve">REF1514</t>
  </si>
  <si>
    <t xml:space="preserve">TXN1515</t>
  </si>
  <si>
    <t xml:space="preserve">REF1515</t>
  </si>
  <si>
    <t xml:space="preserve">TXN1516</t>
  </si>
  <si>
    <t xml:space="preserve">REF1516</t>
  </si>
  <si>
    <t xml:space="preserve">TXN1517</t>
  </si>
  <si>
    <t xml:space="preserve">REF1517</t>
  </si>
  <si>
    <t xml:space="preserve">TXN1518</t>
  </si>
  <si>
    <t xml:space="preserve">REF1518</t>
  </si>
  <si>
    <t xml:space="preserve">TXN1519</t>
  </si>
  <si>
    <t xml:space="preserve">REF1519</t>
  </si>
  <si>
    <t xml:space="preserve">TXN1520</t>
  </si>
  <si>
    <t xml:space="preserve">REF1520</t>
  </si>
  <si>
    <t xml:space="preserve">TXN1521</t>
  </si>
  <si>
    <t xml:space="preserve">REF1521</t>
  </si>
  <si>
    <t xml:space="preserve">TXN1522</t>
  </si>
  <si>
    <t xml:space="preserve">REF1522</t>
  </si>
  <si>
    <t xml:space="preserve">TXN1523</t>
  </si>
  <si>
    <t xml:space="preserve">REF1523</t>
  </si>
  <si>
    <t xml:space="preserve">TXN1524</t>
  </si>
  <si>
    <t xml:space="preserve">REF1524</t>
  </si>
  <si>
    <t xml:space="preserve">TXN1525</t>
  </si>
  <si>
    <t xml:space="preserve">REF1525</t>
  </si>
  <si>
    <t xml:space="preserve">TXN1526</t>
  </si>
  <si>
    <t xml:space="preserve">REF1526</t>
  </si>
  <si>
    <t xml:space="preserve">TXN1527</t>
  </si>
  <si>
    <t xml:space="preserve">REF1527</t>
  </si>
  <si>
    <t xml:space="preserve">TXN1528</t>
  </si>
  <si>
    <t xml:space="preserve">REF1528</t>
  </si>
  <si>
    <t xml:space="preserve">TXN1529</t>
  </si>
  <si>
    <t xml:space="preserve">REF1529</t>
  </si>
  <si>
    <t xml:space="preserve">TXN1530</t>
  </si>
  <si>
    <t xml:space="preserve">REF1530</t>
  </si>
  <si>
    <t xml:space="preserve">TXN1531</t>
  </si>
  <si>
    <t xml:space="preserve">ACC446</t>
  </si>
  <si>
    <t xml:space="preserve">CUS446</t>
  </si>
  <si>
    <t xml:space="preserve">REF1531</t>
  </si>
  <si>
    <t xml:space="preserve">TXN1532</t>
  </si>
  <si>
    <t xml:space="preserve">REF1532</t>
  </si>
  <si>
    <t xml:space="preserve">TXN1533</t>
  </si>
  <si>
    <t xml:space="preserve">REF1533</t>
  </si>
  <si>
    <t xml:space="preserve">TXN1534</t>
  </si>
  <si>
    <t xml:space="preserve">REF1534</t>
  </si>
  <si>
    <t xml:space="preserve">TXN1535</t>
  </si>
  <si>
    <t xml:space="preserve">REF1535</t>
  </si>
  <si>
    <t xml:space="preserve">TXN1536</t>
  </si>
  <si>
    <t xml:space="preserve">REF1536</t>
  </si>
  <si>
    <t xml:space="preserve">TXN1537</t>
  </si>
  <si>
    <t xml:space="preserve">REF1537</t>
  </si>
  <si>
    <t xml:space="preserve">TXN1538</t>
  </si>
  <si>
    <t xml:space="preserve">REF1538</t>
  </si>
  <si>
    <t xml:space="preserve">TXN1539</t>
  </si>
  <si>
    <t xml:space="preserve">ACC519</t>
  </si>
  <si>
    <t xml:space="preserve">CUS519</t>
  </si>
  <si>
    <t xml:space="preserve">REF1539</t>
  </si>
  <si>
    <t xml:space="preserve">TXN1540</t>
  </si>
  <si>
    <t xml:space="preserve">REF1540</t>
  </si>
  <si>
    <t xml:space="preserve">TXN1541</t>
  </si>
  <si>
    <t xml:space="preserve">REF1541</t>
  </si>
  <si>
    <t xml:space="preserve">TXN1542</t>
  </si>
  <si>
    <t xml:space="preserve">REF1542</t>
  </si>
  <si>
    <t xml:space="preserve">TXN1543</t>
  </si>
  <si>
    <t xml:space="preserve">REF1543</t>
  </si>
  <si>
    <t xml:space="preserve">TXN1544</t>
  </si>
  <si>
    <t xml:space="preserve">ACC805</t>
  </si>
  <si>
    <t xml:space="preserve">CUS805</t>
  </si>
  <si>
    <t xml:space="preserve">REF1544</t>
  </si>
  <si>
    <t xml:space="preserve">TXN1545</t>
  </si>
  <si>
    <t xml:space="preserve">REF1545</t>
  </si>
  <si>
    <t xml:space="preserve">TXN1546</t>
  </si>
  <si>
    <t xml:space="preserve">ACC900</t>
  </si>
  <si>
    <t xml:space="preserve">CUS900</t>
  </si>
  <si>
    <t xml:space="preserve">REF1546</t>
  </si>
  <si>
    <t xml:space="preserve">TXN1547</t>
  </si>
  <si>
    <t xml:space="preserve">REF1547</t>
  </si>
  <si>
    <t xml:space="preserve">TXN1548</t>
  </si>
  <si>
    <t xml:space="preserve">REF1548</t>
  </si>
  <si>
    <t xml:space="preserve">TXN1549</t>
  </si>
  <si>
    <t xml:space="preserve">ACC478</t>
  </si>
  <si>
    <t xml:space="preserve">CUS478</t>
  </si>
  <si>
    <t xml:space="preserve">REF1549</t>
  </si>
  <si>
    <t xml:space="preserve">TXN1550</t>
  </si>
  <si>
    <t xml:space="preserve">ACC767</t>
  </si>
  <si>
    <t xml:space="preserve">CUS767</t>
  </si>
  <si>
    <t xml:space="preserve">REF1550</t>
  </si>
  <si>
    <t xml:space="preserve">TXN1551</t>
  </si>
  <si>
    <t xml:space="preserve">ACC560</t>
  </si>
  <si>
    <t xml:space="preserve">CUS560</t>
  </si>
  <si>
    <t xml:space="preserve">REF1551</t>
  </si>
  <si>
    <t xml:space="preserve">TXN1552</t>
  </si>
  <si>
    <t xml:space="preserve">REF1552</t>
  </si>
  <si>
    <t xml:space="preserve">TXN1553</t>
  </si>
  <si>
    <t xml:space="preserve">REF1553</t>
  </si>
  <si>
    <t xml:space="preserve">TXN1554</t>
  </si>
  <si>
    <t xml:space="preserve">REF1554</t>
  </si>
  <si>
    <t xml:space="preserve">TXN1555</t>
  </si>
  <si>
    <t xml:space="preserve">REF1555</t>
  </si>
  <si>
    <t xml:space="preserve">TXN1556</t>
  </si>
  <si>
    <t xml:space="preserve">REF1556</t>
  </si>
  <si>
    <t xml:space="preserve">TXN1557</t>
  </si>
  <si>
    <t xml:space="preserve">REF1557</t>
  </si>
  <si>
    <t xml:space="preserve">TXN1558</t>
  </si>
  <si>
    <t xml:space="preserve">REF1558</t>
  </si>
  <si>
    <t xml:space="preserve">TXN1559</t>
  </si>
  <si>
    <t xml:space="preserve">REF1559</t>
  </si>
  <si>
    <t xml:space="preserve">TXN1560</t>
  </si>
  <si>
    <t xml:space="preserve">ACC290</t>
  </si>
  <si>
    <t xml:space="preserve">CUS290</t>
  </si>
  <si>
    <t xml:space="preserve">REF1560</t>
  </si>
  <si>
    <t xml:space="preserve">TXN1561</t>
  </si>
  <si>
    <t xml:space="preserve">ACC746</t>
  </si>
  <si>
    <t xml:space="preserve">CUS746</t>
  </si>
  <si>
    <t xml:space="preserve">REF1561</t>
  </si>
  <si>
    <t xml:space="preserve">TXN1562</t>
  </si>
  <si>
    <t xml:space="preserve">REF1562</t>
  </si>
  <si>
    <t xml:space="preserve">TXN1563</t>
  </si>
  <si>
    <t xml:space="preserve">REF1563</t>
  </si>
  <si>
    <t xml:space="preserve">TXN1564</t>
  </si>
  <si>
    <t xml:space="preserve">REF1564</t>
  </si>
  <si>
    <t xml:space="preserve">TXN1565</t>
  </si>
  <si>
    <t xml:space="preserve">ACC819</t>
  </si>
  <si>
    <t xml:space="preserve">CUS819</t>
  </si>
  <si>
    <t xml:space="preserve">REF1565</t>
  </si>
  <si>
    <t xml:space="preserve">TXN1566</t>
  </si>
  <si>
    <t xml:space="preserve">REF1566</t>
  </si>
  <si>
    <t xml:space="preserve">TXN1567</t>
  </si>
  <si>
    <t xml:space="preserve">REF1567</t>
  </si>
  <si>
    <t xml:space="preserve">TXN1568</t>
  </si>
  <si>
    <t xml:space="preserve">ACC960</t>
  </si>
  <si>
    <t xml:space="preserve">CUS960</t>
  </si>
  <si>
    <t xml:space="preserve">REF1568</t>
  </si>
  <si>
    <t xml:space="preserve">TXN1569</t>
  </si>
  <si>
    <t xml:space="preserve">REF1569</t>
  </si>
  <si>
    <t xml:space="preserve">TXN1570</t>
  </si>
  <si>
    <t xml:space="preserve">REF1570</t>
  </si>
  <si>
    <t xml:space="preserve">TXN1571</t>
  </si>
  <si>
    <t xml:space="preserve">REF1571</t>
  </si>
  <si>
    <t xml:space="preserve">TXN1572</t>
  </si>
  <si>
    <t xml:space="preserve">REF1572</t>
  </si>
  <si>
    <t xml:space="preserve">TXN1573</t>
  </si>
  <si>
    <t xml:space="preserve">REF1573</t>
  </si>
  <si>
    <t xml:space="preserve">TXN1574</t>
  </si>
  <si>
    <t xml:space="preserve">REF1574</t>
  </si>
  <si>
    <t xml:space="preserve">TXN1575</t>
  </si>
  <si>
    <t xml:space="preserve">REF1575</t>
  </si>
  <si>
    <t xml:space="preserve">TXN1576</t>
  </si>
  <si>
    <t xml:space="preserve">REF1576</t>
  </si>
  <si>
    <t xml:space="preserve">TXN1577</t>
  </si>
  <si>
    <t xml:space="preserve">ACC669</t>
  </si>
  <si>
    <t xml:space="preserve">CUS669</t>
  </si>
  <si>
    <t xml:space="preserve">REF1577</t>
  </si>
  <si>
    <t xml:space="preserve">TXN1578</t>
  </si>
  <si>
    <t xml:space="preserve">REF1578</t>
  </si>
  <si>
    <t xml:space="preserve">TXN1579</t>
  </si>
  <si>
    <t xml:space="preserve">REF1579</t>
  </si>
  <si>
    <t xml:space="preserve">TXN1580</t>
  </si>
  <si>
    <t xml:space="preserve">REF1580</t>
  </si>
  <si>
    <t xml:space="preserve">TXN1581</t>
  </si>
  <si>
    <t xml:space="preserve">REF1581</t>
  </si>
  <si>
    <t xml:space="preserve">TXN1582</t>
  </si>
  <si>
    <t xml:space="preserve">REF1582</t>
  </si>
  <si>
    <t xml:space="preserve">TXN1583</t>
  </si>
  <si>
    <t xml:space="preserve">REF1583</t>
  </si>
  <si>
    <t xml:space="preserve">TXN1584</t>
  </si>
  <si>
    <t xml:space="preserve">REF1584</t>
  </si>
  <si>
    <t xml:space="preserve">TXN1585</t>
  </si>
  <si>
    <t xml:space="preserve">ACC449</t>
  </si>
  <si>
    <t xml:space="preserve">CUS449</t>
  </si>
  <si>
    <t xml:space="preserve">REF1585</t>
  </si>
  <si>
    <t xml:space="preserve">TXN1586</t>
  </si>
  <si>
    <t xml:space="preserve">REF1586</t>
  </si>
  <si>
    <t xml:space="preserve">TXN1587</t>
  </si>
  <si>
    <t xml:space="preserve">ACC993</t>
  </si>
  <si>
    <t xml:space="preserve">CUS993</t>
  </si>
  <si>
    <t xml:space="preserve">REF1587</t>
  </si>
  <si>
    <t xml:space="preserve">TXN1588</t>
  </si>
  <si>
    <t xml:space="preserve">REF1588</t>
  </si>
  <si>
    <t xml:space="preserve">TXN1589</t>
  </si>
  <si>
    <t xml:space="preserve">ACC570</t>
  </si>
  <si>
    <t xml:space="preserve">CUS570</t>
  </si>
  <si>
    <t xml:space="preserve">REF1589</t>
  </si>
  <si>
    <t xml:space="preserve">TXN1590</t>
  </si>
  <si>
    <t xml:space="preserve">REF1590</t>
  </si>
  <si>
    <t xml:space="preserve">TXN1591</t>
  </si>
  <si>
    <t xml:space="preserve">REF1591</t>
  </si>
  <si>
    <t xml:space="preserve">TXN1592</t>
  </si>
  <si>
    <t xml:space="preserve">REF1592</t>
  </si>
  <si>
    <t xml:space="preserve">TXN1593</t>
  </si>
  <si>
    <t xml:space="preserve">REF1593</t>
  </si>
  <si>
    <t xml:space="preserve">TXN1594</t>
  </si>
  <si>
    <t xml:space="preserve">REF1594</t>
  </si>
  <si>
    <t xml:space="preserve">TXN1595</t>
  </si>
  <si>
    <t xml:space="preserve">REF1595</t>
  </si>
  <si>
    <t xml:space="preserve">TXN1596</t>
  </si>
  <si>
    <t xml:space="preserve">REF1596</t>
  </si>
  <si>
    <t xml:space="preserve">TXN1597</t>
  </si>
  <si>
    <t xml:space="preserve">REF1597</t>
  </si>
  <si>
    <t xml:space="preserve">TXN1598</t>
  </si>
  <si>
    <t xml:space="preserve">ACC470</t>
  </si>
  <si>
    <t xml:space="preserve">CUS470</t>
  </si>
  <si>
    <t xml:space="preserve">REF1598</t>
  </si>
  <si>
    <t xml:space="preserve">TXN1599</t>
  </si>
  <si>
    <t xml:space="preserve">REF1599</t>
  </si>
  <si>
    <t xml:space="preserve">TXN1600</t>
  </si>
  <si>
    <t xml:space="preserve">REF1600</t>
  </si>
  <si>
    <t xml:space="preserve">TXN1601</t>
  </si>
  <si>
    <t xml:space="preserve">REF1601</t>
  </si>
  <si>
    <t xml:space="preserve">TXN1602</t>
  </si>
  <si>
    <t xml:space="preserve">REF1602</t>
  </si>
  <si>
    <t xml:space="preserve">TXN1603</t>
  </si>
  <si>
    <t xml:space="preserve">REF1603</t>
  </si>
  <si>
    <t xml:space="preserve">TXN1604</t>
  </si>
  <si>
    <t xml:space="preserve">REF1604</t>
  </si>
  <si>
    <t xml:space="preserve">TXN1605</t>
  </si>
  <si>
    <t xml:space="preserve">REF1605</t>
  </si>
  <si>
    <t xml:space="preserve">TXN1606</t>
  </si>
  <si>
    <t xml:space="preserve">ACC152</t>
  </si>
  <si>
    <t xml:space="preserve">CUS152</t>
  </si>
  <si>
    <t xml:space="preserve">REF1606</t>
  </si>
  <si>
    <t xml:space="preserve">TXN1607</t>
  </si>
  <si>
    <t xml:space="preserve">ACC304</t>
  </si>
  <si>
    <t xml:space="preserve">CUS304</t>
  </si>
  <si>
    <t xml:space="preserve">REF1607</t>
  </si>
  <si>
    <t xml:space="preserve">TXN1608</t>
  </si>
  <si>
    <t xml:space="preserve">ACC992</t>
  </si>
  <si>
    <t xml:space="preserve">CUS992</t>
  </si>
  <si>
    <t xml:space="preserve">REF1608</t>
  </si>
  <si>
    <t xml:space="preserve">TXN1609</t>
  </si>
  <si>
    <t xml:space="preserve">ACC958</t>
  </si>
  <si>
    <t xml:space="preserve">CUS958</t>
  </si>
  <si>
    <t xml:space="preserve">REF1609</t>
  </si>
  <si>
    <t xml:space="preserve">TXN1610</t>
  </si>
  <si>
    <t xml:space="preserve">REF1610</t>
  </si>
  <si>
    <t xml:space="preserve">TXN1611</t>
  </si>
  <si>
    <t xml:space="preserve">REF1611</t>
  </si>
  <si>
    <t xml:space="preserve">TXN1612</t>
  </si>
  <si>
    <t xml:space="preserve">REF1612</t>
  </si>
  <si>
    <t xml:space="preserve">TXN1613</t>
  </si>
  <si>
    <t xml:space="preserve">REF1613</t>
  </si>
  <si>
    <t xml:space="preserve">TXN1614</t>
  </si>
  <si>
    <t xml:space="preserve">ACC529</t>
  </si>
  <si>
    <t xml:space="preserve">CUS529</t>
  </si>
  <si>
    <t xml:space="preserve">REF1614</t>
  </si>
  <si>
    <t xml:space="preserve">TXN1615</t>
  </si>
  <si>
    <t xml:space="preserve">REF1615</t>
  </si>
  <si>
    <t xml:space="preserve">TXN1616</t>
  </si>
  <si>
    <t xml:space="preserve">REF1616</t>
  </si>
  <si>
    <t xml:space="preserve">TXN1617</t>
  </si>
  <si>
    <t xml:space="preserve">ACC388</t>
  </si>
  <si>
    <t xml:space="preserve">CUS388</t>
  </si>
  <si>
    <t xml:space="preserve">REF1617</t>
  </si>
  <si>
    <t xml:space="preserve">TXN1618</t>
  </si>
  <si>
    <t xml:space="preserve">REF1618</t>
  </si>
  <si>
    <t xml:space="preserve">TXN1619</t>
  </si>
  <si>
    <t xml:space="preserve">ACC651</t>
  </si>
  <si>
    <t xml:space="preserve">CUS651</t>
  </si>
  <si>
    <t xml:space="preserve">REF1619</t>
  </si>
  <si>
    <t xml:space="preserve">TXN1620</t>
  </si>
  <si>
    <t xml:space="preserve">ACC641</t>
  </si>
  <si>
    <t xml:space="preserve">CUS641</t>
  </si>
  <si>
    <t xml:space="preserve">REF1620</t>
  </si>
  <si>
    <t xml:space="preserve">TXN1621</t>
  </si>
  <si>
    <t xml:space="preserve">REF1621</t>
  </si>
  <si>
    <t xml:space="preserve">TXN1622</t>
  </si>
  <si>
    <t xml:space="preserve">REF1622</t>
  </si>
  <si>
    <t xml:space="preserve">TXN1623</t>
  </si>
  <si>
    <t xml:space="preserve">REF1623</t>
  </si>
  <si>
    <t xml:space="preserve">TXN1624</t>
  </si>
  <si>
    <t xml:space="preserve">REF1624</t>
  </si>
  <si>
    <t xml:space="preserve">TXN1625</t>
  </si>
  <si>
    <t xml:space="preserve">REF1625</t>
  </si>
  <si>
    <t xml:space="preserve">TXN1626</t>
  </si>
  <si>
    <t xml:space="preserve">REF1626</t>
  </si>
  <si>
    <t xml:space="preserve">TXN1627</t>
  </si>
  <si>
    <t xml:space="preserve">REF1627</t>
  </si>
  <si>
    <t xml:space="preserve">TXN1628</t>
  </si>
  <si>
    <t xml:space="preserve">REF1628</t>
  </si>
  <si>
    <t xml:space="preserve">TXN1629</t>
  </si>
  <si>
    <t xml:space="preserve">REF1629</t>
  </si>
  <si>
    <t xml:space="preserve">TXN1630</t>
  </si>
  <si>
    <t xml:space="preserve">ACC913</t>
  </si>
  <si>
    <t xml:space="preserve">CUS913</t>
  </si>
  <si>
    <t xml:space="preserve">REF1630</t>
  </si>
  <si>
    <t xml:space="preserve">TXN1631</t>
  </si>
  <si>
    <t xml:space="preserve">ACC544</t>
  </si>
  <si>
    <t xml:space="preserve">CUS544</t>
  </si>
  <si>
    <t xml:space="preserve">REF1631</t>
  </si>
  <si>
    <t xml:space="preserve">TXN1632</t>
  </si>
  <si>
    <t xml:space="preserve">REF1632</t>
  </si>
  <si>
    <t xml:space="preserve">TXN1633</t>
  </si>
  <si>
    <t xml:space="preserve">REF1633</t>
  </si>
  <si>
    <t xml:space="preserve">TXN1634</t>
  </si>
  <si>
    <t xml:space="preserve">REF1634</t>
  </si>
  <si>
    <t xml:space="preserve">TXN1635</t>
  </si>
  <si>
    <t xml:space="preserve">REF1635</t>
  </si>
  <si>
    <t xml:space="preserve">TXN1636</t>
  </si>
  <si>
    <t xml:space="preserve">REF1636</t>
  </si>
  <si>
    <t xml:space="preserve">TXN1637</t>
  </si>
  <si>
    <t xml:space="preserve">REF1637</t>
  </si>
  <si>
    <t xml:space="preserve">TXN1638</t>
  </si>
  <si>
    <t xml:space="preserve">REF1638</t>
  </si>
  <si>
    <t xml:space="preserve">TXN1639</t>
  </si>
  <si>
    <t xml:space="preserve">REF1639</t>
  </si>
  <si>
    <t xml:space="preserve">TXN1640</t>
  </si>
  <si>
    <t xml:space="preserve">REF1640</t>
  </si>
  <si>
    <t xml:space="preserve">TXN1641</t>
  </si>
  <si>
    <t xml:space="preserve">REF1641</t>
  </si>
  <si>
    <t xml:space="preserve">TXN1642</t>
  </si>
  <si>
    <t xml:space="preserve">ACC022</t>
  </si>
  <si>
    <t xml:space="preserve">CUS022</t>
  </si>
  <si>
    <t xml:space="preserve">REF1642</t>
  </si>
  <si>
    <t xml:space="preserve">TXN1643</t>
  </si>
  <si>
    <t xml:space="preserve">REF1643</t>
  </si>
  <si>
    <t xml:space="preserve">TXN1644</t>
  </si>
  <si>
    <t xml:space="preserve">REF1644</t>
  </si>
  <si>
    <t xml:space="preserve">TXN1645</t>
  </si>
  <si>
    <t xml:space="preserve">ACC308</t>
  </si>
  <si>
    <t xml:space="preserve">CUS308</t>
  </si>
  <si>
    <t xml:space="preserve">REF1645</t>
  </si>
  <si>
    <t xml:space="preserve">TXN1646</t>
  </si>
  <si>
    <t xml:space="preserve">REF1646</t>
  </si>
  <si>
    <t xml:space="preserve">TXN1647</t>
  </si>
  <si>
    <t xml:space="preserve">ACC099</t>
  </si>
  <si>
    <t xml:space="preserve">CUS099</t>
  </si>
  <si>
    <t xml:space="preserve">REF1647</t>
  </si>
  <si>
    <t xml:space="preserve">TXN1648</t>
  </si>
  <si>
    <t xml:space="preserve">ACC485</t>
  </si>
  <si>
    <t xml:space="preserve">CUS485</t>
  </si>
  <si>
    <t xml:space="preserve">REF1648</t>
  </si>
  <si>
    <t xml:space="preserve">TXN1649</t>
  </si>
  <si>
    <t xml:space="preserve">ACC194</t>
  </si>
  <si>
    <t xml:space="preserve">CUS194</t>
  </si>
  <si>
    <t xml:space="preserve">REF1649</t>
  </si>
  <si>
    <t xml:space="preserve">TXN1650</t>
  </si>
  <si>
    <t xml:space="preserve">REF1650</t>
  </si>
  <si>
    <t xml:space="preserve">TXN1651</t>
  </si>
  <si>
    <t xml:space="preserve">REF1651</t>
  </si>
  <si>
    <t xml:space="preserve">TXN1652</t>
  </si>
  <si>
    <t xml:space="preserve">ACC725</t>
  </si>
  <si>
    <t xml:space="preserve">CUS725</t>
  </si>
  <si>
    <t xml:space="preserve">REF1652</t>
  </si>
  <si>
    <t xml:space="preserve">TXN1653</t>
  </si>
  <si>
    <t xml:space="preserve">REF1653</t>
  </si>
  <si>
    <t xml:space="preserve">TXN1654</t>
  </si>
  <si>
    <t xml:space="preserve">REF1654</t>
  </si>
  <si>
    <t xml:space="preserve">TXN1655</t>
  </si>
  <si>
    <t xml:space="preserve">REF1655</t>
  </si>
  <si>
    <t xml:space="preserve">TXN1656</t>
  </si>
  <si>
    <t xml:space="preserve">REF1656</t>
  </si>
  <si>
    <t xml:space="preserve">TXN1657</t>
  </si>
  <si>
    <t xml:space="preserve">REF1657</t>
  </si>
  <si>
    <t xml:space="preserve">TXN1658</t>
  </si>
  <si>
    <t xml:space="preserve">REF1658</t>
  </si>
  <si>
    <t xml:space="preserve">TXN1659</t>
  </si>
  <si>
    <t xml:space="preserve">REF1659</t>
  </si>
  <si>
    <t xml:space="preserve">TXN1660</t>
  </si>
  <si>
    <t xml:space="preserve">REF1660</t>
  </si>
  <si>
    <t xml:space="preserve">TXN1661</t>
  </si>
  <si>
    <t xml:space="preserve">REF1661</t>
  </si>
  <si>
    <t xml:space="preserve">TXN1662</t>
  </si>
  <si>
    <t xml:space="preserve">REF1662</t>
  </si>
  <si>
    <t xml:space="preserve">TXN1663</t>
  </si>
  <si>
    <t xml:space="preserve">ACC789</t>
  </si>
  <si>
    <t xml:space="preserve">CUS789</t>
  </si>
  <si>
    <t xml:space="preserve">REF1663</t>
  </si>
  <si>
    <t xml:space="preserve">TXN1664</t>
  </si>
  <si>
    <t xml:space="preserve">REF1664</t>
  </si>
  <si>
    <t xml:space="preserve">TXN1665</t>
  </si>
  <si>
    <t xml:space="preserve">REF1665</t>
  </si>
  <si>
    <t xml:space="preserve">TXN1666</t>
  </si>
  <si>
    <t xml:space="preserve">REF1666</t>
  </si>
  <si>
    <t xml:space="preserve">TXN1667</t>
  </si>
  <si>
    <t xml:space="preserve">REF1667</t>
  </si>
  <si>
    <t xml:space="preserve">TXN1668</t>
  </si>
  <si>
    <t xml:space="preserve">REF1668</t>
  </si>
  <si>
    <t xml:space="preserve">TXN1669</t>
  </si>
  <si>
    <t xml:space="preserve">REF1669</t>
  </si>
  <si>
    <t xml:space="preserve">TXN1670</t>
  </si>
  <si>
    <t xml:space="preserve">REF1670</t>
  </si>
  <si>
    <t xml:space="preserve">TXN1671</t>
  </si>
  <si>
    <t xml:space="preserve">ACC250</t>
  </si>
  <si>
    <t xml:space="preserve">CUS250</t>
  </si>
  <si>
    <t xml:space="preserve">REF1671</t>
  </si>
  <si>
    <t xml:space="preserve">TXN1672</t>
  </si>
  <si>
    <t xml:space="preserve">REF1672</t>
  </si>
  <si>
    <t xml:space="preserve">TXN1673</t>
  </si>
  <si>
    <t xml:space="preserve">REF1673</t>
  </si>
  <si>
    <t xml:space="preserve">TXN1674</t>
  </si>
  <si>
    <t xml:space="preserve">REF1674</t>
  </si>
  <si>
    <t xml:space="preserve">TXN1675</t>
  </si>
  <si>
    <t xml:space="preserve">REF1675</t>
  </si>
  <si>
    <t xml:space="preserve">TXN1676</t>
  </si>
  <si>
    <t xml:space="preserve">ACC756</t>
  </si>
  <si>
    <t xml:space="preserve">CUS756</t>
  </si>
  <si>
    <t xml:space="preserve">REF1676</t>
  </si>
  <si>
    <t xml:space="preserve">TXN1677</t>
  </si>
  <si>
    <t xml:space="preserve">REF1677</t>
  </si>
  <si>
    <t xml:space="preserve">TXN1678</t>
  </si>
  <si>
    <t xml:space="preserve">REF1678</t>
  </si>
  <si>
    <t xml:space="preserve">TXN1679</t>
  </si>
  <si>
    <t xml:space="preserve">REF1679</t>
  </si>
  <si>
    <t xml:space="preserve">TXN1680</t>
  </si>
  <si>
    <t xml:space="preserve">ACC396</t>
  </si>
  <si>
    <t xml:space="preserve">CUS396</t>
  </si>
  <si>
    <t xml:space="preserve">REF1680</t>
  </si>
  <si>
    <t xml:space="preserve">TXN1681</t>
  </si>
  <si>
    <t xml:space="preserve">REF1681</t>
  </si>
  <si>
    <t xml:space="preserve">TXN1682</t>
  </si>
  <si>
    <t xml:space="preserve">REF1682</t>
  </si>
  <si>
    <t xml:space="preserve">TXN1683</t>
  </si>
  <si>
    <t xml:space="preserve">REF1683</t>
  </si>
  <si>
    <t xml:space="preserve">TXN1684</t>
  </si>
  <si>
    <t xml:space="preserve">ACC659</t>
  </si>
  <si>
    <t xml:space="preserve">CUS659</t>
  </si>
  <si>
    <t xml:space="preserve">REF1684</t>
  </si>
  <si>
    <t xml:space="preserve">TXN1685</t>
  </si>
  <si>
    <t xml:space="preserve">REF1685</t>
  </si>
  <si>
    <t xml:space="preserve">TXN1686</t>
  </si>
  <si>
    <t xml:space="preserve">REF1686</t>
  </si>
  <si>
    <t xml:space="preserve">TXN1687</t>
  </si>
  <si>
    <t xml:space="preserve">REF1687</t>
  </si>
  <si>
    <t xml:space="preserve">TXN1688</t>
  </si>
  <si>
    <t xml:space="preserve">REF1688</t>
  </si>
  <si>
    <t xml:space="preserve">TXN1689</t>
  </si>
  <si>
    <t xml:space="preserve">ACC951</t>
  </si>
  <si>
    <t xml:space="preserve">CUS951</t>
  </si>
  <si>
    <t xml:space="preserve">REF1689</t>
  </si>
  <si>
    <t xml:space="preserve">TXN1690</t>
  </si>
  <si>
    <t xml:space="preserve">ACC262</t>
  </si>
  <si>
    <t xml:space="preserve">CUS262</t>
  </si>
  <si>
    <t xml:space="preserve">REF1690</t>
  </si>
  <si>
    <t xml:space="preserve">TXN1691</t>
  </si>
  <si>
    <t xml:space="preserve">REF1691</t>
  </si>
  <si>
    <t xml:space="preserve">TXN1692</t>
  </si>
  <si>
    <t xml:space="preserve">ACC314</t>
  </si>
  <si>
    <t xml:space="preserve">CUS314</t>
  </si>
  <si>
    <t xml:space="preserve">REF1692</t>
  </si>
  <si>
    <t xml:space="preserve">TXN1693</t>
  </si>
  <si>
    <t xml:space="preserve">ACC565</t>
  </si>
  <si>
    <t xml:space="preserve">CUS565</t>
  </si>
  <si>
    <t xml:space="preserve">REF1693</t>
  </si>
  <si>
    <t xml:space="preserve">TXN1694</t>
  </si>
  <si>
    <t xml:space="preserve">REF1694</t>
  </si>
  <si>
    <t xml:space="preserve">TXN1695</t>
  </si>
  <si>
    <t xml:space="preserve">REF1695</t>
  </si>
  <si>
    <t xml:space="preserve">TXN1696</t>
  </si>
  <si>
    <t xml:space="preserve">REF1696</t>
  </si>
  <si>
    <t xml:space="preserve">TXN1697</t>
  </si>
  <si>
    <t xml:space="preserve">REF1697</t>
  </si>
  <si>
    <t xml:space="preserve">TXN1698</t>
  </si>
  <si>
    <t xml:space="preserve">REF1698</t>
  </si>
  <si>
    <t xml:space="preserve">TXN1699</t>
  </si>
  <si>
    <t xml:space="preserve">REF1699</t>
  </si>
  <si>
    <t xml:space="preserve">TXN1700</t>
  </si>
  <si>
    <t xml:space="preserve">REF1700</t>
  </si>
  <si>
    <t xml:space="preserve">TXN1701</t>
  </si>
  <si>
    <t xml:space="preserve">REF1701</t>
  </si>
  <si>
    <t xml:space="preserve">TXN1702</t>
  </si>
  <si>
    <t xml:space="preserve">ACC058</t>
  </si>
  <si>
    <t xml:space="preserve">CUS058</t>
  </si>
  <si>
    <t xml:space="preserve">REF1702</t>
  </si>
  <si>
    <t xml:space="preserve">TXN1703</t>
  </si>
  <si>
    <t xml:space="preserve">ACC564</t>
  </si>
  <si>
    <t xml:space="preserve">CUS564</t>
  </si>
  <si>
    <t xml:space="preserve">REF1703</t>
  </si>
  <si>
    <t xml:space="preserve">TXN1704</t>
  </si>
  <si>
    <t xml:space="preserve">REF1704</t>
  </si>
  <si>
    <t xml:space="preserve">TXN1705</t>
  </si>
  <si>
    <t xml:space="preserve">REF1705</t>
  </si>
  <si>
    <t xml:space="preserve">TXN1706</t>
  </si>
  <si>
    <t xml:space="preserve">REF1706</t>
  </si>
  <si>
    <t xml:space="preserve">TXN1707</t>
  </si>
  <si>
    <t xml:space="preserve">REF1707</t>
  </si>
  <si>
    <t xml:space="preserve">TXN1708</t>
  </si>
  <si>
    <t xml:space="preserve">REF1708</t>
  </si>
  <si>
    <t xml:space="preserve">TXN1709</t>
  </si>
  <si>
    <t xml:space="preserve">REF1709</t>
  </si>
  <si>
    <t xml:space="preserve">TXN1710</t>
  </si>
  <si>
    <t xml:space="preserve">REF1710</t>
  </si>
  <si>
    <t xml:space="preserve">TXN1711</t>
  </si>
  <si>
    <t xml:space="preserve">REF1711</t>
  </si>
  <si>
    <t xml:space="preserve">TXN1712</t>
  </si>
  <si>
    <t xml:space="preserve">REF1712</t>
  </si>
  <si>
    <t xml:space="preserve">TXN1713</t>
  </si>
  <si>
    <t xml:space="preserve">REF1713</t>
  </si>
  <si>
    <t xml:space="preserve">TXN1714</t>
  </si>
  <si>
    <t xml:space="preserve">REF1714</t>
  </si>
  <si>
    <t xml:space="preserve">TXN1715</t>
  </si>
  <si>
    <t xml:space="preserve">REF1715</t>
  </si>
  <si>
    <t xml:space="preserve">TXN1716</t>
  </si>
  <si>
    <t xml:space="preserve">REF1716</t>
  </si>
  <si>
    <t xml:space="preserve">TXN1717</t>
  </si>
  <si>
    <t xml:space="preserve">ACC917</t>
  </si>
  <si>
    <t xml:space="preserve">CUS917</t>
  </si>
  <si>
    <t xml:space="preserve">REF1717</t>
  </si>
  <si>
    <t xml:space="preserve">TXN1718</t>
  </si>
  <si>
    <t xml:space="preserve">REF1718</t>
  </si>
  <si>
    <t xml:space="preserve">TXN1719</t>
  </si>
  <si>
    <t xml:space="preserve">REF1719</t>
  </si>
  <si>
    <t xml:space="preserve">TXN1720</t>
  </si>
  <si>
    <t xml:space="preserve">REF1720</t>
  </si>
  <si>
    <t xml:space="preserve">TXN1721</t>
  </si>
  <si>
    <t xml:space="preserve">REF1721</t>
  </si>
  <si>
    <t xml:space="preserve">TXN1722</t>
  </si>
  <si>
    <t xml:space="preserve">REF1722</t>
  </si>
  <si>
    <t xml:space="preserve">TXN1723</t>
  </si>
  <si>
    <t xml:space="preserve">REF1723</t>
  </si>
  <si>
    <t xml:space="preserve">TXN1724</t>
  </si>
  <si>
    <t xml:space="preserve">REF1724</t>
  </si>
  <si>
    <t xml:space="preserve">TXN1725</t>
  </si>
  <si>
    <t xml:space="preserve">REF1725</t>
  </si>
  <si>
    <t xml:space="preserve">TXN1726</t>
  </si>
  <si>
    <t xml:space="preserve">REF1726</t>
  </si>
  <si>
    <t xml:space="preserve">TXN1727</t>
  </si>
  <si>
    <t xml:space="preserve">REF1727</t>
  </si>
  <si>
    <t xml:space="preserve">TXN1728</t>
  </si>
  <si>
    <t xml:space="preserve">REF1728</t>
  </si>
  <si>
    <t xml:space="preserve">TXN1729</t>
  </si>
  <si>
    <t xml:space="preserve">REF1729</t>
  </si>
  <si>
    <t xml:space="preserve">TXN1730</t>
  </si>
  <si>
    <t xml:space="preserve">REF1730</t>
  </si>
  <si>
    <t xml:space="preserve">TXN1731</t>
  </si>
  <si>
    <t xml:space="preserve">REF1731</t>
  </si>
  <si>
    <t xml:space="preserve">TXN1732</t>
  </si>
  <si>
    <t xml:space="preserve">REF1732</t>
  </si>
  <si>
    <t xml:space="preserve">TXN1733</t>
  </si>
  <si>
    <t xml:space="preserve">ACC060</t>
  </si>
  <si>
    <t xml:space="preserve">CUS060</t>
  </si>
  <si>
    <t xml:space="preserve">REF1733</t>
  </si>
  <si>
    <t xml:space="preserve">TXN1734</t>
  </si>
  <si>
    <t xml:space="preserve">REF1734</t>
  </si>
  <si>
    <t xml:space="preserve">TXN1735</t>
  </si>
  <si>
    <t xml:space="preserve">ACC275</t>
  </si>
  <si>
    <t xml:space="preserve">CUS275</t>
  </si>
  <si>
    <t xml:space="preserve">REF1735</t>
  </si>
  <si>
    <t xml:space="preserve">TXN1736</t>
  </si>
  <si>
    <t xml:space="preserve">REF1736</t>
  </si>
  <si>
    <t xml:space="preserve">TXN1737</t>
  </si>
  <si>
    <t xml:space="preserve">REF1737</t>
  </si>
  <si>
    <t xml:space="preserve">TXN1738</t>
  </si>
  <si>
    <t xml:space="preserve">REF1738</t>
  </si>
  <si>
    <t xml:space="preserve">TXN1739</t>
  </si>
  <si>
    <t xml:space="preserve">REF1739</t>
  </si>
  <si>
    <t xml:space="preserve">TXN1740</t>
  </si>
  <si>
    <t xml:space="preserve">REF1740</t>
  </si>
  <si>
    <t xml:space="preserve">TXN1741</t>
  </si>
  <si>
    <t xml:space="preserve">REF1741</t>
  </si>
  <si>
    <t xml:space="preserve">TXN1742</t>
  </si>
  <si>
    <t xml:space="preserve">REF1742</t>
  </si>
  <si>
    <t xml:space="preserve">TXN1743</t>
  </si>
  <si>
    <t xml:space="preserve">REF1743</t>
  </si>
  <si>
    <t xml:space="preserve">TXN1744</t>
  </si>
  <si>
    <t xml:space="preserve">REF1744</t>
  </si>
  <si>
    <t xml:space="preserve">TXN1745</t>
  </si>
  <si>
    <t xml:space="preserve">REF1745</t>
  </si>
  <si>
    <t xml:space="preserve">TXN1746</t>
  </si>
  <si>
    <t xml:space="preserve">REF1746</t>
  </si>
  <si>
    <t xml:space="preserve">TXN1747</t>
  </si>
  <si>
    <t xml:space="preserve">REF1747</t>
  </si>
  <si>
    <t xml:space="preserve">TXN1748</t>
  </si>
  <si>
    <t xml:space="preserve">REF1748</t>
  </si>
  <si>
    <t xml:space="preserve">TXN1749</t>
  </si>
  <si>
    <t xml:space="preserve">ACC360</t>
  </si>
  <si>
    <t xml:space="preserve">CUS360</t>
  </si>
  <si>
    <t xml:space="preserve">REF1749</t>
  </si>
  <si>
    <t xml:space="preserve">TXN1750</t>
  </si>
  <si>
    <t xml:space="preserve">ACC126</t>
  </si>
  <si>
    <t xml:space="preserve">CUS126</t>
  </si>
  <si>
    <t xml:space="preserve">REF1750</t>
  </si>
  <si>
    <t xml:space="preserve">TXN1751</t>
  </si>
  <si>
    <t xml:space="preserve">REF1751</t>
  </si>
  <si>
    <t xml:space="preserve">TXN1752</t>
  </si>
  <si>
    <t xml:space="preserve">REF1752</t>
  </si>
  <si>
    <t xml:space="preserve">TXN1753</t>
  </si>
  <si>
    <t xml:space="preserve">REF1753</t>
  </si>
  <si>
    <t xml:space="preserve">TXN1754</t>
  </si>
  <si>
    <t xml:space="preserve">REF1754</t>
  </si>
  <si>
    <t xml:space="preserve">TXN1755</t>
  </si>
  <si>
    <t xml:space="preserve">ACC546</t>
  </si>
  <si>
    <t xml:space="preserve">CUS546</t>
  </si>
  <si>
    <t xml:space="preserve">REF1755</t>
  </si>
  <si>
    <t xml:space="preserve">TXN1756</t>
  </si>
  <si>
    <t xml:space="preserve">REF1756</t>
  </si>
  <si>
    <t xml:space="preserve">TXN1757</t>
  </si>
  <si>
    <t xml:space="preserve">REF1757</t>
  </si>
  <si>
    <t xml:space="preserve">TXN1758</t>
  </si>
  <si>
    <t xml:space="preserve">REF1758</t>
  </si>
  <si>
    <t xml:space="preserve">TXN1759</t>
  </si>
  <si>
    <t xml:space="preserve">REF1759</t>
  </si>
  <si>
    <t xml:space="preserve">TXN1760</t>
  </si>
  <si>
    <t xml:space="preserve">REF1760</t>
  </si>
  <si>
    <t xml:space="preserve">TXN1761</t>
  </si>
  <si>
    <t xml:space="preserve">REF1761</t>
  </si>
  <si>
    <t xml:space="preserve">TXN1762</t>
  </si>
  <si>
    <t xml:space="preserve">REF1762</t>
  </si>
  <si>
    <t xml:space="preserve">TXN1763</t>
  </si>
  <si>
    <t xml:space="preserve">REF1763</t>
  </si>
  <si>
    <t xml:space="preserve">TXN1764</t>
  </si>
  <si>
    <t xml:space="preserve">REF1764</t>
  </si>
  <si>
    <t xml:space="preserve">TXN1765</t>
  </si>
  <si>
    <t xml:space="preserve">ACC145</t>
  </si>
  <si>
    <t xml:space="preserve">CUS145</t>
  </si>
  <si>
    <t xml:space="preserve">REF1765</t>
  </si>
  <si>
    <t xml:space="preserve">TXN1766</t>
  </si>
  <si>
    <t xml:space="preserve">REF1766</t>
  </si>
  <si>
    <t xml:space="preserve">TXN1767</t>
  </si>
  <si>
    <t xml:space="preserve">REF1767</t>
  </si>
  <si>
    <t xml:space="preserve">TXN1768</t>
  </si>
  <si>
    <t xml:space="preserve">REF1768</t>
  </si>
  <si>
    <t xml:space="preserve">TXN1769</t>
  </si>
  <si>
    <t xml:space="preserve">ACC408</t>
  </si>
  <si>
    <t xml:space="preserve">CUS408</t>
  </si>
  <si>
    <t xml:space="preserve">REF1769</t>
  </si>
  <si>
    <t xml:space="preserve">TXN1770</t>
  </si>
  <si>
    <t xml:space="preserve">REF1770</t>
  </si>
  <si>
    <t xml:space="preserve">TXN1771</t>
  </si>
  <si>
    <t xml:space="preserve">REF1771</t>
  </si>
  <si>
    <t xml:space="preserve">TXN1772</t>
  </si>
  <si>
    <t xml:space="preserve">REF1772</t>
  </si>
  <si>
    <t xml:space="preserve">TXN1773</t>
  </si>
  <si>
    <t xml:space="preserve">REF1773</t>
  </si>
  <si>
    <t xml:space="preserve">TXN1774</t>
  </si>
  <si>
    <t xml:space="preserve">ACC397</t>
  </si>
  <si>
    <t xml:space="preserve">CUS397</t>
  </si>
  <si>
    <t xml:space="preserve">REF1774</t>
  </si>
  <si>
    <t xml:space="preserve">TXN1775</t>
  </si>
  <si>
    <t xml:space="preserve">REF1775</t>
  </si>
  <si>
    <t xml:space="preserve">TXN1776</t>
  </si>
  <si>
    <t xml:space="preserve">REF1776</t>
  </si>
  <si>
    <t xml:space="preserve">TXN1777</t>
  </si>
  <si>
    <t xml:space="preserve">REF1777</t>
  </si>
  <si>
    <t xml:space="preserve">TXN1778</t>
  </si>
  <si>
    <t xml:space="preserve">REF1778</t>
  </si>
  <si>
    <t xml:space="preserve">TXN1779</t>
  </si>
  <si>
    <t xml:space="preserve">REF1779</t>
  </si>
  <si>
    <t xml:space="preserve">TXN1780</t>
  </si>
  <si>
    <t xml:space="preserve">REF1780</t>
  </si>
  <si>
    <t xml:space="preserve">TXN1781</t>
  </si>
  <si>
    <t xml:space="preserve">REF1781</t>
  </si>
  <si>
    <t xml:space="preserve">TXN1782</t>
  </si>
  <si>
    <t xml:space="preserve">ACC272</t>
  </si>
  <si>
    <t xml:space="preserve">CUS272</t>
  </si>
  <si>
    <t xml:space="preserve">REF1782</t>
  </si>
  <si>
    <t xml:space="preserve">TXN1783</t>
  </si>
  <si>
    <t xml:space="preserve">ACC047</t>
  </si>
  <si>
    <t xml:space="preserve">CUS047</t>
  </si>
  <si>
    <t xml:space="preserve">REF1783</t>
  </si>
  <si>
    <t xml:space="preserve">TXN1784</t>
  </si>
  <si>
    <t xml:space="preserve">REF1784</t>
  </si>
  <si>
    <t xml:space="preserve">TXN1785</t>
  </si>
  <si>
    <t xml:space="preserve">ACC532</t>
  </si>
  <si>
    <t xml:space="preserve">CUS532</t>
  </si>
  <si>
    <t xml:space="preserve">REF1785</t>
  </si>
  <si>
    <t xml:space="preserve">TXN1786</t>
  </si>
  <si>
    <t xml:space="preserve">REF1786</t>
  </si>
  <si>
    <t xml:space="preserve">TXN1787</t>
  </si>
  <si>
    <t xml:space="preserve">REF1787</t>
  </si>
  <si>
    <t xml:space="preserve">TXN1788</t>
  </si>
  <si>
    <t xml:space="preserve">REF1788</t>
  </si>
  <si>
    <t xml:space="preserve">TXN1789</t>
  </si>
  <si>
    <t xml:space="preserve">REF1789</t>
  </si>
  <si>
    <t xml:space="preserve">TXN1790</t>
  </si>
  <si>
    <t xml:space="preserve">REF1790</t>
  </si>
  <si>
    <t xml:space="preserve">TXN1791</t>
  </si>
  <si>
    <t xml:space="preserve">ACC734</t>
  </si>
  <si>
    <t xml:space="preserve">CUS734</t>
  </si>
  <si>
    <t xml:space="preserve">REF1791</t>
  </si>
  <si>
    <t xml:space="preserve">TXN1792</t>
  </si>
  <si>
    <t xml:space="preserve">REF1792</t>
  </si>
  <si>
    <t xml:space="preserve">TXN1793</t>
  </si>
  <si>
    <t xml:space="preserve">REF1793</t>
  </si>
  <si>
    <t xml:space="preserve">TXN1794</t>
  </si>
  <si>
    <t xml:space="preserve">REF1794</t>
  </si>
  <si>
    <t xml:space="preserve">TXN1795</t>
  </si>
  <si>
    <t xml:space="preserve">ACC700</t>
  </si>
  <si>
    <t xml:space="preserve">CUS700</t>
  </si>
  <si>
    <t xml:space="preserve">REF1795</t>
  </si>
  <si>
    <t xml:space="preserve">TXN1796</t>
  </si>
  <si>
    <t xml:space="preserve">REF1796</t>
  </si>
  <si>
    <t xml:space="preserve">TXN1797</t>
  </si>
  <si>
    <t xml:space="preserve">REF1797</t>
  </si>
  <si>
    <t xml:space="preserve">TXN1798</t>
  </si>
  <si>
    <t xml:space="preserve">REF1798</t>
  </si>
  <si>
    <t xml:space="preserve">TXN1799</t>
  </si>
  <si>
    <t xml:space="preserve">REF1799</t>
  </si>
  <si>
    <t xml:space="preserve">TXN1800</t>
  </si>
  <si>
    <t xml:space="preserve">ACC952</t>
  </si>
  <si>
    <t xml:space="preserve">CUS952</t>
  </si>
  <si>
    <t xml:space="preserve">REF1800</t>
  </si>
  <si>
    <t xml:space="preserve">TXN1801</t>
  </si>
  <si>
    <t xml:space="preserve">REF1801</t>
  </si>
  <si>
    <t xml:space="preserve">TXN1802</t>
  </si>
  <si>
    <t xml:space="preserve">REF1802</t>
  </si>
  <si>
    <t xml:space="preserve">TXN1803</t>
  </si>
  <si>
    <t xml:space="preserve">REF1803</t>
  </si>
  <si>
    <t xml:space="preserve">TXN1804</t>
  </si>
  <si>
    <t xml:space="preserve">REF1804</t>
  </si>
  <si>
    <t xml:space="preserve">TXN1805</t>
  </si>
  <si>
    <t xml:space="preserve">REF1805</t>
  </si>
  <si>
    <t xml:space="preserve">TXN1806</t>
  </si>
  <si>
    <t xml:space="preserve">REF1806</t>
  </si>
  <si>
    <t xml:space="preserve">TXN1807</t>
  </si>
  <si>
    <t xml:space="preserve">ACC593</t>
  </si>
  <si>
    <t xml:space="preserve">CUS593</t>
  </si>
  <si>
    <t xml:space="preserve">REF1807</t>
  </si>
  <si>
    <t xml:space="preserve">TXN1808</t>
  </si>
  <si>
    <t xml:space="preserve">REF1808</t>
  </si>
  <si>
    <t xml:space="preserve">TXN1809</t>
  </si>
  <si>
    <t xml:space="preserve">REF1809</t>
  </si>
  <si>
    <t xml:space="preserve">TXN1810</t>
  </si>
  <si>
    <t xml:space="preserve">ACC171</t>
  </si>
  <si>
    <t xml:space="preserve">CUS171</t>
  </si>
  <si>
    <t xml:space="preserve">REF1810</t>
  </si>
  <si>
    <t xml:space="preserve">TXN1811</t>
  </si>
  <si>
    <t xml:space="preserve">REF1811</t>
  </si>
  <si>
    <t xml:space="preserve">TXN1812</t>
  </si>
  <si>
    <t xml:space="preserve">REF1812</t>
  </si>
  <si>
    <t xml:space="preserve">TXN1813</t>
  </si>
  <si>
    <t xml:space="preserve">REF1813</t>
  </si>
  <si>
    <t xml:space="preserve">TXN1814</t>
  </si>
  <si>
    <t xml:space="preserve">ACC623</t>
  </si>
  <si>
    <t xml:space="preserve">CUS623</t>
  </si>
  <si>
    <t xml:space="preserve">REF1814</t>
  </si>
  <si>
    <t xml:space="preserve">TXN1815</t>
  </si>
  <si>
    <t xml:space="preserve">REF1815</t>
  </si>
  <si>
    <t xml:space="preserve">TXN1816</t>
  </si>
  <si>
    <t xml:space="preserve">REF1816</t>
  </si>
  <si>
    <t xml:space="preserve">TXN1817</t>
  </si>
  <si>
    <t xml:space="preserve">REF1817</t>
  </si>
  <si>
    <t xml:space="preserve">TXN1818</t>
  </si>
  <si>
    <t xml:space="preserve">REF1818</t>
  </si>
  <si>
    <t xml:space="preserve">TXN1819</t>
  </si>
  <si>
    <t xml:space="preserve">REF1819</t>
  </si>
  <si>
    <t xml:space="preserve">TXN1820</t>
  </si>
  <si>
    <t xml:space="preserve">REF1820</t>
  </si>
  <si>
    <t xml:space="preserve">TXN1821</t>
  </si>
  <si>
    <t xml:space="preserve">REF1821</t>
  </si>
  <si>
    <t xml:space="preserve">TXN1822</t>
  </si>
  <si>
    <t xml:space="preserve">REF1822</t>
  </si>
  <si>
    <t xml:space="preserve">TXN1823</t>
  </si>
  <si>
    <t xml:space="preserve">REF1823</t>
  </si>
  <si>
    <t xml:space="preserve">TXN1824</t>
  </si>
  <si>
    <t xml:space="preserve">ACC850</t>
  </si>
  <si>
    <t xml:space="preserve">CUS850</t>
  </si>
  <si>
    <t xml:space="preserve">REF1824</t>
  </si>
  <si>
    <t xml:space="preserve">TXN1825</t>
  </si>
  <si>
    <t xml:space="preserve">ACC502</t>
  </si>
  <si>
    <t xml:space="preserve">CUS502</t>
  </si>
  <si>
    <t xml:space="preserve">REF1825</t>
  </si>
  <si>
    <t xml:space="preserve">TXN1826</t>
  </si>
  <si>
    <t xml:space="preserve">REF1826</t>
  </si>
  <si>
    <t xml:space="preserve">TXN1827</t>
  </si>
  <si>
    <t xml:space="preserve">REF1827</t>
  </si>
  <si>
    <t xml:space="preserve">TXN1828</t>
  </si>
  <si>
    <t xml:space="preserve">REF1828</t>
  </si>
  <si>
    <t xml:space="preserve">TXN1829</t>
  </si>
  <si>
    <t xml:space="preserve">REF1829</t>
  </si>
  <si>
    <t xml:space="preserve">TXN1830</t>
  </si>
  <si>
    <t xml:space="preserve">REF1830</t>
  </si>
  <si>
    <t xml:space="preserve">TXN1831</t>
  </si>
  <si>
    <t xml:space="preserve">ACC192</t>
  </si>
  <si>
    <t xml:space="preserve">CUS192</t>
  </si>
  <si>
    <t xml:space="preserve">REF1831</t>
  </si>
  <si>
    <t xml:space="preserve">TXN1832</t>
  </si>
  <si>
    <t xml:space="preserve">REF1832</t>
  </si>
  <si>
    <t xml:space="preserve">TXN1833</t>
  </si>
  <si>
    <t xml:space="preserve">REF1833</t>
  </si>
  <si>
    <t xml:space="preserve">TXN1834</t>
  </si>
  <si>
    <t xml:space="preserve">REF1834</t>
  </si>
  <si>
    <t xml:space="preserve">TXN1835</t>
  </si>
  <si>
    <t xml:space="preserve">REF1835</t>
  </si>
  <si>
    <t xml:space="preserve">TXN1836</t>
  </si>
  <si>
    <t xml:space="preserve">ACC926</t>
  </si>
  <si>
    <t xml:space="preserve">CUS926</t>
  </si>
  <si>
    <t xml:space="preserve">REF1836</t>
  </si>
  <si>
    <t xml:space="preserve">TXN1837</t>
  </si>
  <si>
    <t xml:space="preserve">REF1837</t>
  </si>
  <si>
    <t xml:space="preserve">TXN1838</t>
  </si>
  <si>
    <t xml:space="preserve">ACC699</t>
  </si>
  <si>
    <t xml:space="preserve">CUS699</t>
  </si>
  <si>
    <t xml:space="preserve">REF1838</t>
  </si>
  <si>
    <t xml:space="preserve">TXN1839</t>
  </si>
  <si>
    <t xml:space="preserve">REF1839</t>
  </si>
  <si>
    <t xml:space="preserve">TXN1840</t>
  </si>
  <si>
    <t xml:space="preserve">REF1840</t>
  </si>
  <si>
    <t xml:space="preserve">TXN1841</t>
  </si>
  <si>
    <t xml:space="preserve">REF1841</t>
  </si>
  <si>
    <t xml:space="preserve">TXN1842</t>
  </si>
  <si>
    <t xml:space="preserve">REF1842</t>
  </si>
  <si>
    <t xml:space="preserve">TXN1843</t>
  </si>
  <si>
    <t xml:space="preserve">REF1843</t>
  </si>
  <si>
    <t xml:space="preserve">TXN1844</t>
  </si>
  <si>
    <t xml:space="preserve">REF1844</t>
  </si>
  <si>
    <t xml:space="preserve">TXN1845</t>
  </si>
  <si>
    <t xml:space="preserve">REF1845</t>
  </si>
  <si>
    <t xml:space="preserve">TXN1846</t>
  </si>
  <si>
    <t xml:space="preserve">ACC525</t>
  </si>
  <si>
    <t xml:space="preserve">CUS525</t>
  </si>
  <si>
    <t xml:space="preserve">REF1846</t>
  </si>
  <si>
    <t xml:space="preserve">TXN1847</t>
  </si>
  <si>
    <t xml:space="preserve">REF1847</t>
  </si>
  <si>
    <t xml:space="preserve">TXN1848</t>
  </si>
  <si>
    <t xml:space="preserve">REF1848</t>
  </si>
  <si>
    <t xml:space="preserve">TXN1849</t>
  </si>
  <si>
    <t xml:space="preserve">REF1849</t>
  </si>
  <si>
    <t xml:space="preserve">TXN1850</t>
  </si>
  <si>
    <t xml:space="preserve">REF1850</t>
  </si>
  <si>
    <t xml:space="preserve">TXN1851</t>
  </si>
  <si>
    <t xml:space="preserve">ACC866</t>
  </si>
  <si>
    <t xml:space="preserve">CUS866</t>
  </si>
  <si>
    <t xml:space="preserve">REF1851</t>
  </si>
  <si>
    <t xml:space="preserve">TXN1852</t>
  </si>
  <si>
    <t xml:space="preserve">ACC921</t>
  </si>
  <si>
    <t xml:space="preserve">CUS921</t>
  </si>
  <si>
    <t xml:space="preserve">REF1852</t>
  </si>
  <si>
    <t xml:space="preserve">TXN1853</t>
  </si>
  <si>
    <t xml:space="preserve">REF1853</t>
  </si>
  <si>
    <t xml:space="preserve">TXN1854</t>
  </si>
  <si>
    <t xml:space="preserve">REF1854</t>
  </si>
  <si>
    <t xml:space="preserve">TXN1855</t>
  </si>
  <si>
    <t xml:space="preserve">REF1855</t>
  </si>
  <si>
    <t xml:space="preserve">TXN1856</t>
  </si>
  <si>
    <t xml:space="preserve">REF1856</t>
  </si>
  <si>
    <t xml:space="preserve">TXN1857</t>
  </si>
  <si>
    <t xml:space="preserve">REF1857</t>
  </si>
  <si>
    <t xml:space="preserve">TXN1858</t>
  </si>
  <si>
    <t xml:space="preserve">REF1858</t>
  </si>
  <si>
    <t xml:space="preserve">TXN1859</t>
  </si>
  <si>
    <t xml:space="preserve">ACC549</t>
  </si>
  <si>
    <t xml:space="preserve">CUS549</t>
  </si>
  <si>
    <t xml:space="preserve">REF1859</t>
  </si>
  <si>
    <t xml:space="preserve">TXN1860</t>
  </si>
  <si>
    <t xml:space="preserve">REF1860</t>
  </si>
  <si>
    <t xml:space="preserve">TXN1861</t>
  </si>
  <si>
    <t xml:space="preserve">REF1861</t>
  </si>
  <si>
    <t xml:space="preserve">TXN1862</t>
  </si>
  <si>
    <t xml:space="preserve">REF1862</t>
  </si>
  <si>
    <t xml:space="preserve">TXN1863</t>
  </si>
  <si>
    <t xml:space="preserve">ACC523</t>
  </si>
  <si>
    <t xml:space="preserve">CUS523</t>
  </si>
  <si>
    <t xml:space="preserve">REF1863</t>
  </si>
  <si>
    <t xml:space="preserve">TXN1864</t>
  </si>
  <si>
    <t xml:space="preserve">REF1864</t>
  </si>
  <si>
    <t xml:space="preserve">TXN1865</t>
  </si>
  <si>
    <t xml:space="preserve">ACC880</t>
  </si>
  <si>
    <t xml:space="preserve">CUS880</t>
  </si>
  <si>
    <t xml:space="preserve">REF1865</t>
  </si>
  <si>
    <t xml:space="preserve">TXN1866</t>
  </si>
  <si>
    <t xml:space="preserve">ACC957</t>
  </si>
  <si>
    <t xml:space="preserve">CUS957</t>
  </si>
  <si>
    <t xml:space="preserve">REF1866</t>
  </si>
  <si>
    <t xml:space="preserve">TXN1867</t>
  </si>
  <si>
    <t xml:space="preserve">REF1867</t>
  </si>
  <si>
    <t xml:space="preserve">TXN1868</t>
  </si>
  <si>
    <t xml:space="preserve">REF1868</t>
  </si>
  <si>
    <t xml:space="preserve">TXN1869</t>
  </si>
  <si>
    <t xml:space="preserve">ACC203</t>
  </si>
  <si>
    <t xml:space="preserve">CUS203</t>
  </si>
  <si>
    <t xml:space="preserve">REF1869</t>
  </si>
  <si>
    <t xml:space="preserve">TXN1870</t>
  </si>
  <si>
    <t xml:space="preserve">REF1870</t>
  </si>
  <si>
    <t xml:space="preserve">TXN1871</t>
  </si>
  <si>
    <t xml:space="preserve">REF1871</t>
  </si>
  <si>
    <t xml:space="preserve">TXN1872</t>
  </si>
  <si>
    <t xml:space="preserve">REF1872</t>
  </si>
  <si>
    <t xml:space="preserve">TXN1873</t>
  </si>
  <si>
    <t xml:space="preserve">REF1873</t>
  </si>
  <si>
    <t xml:space="preserve">TXN1874</t>
  </si>
  <si>
    <t xml:space="preserve">REF1874</t>
  </si>
  <si>
    <t xml:space="preserve">TXN1875</t>
  </si>
  <si>
    <t xml:space="preserve">ACC574</t>
  </si>
  <si>
    <t xml:space="preserve">CUS574</t>
  </si>
  <si>
    <t xml:space="preserve">REF1875</t>
  </si>
  <si>
    <t xml:space="preserve">TXN1876</t>
  </si>
  <si>
    <t xml:space="preserve">REF1876</t>
  </si>
  <si>
    <t xml:space="preserve">TXN1877</t>
  </si>
  <si>
    <t xml:space="preserve">ACC598</t>
  </si>
  <si>
    <t xml:space="preserve">CUS598</t>
  </si>
  <si>
    <t xml:space="preserve">REF1877</t>
  </si>
  <si>
    <t xml:space="preserve">TXN1878</t>
  </si>
  <si>
    <t xml:space="preserve">ACC037</t>
  </si>
  <si>
    <t xml:space="preserve">CUS037</t>
  </si>
  <si>
    <t xml:space="preserve">REF1878</t>
  </si>
  <si>
    <t xml:space="preserve">TXN1879</t>
  </si>
  <si>
    <t xml:space="preserve">REF1879</t>
  </si>
  <si>
    <t xml:space="preserve">TXN1880</t>
  </si>
  <si>
    <t xml:space="preserve">REF1880</t>
  </si>
  <si>
    <t xml:space="preserve">TXN1881</t>
  </si>
  <si>
    <t xml:space="preserve">ACC967</t>
  </si>
  <si>
    <t xml:space="preserve">CUS967</t>
  </si>
  <si>
    <t xml:space="preserve">REF1881</t>
  </si>
  <si>
    <t xml:space="preserve">TXN1882</t>
  </si>
  <si>
    <t xml:space="preserve">REF1882</t>
  </si>
  <si>
    <t xml:space="preserve">TXN1883</t>
  </si>
  <si>
    <t xml:space="preserve">REF1883</t>
  </si>
  <si>
    <t xml:space="preserve">TXN1884</t>
  </si>
  <si>
    <t xml:space="preserve">REF1884</t>
  </si>
  <si>
    <t xml:space="preserve">TXN1885</t>
  </si>
  <si>
    <t xml:space="preserve">REF1885</t>
  </si>
  <si>
    <t xml:space="preserve">TXN1886</t>
  </si>
  <si>
    <t xml:space="preserve">REF1886</t>
  </si>
  <si>
    <t xml:space="preserve">TXN1887</t>
  </si>
  <si>
    <t xml:space="preserve">REF1887</t>
  </si>
  <si>
    <t xml:space="preserve">TXN1888</t>
  </si>
  <si>
    <t xml:space="preserve">REF1888</t>
  </si>
  <si>
    <t xml:space="preserve">TXN1889</t>
  </si>
  <si>
    <t xml:space="preserve">ACC684</t>
  </si>
  <si>
    <t xml:space="preserve">CUS684</t>
  </si>
  <si>
    <t xml:space="preserve">REF1889</t>
  </si>
  <si>
    <t xml:space="preserve">TXN1890</t>
  </si>
  <si>
    <t xml:space="preserve">REF1890</t>
  </si>
  <si>
    <t xml:space="preserve">TXN1891</t>
  </si>
  <si>
    <t xml:space="preserve">REF1891</t>
  </si>
  <si>
    <t xml:space="preserve">TXN1892</t>
  </si>
  <si>
    <t xml:space="preserve">REF1892</t>
  </si>
  <si>
    <t xml:space="preserve">TXN1893</t>
  </si>
  <si>
    <t xml:space="preserve">REF1893</t>
  </si>
  <si>
    <t xml:space="preserve">TXN1894</t>
  </si>
  <si>
    <t xml:space="preserve">REF1894</t>
  </si>
  <si>
    <t xml:space="preserve">TXN1895</t>
  </si>
  <si>
    <t xml:space="preserve">REF1895</t>
  </si>
  <si>
    <t xml:space="preserve">TXN1896</t>
  </si>
  <si>
    <t xml:space="preserve">REF1896</t>
  </si>
  <si>
    <t xml:space="preserve">TXN1897</t>
  </si>
  <si>
    <t xml:space="preserve">ACC052</t>
  </si>
  <si>
    <t xml:space="preserve">CUS052</t>
  </si>
  <si>
    <t xml:space="preserve">REF1897</t>
  </si>
  <si>
    <t xml:space="preserve">TXN1898</t>
  </si>
  <si>
    <t xml:space="preserve">REF1898</t>
  </si>
  <si>
    <t xml:space="preserve">TXN1899</t>
  </si>
  <si>
    <t xml:space="preserve">REF1899</t>
  </si>
  <si>
    <t xml:space="preserve">TXN1900</t>
  </si>
  <si>
    <t xml:space="preserve">REF1900</t>
  </si>
  <si>
    <t xml:space="preserve">TXN1901</t>
  </si>
  <si>
    <t xml:space="preserve">REF1901</t>
  </si>
  <si>
    <t xml:space="preserve">TXN1902</t>
  </si>
  <si>
    <t xml:space="preserve">REF1902</t>
  </si>
  <si>
    <t xml:space="preserve">TXN1903</t>
  </si>
  <si>
    <t xml:space="preserve">REF1903</t>
  </si>
  <si>
    <t xml:space="preserve">TXN1904</t>
  </si>
  <si>
    <t xml:space="preserve">REF1904</t>
  </si>
  <si>
    <t xml:space="preserve">TXN1905</t>
  </si>
  <si>
    <t xml:space="preserve">REF1905</t>
  </si>
  <si>
    <t xml:space="preserve">TXN1906</t>
  </si>
  <si>
    <t xml:space="preserve">REF1906</t>
  </si>
  <si>
    <t xml:space="preserve">TXN1907</t>
  </si>
  <si>
    <t xml:space="preserve">REF1907</t>
  </si>
  <si>
    <t xml:space="preserve">TXN1908</t>
  </si>
  <si>
    <t xml:space="preserve">REF1908</t>
  </si>
  <si>
    <t xml:space="preserve">TXN1909</t>
  </si>
  <si>
    <t xml:space="preserve">REF1909</t>
  </si>
  <si>
    <t xml:space="preserve">TXN1910</t>
  </si>
  <si>
    <t xml:space="preserve">REF1910</t>
  </si>
  <si>
    <t xml:space="preserve">TXN1911</t>
  </si>
  <si>
    <t xml:space="preserve">REF1911</t>
  </si>
  <si>
    <t xml:space="preserve">TXN1912</t>
  </si>
  <si>
    <t xml:space="preserve">REF1912</t>
  </si>
  <si>
    <t xml:space="preserve">TXN1913</t>
  </si>
  <si>
    <t xml:space="preserve">ACC339</t>
  </si>
  <si>
    <t xml:space="preserve">CUS339</t>
  </si>
  <si>
    <t xml:space="preserve">REF1913</t>
  </si>
  <si>
    <t xml:space="preserve">TXN1914</t>
  </si>
  <si>
    <t xml:space="preserve">REF1914</t>
  </si>
  <si>
    <t xml:space="preserve">TXN1915</t>
  </si>
  <si>
    <t xml:space="preserve">REF1915</t>
  </si>
  <si>
    <t xml:space="preserve">TXN1916</t>
  </si>
  <si>
    <t xml:space="preserve">REF1916</t>
  </si>
  <si>
    <t xml:space="preserve">TXN1917</t>
  </si>
  <si>
    <t xml:space="preserve">REF1917</t>
  </si>
  <si>
    <t xml:space="preserve">TXN1918</t>
  </si>
  <si>
    <t xml:space="preserve">REF1918</t>
  </si>
  <si>
    <t xml:space="preserve">TXN1919</t>
  </si>
  <si>
    <t xml:space="preserve">REF1919</t>
  </si>
  <si>
    <t xml:space="preserve">TXN1920</t>
  </si>
  <si>
    <t xml:space="preserve">REF1920</t>
  </si>
  <si>
    <t xml:space="preserve">TXN1921</t>
  </si>
  <si>
    <t xml:space="preserve">REF1921</t>
  </si>
  <si>
    <t xml:space="preserve">TXN1922</t>
  </si>
  <si>
    <t xml:space="preserve">REF1922</t>
  </si>
  <si>
    <t xml:space="preserve">TXN1923</t>
  </si>
  <si>
    <t xml:space="preserve">REF1923</t>
  </si>
  <si>
    <t xml:space="preserve">TXN1924</t>
  </si>
  <si>
    <t xml:space="preserve">REF1924</t>
  </si>
  <si>
    <t xml:space="preserve">TXN1925</t>
  </si>
  <si>
    <t xml:space="preserve">REF1925</t>
  </si>
  <si>
    <t xml:space="preserve">TXN1926</t>
  </si>
  <si>
    <t xml:space="preserve">REF1926</t>
  </si>
  <si>
    <t xml:space="preserve">TXN1927</t>
  </si>
  <si>
    <t xml:space="preserve">REF1927</t>
  </si>
  <si>
    <t xml:space="preserve">TXN1928</t>
  </si>
  <si>
    <t xml:space="preserve">REF1928</t>
  </si>
  <si>
    <t xml:space="preserve">TXN1929</t>
  </si>
  <si>
    <t xml:space="preserve">REF1929</t>
  </si>
  <si>
    <t xml:space="preserve">TXN1930</t>
  </si>
  <si>
    <t xml:space="preserve">REF1930</t>
  </si>
  <si>
    <t xml:space="preserve">TXN1931</t>
  </si>
  <si>
    <t xml:space="preserve">REF1931</t>
  </si>
  <si>
    <t xml:space="preserve">TXN1932</t>
  </si>
  <si>
    <t xml:space="preserve">REF1932</t>
  </si>
  <si>
    <t xml:space="preserve">TXN1933</t>
  </si>
  <si>
    <t xml:space="preserve">REF1933</t>
  </si>
  <si>
    <t xml:space="preserve">TXN1934</t>
  </si>
  <si>
    <t xml:space="preserve">REF1934</t>
  </si>
  <si>
    <t xml:space="preserve">TXN1935</t>
  </si>
  <si>
    <t xml:space="preserve">REF1935</t>
  </si>
  <si>
    <t xml:space="preserve">TXN1936</t>
  </si>
  <si>
    <t xml:space="preserve">REF1936</t>
  </si>
  <si>
    <t xml:space="preserve">TXN1937</t>
  </si>
  <si>
    <t xml:space="preserve">REF1937</t>
  </si>
  <si>
    <t xml:space="preserve">TXN1938</t>
  </si>
  <si>
    <t xml:space="preserve">REF1938</t>
  </si>
  <si>
    <t xml:space="preserve">TXN1939</t>
  </si>
  <si>
    <t xml:space="preserve">REF1939</t>
  </si>
  <si>
    <t xml:space="preserve">TXN1940</t>
  </si>
  <si>
    <t xml:space="preserve">REF1940</t>
  </si>
  <si>
    <t xml:space="preserve">TXN1941</t>
  </si>
  <si>
    <t xml:space="preserve">REF1941</t>
  </si>
  <si>
    <t xml:space="preserve">TXN1942</t>
  </si>
  <si>
    <t xml:space="preserve">REF1942</t>
  </si>
  <si>
    <t xml:space="preserve">TXN1943</t>
  </si>
  <si>
    <t xml:space="preserve">REF1943</t>
  </si>
  <si>
    <t xml:space="preserve">TXN1944</t>
  </si>
  <si>
    <t xml:space="preserve">REF1944</t>
  </si>
  <si>
    <t xml:space="preserve">TXN1945</t>
  </si>
  <si>
    <t xml:space="preserve">REF1945</t>
  </si>
  <si>
    <t xml:space="preserve">TXN1946</t>
  </si>
  <si>
    <t xml:space="preserve">REF1946</t>
  </si>
  <si>
    <t xml:space="preserve">TXN1947</t>
  </si>
  <si>
    <t xml:space="preserve">REF1947</t>
  </si>
  <si>
    <t xml:space="preserve">TXN1948</t>
  </si>
  <si>
    <t xml:space="preserve">REF1948</t>
  </si>
  <si>
    <t xml:space="preserve">TXN1949</t>
  </si>
  <si>
    <t xml:space="preserve">REF1949</t>
  </si>
  <si>
    <t xml:space="preserve">TXN1950</t>
  </si>
  <si>
    <t xml:space="preserve">ACC202</t>
  </si>
  <si>
    <t xml:space="preserve">CUS202</t>
  </si>
  <si>
    <t xml:space="preserve">REF1950</t>
  </si>
  <si>
    <t xml:space="preserve">TXN1951</t>
  </si>
  <si>
    <t xml:space="preserve">ACC410</t>
  </si>
  <si>
    <t xml:space="preserve">CUS410</t>
  </si>
  <si>
    <t xml:space="preserve">REF1951</t>
  </si>
  <si>
    <t xml:space="preserve">TXN1952</t>
  </si>
  <si>
    <t xml:space="preserve">REF1952</t>
  </si>
  <si>
    <t xml:space="preserve">TXN1953</t>
  </si>
  <si>
    <t xml:space="preserve">REF1953</t>
  </si>
  <si>
    <t xml:space="preserve">TXN1954</t>
  </si>
  <si>
    <t xml:space="preserve">REF1954</t>
  </si>
  <si>
    <t xml:space="preserve">TXN1955</t>
  </si>
  <si>
    <t xml:space="preserve">ACC333</t>
  </si>
  <si>
    <t xml:space="preserve">CUS333</t>
  </si>
  <si>
    <t xml:space="preserve">REF1955</t>
  </si>
  <si>
    <t xml:space="preserve">TXN1956</t>
  </si>
  <si>
    <t xml:space="preserve">REF1956</t>
  </si>
  <si>
    <t xml:space="preserve">TXN1957</t>
  </si>
  <si>
    <t xml:space="preserve">REF1957</t>
  </si>
  <si>
    <t xml:space="preserve">TXN1958</t>
  </si>
  <si>
    <t xml:space="preserve">REF1958</t>
  </si>
  <si>
    <t xml:space="preserve">TXN1959</t>
  </si>
  <si>
    <t xml:space="preserve">REF1959</t>
  </si>
  <si>
    <t xml:space="preserve">TXN1960</t>
  </si>
  <si>
    <t xml:space="preserve">REF1960</t>
  </si>
  <si>
    <t xml:space="preserve">TXN1961</t>
  </si>
  <si>
    <t xml:space="preserve">REF1961</t>
  </si>
  <si>
    <t xml:space="preserve">TXN1962</t>
  </si>
  <si>
    <t xml:space="preserve">REF1962</t>
  </si>
  <si>
    <t xml:space="preserve">TXN1963</t>
  </si>
  <si>
    <t xml:space="preserve">ACC745</t>
  </si>
  <si>
    <t xml:space="preserve">CUS745</t>
  </si>
  <si>
    <t xml:space="preserve">REF1963</t>
  </si>
  <si>
    <t xml:space="preserve">TXN1964</t>
  </si>
  <si>
    <t xml:space="preserve">REF1964</t>
  </si>
  <si>
    <t xml:space="preserve">TXN1965</t>
  </si>
  <si>
    <t xml:space="preserve">REF1965</t>
  </si>
  <si>
    <t xml:space="preserve">TXN1966</t>
  </si>
  <si>
    <t xml:space="preserve">REF1966</t>
  </si>
  <si>
    <t xml:space="preserve">TXN1967</t>
  </si>
  <si>
    <t xml:space="preserve">REF1967</t>
  </si>
  <si>
    <t xml:space="preserve">TXN1968</t>
  </si>
  <si>
    <t xml:space="preserve">ACC640</t>
  </si>
  <si>
    <t xml:space="preserve">CUS640</t>
  </si>
  <si>
    <t xml:space="preserve">REF1968</t>
  </si>
  <si>
    <t xml:space="preserve">TXN1969</t>
  </si>
  <si>
    <t xml:space="preserve">REF1969</t>
  </si>
  <si>
    <t xml:space="preserve">TXN1970</t>
  </si>
  <si>
    <t xml:space="preserve">ACC737</t>
  </si>
  <si>
    <t xml:space="preserve">CUS737</t>
  </si>
  <si>
    <t xml:space="preserve">REF1970</t>
  </si>
  <si>
    <t xml:space="preserve">TXN1971</t>
  </si>
  <si>
    <t xml:space="preserve">REF1971</t>
  </si>
  <si>
    <t xml:space="preserve">TXN1972</t>
  </si>
  <si>
    <t xml:space="preserve">ACC405</t>
  </si>
  <si>
    <t xml:space="preserve">CUS405</t>
  </si>
  <si>
    <t xml:space="preserve">REF1972</t>
  </si>
  <si>
    <t xml:space="preserve">TXN1973</t>
  </si>
  <si>
    <t xml:space="preserve">REF1973</t>
  </si>
  <si>
    <t xml:space="preserve">TXN1974</t>
  </si>
  <si>
    <t xml:space="preserve">REF1974</t>
  </si>
  <si>
    <t xml:space="preserve">TXN1975</t>
  </si>
  <si>
    <t xml:space="preserve">REF1975</t>
  </si>
  <si>
    <t xml:space="preserve">TXN1976</t>
  </si>
  <si>
    <t xml:space="preserve">REF1976</t>
  </si>
  <si>
    <t xml:space="preserve">TXN1977</t>
  </si>
  <si>
    <t xml:space="preserve">REF1977</t>
  </si>
  <si>
    <t xml:space="preserve">TXN1978</t>
  </si>
  <si>
    <t xml:space="preserve">REF1978</t>
  </si>
  <si>
    <t xml:space="preserve">TXN1979</t>
  </si>
  <si>
    <t xml:space="preserve">REF1979</t>
  </si>
  <si>
    <t xml:space="preserve">TXN1980</t>
  </si>
  <si>
    <t xml:space="preserve">ACC281</t>
  </si>
  <si>
    <t xml:space="preserve">CUS281</t>
  </si>
  <si>
    <t xml:space="preserve">REF1980</t>
  </si>
  <si>
    <t xml:space="preserve">TXN1981</t>
  </si>
  <si>
    <t xml:space="preserve">ACC073</t>
  </si>
  <si>
    <t xml:space="preserve">CUS073</t>
  </si>
  <si>
    <t xml:space="preserve">REF1981</t>
  </si>
  <si>
    <t xml:space="preserve">TXN1982</t>
  </si>
  <si>
    <t xml:space="preserve">REF1982</t>
  </si>
  <si>
    <t xml:space="preserve">TXN1983</t>
  </si>
  <si>
    <t xml:space="preserve">REF1983</t>
  </si>
  <si>
    <t xml:space="preserve">TXN1984</t>
  </si>
  <si>
    <t xml:space="preserve">REF1984</t>
  </si>
  <si>
    <t xml:space="preserve">TXN1985</t>
  </si>
  <si>
    <t xml:space="preserve">REF1985</t>
  </si>
  <si>
    <t xml:space="preserve">TXN1986</t>
  </si>
  <si>
    <t xml:space="preserve">REF1986</t>
  </si>
  <si>
    <t xml:space="preserve">TXN1987</t>
  </si>
  <si>
    <t xml:space="preserve">REF1987</t>
  </si>
  <si>
    <t xml:space="preserve">TXN1988</t>
  </si>
  <si>
    <t xml:space="preserve">ACC752</t>
  </si>
  <si>
    <t xml:space="preserve">CUS752</t>
  </si>
  <si>
    <t xml:space="preserve">REF1988</t>
  </si>
  <si>
    <t xml:space="preserve">TXN1989</t>
  </si>
  <si>
    <t xml:space="preserve">REF1989</t>
  </si>
  <si>
    <t xml:space="preserve">TXN1990</t>
  </si>
  <si>
    <t xml:space="preserve">REF1990</t>
  </si>
  <si>
    <t xml:space="preserve">TXN1991</t>
  </si>
  <si>
    <t xml:space="preserve">REF1991</t>
  </si>
  <si>
    <t xml:space="preserve">TXN1992</t>
  </si>
  <si>
    <t xml:space="preserve">REF1992</t>
  </si>
  <si>
    <t xml:space="preserve">TXN1993</t>
  </si>
  <si>
    <t xml:space="preserve">REF1993</t>
  </si>
  <si>
    <t xml:space="preserve">TXN1994</t>
  </si>
  <si>
    <t xml:space="preserve">REF1994</t>
  </si>
  <si>
    <t xml:space="preserve">TXN1995</t>
  </si>
  <si>
    <t xml:space="preserve">REF1995</t>
  </si>
  <si>
    <t xml:space="preserve">TXN1996</t>
  </si>
  <si>
    <t xml:space="preserve">REF1996</t>
  </si>
  <si>
    <t xml:space="preserve">TXN1997</t>
  </si>
  <si>
    <t xml:space="preserve">REF1997</t>
  </si>
  <si>
    <t xml:space="preserve">TXN1998</t>
  </si>
  <si>
    <t xml:space="preserve">REF1998</t>
  </si>
  <si>
    <t xml:space="preserve">TXN1999</t>
  </si>
  <si>
    <t xml:space="preserve">REF1999</t>
  </si>
  <si>
    <t xml:space="preserve">TXN2000</t>
  </si>
  <si>
    <t xml:space="preserve">REF2000</t>
  </si>
  <si>
    <t xml:space="preserve">TXN2001</t>
  </si>
  <si>
    <t xml:space="preserve">REF2001</t>
  </si>
  <si>
    <t xml:space="preserve">TXN2002</t>
  </si>
  <si>
    <t xml:space="preserve">REF2002</t>
  </si>
  <si>
    <t xml:space="preserve">TXN2003</t>
  </si>
  <si>
    <t xml:space="preserve">REF2003</t>
  </si>
  <si>
    <t xml:space="preserve">TXN2004</t>
  </si>
  <si>
    <t xml:space="preserve">REF2004</t>
  </si>
  <si>
    <t xml:space="preserve">TXN2005</t>
  </si>
  <si>
    <t xml:space="preserve">REF2005</t>
  </si>
  <si>
    <t xml:space="preserve">TXN2006</t>
  </si>
  <si>
    <t xml:space="preserve">REF2006</t>
  </si>
  <si>
    <t xml:space="preserve">TXN2007</t>
  </si>
  <si>
    <t xml:space="preserve">REF2007</t>
  </si>
  <si>
    <t xml:space="preserve">TXN2008</t>
  </si>
  <si>
    <t xml:space="preserve">REF2008</t>
  </si>
  <si>
    <t xml:space="preserve">TXN2009</t>
  </si>
  <si>
    <t xml:space="preserve">REF2009</t>
  </si>
  <si>
    <t xml:space="preserve">TXN2010</t>
  </si>
  <si>
    <t xml:space="preserve">REF2010</t>
  </si>
  <si>
    <t xml:space="preserve">TXN2011</t>
  </si>
  <si>
    <t xml:space="preserve">REF2011</t>
  </si>
  <si>
    <t xml:space="preserve">TXN2012</t>
  </si>
  <si>
    <t xml:space="preserve">REF2012</t>
  </si>
  <si>
    <t xml:space="preserve">TXN2013</t>
  </si>
  <si>
    <t xml:space="preserve">REF2013</t>
  </si>
  <si>
    <t xml:space="preserve">TXN2014</t>
  </si>
  <si>
    <t xml:space="preserve">REF2014</t>
  </si>
  <si>
    <t xml:space="preserve">TXN2015</t>
  </si>
  <si>
    <t xml:space="preserve">REF2015</t>
  </si>
  <si>
    <t xml:space="preserve">TXN2016</t>
  </si>
  <si>
    <t xml:space="preserve">REF2016</t>
  </si>
  <si>
    <t xml:space="preserve">TXN2017</t>
  </si>
  <si>
    <t xml:space="preserve">REF2017</t>
  </si>
  <si>
    <t xml:space="preserve">TXN2018</t>
  </si>
  <si>
    <t xml:space="preserve">REF2018</t>
  </si>
  <si>
    <t xml:space="preserve">TXN2019</t>
  </si>
  <si>
    <t xml:space="preserve">REF2019</t>
  </si>
  <si>
    <t xml:space="preserve">TXN2020</t>
  </si>
  <si>
    <t xml:space="preserve">REF2020</t>
  </si>
  <si>
    <t xml:space="preserve">TXN2021</t>
  </si>
  <si>
    <t xml:space="preserve">REF2021</t>
  </si>
  <si>
    <t xml:space="preserve">TXN2022</t>
  </si>
  <si>
    <t xml:space="preserve">REF2022</t>
  </si>
  <si>
    <t xml:space="preserve">TXN2023</t>
  </si>
  <si>
    <t xml:space="preserve">REF2023</t>
  </si>
  <si>
    <t xml:space="preserve">TXN2024</t>
  </si>
  <si>
    <t xml:space="preserve">REF2024</t>
  </si>
  <si>
    <t xml:space="preserve">TXN2025</t>
  </si>
  <si>
    <t xml:space="preserve">REF2025</t>
  </si>
  <si>
    <t xml:space="preserve">TXN2026</t>
  </si>
  <si>
    <t xml:space="preserve">REF2026</t>
  </si>
  <si>
    <t xml:space="preserve">TXN2027</t>
  </si>
  <si>
    <t xml:space="preserve">REF2027</t>
  </si>
  <si>
    <t xml:space="preserve">TXN2028</t>
  </si>
  <si>
    <t xml:space="preserve">REF2028</t>
  </si>
  <si>
    <t xml:space="preserve">TXN2029</t>
  </si>
  <si>
    <t xml:space="preserve">REF2029</t>
  </si>
  <si>
    <t xml:space="preserve">TXN2030</t>
  </si>
  <si>
    <t xml:space="preserve">REF2030</t>
  </si>
  <si>
    <t xml:space="preserve">TXN2031</t>
  </si>
  <si>
    <t xml:space="preserve">REF2031</t>
  </si>
  <si>
    <t xml:space="preserve">TXN2032</t>
  </si>
  <si>
    <t xml:space="preserve">REF2032</t>
  </si>
  <si>
    <t xml:space="preserve">TXN2033</t>
  </si>
  <si>
    <t xml:space="preserve">REF2033</t>
  </si>
  <si>
    <t xml:space="preserve">TXN2034</t>
  </si>
  <si>
    <t xml:space="preserve">REF2034</t>
  </si>
  <si>
    <t xml:space="preserve">TXN2035</t>
  </si>
  <si>
    <t xml:space="preserve">REF2035</t>
  </si>
  <si>
    <t xml:space="preserve">TXN2036</t>
  </si>
  <si>
    <t xml:space="preserve">REF2036</t>
  </si>
  <si>
    <t xml:space="preserve">TXN2037</t>
  </si>
  <si>
    <t xml:space="preserve">REF2037</t>
  </si>
  <si>
    <t xml:space="preserve">TXN2038</t>
  </si>
  <si>
    <t xml:space="preserve">REF2038</t>
  </si>
  <si>
    <t xml:space="preserve">TXN2039</t>
  </si>
  <si>
    <t xml:space="preserve">REF2039</t>
  </si>
  <si>
    <t xml:space="preserve">TXN2040</t>
  </si>
  <si>
    <t xml:space="preserve">REF2040</t>
  </si>
  <si>
    <t xml:space="preserve">TXN2041</t>
  </si>
  <si>
    <t xml:space="preserve">REF2041</t>
  </si>
  <si>
    <t xml:space="preserve">TXN2042</t>
  </si>
  <si>
    <t xml:space="preserve">REF2042</t>
  </si>
  <si>
    <t xml:space="preserve">TXN2043</t>
  </si>
  <si>
    <t xml:space="preserve">REF2043</t>
  </si>
  <si>
    <t xml:space="preserve">TXN2044</t>
  </si>
  <si>
    <t xml:space="preserve">REF2044</t>
  </si>
  <si>
    <t xml:space="preserve">TXN2045</t>
  </si>
  <si>
    <t xml:space="preserve">REF2045</t>
  </si>
  <si>
    <t xml:space="preserve">TXN2046</t>
  </si>
  <si>
    <t xml:space="preserve">REF2046</t>
  </si>
  <si>
    <t xml:space="preserve">TXN2047</t>
  </si>
  <si>
    <t xml:space="preserve">REF2047</t>
  </si>
  <si>
    <t xml:space="preserve">TXN2048</t>
  </si>
  <si>
    <t xml:space="preserve">REF2048</t>
  </si>
  <si>
    <t xml:space="preserve">TXN2049</t>
  </si>
  <si>
    <t xml:space="preserve">ACC494</t>
  </si>
  <si>
    <t xml:space="preserve">CUS494</t>
  </si>
  <si>
    <t xml:space="preserve">REF2049</t>
  </si>
  <si>
    <t xml:space="preserve">TXN2050</t>
  </si>
  <si>
    <t xml:space="preserve">REF2050</t>
  </si>
  <si>
    <t xml:space="preserve">TXN2051</t>
  </si>
  <si>
    <t xml:space="preserve">REF2051</t>
  </si>
  <si>
    <t xml:space="preserve">TXN2052</t>
  </si>
  <si>
    <t xml:space="preserve">REF2052</t>
  </si>
  <si>
    <t xml:space="preserve">TXN2053</t>
  </si>
  <si>
    <t xml:space="preserve">ACC186</t>
  </si>
  <si>
    <t xml:space="preserve">CUS186</t>
  </si>
  <si>
    <t xml:space="preserve">REF2053</t>
  </si>
  <si>
    <t xml:space="preserve">TXN2054</t>
  </si>
  <si>
    <t xml:space="preserve">REF2054</t>
  </si>
  <si>
    <t xml:space="preserve">TXN2055</t>
  </si>
  <si>
    <t xml:space="preserve">REF2055</t>
  </si>
  <si>
    <t xml:space="preserve">TXN2056</t>
  </si>
  <si>
    <t xml:space="preserve">REF2056</t>
  </si>
  <si>
    <t xml:space="preserve">TXN2057</t>
  </si>
  <si>
    <t xml:space="preserve">REF2057</t>
  </si>
  <si>
    <t xml:space="preserve">TXN2058</t>
  </si>
  <si>
    <t xml:space="preserve">REF2058</t>
  </si>
  <si>
    <t xml:space="preserve">TXN2059</t>
  </si>
  <si>
    <t xml:space="preserve">REF2059</t>
  </si>
  <si>
    <t xml:space="preserve">TXN2060</t>
  </si>
  <si>
    <t xml:space="preserve">REF2060</t>
  </si>
  <si>
    <t xml:space="preserve">TXN2061</t>
  </si>
  <si>
    <t xml:space="preserve">REF2061</t>
  </si>
  <si>
    <t xml:space="preserve">TXN2062</t>
  </si>
  <si>
    <t xml:space="preserve">REF2062</t>
  </si>
  <si>
    <t xml:space="preserve">TXN2063</t>
  </si>
  <si>
    <t xml:space="preserve">REF2063</t>
  </si>
  <si>
    <t xml:space="preserve">TXN2064</t>
  </si>
  <si>
    <t xml:space="preserve">REF2064</t>
  </si>
  <si>
    <t xml:space="preserve">TXN2065</t>
  </si>
  <si>
    <t xml:space="preserve">REF2065</t>
  </si>
  <si>
    <t xml:space="preserve">TXN2066</t>
  </si>
  <si>
    <t xml:space="preserve">ACC453</t>
  </si>
  <si>
    <t xml:space="preserve">CUS453</t>
  </si>
  <si>
    <t xml:space="preserve">REF2066</t>
  </si>
  <si>
    <t xml:space="preserve">TXN2067</t>
  </si>
  <si>
    <t xml:space="preserve">REF2067</t>
  </si>
  <si>
    <t xml:space="preserve">TXN2068</t>
  </si>
  <si>
    <t xml:space="preserve">REF2068</t>
  </si>
  <si>
    <t xml:space="preserve">TXN2069</t>
  </si>
  <si>
    <t xml:space="preserve">REF2069</t>
  </si>
  <si>
    <t xml:space="preserve">TXN2070</t>
  </si>
  <si>
    <t xml:space="preserve">REF2070</t>
  </si>
  <si>
    <t xml:space="preserve">TXN2071</t>
  </si>
  <si>
    <t xml:space="preserve">REF2071</t>
  </si>
  <si>
    <t xml:space="preserve">TXN2072</t>
  </si>
  <si>
    <t xml:space="preserve">ACC685</t>
  </si>
  <si>
    <t xml:space="preserve">CUS685</t>
  </si>
  <si>
    <t xml:space="preserve">REF2072</t>
  </si>
  <si>
    <t xml:space="preserve">TXN2073</t>
  </si>
  <si>
    <t xml:space="preserve">REF2073</t>
  </si>
  <si>
    <t xml:space="preserve">TXN2074</t>
  </si>
  <si>
    <t xml:space="preserve">REF2074</t>
  </si>
  <si>
    <t xml:space="preserve">TXN2075</t>
  </si>
  <si>
    <t xml:space="preserve">REF2075</t>
  </si>
  <si>
    <t xml:space="preserve">TXN2076</t>
  </si>
  <si>
    <t xml:space="preserve">REF2076</t>
  </si>
  <si>
    <t xml:space="preserve">TXN2077</t>
  </si>
  <si>
    <t xml:space="preserve">REF2077</t>
  </si>
  <si>
    <t xml:space="preserve">TXN2078</t>
  </si>
  <si>
    <t xml:space="preserve">REF2078</t>
  </si>
  <si>
    <t xml:space="preserve">TXN2079</t>
  </si>
  <si>
    <t xml:space="preserve">REF2079</t>
  </si>
  <si>
    <t xml:space="preserve">TXN2080</t>
  </si>
  <si>
    <t xml:space="preserve">ACC448</t>
  </si>
  <si>
    <t xml:space="preserve">CUS448</t>
  </si>
  <si>
    <t xml:space="preserve">REF2080</t>
  </si>
  <si>
    <t xml:space="preserve">TXN2081</t>
  </si>
  <si>
    <t xml:space="preserve">REF2081</t>
  </si>
  <si>
    <t xml:space="preserve">TXN2082</t>
  </si>
  <si>
    <t xml:space="preserve">REF2082</t>
  </si>
  <si>
    <t xml:space="preserve">TXN2083</t>
  </si>
  <si>
    <t xml:space="preserve">REF2083</t>
  </si>
  <si>
    <t xml:space="preserve">TXN2084</t>
  </si>
  <si>
    <t xml:space="preserve">REF2084</t>
  </si>
  <si>
    <t xml:space="preserve">TXN2085</t>
  </si>
  <si>
    <t xml:space="preserve">ACC971</t>
  </si>
  <si>
    <t xml:space="preserve">CUS971</t>
  </si>
  <si>
    <t xml:space="preserve">REF2085</t>
  </si>
  <si>
    <t xml:space="preserve">TXN2086</t>
  </si>
  <si>
    <t xml:space="preserve">REF2086</t>
  </si>
  <si>
    <t xml:space="preserve">TXN2087</t>
  </si>
  <si>
    <t xml:space="preserve">REF2087</t>
  </si>
  <si>
    <t xml:space="preserve">TXN2088</t>
  </si>
  <si>
    <t xml:space="preserve">REF2088</t>
  </si>
  <si>
    <t xml:space="preserve">TXN2089</t>
  </si>
  <si>
    <t xml:space="preserve">REF2089</t>
  </si>
  <si>
    <t xml:space="preserve">TXN2090</t>
  </si>
  <si>
    <t xml:space="preserve">REF2090</t>
  </si>
  <si>
    <t xml:space="preserve">TXN2091</t>
  </si>
  <si>
    <t xml:space="preserve">REF2091</t>
  </si>
  <si>
    <t xml:space="preserve">TXN2092</t>
  </si>
  <si>
    <t xml:space="preserve">REF2092</t>
  </si>
  <si>
    <t xml:space="preserve">TXN2093</t>
  </si>
  <si>
    <t xml:space="preserve">REF2093</t>
  </si>
  <si>
    <t xml:space="preserve">TXN2094</t>
  </si>
  <si>
    <t xml:space="preserve">REF2094</t>
  </si>
  <si>
    <t xml:space="preserve">TXN2095</t>
  </si>
  <si>
    <t xml:space="preserve">REF2095</t>
  </si>
  <si>
    <t xml:space="preserve">TXN2096</t>
  </si>
  <si>
    <t xml:space="preserve">REF2096</t>
  </si>
  <si>
    <t xml:space="preserve">TXN2097</t>
  </si>
  <si>
    <t xml:space="preserve">REF2097</t>
  </si>
  <si>
    <t xml:space="preserve">TXN2098</t>
  </si>
  <si>
    <t xml:space="preserve">REF2098</t>
  </si>
  <si>
    <t xml:space="preserve">TXN2099</t>
  </si>
  <si>
    <t xml:space="preserve">REF2099</t>
  </si>
  <si>
    <t xml:space="preserve">TXN2100</t>
  </si>
  <si>
    <t xml:space="preserve">REF2100</t>
  </si>
  <si>
    <t xml:space="preserve">TXN2101</t>
  </si>
  <si>
    <t xml:space="preserve">ACC141</t>
  </si>
  <si>
    <t xml:space="preserve">CUS141</t>
  </si>
  <si>
    <t xml:space="preserve">REF2101</t>
  </si>
  <si>
    <t xml:space="preserve">TXN2102</t>
  </si>
  <si>
    <t xml:space="preserve">REF2102</t>
  </si>
  <si>
    <t xml:space="preserve">TXN2103</t>
  </si>
  <si>
    <t xml:space="preserve">REF2103</t>
  </si>
  <si>
    <t xml:space="preserve">TXN2104</t>
  </si>
  <si>
    <t xml:space="preserve">REF2104</t>
  </si>
  <si>
    <t xml:space="preserve">TXN2105</t>
  </si>
  <si>
    <t xml:space="preserve">REF2105</t>
  </si>
  <si>
    <t xml:space="preserve">TXN2106</t>
  </si>
  <si>
    <t xml:space="preserve">REF2106</t>
  </si>
  <si>
    <t xml:space="preserve">TXN2107</t>
  </si>
  <si>
    <t xml:space="preserve">REF2107</t>
  </si>
  <si>
    <t xml:space="preserve">TXN2108</t>
  </si>
  <si>
    <t xml:space="preserve">REF2108</t>
  </si>
  <si>
    <t xml:space="preserve">TXN2109</t>
  </si>
  <si>
    <t xml:space="preserve">REF2109</t>
  </si>
  <si>
    <t xml:space="preserve">TXN2110</t>
  </si>
  <si>
    <t xml:space="preserve">REF2110</t>
  </si>
  <si>
    <t xml:space="preserve">TXN2111</t>
  </si>
  <si>
    <t xml:space="preserve">REF2111</t>
  </si>
  <si>
    <t xml:space="preserve">TXN2112</t>
  </si>
  <si>
    <t xml:space="preserve">REF2112</t>
  </si>
  <si>
    <t xml:space="preserve">TXN2113</t>
  </si>
  <si>
    <t xml:space="preserve">REF2113</t>
  </si>
  <si>
    <t xml:space="preserve">TXN2114</t>
  </si>
  <si>
    <t xml:space="preserve">REF2114</t>
  </si>
  <si>
    <t xml:space="preserve">TXN2115</t>
  </si>
  <si>
    <t xml:space="preserve">REF2115</t>
  </si>
  <si>
    <t xml:space="preserve">TXN2116</t>
  </si>
  <si>
    <t xml:space="preserve">REF2116</t>
  </si>
  <si>
    <t xml:space="preserve">TXN2117</t>
  </si>
  <si>
    <t xml:space="preserve">REF2117</t>
  </si>
  <si>
    <t xml:space="preserve">TXN2118</t>
  </si>
  <si>
    <t xml:space="preserve">REF2118</t>
  </si>
  <si>
    <t xml:space="preserve">TXN2119</t>
  </si>
  <si>
    <t xml:space="preserve">REF2119</t>
  </si>
  <si>
    <t xml:space="preserve">TXN2120</t>
  </si>
  <si>
    <t xml:space="preserve">REF2120</t>
  </si>
  <si>
    <t xml:space="preserve">TXN2121</t>
  </si>
  <si>
    <t xml:space="preserve">REF2121</t>
  </si>
  <si>
    <t xml:space="preserve">TXN2122</t>
  </si>
  <si>
    <t xml:space="preserve">REF2122</t>
  </si>
  <si>
    <t xml:space="preserve">TXN2123</t>
  </si>
  <si>
    <t xml:space="preserve">REF2123</t>
  </si>
  <si>
    <t xml:space="preserve">TXN2124</t>
  </si>
  <si>
    <t xml:space="preserve">REF2124</t>
  </si>
  <si>
    <t xml:space="preserve">TXN2125</t>
  </si>
  <si>
    <t xml:space="preserve">REF2125</t>
  </si>
  <si>
    <t xml:space="preserve">TXN2126</t>
  </si>
  <si>
    <t xml:space="preserve">REF2126</t>
  </si>
  <si>
    <t xml:space="preserve">TXN2127</t>
  </si>
  <si>
    <t xml:space="preserve">REF2127</t>
  </si>
  <si>
    <t xml:space="preserve">TXN2128</t>
  </si>
  <si>
    <t xml:space="preserve">REF2128</t>
  </si>
  <si>
    <t xml:space="preserve">TXN2129</t>
  </si>
  <si>
    <t xml:space="preserve">REF2129</t>
  </si>
  <si>
    <t xml:space="preserve">TXN2130</t>
  </si>
  <si>
    <t xml:space="preserve">REF2130</t>
  </si>
  <si>
    <t xml:space="preserve">TXN2131</t>
  </si>
  <si>
    <t xml:space="preserve">REF2131</t>
  </si>
  <si>
    <t xml:space="preserve">TXN2132</t>
  </si>
  <si>
    <t xml:space="preserve">REF2132</t>
  </si>
  <si>
    <t xml:space="preserve">TXN2133</t>
  </si>
  <si>
    <t xml:space="preserve">REF2133</t>
  </si>
  <si>
    <t xml:space="preserve">TXN2134</t>
  </si>
  <si>
    <t xml:space="preserve">REF2134</t>
  </si>
  <si>
    <t xml:space="preserve">TXN2135</t>
  </si>
  <si>
    <t xml:space="preserve">REF2135</t>
  </si>
  <si>
    <t xml:space="preserve">TXN2136</t>
  </si>
  <si>
    <t xml:space="preserve">REF2136</t>
  </si>
  <si>
    <t xml:space="preserve">TXN2137</t>
  </si>
  <si>
    <t xml:space="preserve">REF2137</t>
  </si>
  <si>
    <t xml:space="preserve">TXN2138</t>
  </si>
  <si>
    <t xml:space="preserve">REF2138</t>
  </si>
  <si>
    <t xml:space="preserve">TXN2139</t>
  </si>
  <si>
    <t xml:space="preserve">REF2139</t>
  </si>
  <si>
    <t xml:space="preserve">TXN2140</t>
  </si>
  <si>
    <t xml:space="preserve">REF2140</t>
  </si>
  <si>
    <t xml:space="preserve">TXN2141</t>
  </si>
  <si>
    <t xml:space="preserve">REF2141</t>
  </si>
  <si>
    <t xml:space="preserve">TXN2142</t>
  </si>
  <si>
    <t xml:space="preserve">REF2142</t>
  </si>
  <si>
    <t xml:space="preserve">TXN2143</t>
  </si>
  <si>
    <t xml:space="preserve">REF2143</t>
  </si>
  <si>
    <t xml:space="preserve">TXN2144</t>
  </si>
  <si>
    <t xml:space="preserve">REF2144</t>
  </si>
  <si>
    <t xml:space="preserve">TXN2145</t>
  </si>
  <si>
    <t xml:space="preserve">REF2145</t>
  </si>
  <si>
    <t xml:space="preserve">TXN2146</t>
  </si>
  <si>
    <t xml:space="preserve">REF2146</t>
  </si>
  <si>
    <t xml:space="preserve">TXN2147</t>
  </si>
  <si>
    <t xml:space="preserve">REF2147</t>
  </si>
  <si>
    <t xml:space="preserve">TXN2148</t>
  </si>
  <si>
    <t xml:space="preserve">REF2148</t>
  </si>
  <si>
    <t xml:space="preserve">TXN2149</t>
  </si>
  <si>
    <t xml:space="preserve">REF2149</t>
  </si>
  <si>
    <t xml:space="preserve">TXN2150</t>
  </si>
  <si>
    <t xml:space="preserve">REF2150</t>
  </si>
  <si>
    <t xml:space="preserve">TXN2151</t>
  </si>
  <si>
    <t xml:space="preserve">REF2151</t>
  </si>
  <si>
    <t xml:space="preserve">TXN2152</t>
  </si>
  <si>
    <t xml:space="preserve">REF2152</t>
  </si>
  <si>
    <t xml:space="preserve">TXN2153</t>
  </si>
  <si>
    <t xml:space="preserve">REF2153</t>
  </si>
  <si>
    <t xml:space="preserve">TXN2154</t>
  </si>
  <si>
    <t xml:space="preserve">REF2154</t>
  </si>
  <si>
    <t xml:space="preserve">TXN2155</t>
  </si>
  <si>
    <t xml:space="preserve">REF2155</t>
  </si>
  <si>
    <t xml:space="preserve">TXN2156</t>
  </si>
  <si>
    <t xml:space="preserve">REF2156</t>
  </si>
  <si>
    <t xml:space="preserve">TXN2157</t>
  </si>
  <si>
    <t xml:space="preserve">REF2157</t>
  </si>
  <si>
    <t xml:space="preserve">TXN2158</t>
  </si>
  <si>
    <t xml:space="preserve">REF2158</t>
  </si>
  <si>
    <t xml:space="preserve">TXN2159</t>
  </si>
  <si>
    <t xml:space="preserve">REF2159</t>
  </si>
  <si>
    <t xml:space="preserve">TXN2160</t>
  </si>
  <si>
    <t xml:space="preserve">REF2160</t>
  </si>
  <si>
    <t xml:space="preserve">TXN2161</t>
  </si>
  <si>
    <t xml:space="preserve">REF2161</t>
  </si>
  <si>
    <t xml:space="preserve">TXN2162</t>
  </si>
  <si>
    <t xml:space="preserve">REF2162</t>
  </si>
  <si>
    <t xml:space="preserve">TXN2163</t>
  </si>
  <si>
    <t xml:space="preserve">REF2163</t>
  </si>
  <si>
    <t xml:space="preserve">TXN2164</t>
  </si>
  <si>
    <t xml:space="preserve">ACC239</t>
  </si>
  <si>
    <t xml:space="preserve">CUS239</t>
  </si>
  <si>
    <t xml:space="preserve">REF2164</t>
  </si>
  <si>
    <t xml:space="preserve">TXN2165</t>
  </si>
  <si>
    <t xml:space="preserve">REF2165</t>
  </si>
  <si>
    <t xml:space="preserve">TXN2166</t>
  </si>
  <si>
    <t xml:space="preserve">REF2166</t>
  </si>
  <si>
    <t xml:space="preserve">TXN2167</t>
  </si>
  <si>
    <t xml:space="preserve">REF2167</t>
  </si>
  <si>
    <t xml:space="preserve">TXN2168</t>
  </si>
  <si>
    <t xml:space="preserve">ACC311</t>
  </si>
  <si>
    <t xml:space="preserve">CUS311</t>
  </si>
  <si>
    <t xml:space="preserve">REF2168</t>
  </si>
  <si>
    <t xml:space="preserve">TXN2169</t>
  </si>
  <si>
    <t xml:space="preserve">REF2169</t>
  </si>
  <si>
    <t xml:space="preserve">TXN2170</t>
  </si>
  <si>
    <t xml:space="preserve">REF2170</t>
  </si>
  <si>
    <t xml:space="preserve">TXN2171</t>
  </si>
  <si>
    <t xml:space="preserve">REF2171</t>
  </si>
  <si>
    <t xml:space="preserve">TXN2172</t>
  </si>
  <si>
    <t xml:space="preserve">REF2172</t>
  </si>
  <si>
    <t xml:space="preserve">TXN2173</t>
  </si>
  <si>
    <t xml:space="preserve">REF2173</t>
  </si>
  <si>
    <t xml:space="preserve">TXN2174</t>
  </si>
  <si>
    <t xml:space="preserve">ACC077</t>
  </si>
  <si>
    <t xml:space="preserve">CUS077</t>
  </si>
  <si>
    <t xml:space="preserve">REF2174</t>
  </si>
  <si>
    <t xml:space="preserve">TXN2175</t>
  </si>
  <si>
    <t xml:space="preserve">REF2175</t>
  </si>
  <si>
    <t xml:space="preserve">TXN2176</t>
  </si>
  <si>
    <t xml:space="preserve">REF2176</t>
  </si>
  <si>
    <t xml:space="preserve">TXN2177</t>
  </si>
  <si>
    <t xml:space="preserve">REF2177</t>
  </si>
  <si>
    <t xml:space="preserve">TXN2178</t>
  </si>
  <si>
    <t xml:space="preserve">REF2178</t>
  </si>
  <si>
    <t xml:space="preserve">TXN2179</t>
  </si>
  <si>
    <t xml:space="preserve">ACC785</t>
  </si>
  <si>
    <t xml:space="preserve">CUS785</t>
  </si>
  <si>
    <t xml:space="preserve">REF2179</t>
  </si>
  <si>
    <t xml:space="preserve">TXN2180</t>
  </si>
  <si>
    <t xml:space="preserve">ACC816</t>
  </si>
  <si>
    <t xml:space="preserve">CUS816</t>
  </si>
  <si>
    <t xml:space="preserve">REF2180</t>
  </si>
  <si>
    <t xml:space="preserve">TXN2181</t>
  </si>
  <si>
    <t xml:space="preserve">REF2181</t>
  </si>
  <si>
    <t xml:space="preserve">TXN2182</t>
  </si>
  <si>
    <t xml:space="preserve">REF2182</t>
  </si>
  <si>
    <t xml:space="preserve">TXN2183</t>
  </si>
  <si>
    <t xml:space="preserve">REF2183</t>
  </si>
  <si>
    <t xml:space="preserve">TXN2184</t>
  </si>
  <si>
    <t xml:space="preserve">REF2184</t>
  </si>
  <si>
    <t xml:space="preserve">TXN2185</t>
  </si>
  <si>
    <t xml:space="preserve">REF2185</t>
  </si>
  <si>
    <t xml:space="preserve">TXN2186</t>
  </si>
  <si>
    <t xml:space="preserve">REF2186</t>
  </si>
  <si>
    <t xml:space="preserve">TXN2187</t>
  </si>
  <si>
    <t xml:space="preserve">ACC924</t>
  </si>
  <si>
    <t xml:space="preserve">CUS924</t>
  </si>
  <si>
    <t xml:space="preserve">REF2187</t>
  </si>
  <si>
    <t xml:space="preserve">TXN2188</t>
  </si>
  <si>
    <t xml:space="preserve">REF2188</t>
  </si>
  <si>
    <t xml:space="preserve">TXN2189</t>
  </si>
  <si>
    <t xml:space="preserve">ACC369</t>
  </si>
  <si>
    <t xml:space="preserve">CUS369</t>
  </si>
  <si>
    <t xml:space="preserve">REF2189</t>
  </si>
  <si>
    <t xml:space="preserve">TXN2190</t>
  </si>
  <si>
    <t xml:space="preserve">REF2190</t>
  </si>
  <si>
    <t xml:space="preserve">TXN2191</t>
  </si>
  <si>
    <t xml:space="preserve">REF2191</t>
  </si>
  <si>
    <t xml:space="preserve">TXN2192</t>
  </si>
  <si>
    <t xml:space="preserve">REF2192</t>
  </si>
  <si>
    <t xml:space="preserve">TXN2193</t>
  </si>
  <si>
    <t xml:space="preserve">REF2193</t>
  </si>
  <si>
    <t xml:space="preserve">TXN2194</t>
  </si>
  <si>
    <t xml:space="preserve">REF2194</t>
  </si>
  <si>
    <t xml:space="preserve">TXN2195</t>
  </si>
  <si>
    <t xml:space="preserve">REF2195</t>
  </si>
  <si>
    <t xml:space="preserve">TXN2196</t>
  </si>
  <si>
    <t xml:space="preserve">REF2196</t>
  </si>
  <si>
    <t xml:space="preserve">TXN2197</t>
  </si>
  <si>
    <t xml:space="preserve">REF2197</t>
  </si>
  <si>
    <t xml:space="preserve">TXN2198</t>
  </si>
  <si>
    <t xml:space="preserve">REF2198</t>
  </si>
  <si>
    <t xml:space="preserve">TXN2199</t>
  </si>
  <si>
    <t xml:space="preserve">REF2199</t>
  </si>
  <si>
    <t xml:space="preserve">TXN2200</t>
  </si>
  <si>
    <t xml:space="preserve">REF2200</t>
  </si>
  <si>
    <t xml:space="preserve">TXN2201</t>
  </si>
  <si>
    <t xml:space="preserve">REF2201</t>
  </si>
  <si>
    <t xml:space="preserve">TXN2202</t>
  </si>
  <si>
    <t xml:space="preserve">REF2202</t>
  </si>
  <si>
    <t xml:space="preserve">TXN2203</t>
  </si>
  <si>
    <t xml:space="preserve">REF2203</t>
  </si>
  <si>
    <t xml:space="preserve">TXN2204</t>
  </si>
  <si>
    <t xml:space="preserve">REF2204</t>
  </si>
  <si>
    <t xml:space="preserve">TXN2205</t>
  </si>
  <si>
    <t xml:space="preserve">REF2205</t>
  </si>
  <si>
    <t xml:space="preserve">TXN2206</t>
  </si>
  <si>
    <t xml:space="preserve">REF2206</t>
  </si>
  <si>
    <t xml:space="preserve">TXN2207</t>
  </si>
  <si>
    <t xml:space="preserve">REF2207</t>
  </si>
  <si>
    <t xml:space="preserve">TXN2208</t>
  </si>
  <si>
    <t xml:space="preserve">REF2208</t>
  </si>
  <si>
    <t xml:space="preserve">TXN2209</t>
  </si>
  <si>
    <t xml:space="preserve">REF2209</t>
  </si>
  <si>
    <t xml:space="preserve">TXN2210</t>
  </si>
  <si>
    <t xml:space="preserve">REF2210</t>
  </si>
  <si>
    <t xml:space="preserve">TXN2211</t>
  </si>
  <si>
    <t xml:space="preserve">REF2211</t>
  </si>
  <si>
    <t xml:space="preserve">TXN2212</t>
  </si>
  <si>
    <t xml:space="preserve">REF2212</t>
  </si>
  <si>
    <t xml:space="preserve">TXN2213</t>
  </si>
  <si>
    <t xml:space="preserve">REF2213</t>
  </si>
  <si>
    <t xml:space="preserve">TXN2214</t>
  </si>
  <si>
    <t xml:space="preserve">REF2214</t>
  </si>
  <si>
    <t xml:space="preserve">TXN2215</t>
  </si>
  <si>
    <t xml:space="preserve">REF2215</t>
  </si>
  <si>
    <t xml:space="preserve">TXN2216</t>
  </si>
  <si>
    <t xml:space="preserve">REF2216</t>
  </si>
  <si>
    <t xml:space="preserve">TXN2217</t>
  </si>
  <si>
    <t xml:space="preserve">REF2217</t>
  </si>
  <si>
    <t xml:space="preserve">TXN2218</t>
  </si>
  <si>
    <t xml:space="preserve">ACC907</t>
  </si>
  <si>
    <t xml:space="preserve">CUS907</t>
  </si>
  <si>
    <t xml:space="preserve">REF2218</t>
  </si>
  <si>
    <t xml:space="preserve">TXN2219</t>
  </si>
  <si>
    <t xml:space="preserve">REF2219</t>
  </si>
  <si>
    <t xml:space="preserve">TXN2220</t>
  </si>
  <si>
    <t xml:space="preserve">REF2220</t>
  </si>
  <si>
    <t xml:space="preserve">TXN2221</t>
  </si>
  <si>
    <t xml:space="preserve">REF2221</t>
  </si>
  <si>
    <t xml:space="preserve">TXN2222</t>
  </si>
  <si>
    <t xml:space="preserve">REF2222</t>
  </si>
  <si>
    <t xml:space="preserve">TXN2223</t>
  </si>
  <si>
    <t xml:space="preserve">REF2223</t>
  </si>
  <si>
    <t xml:space="preserve">TXN2224</t>
  </si>
  <si>
    <t xml:space="preserve">ACC387</t>
  </si>
  <si>
    <t xml:space="preserve">CUS387</t>
  </si>
  <si>
    <t xml:space="preserve">REF2224</t>
  </si>
  <si>
    <t xml:space="preserve">TXN2225</t>
  </si>
  <si>
    <t xml:space="preserve">REF2225</t>
  </si>
  <si>
    <t xml:space="preserve">TXN2226</t>
  </si>
  <si>
    <t xml:space="preserve">REF2226</t>
  </si>
  <si>
    <t xml:space="preserve">TXN2227</t>
  </si>
  <si>
    <t xml:space="preserve">REF2227</t>
  </si>
  <si>
    <t xml:space="preserve">TXN2228</t>
  </si>
  <si>
    <t xml:space="preserve">REF2228</t>
  </si>
  <si>
    <t xml:space="preserve">TXN2229</t>
  </si>
  <si>
    <t xml:space="preserve">REF2229</t>
  </si>
  <si>
    <t xml:space="preserve">TXN2230</t>
  </si>
  <si>
    <t xml:space="preserve">REF2230</t>
  </si>
  <si>
    <t xml:space="preserve">TXN2231</t>
  </si>
  <si>
    <t xml:space="preserve">REF2231</t>
  </si>
  <si>
    <t xml:space="preserve">TXN2232</t>
  </si>
  <si>
    <t xml:space="preserve">REF2232</t>
  </si>
  <si>
    <t xml:space="preserve">TXN2233</t>
  </si>
  <si>
    <t xml:space="preserve">REF2233</t>
  </si>
  <si>
    <t xml:space="preserve">TXN2234</t>
  </si>
  <si>
    <t xml:space="preserve">REF2234</t>
  </si>
  <si>
    <t xml:space="preserve">TXN2235</t>
  </si>
  <si>
    <t xml:space="preserve">REF2235</t>
  </si>
  <si>
    <t xml:space="preserve">TXN2236</t>
  </si>
  <si>
    <t xml:space="preserve">REF2236</t>
  </si>
  <si>
    <t xml:space="preserve">TXN2237</t>
  </si>
  <si>
    <t xml:space="preserve">REF2237</t>
  </si>
  <si>
    <t xml:space="preserve">TXN2238</t>
  </si>
  <si>
    <t xml:space="preserve">REF2238</t>
  </si>
  <si>
    <t xml:space="preserve">TXN2239</t>
  </si>
  <si>
    <t xml:space="preserve">REF2239</t>
  </si>
  <si>
    <t xml:space="preserve">TXN2240</t>
  </si>
  <si>
    <t xml:space="preserve">REF2240</t>
  </si>
  <si>
    <t xml:space="preserve">TXN2241</t>
  </si>
  <si>
    <t xml:space="preserve">REF2241</t>
  </si>
  <si>
    <t xml:space="preserve">TXN2242</t>
  </si>
  <si>
    <t xml:space="preserve">REF2242</t>
  </si>
  <si>
    <t xml:space="preserve">TXN2243</t>
  </si>
  <si>
    <t xml:space="preserve">REF2243</t>
  </si>
  <si>
    <t xml:space="preserve">TXN2244</t>
  </si>
  <si>
    <t xml:space="preserve">REF2244</t>
  </si>
  <si>
    <t xml:space="preserve">TXN2245</t>
  </si>
  <si>
    <t xml:space="preserve">REF2245</t>
  </si>
  <si>
    <t xml:space="preserve">TXN2246</t>
  </si>
  <si>
    <t xml:space="preserve">REF2246</t>
  </si>
  <si>
    <t xml:space="preserve">TXN2247</t>
  </si>
  <si>
    <t xml:space="preserve">REF2247</t>
  </si>
  <si>
    <t xml:space="preserve">TXN2248</t>
  </si>
  <si>
    <t xml:space="preserve">REF2248</t>
  </si>
  <si>
    <t xml:space="preserve">TXN2249</t>
  </si>
  <si>
    <t xml:space="preserve">REF2249</t>
  </si>
  <si>
    <t xml:space="preserve">TXN2250</t>
  </si>
  <si>
    <t xml:space="preserve">REF2250</t>
  </si>
  <si>
    <t xml:space="preserve">TXN2251</t>
  </si>
  <si>
    <t xml:space="preserve">REF2251</t>
  </si>
  <si>
    <t xml:space="preserve">TXN2252</t>
  </si>
  <si>
    <t xml:space="preserve">REF2252</t>
  </si>
  <si>
    <t xml:space="preserve">TXN2253</t>
  </si>
  <si>
    <t xml:space="preserve">REF2253</t>
  </si>
  <si>
    <t xml:space="preserve">TXN2254</t>
  </si>
  <si>
    <t xml:space="preserve">REF2254</t>
  </si>
  <si>
    <t xml:space="preserve">TXN2255</t>
  </si>
  <si>
    <t xml:space="preserve">REF2255</t>
  </si>
  <si>
    <t xml:space="preserve">TXN2256</t>
  </si>
  <si>
    <t xml:space="preserve">REF2256</t>
  </si>
  <si>
    <t xml:space="preserve">TXN2257</t>
  </si>
  <si>
    <t xml:space="preserve">REF2257</t>
  </si>
  <si>
    <t xml:space="preserve">TXN2258</t>
  </si>
  <si>
    <t xml:space="preserve">REF2258</t>
  </si>
  <si>
    <t xml:space="preserve">TXN2259</t>
  </si>
  <si>
    <t xml:space="preserve">REF2259</t>
  </si>
  <si>
    <t xml:space="preserve">TXN2260</t>
  </si>
  <si>
    <t xml:space="preserve">REF2260</t>
  </si>
  <si>
    <t xml:space="preserve">TXN2261</t>
  </si>
  <si>
    <t xml:space="preserve">REF2261</t>
  </si>
  <si>
    <t xml:space="preserve">TXN2262</t>
  </si>
  <si>
    <t xml:space="preserve">REF2262</t>
  </si>
  <si>
    <t xml:space="preserve">TXN2263</t>
  </si>
  <si>
    <t xml:space="preserve">REF2263</t>
  </si>
  <si>
    <t xml:space="preserve">TXN2264</t>
  </si>
  <si>
    <t xml:space="preserve">ACC284</t>
  </si>
  <si>
    <t xml:space="preserve">CUS284</t>
  </si>
  <si>
    <t xml:space="preserve">REF2264</t>
  </si>
  <si>
    <t xml:space="preserve">TXN2265</t>
  </si>
  <si>
    <t xml:space="preserve">REF2265</t>
  </si>
  <si>
    <t xml:space="preserve">TXN2266</t>
  </si>
  <si>
    <t xml:space="preserve">REF2266</t>
  </si>
  <si>
    <t xml:space="preserve">TXN2267</t>
  </si>
  <si>
    <t xml:space="preserve">REF2267</t>
  </si>
  <si>
    <t xml:space="preserve">TXN2268</t>
  </si>
  <si>
    <t xml:space="preserve">REF2268</t>
  </si>
  <si>
    <t xml:space="preserve">TXN2269</t>
  </si>
  <si>
    <t xml:space="preserve">REF2269</t>
  </si>
  <si>
    <t xml:space="preserve">TXN2270</t>
  </si>
  <si>
    <t xml:space="preserve">REF2270</t>
  </si>
  <si>
    <t xml:space="preserve">TXN2271</t>
  </si>
  <si>
    <t xml:space="preserve">REF2271</t>
  </si>
  <si>
    <t xml:space="preserve">TXN2272</t>
  </si>
  <si>
    <t xml:space="preserve">REF2272</t>
  </si>
  <si>
    <t xml:space="preserve">TXN2273</t>
  </si>
  <si>
    <t xml:space="preserve">REF2273</t>
  </si>
  <si>
    <t xml:space="preserve">TXN2274</t>
  </si>
  <si>
    <t xml:space="preserve">REF2274</t>
  </si>
  <si>
    <t xml:space="preserve">TXN2275</t>
  </si>
  <si>
    <t xml:space="preserve">REF2275</t>
  </si>
  <si>
    <t xml:space="preserve">TXN2276</t>
  </si>
  <si>
    <t xml:space="preserve">REF2276</t>
  </si>
  <si>
    <t xml:space="preserve">TXN2277</t>
  </si>
  <si>
    <t xml:space="preserve">REF2277</t>
  </si>
  <si>
    <t xml:space="preserve">TXN2278</t>
  </si>
  <si>
    <t xml:space="preserve">REF2278</t>
  </si>
  <si>
    <t xml:space="preserve">TXN2279</t>
  </si>
  <si>
    <t xml:space="preserve">REF2279</t>
  </si>
  <si>
    <t xml:space="preserve">TXN2280</t>
  </si>
  <si>
    <t xml:space="preserve">REF2280</t>
  </si>
  <si>
    <t xml:space="preserve">TXN2281</t>
  </si>
  <si>
    <t xml:space="preserve">ACC568</t>
  </si>
  <si>
    <t xml:space="preserve">CUS568</t>
  </si>
  <si>
    <t xml:space="preserve">REF2281</t>
  </si>
  <si>
    <t xml:space="preserve">TXN2282</t>
  </si>
  <si>
    <t xml:space="preserve">REF2282</t>
  </si>
  <si>
    <t xml:space="preserve">TXN2283</t>
  </si>
  <si>
    <t xml:space="preserve">REF2283</t>
  </si>
  <si>
    <t xml:space="preserve">TXN2284</t>
  </si>
  <si>
    <t xml:space="preserve">REF2284</t>
  </si>
  <si>
    <t xml:space="preserve">TXN2285</t>
  </si>
  <si>
    <t xml:space="preserve">REF2285</t>
  </si>
  <si>
    <t xml:space="preserve">TXN2286</t>
  </si>
  <si>
    <t xml:space="preserve">ACC918</t>
  </si>
  <si>
    <t xml:space="preserve">CUS918</t>
  </si>
  <si>
    <t xml:space="preserve">REF2286</t>
  </si>
  <si>
    <t xml:space="preserve">TXN2287</t>
  </si>
  <si>
    <t xml:space="preserve">REF2287</t>
  </si>
  <si>
    <t xml:space="preserve">TXN2288</t>
  </si>
  <si>
    <t xml:space="preserve">REF2288</t>
  </si>
  <si>
    <t xml:space="preserve">TXN2289</t>
  </si>
  <si>
    <t xml:space="preserve">REF2289</t>
  </si>
  <si>
    <t xml:space="preserve">TXN2290</t>
  </si>
  <si>
    <t xml:space="preserve">REF2290</t>
  </si>
  <si>
    <t xml:space="preserve">TXN2291</t>
  </si>
  <si>
    <t xml:space="preserve">REF2291</t>
  </si>
  <si>
    <t xml:space="preserve">TXN2292</t>
  </si>
  <si>
    <t xml:space="preserve">ACC035</t>
  </si>
  <si>
    <t xml:space="preserve">CUS035</t>
  </si>
  <si>
    <t xml:space="preserve">REF2292</t>
  </si>
  <si>
    <t xml:space="preserve">TXN2293</t>
  </si>
  <si>
    <t xml:space="preserve">REF2293</t>
  </si>
  <si>
    <t xml:space="preserve">TXN2294</t>
  </si>
  <si>
    <t xml:space="preserve">ACC289</t>
  </si>
  <si>
    <t xml:space="preserve">CUS289</t>
  </si>
  <si>
    <t xml:space="preserve">REF2294</t>
  </si>
  <si>
    <t xml:space="preserve">TXN2295</t>
  </si>
  <si>
    <t xml:space="preserve">ACC996</t>
  </si>
  <si>
    <t xml:space="preserve">CUS996</t>
  </si>
  <si>
    <t xml:space="preserve">REF2295</t>
  </si>
  <si>
    <t xml:space="preserve">TXN2296</t>
  </si>
  <si>
    <t xml:space="preserve">REF2296</t>
  </si>
  <si>
    <t xml:space="preserve">TXN2297</t>
  </si>
  <si>
    <t xml:space="preserve">REF2297</t>
  </si>
  <si>
    <t xml:space="preserve">TXN2298</t>
  </si>
  <si>
    <t xml:space="preserve">ACC769</t>
  </si>
  <si>
    <t xml:space="preserve">CUS769</t>
  </si>
  <si>
    <t xml:space="preserve">REF2298</t>
  </si>
  <si>
    <t xml:space="preserve">TXN2299</t>
  </si>
  <si>
    <t xml:space="preserve">REF2299</t>
  </si>
  <si>
    <t xml:space="preserve">TXN2300</t>
  </si>
  <si>
    <t xml:space="preserve">REF2300</t>
  </si>
  <si>
    <t xml:space="preserve">TXN2301</t>
  </si>
  <si>
    <t xml:space="preserve">REF2301</t>
  </si>
  <si>
    <t xml:space="preserve">TXN2302</t>
  </si>
  <si>
    <t xml:space="preserve">REF2302</t>
  </si>
  <si>
    <t xml:space="preserve">TXN2303</t>
  </si>
  <si>
    <t xml:space="preserve">REF2303</t>
  </si>
  <si>
    <t xml:space="preserve">TXN2304</t>
  </si>
  <si>
    <t xml:space="preserve">REF2304</t>
  </si>
  <si>
    <t xml:space="preserve">TXN2305</t>
  </si>
  <si>
    <t xml:space="preserve">REF2305</t>
  </si>
  <si>
    <t xml:space="preserve">TXN2306</t>
  </si>
  <si>
    <t xml:space="preserve">REF2306</t>
  </si>
  <si>
    <t xml:space="preserve">TXN2307</t>
  </si>
  <si>
    <t xml:space="preserve">REF2307</t>
  </si>
  <si>
    <t xml:space="preserve">TXN2308</t>
  </si>
  <si>
    <t xml:space="preserve">ACC088</t>
  </si>
  <si>
    <t xml:space="preserve">CUS088</t>
  </si>
  <si>
    <t xml:space="preserve">REF2308</t>
  </si>
  <si>
    <t xml:space="preserve">TXN2309</t>
  </si>
  <si>
    <t xml:space="preserve">REF2309</t>
  </si>
  <si>
    <t xml:space="preserve">TXN2310</t>
  </si>
  <si>
    <t xml:space="preserve">REF2310</t>
  </si>
  <si>
    <t xml:space="preserve">TXN2311</t>
  </si>
  <si>
    <t xml:space="preserve">REF2311</t>
  </si>
  <si>
    <t xml:space="preserve">TXN2312</t>
  </si>
  <si>
    <t xml:space="preserve">REF2312</t>
  </si>
  <si>
    <t xml:space="preserve">TXN2313</t>
  </si>
  <si>
    <t xml:space="preserve">REF2313</t>
  </si>
  <si>
    <t xml:space="preserve">TXN2314</t>
  </si>
  <si>
    <t xml:space="preserve">ACC242</t>
  </si>
  <si>
    <t xml:space="preserve">CUS242</t>
  </si>
  <si>
    <t xml:space="preserve">REF2314</t>
  </si>
  <si>
    <t xml:space="preserve">TXN2315</t>
  </si>
  <si>
    <t xml:space="preserve">REF2315</t>
  </si>
  <si>
    <t xml:space="preserve">TXN2316</t>
  </si>
  <si>
    <t xml:space="preserve">ACC731</t>
  </si>
  <si>
    <t xml:space="preserve">CUS731</t>
  </si>
  <si>
    <t xml:space="preserve">REF2316</t>
  </si>
  <si>
    <t xml:space="preserve">TXN2317</t>
  </si>
  <si>
    <t xml:space="preserve">REF2317</t>
  </si>
  <si>
    <t xml:space="preserve">TXN2318</t>
  </si>
  <si>
    <t xml:space="preserve">REF2318</t>
  </si>
  <si>
    <t xml:space="preserve">TXN2319</t>
  </si>
  <si>
    <t xml:space="preserve">REF2319</t>
  </si>
  <si>
    <t xml:space="preserve">TXN2320</t>
  </si>
  <si>
    <t xml:space="preserve">REF2320</t>
  </si>
  <si>
    <t xml:space="preserve">TXN2321</t>
  </si>
  <si>
    <t xml:space="preserve">REF2321</t>
  </si>
  <si>
    <t xml:space="preserve">TXN2322</t>
  </si>
  <si>
    <t xml:space="preserve">REF2322</t>
  </si>
  <si>
    <t xml:space="preserve">TXN2323</t>
  </si>
  <si>
    <t xml:space="preserve">REF2323</t>
  </si>
  <si>
    <t xml:space="preserve">TXN2324</t>
  </si>
  <si>
    <t xml:space="preserve">REF2324</t>
  </si>
  <si>
    <t xml:space="preserve">TXN2325</t>
  </si>
  <si>
    <t xml:space="preserve">REF2325</t>
  </si>
  <si>
    <t xml:space="preserve">TXN2326</t>
  </si>
  <si>
    <t xml:space="preserve">ACC161</t>
  </si>
  <si>
    <t xml:space="preserve">CUS161</t>
  </si>
  <si>
    <t xml:space="preserve">REF2326</t>
  </si>
  <si>
    <t xml:space="preserve">TXN2327</t>
  </si>
  <si>
    <t xml:space="preserve">REF2327</t>
  </si>
  <si>
    <t xml:space="preserve">TXN2328</t>
  </si>
  <si>
    <t xml:space="preserve">REF2328</t>
  </si>
  <si>
    <t xml:space="preserve">TXN2329</t>
  </si>
  <si>
    <t xml:space="preserve">REF2329</t>
  </si>
  <si>
    <t xml:space="preserve">TXN2330</t>
  </si>
  <si>
    <t xml:space="preserve">REF2330</t>
  </si>
  <si>
    <t xml:space="preserve">TXN2331</t>
  </si>
  <si>
    <t xml:space="preserve">REF2331</t>
  </si>
  <si>
    <t xml:space="preserve">TXN2332</t>
  </si>
  <si>
    <t xml:space="preserve">REF2332</t>
  </si>
  <si>
    <t xml:space="preserve">TXN2333</t>
  </si>
  <si>
    <t xml:space="preserve">REF2333</t>
  </si>
  <si>
    <t xml:space="preserve">TXN2334</t>
  </si>
  <si>
    <t xml:space="preserve">REF2334</t>
  </si>
  <si>
    <t xml:space="preserve">TXN2335</t>
  </si>
  <si>
    <t xml:space="preserve">REF2335</t>
  </si>
  <si>
    <t xml:space="preserve">TXN2336</t>
  </si>
  <si>
    <t xml:space="preserve">REF2336</t>
  </si>
  <si>
    <t xml:space="preserve">TXN2337</t>
  </si>
  <si>
    <t xml:space="preserve">REF2337</t>
  </si>
  <si>
    <t xml:space="preserve">TXN2338</t>
  </si>
  <si>
    <t xml:space="preserve">REF2338</t>
  </si>
  <si>
    <t xml:space="preserve">TXN2339</t>
  </si>
  <si>
    <t xml:space="preserve">REF2339</t>
  </si>
  <si>
    <t xml:space="preserve">TXN2340</t>
  </si>
  <si>
    <t xml:space="preserve">REF2340</t>
  </si>
  <si>
    <t xml:space="preserve">TXN2341</t>
  </si>
  <si>
    <t xml:space="preserve">REF2341</t>
  </si>
  <si>
    <t xml:space="preserve">TXN2342</t>
  </si>
  <si>
    <t xml:space="preserve">REF2342</t>
  </si>
  <si>
    <t xml:space="preserve">TXN2343</t>
  </si>
  <si>
    <t xml:space="preserve">REF2343</t>
  </si>
  <si>
    <t xml:space="preserve">TXN2344</t>
  </si>
  <si>
    <t xml:space="preserve">REF2344</t>
  </si>
  <si>
    <t xml:space="preserve">TXN2345</t>
  </si>
  <si>
    <t xml:space="preserve">REF2345</t>
  </si>
  <si>
    <t xml:space="preserve">TXN2346</t>
  </si>
  <si>
    <t xml:space="preserve">REF2346</t>
  </si>
  <si>
    <t xml:space="preserve">TXN2347</t>
  </si>
  <si>
    <t xml:space="preserve">REF2347</t>
  </si>
  <si>
    <t xml:space="preserve">TXN2348</t>
  </si>
  <si>
    <t xml:space="preserve">REF2348</t>
  </si>
  <si>
    <t xml:space="preserve">TXN2349</t>
  </si>
  <si>
    <t xml:space="preserve">REF2349</t>
  </si>
  <si>
    <t xml:space="preserve">TXN2350</t>
  </si>
  <si>
    <t xml:space="preserve">REF2350</t>
  </si>
  <si>
    <t xml:space="preserve">TXN2351</t>
  </si>
  <si>
    <t xml:space="preserve">REF2351</t>
  </si>
  <si>
    <t xml:space="preserve">TXN2352</t>
  </si>
  <si>
    <t xml:space="preserve">REF2352</t>
  </si>
  <si>
    <t xml:space="preserve">TXN2353</t>
  </si>
  <si>
    <t xml:space="preserve">REF2353</t>
  </si>
  <si>
    <t xml:space="preserve">TXN2354</t>
  </si>
  <si>
    <t xml:space="preserve">REF2354</t>
  </si>
  <si>
    <t xml:space="preserve">TXN2355</t>
  </si>
  <si>
    <t xml:space="preserve">REF2355</t>
  </si>
  <si>
    <t xml:space="preserve">TXN2356</t>
  </si>
  <si>
    <t xml:space="preserve">REF2356</t>
  </si>
  <si>
    <t xml:space="preserve">TXN2357</t>
  </si>
  <si>
    <t xml:space="preserve">REF2357</t>
  </si>
  <si>
    <t xml:space="preserve">TXN2358</t>
  </si>
  <si>
    <t xml:space="preserve">REF2358</t>
  </si>
  <si>
    <t xml:space="preserve">TXN2359</t>
  </si>
  <si>
    <t xml:space="preserve">REF2359</t>
  </si>
  <si>
    <t xml:space="preserve">TXN2360</t>
  </si>
  <si>
    <t xml:space="preserve">REF2360</t>
  </si>
  <si>
    <t xml:space="preserve">TXN2361</t>
  </si>
  <si>
    <t xml:space="preserve">REF2361</t>
  </si>
  <si>
    <t xml:space="preserve">TXN2362</t>
  </si>
  <si>
    <t xml:space="preserve">REF2362</t>
  </si>
  <si>
    <t xml:space="preserve">TXN2363</t>
  </si>
  <si>
    <t xml:space="preserve">REF2363</t>
  </si>
  <si>
    <t xml:space="preserve">TXN2364</t>
  </si>
  <si>
    <t xml:space="preserve">REF2364</t>
  </si>
  <si>
    <t xml:space="preserve">TXN2365</t>
  </si>
  <si>
    <t xml:space="preserve">ACC895</t>
  </si>
  <si>
    <t xml:space="preserve">CUS895</t>
  </si>
  <si>
    <t xml:space="preserve">REF2365</t>
  </si>
  <si>
    <t xml:space="preserve">TXN2366</t>
  </si>
  <si>
    <t xml:space="preserve">REF2366</t>
  </si>
  <si>
    <t xml:space="preserve">TXN2367</t>
  </si>
  <si>
    <t xml:space="preserve">REF2367</t>
  </si>
  <si>
    <t xml:space="preserve">TXN2368</t>
  </si>
  <si>
    <t xml:space="preserve">REF2368</t>
  </si>
  <si>
    <t xml:space="preserve">TXN2369</t>
  </si>
  <si>
    <t xml:space="preserve">REF2369</t>
  </si>
  <si>
    <t xml:space="preserve">TXN2370</t>
  </si>
  <si>
    <t xml:space="preserve">REF2370</t>
  </si>
  <si>
    <t xml:space="preserve">TXN2371</t>
  </si>
  <si>
    <t xml:space="preserve">REF2371</t>
  </si>
  <si>
    <t xml:space="preserve">TXN2372</t>
  </si>
  <si>
    <t xml:space="preserve">REF2372</t>
  </si>
  <si>
    <t xml:space="preserve">TXN2373</t>
  </si>
  <si>
    <t xml:space="preserve">REF2373</t>
  </si>
  <si>
    <t xml:space="preserve">TXN2374</t>
  </si>
  <si>
    <t xml:space="preserve">ACC341</t>
  </si>
  <si>
    <t xml:space="preserve">CUS341</t>
  </si>
  <si>
    <t xml:space="preserve">REF2374</t>
  </si>
  <si>
    <t xml:space="preserve">TXN2375</t>
  </si>
  <si>
    <t xml:space="preserve">REF2375</t>
  </si>
  <si>
    <t xml:space="preserve">TXN2376</t>
  </si>
  <si>
    <t xml:space="preserve">REF2376</t>
  </si>
  <si>
    <t xml:space="preserve">TXN2377</t>
  </si>
  <si>
    <t xml:space="preserve">REF2377</t>
  </si>
  <si>
    <t xml:space="preserve">TXN2378</t>
  </si>
  <si>
    <t xml:space="preserve">REF2378</t>
  </si>
  <si>
    <t xml:space="preserve">TXN2379</t>
  </si>
  <si>
    <t xml:space="preserve">REF2379</t>
  </si>
  <si>
    <t xml:space="preserve">TXN2380</t>
  </si>
  <si>
    <t xml:space="preserve">REF2380</t>
  </si>
  <si>
    <t xml:space="preserve">TXN2381</t>
  </si>
  <si>
    <t xml:space="preserve">REF2381</t>
  </si>
  <si>
    <t xml:space="preserve">TXN2382</t>
  </si>
  <si>
    <t xml:space="preserve">REF2382</t>
  </si>
  <si>
    <t xml:space="preserve">TXN2383</t>
  </si>
  <si>
    <t xml:space="preserve">REF2383</t>
  </si>
  <si>
    <t xml:space="preserve">TXN2384</t>
  </si>
  <si>
    <t xml:space="preserve">REF2384</t>
  </si>
  <si>
    <t xml:space="preserve">TXN2385</t>
  </si>
  <si>
    <t xml:space="preserve">REF2385</t>
  </si>
  <si>
    <t xml:space="preserve">TXN2386</t>
  </si>
  <si>
    <t xml:space="preserve">REF2386</t>
  </si>
  <si>
    <t xml:space="preserve">TXN2387</t>
  </si>
  <si>
    <t xml:space="preserve">REF2387</t>
  </si>
  <si>
    <t xml:space="preserve">TXN2388</t>
  </si>
  <si>
    <t xml:space="preserve">REF2388</t>
  </si>
  <si>
    <t xml:space="preserve">TXN2389</t>
  </si>
  <si>
    <t xml:space="preserve">REF2389</t>
  </si>
  <si>
    <t xml:space="preserve">TXN2390</t>
  </si>
  <si>
    <t xml:space="preserve">REF2390</t>
  </si>
  <si>
    <t xml:space="preserve">TXN2391</t>
  </si>
  <si>
    <t xml:space="preserve">REF2391</t>
  </si>
  <si>
    <t xml:space="preserve">TXN2392</t>
  </si>
  <si>
    <t xml:space="preserve">REF2392</t>
  </si>
  <si>
    <t xml:space="preserve">TXN2393</t>
  </si>
  <si>
    <t xml:space="preserve">REF2393</t>
  </si>
  <si>
    <t xml:space="preserve">TXN2394</t>
  </si>
  <si>
    <t xml:space="preserve">REF2394</t>
  </si>
  <si>
    <t xml:space="preserve">TXN2395</t>
  </si>
  <si>
    <t xml:space="preserve">REF2395</t>
  </si>
  <si>
    <t xml:space="preserve">TXN2396</t>
  </si>
  <si>
    <t xml:space="preserve">ACC558</t>
  </si>
  <si>
    <t xml:space="preserve">CUS558</t>
  </si>
  <si>
    <t xml:space="preserve">REF2396</t>
  </si>
  <si>
    <t xml:space="preserve">TXN2397</t>
  </si>
  <si>
    <t xml:space="preserve">REF2397</t>
  </si>
  <si>
    <t xml:space="preserve">TXN2398</t>
  </si>
  <si>
    <t xml:space="preserve">REF2398</t>
  </si>
  <si>
    <t xml:space="preserve">TXN2399</t>
  </si>
  <si>
    <t xml:space="preserve">REF2399</t>
  </si>
  <si>
    <t xml:space="preserve">TXN2400</t>
  </si>
  <si>
    <t xml:space="preserve">REF2400</t>
  </si>
  <si>
    <t xml:space="preserve">TXN2401</t>
  </si>
  <si>
    <t xml:space="preserve">REF2401</t>
  </si>
  <si>
    <t xml:space="preserve">TXN2402</t>
  </si>
  <si>
    <t xml:space="preserve">REF2402</t>
  </si>
  <si>
    <t xml:space="preserve">TXN2403</t>
  </si>
  <si>
    <t xml:space="preserve">REF2403</t>
  </si>
  <si>
    <t xml:space="preserve">TXN2404</t>
  </si>
  <si>
    <t xml:space="preserve">ACC847</t>
  </si>
  <si>
    <t xml:space="preserve">CUS847</t>
  </si>
  <si>
    <t xml:space="preserve">REF2404</t>
  </si>
  <si>
    <t xml:space="preserve">TXN2405</t>
  </si>
  <si>
    <t xml:space="preserve">REF2405</t>
  </si>
  <si>
    <t xml:space="preserve">TXN2406</t>
  </si>
  <si>
    <t xml:space="preserve">REF2406</t>
  </si>
  <si>
    <t xml:space="preserve">TXN2407</t>
  </si>
  <si>
    <t xml:space="preserve">REF2407</t>
  </si>
  <si>
    <t xml:space="preserve">TXN2408</t>
  </si>
  <si>
    <t xml:space="preserve">REF2408</t>
  </si>
  <si>
    <t xml:space="preserve">TXN2409</t>
  </si>
  <si>
    <t xml:space="preserve">REF2409</t>
  </si>
  <si>
    <t xml:space="preserve">TXN2410</t>
  </si>
  <si>
    <t xml:space="preserve">REF2410</t>
  </si>
  <si>
    <t xml:space="preserve">TXN2411</t>
  </si>
  <si>
    <t xml:space="preserve">REF2411</t>
  </si>
  <si>
    <t xml:space="preserve">TXN2412</t>
  </si>
  <si>
    <t xml:space="preserve">REF2412</t>
  </si>
  <si>
    <t xml:space="preserve">TXN2413</t>
  </si>
  <si>
    <t xml:space="preserve">ACC458</t>
  </si>
  <si>
    <t xml:space="preserve">CUS458</t>
  </si>
  <si>
    <t xml:space="preserve">REF2413</t>
  </si>
  <si>
    <t xml:space="preserve">TXN2414</t>
  </si>
  <si>
    <t xml:space="preserve">REF2414</t>
  </si>
  <si>
    <t xml:space="preserve">TXN2415</t>
  </si>
  <si>
    <t xml:space="preserve">REF2415</t>
  </si>
  <si>
    <t xml:space="preserve">TXN2416</t>
  </si>
  <si>
    <t xml:space="preserve">REF2416</t>
  </si>
  <si>
    <t xml:space="preserve">TXN2417</t>
  </si>
  <si>
    <t xml:space="preserve">REF2417</t>
  </si>
  <si>
    <t xml:space="preserve">TXN2418</t>
  </si>
  <si>
    <t xml:space="preserve">REF2418</t>
  </si>
  <si>
    <t xml:space="preserve">TXN2419</t>
  </si>
  <si>
    <t xml:space="preserve">REF2419</t>
  </si>
  <si>
    <t xml:space="preserve">TXN2420</t>
  </si>
  <si>
    <t xml:space="preserve">REF2420</t>
  </si>
  <si>
    <t xml:space="preserve">TXN2421</t>
  </si>
  <si>
    <t xml:space="preserve">REF2421</t>
  </si>
  <si>
    <t xml:space="preserve">TXN2422</t>
  </si>
  <si>
    <t xml:space="preserve">REF2422</t>
  </si>
  <si>
    <t xml:space="preserve">TXN2423</t>
  </si>
  <si>
    <t xml:space="preserve">REF2423</t>
  </si>
  <si>
    <t xml:space="preserve">TXN2424</t>
  </si>
  <si>
    <t xml:space="preserve">REF2424</t>
  </si>
  <si>
    <t xml:space="preserve">TXN2425</t>
  </si>
  <si>
    <t xml:space="preserve">REF2425</t>
  </si>
  <si>
    <t xml:space="preserve">TXN2426</t>
  </si>
  <si>
    <t xml:space="preserve">REF2426</t>
  </si>
  <si>
    <t xml:space="preserve">TXN2427</t>
  </si>
  <si>
    <t xml:space="preserve">REF2427</t>
  </si>
  <si>
    <t xml:space="preserve">TXN2428</t>
  </si>
  <si>
    <t xml:space="preserve">REF2428</t>
  </si>
  <si>
    <t xml:space="preserve">TXN2429</t>
  </si>
  <si>
    <t xml:space="preserve">REF2429</t>
  </si>
  <si>
    <t xml:space="preserve">TXN2430</t>
  </si>
  <si>
    <t xml:space="preserve">REF2430</t>
  </si>
  <si>
    <t xml:space="preserve">TXN2431</t>
  </si>
  <si>
    <t xml:space="preserve">REF2431</t>
  </si>
  <si>
    <t xml:space="preserve">TXN2432</t>
  </si>
  <si>
    <t xml:space="preserve">REF2432</t>
  </si>
  <si>
    <t xml:space="preserve">TXN2433</t>
  </si>
  <si>
    <t xml:space="preserve">REF2433</t>
  </si>
  <si>
    <t xml:space="preserve">TXN2434</t>
  </si>
  <si>
    <t xml:space="preserve">REF2434</t>
  </si>
  <si>
    <t xml:space="preserve">TXN2435</t>
  </si>
  <si>
    <t xml:space="preserve">REF2435</t>
  </si>
  <si>
    <t xml:space="preserve">TXN2436</t>
  </si>
  <si>
    <t xml:space="preserve">REF2436</t>
  </si>
  <si>
    <t xml:space="preserve">TXN2437</t>
  </si>
  <si>
    <t xml:space="preserve">ACC093</t>
  </si>
  <si>
    <t xml:space="preserve">CUS093</t>
  </si>
  <si>
    <t xml:space="preserve">REF2437</t>
  </si>
  <si>
    <t xml:space="preserve">TXN2438</t>
  </si>
  <si>
    <t xml:space="preserve">REF2438</t>
  </si>
  <si>
    <t xml:space="preserve">TXN2439</t>
  </si>
  <si>
    <t xml:space="preserve">REF2439</t>
  </si>
  <si>
    <t xml:space="preserve">TXN2440</t>
  </si>
  <si>
    <t xml:space="preserve">REF2440</t>
  </si>
  <si>
    <t xml:space="preserve">TXN2441</t>
  </si>
  <si>
    <t xml:space="preserve">REF2441</t>
  </si>
  <si>
    <t xml:space="preserve">TXN2442</t>
  </si>
  <si>
    <t xml:space="preserve">REF2442</t>
  </si>
  <si>
    <t xml:space="preserve">TXN2443</t>
  </si>
  <si>
    <t xml:space="preserve">REF2443</t>
  </si>
  <si>
    <t xml:space="preserve">TXN2444</t>
  </si>
  <si>
    <t xml:space="preserve">REF2444</t>
  </si>
  <si>
    <t xml:space="preserve">TXN2445</t>
  </si>
  <si>
    <t xml:space="preserve">REF2445</t>
  </si>
  <si>
    <t xml:space="preserve">TXN2446</t>
  </si>
  <si>
    <t xml:space="preserve">REF2446</t>
  </si>
  <si>
    <t xml:space="preserve">TXN2447</t>
  </si>
  <si>
    <t xml:space="preserve">REF2447</t>
  </si>
  <si>
    <t xml:space="preserve">TXN2448</t>
  </si>
  <si>
    <t xml:space="preserve">REF2448</t>
  </si>
  <si>
    <t xml:space="preserve">TXN2449</t>
  </si>
  <si>
    <t xml:space="preserve">REF2449</t>
  </si>
  <si>
    <t xml:space="preserve">TXN2450</t>
  </si>
  <si>
    <t xml:space="preserve">REF2450</t>
  </si>
  <si>
    <t xml:space="preserve">TXN2451</t>
  </si>
  <si>
    <t xml:space="preserve">REF2451</t>
  </si>
  <si>
    <t xml:space="preserve">TXN2452</t>
  </si>
  <si>
    <t xml:space="preserve">REF2452</t>
  </si>
  <si>
    <t xml:space="preserve">TXN2453</t>
  </si>
  <si>
    <t xml:space="preserve">REF2453</t>
  </si>
  <si>
    <t xml:space="preserve">TXN2454</t>
  </si>
  <si>
    <t xml:space="preserve">REF2454</t>
  </si>
  <si>
    <t xml:space="preserve">TXN2455</t>
  </si>
  <si>
    <t xml:space="preserve">REF2455</t>
  </si>
  <si>
    <t xml:space="preserve">TXN2456</t>
  </si>
  <si>
    <t xml:space="preserve">ACC259</t>
  </si>
  <si>
    <t xml:space="preserve">CUS259</t>
  </si>
  <si>
    <t xml:space="preserve">REF2456</t>
  </si>
  <si>
    <t xml:space="preserve">TXN2457</t>
  </si>
  <si>
    <t xml:space="preserve">REF2457</t>
  </si>
  <si>
    <t xml:space="preserve">TXN2458</t>
  </si>
  <si>
    <t xml:space="preserve">REF2458</t>
  </si>
  <si>
    <t xml:space="preserve">TXN2459</t>
  </si>
  <si>
    <t xml:space="preserve">REF2459</t>
  </si>
  <si>
    <t xml:space="preserve">TXN2460</t>
  </si>
  <si>
    <t xml:space="preserve">REF2460</t>
  </si>
  <si>
    <t xml:space="preserve">TXN2461</t>
  </si>
  <si>
    <t xml:space="preserve">REF2461</t>
  </si>
  <si>
    <t xml:space="preserve">TXN2462</t>
  </si>
  <si>
    <t xml:space="preserve">REF2462</t>
  </si>
  <si>
    <t xml:space="preserve">TXN2463</t>
  </si>
  <si>
    <t xml:space="preserve">REF2463</t>
  </si>
  <si>
    <t xml:space="preserve">TXN2464</t>
  </si>
  <si>
    <t xml:space="preserve">REF2464</t>
  </si>
  <si>
    <t xml:space="preserve">TXN2465</t>
  </si>
  <si>
    <t xml:space="preserve">REF2465</t>
  </si>
  <si>
    <t xml:space="preserve">TXN2466</t>
  </si>
  <si>
    <t xml:space="preserve">REF2466</t>
  </si>
  <si>
    <t xml:space="preserve">TXN2467</t>
  </si>
  <si>
    <t xml:space="preserve">REF2467</t>
  </si>
  <si>
    <t xml:space="preserve">TXN2468</t>
  </si>
  <si>
    <t xml:space="preserve">REF2468</t>
  </si>
  <si>
    <t xml:space="preserve">TXN2469</t>
  </si>
  <si>
    <t xml:space="preserve">REF2469</t>
  </si>
  <si>
    <t xml:space="preserve">TXN2470</t>
  </si>
  <si>
    <t xml:space="preserve">REF2470</t>
  </si>
  <si>
    <t xml:space="preserve">TXN2471</t>
  </si>
  <si>
    <t xml:space="preserve">REF2471</t>
  </si>
  <si>
    <t xml:space="preserve">TXN2472</t>
  </si>
  <si>
    <t xml:space="preserve">REF2472</t>
  </si>
  <si>
    <t xml:space="preserve">TXN2473</t>
  </si>
  <si>
    <t xml:space="preserve">REF2473</t>
  </si>
  <si>
    <t xml:space="preserve">TXN2474</t>
  </si>
  <si>
    <t xml:space="preserve">REF2474</t>
  </si>
  <si>
    <t xml:space="preserve">TXN2475</t>
  </si>
  <si>
    <t xml:space="preserve">REF2475</t>
  </si>
  <si>
    <t xml:space="preserve">TXN2476</t>
  </si>
  <si>
    <t xml:space="preserve">REF2476</t>
  </si>
  <si>
    <t xml:space="preserve">TXN2477</t>
  </si>
  <si>
    <t xml:space="preserve">REF2477</t>
  </si>
  <si>
    <t xml:space="preserve">TXN2478</t>
  </si>
  <si>
    <t xml:space="preserve">REF2478</t>
  </si>
  <si>
    <t xml:space="preserve">TXN2479</t>
  </si>
  <si>
    <t xml:space="preserve">REF2479</t>
  </si>
  <si>
    <t xml:space="preserve">TXN2480</t>
  </si>
  <si>
    <t xml:space="preserve">REF2480</t>
  </si>
  <si>
    <t xml:space="preserve">TXN2481</t>
  </si>
  <si>
    <t xml:space="preserve">REF2481</t>
  </si>
  <si>
    <t xml:space="preserve">TXN2482</t>
  </si>
  <si>
    <t xml:space="preserve">REF2482</t>
  </si>
  <si>
    <t xml:space="preserve">TXN2483</t>
  </si>
  <si>
    <t xml:space="preserve">REF2483</t>
  </si>
  <si>
    <t xml:space="preserve">TXN2484</t>
  </si>
  <si>
    <t xml:space="preserve">REF2484</t>
  </si>
  <si>
    <t xml:space="preserve">TXN2485</t>
  </si>
  <si>
    <t xml:space="preserve">REF2485</t>
  </si>
  <si>
    <t xml:space="preserve">TXN2486</t>
  </si>
  <si>
    <t xml:space="preserve">REF2486</t>
  </si>
  <si>
    <t xml:space="preserve">TXN2487</t>
  </si>
  <si>
    <t xml:space="preserve">REF2487</t>
  </si>
  <si>
    <t xml:space="preserve">TXN2488</t>
  </si>
  <si>
    <t xml:space="preserve">REF2488</t>
  </si>
  <si>
    <t xml:space="preserve">TXN2489</t>
  </si>
  <si>
    <t xml:space="preserve">REF2489</t>
  </si>
  <si>
    <t xml:space="preserve">TXN2490</t>
  </si>
  <si>
    <t xml:space="preserve">REF2490</t>
  </si>
  <si>
    <t xml:space="preserve">TXN2491</t>
  </si>
  <si>
    <t xml:space="preserve">REF2491</t>
  </si>
  <si>
    <t xml:space="preserve">TXN2492</t>
  </si>
  <si>
    <t xml:space="preserve">REF2492</t>
  </si>
  <si>
    <t xml:space="preserve">TXN2493</t>
  </si>
  <si>
    <t xml:space="preserve">REF2493</t>
  </si>
  <si>
    <t xml:space="preserve">TXN2494</t>
  </si>
  <si>
    <t xml:space="preserve">REF2494</t>
  </si>
  <si>
    <t xml:space="preserve">TXN2495</t>
  </si>
  <si>
    <t xml:space="preserve">REF2495</t>
  </si>
  <si>
    <t xml:space="preserve">TXN2496</t>
  </si>
  <si>
    <t xml:space="preserve">ACC104</t>
  </si>
  <si>
    <t xml:space="preserve">CUS104</t>
  </si>
  <si>
    <t xml:space="preserve">REF2496</t>
  </si>
  <si>
    <t xml:space="preserve">TXN2497</t>
  </si>
  <si>
    <t xml:space="preserve">ACC159</t>
  </si>
  <si>
    <t xml:space="preserve">CUS159</t>
  </si>
  <si>
    <t xml:space="preserve">REF2497</t>
  </si>
  <si>
    <t xml:space="preserve">TXN2498</t>
  </si>
  <si>
    <t xml:space="preserve">REF2498</t>
  </si>
  <si>
    <t xml:space="preserve">TXN2499</t>
  </si>
  <si>
    <t xml:space="preserve">REF2499</t>
  </si>
  <si>
    <t xml:space="preserve">TXN2500</t>
  </si>
  <si>
    <t xml:space="preserve">REF2500</t>
  </si>
  <si>
    <t xml:space="preserve">TXN2501</t>
  </si>
  <si>
    <t xml:space="preserve">REF2501</t>
  </si>
  <si>
    <t xml:space="preserve">TXN2502</t>
  </si>
  <si>
    <t xml:space="preserve">REF2502</t>
  </si>
  <si>
    <t xml:space="preserve">TXN2503</t>
  </si>
  <si>
    <t xml:space="preserve">REF2503</t>
  </si>
  <si>
    <t xml:space="preserve">TXN2504</t>
  </si>
  <si>
    <t xml:space="preserve">REF2504</t>
  </si>
  <si>
    <t xml:space="preserve">TXN2505</t>
  </si>
  <si>
    <t xml:space="preserve">REF2505</t>
  </si>
  <si>
    <t xml:space="preserve">TXN2506</t>
  </si>
  <si>
    <t xml:space="preserve">REF2506</t>
  </si>
  <si>
    <t xml:space="preserve">TXN2507</t>
  </si>
  <si>
    <t xml:space="preserve">REF2507</t>
  </si>
  <si>
    <t xml:space="preserve">TXN2508</t>
  </si>
  <si>
    <t xml:space="preserve">REF2508</t>
  </si>
  <si>
    <t xml:space="preserve">TXN2509</t>
  </si>
  <si>
    <t xml:space="preserve">ACC663</t>
  </si>
  <si>
    <t xml:space="preserve">CUS663</t>
  </si>
  <si>
    <t xml:space="preserve">REF2509</t>
  </si>
  <si>
    <t xml:space="preserve">TXN2510</t>
  </si>
  <si>
    <t xml:space="preserve">REF2510</t>
  </si>
  <si>
    <t xml:space="preserve">TXN2511</t>
  </si>
  <si>
    <t xml:space="preserve">REF2511</t>
  </si>
  <si>
    <t xml:space="preserve">TXN2512</t>
  </si>
  <si>
    <t xml:space="preserve">REF2512</t>
  </si>
  <si>
    <t xml:space="preserve">TXN2513</t>
  </si>
  <si>
    <t xml:space="preserve">REF2513</t>
  </si>
  <si>
    <t xml:space="preserve">TXN2514</t>
  </si>
  <si>
    <t xml:space="preserve">REF2514</t>
  </si>
  <si>
    <t xml:space="preserve">TXN2515</t>
  </si>
  <si>
    <t xml:space="preserve">REF2515</t>
  </si>
  <si>
    <t xml:space="preserve">TXN2516</t>
  </si>
  <si>
    <t xml:space="preserve">REF2516</t>
  </si>
  <si>
    <t xml:space="preserve">TXN2517</t>
  </si>
  <si>
    <t xml:space="preserve">REF2517</t>
  </si>
  <si>
    <t xml:space="preserve">TXN2518</t>
  </si>
  <si>
    <t xml:space="preserve">REF2518</t>
  </si>
  <si>
    <t xml:space="preserve">TXN2519</t>
  </si>
  <si>
    <t xml:space="preserve">REF2519</t>
  </si>
  <si>
    <t xml:space="preserve">TXN2520</t>
  </si>
  <si>
    <t xml:space="preserve">REF2520</t>
  </si>
  <si>
    <t xml:space="preserve">TXN2521</t>
  </si>
  <si>
    <t xml:space="preserve">REF2521</t>
  </si>
  <si>
    <t xml:space="preserve">TXN2522</t>
  </si>
  <si>
    <t xml:space="preserve">REF2522</t>
  </si>
  <si>
    <t xml:space="preserve">TXN2523</t>
  </si>
  <si>
    <t xml:space="preserve">REF2523</t>
  </si>
  <si>
    <t xml:space="preserve">TXN2524</t>
  </si>
  <si>
    <t xml:space="preserve">REF2524</t>
  </si>
  <si>
    <t xml:space="preserve">TXN2525</t>
  </si>
  <si>
    <t xml:space="preserve">REF2525</t>
  </si>
  <si>
    <t xml:space="preserve">TXN2526</t>
  </si>
  <si>
    <t xml:space="preserve">REF2526</t>
  </si>
  <si>
    <t xml:space="preserve">TXN2527</t>
  </si>
  <si>
    <t xml:space="preserve">ACC618</t>
  </si>
  <si>
    <t xml:space="preserve">CUS618</t>
  </si>
  <si>
    <t xml:space="preserve">REF2527</t>
  </si>
  <si>
    <t xml:space="preserve">TXN2528</t>
  </si>
  <si>
    <t xml:space="preserve">REF2528</t>
  </si>
  <si>
    <t xml:space="preserve">TXN2529</t>
  </si>
  <si>
    <t xml:space="preserve">REF2529</t>
  </si>
  <si>
    <t xml:space="preserve">TXN2530</t>
  </si>
  <si>
    <t xml:space="preserve">REF2530</t>
  </si>
  <si>
    <t xml:space="preserve">TXN2531</t>
  </si>
  <si>
    <t xml:space="preserve">REF2531</t>
  </si>
  <si>
    <t xml:space="preserve">TXN2532</t>
  </si>
  <si>
    <t xml:space="preserve">REF2532</t>
  </si>
  <si>
    <t xml:space="preserve">TXN2533</t>
  </si>
  <si>
    <t xml:space="preserve">REF2533</t>
  </si>
  <si>
    <t xml:space="preserve">TXN2534</t>
  </si>
  <si>
    <t xml:space="preserve">REF2534</t>
  </si>
  <si>
    <t xml:space="preserve">TXN2535</t>
  </si>
  <si>
    <t xml:space="preserve">REF2535</t>
  </si>
  <si>
    <t xml:space="preserve">TXN2536</t>
  </si>
  <si>
    <t xml:space="preserve">REF2536</t>
  </si>
  <si>
    <t xml:space="preserve">TXN2537</t>
  </si>
  <si>
    <t xml:space="preserve">REF2537</t>
  </si>
  <si>
    <t xml:space="preserve">TXN2538</t>
  </si>
  <si>
    <t xml:space="preserve">REF2538</t>
  </si>
  <si>
    <t xml:space="preserve">TXN2539</t>
  </si>
  <si>
    <t xml:space="preserve">REF2539</t>
  </si>
  <si>
    <t xml:space="preserve">TXN2540</t>
  </si>
  <si>
    <t xml:space="preserve">REF2540</t>
  </si>
  <si>
    <t xml:space="preserve">TXN2541</t>
  </si>
  <si>
    <t xml:space="preserve">REF2541</t>
  </si>
  <si>
    <t xml:space="preserve">TXN2542</t>
  </si>
  <si>
    <t xml:space="preserve">REF2542</t>
  </si>
  <si>
    <t xml:space="preserve">TXN2543</t>
  </si>
  <si>
    <t xml:space="preserve">REF2543</t>
  </si>
  <si>
    <t xml:space="preserve">TXN2544</t>
  </si>
  <si>
    <t xml:space="preserve">REF2544</t>
  </si>
  <si>
    <t xml:space="preserve">TXN2545</t>
  </si>
  <si>
    <t xml:space="preserve">REF2545</t>
  </si>
  <si>
    <t xml:space="preserve">TXN2546</t>
  </si>
  <si>
    <t xml:space="preserve">REF2546</t>
  </si>
  <si>
    <t xml:space="preserve">TXN2547</t>
  </si>
  <si>
    <t xml:space="preserve">REF2547</t>
  </si>
  <si>
    <t xml:space="preserve">TXN2548</t>
  </si>
  <si>
    <t xml:space="preserve">REF2548</t>
  </si>
  <si>
    <t xml:space="preserve">TXN2549</t>
  </si>
  <si>
    <t xml:space="preserve">REF2549</t>
  </si>
  <si>
    <t xml:space="preserve">TXN2550</t>
  </si>
  <si>
    <t xml:space="preserve">REF2550</t>
  </si>
  <si>
    <t xml:space="preserve">TXN2551</t>
  </si>
  <si>
    <t xml:space="preserve">REF2551</t>
  </si>
  <si>
    <t xml:space="preserve">TXN2552</t>
  </si>
  <si>
    <t xml:space="preserve">ACC031</t>
  </si>
  <si>
    <t xml:space="preserve">CUS031</t>
  </si>
  <si>
    <t xml:space="preserve">REF2552</t>
  </si>
  <si>
    <t xml:space="preserve">TXN2553</t>
  </si>
  <si>
    <t xml:space="preserve">REF2553</t>
  </si>
  <si>
    <t xml:space="preserve">TXN2554</t>
  </si>
  <si>
    <t xml:space="preserve">REF2554</t>
  </si>
  <si>
    <t xml:space="preserve">TXN2555</t>
  </si>
  <si>
    <t xml:space="preserve">REF2555</t>
  </si>
  <si>
    <t xml:space="preserve">TXN2556</t>
  </si>
  <si>
    <t xml:space="preserve">REF2556</t>
  </si>
  <si>
    <t xml:space="preserve">TXN2557</t>
  </si>
  <si>
    <t xml:space="preserve">REF2557</t>
  </si>
  <si>
    <t xml:space="preserve">TXN2558</t>
  </si>
  <si>
    <t xml:space="preserve">REF2558</t>
  </si>
  <si>
    <t xml:space="preserve">TXN2559</t>
  </si>
  <si>
    <t xml:space="preserve">REF2559</t>
  </si>
  <si>
    <t xml:space="preserve">TXN2560</t>
  </si>
  <si>
    <t xml:space="preserve">REF2560</t>
  </si>
  <si>
    <t xml:space="preserve">TXN2561</t>
  </si>
  <si>
    <t xml:space="preserve">REF2561</t>
  </si>
  <si>
    <t xml:space="preserve">TXN2562</t>
  </si>
  <si>
    <t xml:space="preserve">REF2562</t>
  </si>
  <si>
    <t xml:space="preserve">TXN2563</t>
  </si>
  <si>
    <t xml:space="preserve">REF2563</t>
  </si>
  <si>
    <t xml:space="preserve">TXN2564</t>
  </si>
  <si>
    <t xml:space="preserve">REF2564</t>
  </si>
  <si>
    <t xml:space="preserve">TXN2565</t>
  </si>
  <si>
    <t xml:space="preserve">REF2565</t>
  </si>
  <si>
    <t xml:space="preserve">TXN2566</t>
  </si>
  <si>
    <t xml:space="preserve">REF2566</t>
  </si>
  <si>
    <t xml:space="preserve">TXN2567</t>
  </si>
  <si>
    <t xml:space="preserve">REF2567</t>
  </si>
  <si>
    <t xml:space="preserve">TXN2568</t>
  </si>
  <si>
    <t xml:space="preserve">REF2568</t>
  </si>
  <si>
    <t xml:space="preserve">TXN2569</t>
  </si>
  <si>
    <t xml:space="preserve">REF2569</t>
  </si>
  <si>
    <t xml:space="preserve">TXN2570</t>
  </si>
  <si>
    <t xml:space="preserve">REF2570</t>
  </si>
  <si>
    <t xml:space="preserve">TXN2571</t>
  </si>
  <si>
    <t xml:space="preserve">REF2571</t>
  </si>
  <si>
    <t xml:space="preserve">TXN2572</t>
  </si>
  <si>
    <t xml:space="preserve">ACC324</t>
  </si>
  <si>
    <t xml:space="preserve">CUS324</t>
  </si>
  <si>
    <t xml:space="preserve">REF2572</t>
  </si>
  <si>
    <t xml:space="preserve">TXN2573</t>
  </si>
  <si>
    <t xml:space="preserve">REF2573</t>
  </si>
  <si>
    <t xml:space="preserve">TXN2574</t>
  </si>
  <si>
    <t xml:space="preserve">REF2574</t>
  </si>
  <si>
    <t xml:space="preserve">TXN2575</t>
  </si>
  <si>
    <t xml:space="preserve">REF2575</t>
  </si>
  <si>
    <t xml:space="preserve">TXN2576</t>
  </si>
  <si>
    <t xml:space="preserve">REF2576</t>
  </si>
  <si>
    <t xml:space="preserve">TXN2577</t>
  </si>
  <si>
    <t xml:space="preserve">REF2577</t>
  </si>
  <si>
    <t xml:space="preserve">TXN2578</t>
  </si>
  <si>
    <t xml:space="preserve">REF2578</t>
  </si>
  <si>
    <t xml:space="preserve">TXN2579</t>
  </si>
  <si>
    <t xml:space="preserve">REF2579</t>
  </si>
  <si>
    <t xml:space="preserve">TXN2580</t>
  </si>
  <si>
    <t xml:space="preserve">REF2580</t>
  </si>
  <si>
    <t xml:space="preserve">TXN2581</t>
  </si>
  <si>
    <t xml:space="preserve">REF2581</t>
  </si>
  <si>
    <t xml:space="preserve">TXN2582</t>
  </si>
  <si>
    <t xml:space="preserve">REF2582</t>
  </si>
  <si>
    <t xml:space="preserve">TXN2583</t>
  </si>
  <si>
    <t xml:space="preserve">REF2583</t>
  </si>
  <si>
    <t xml:space="preserve">TXN2584</t>
  </si>
  <si>
    <t xml:space="preserve">REF2584</t>
  </si>
  <si>
    <t xml:space="preserve">TXN2585</t>
  </si>
  <si>
    <t xml:space="preserve">REF2585</t>
  </si>
  <si>
    <t xml:space="preserve">TXN2586</t>
  </si>
  <si>
    <t xml:space="preserve">REF2586</t>
  </si>
  <si>
    <t xml:space="preserve">TXN2587</t>
  </si>
  <si>
    <t xml:space="preserve">REF2587</t>
  </si>
  <si>
    <t xml:space="preserve">TXN2588</t>
  </si>
  <si>
    <t xml:space="preserve">REF2588</t>
  </si>
  <si>
    <t xml:space="preserve">TXN2589</t>
  </si>
  <si>
    <t xml:space="preserve">REF2589</t>
  </si>
  <si>
    <t xml:space="preserve">TXN2590</t>
  </si>
  <si>
    <t xml:space="preserve">REF2590</t>
  </si>
  <si>
    <t xml:space="preserve">TXN2591</t>
  </si>
  <si>
    <t xml:space="preserve">REF2591</t>
  </si>
  <si>
    <t xml:space="preserve">TXN2592</t>
  </si>
  <si>
    <t xml:space="preserve">REF2592</t>
  </si>
  <si>
    <t xml:space="preserve">TXN2593</t>
  </si>
  <si>
    <t xml:space="preserve">REF2593</t>
  </si>
  <si>
    <t xml:space="preserve">TXN2594</t>
  </si>
  <si>
    <t xml:space="preserve">REF2594</t>
  </si>
  <si>
    <t xml:space="preserve">TXN2595</t>
  </si>
  <si>
    <t xml:space="preserve">REF2595</t>
  </si>
  <si>
    <t xml:space="preserve">TXN2596</t>
  </si>
  <si>
    <t xml:space="preserve">REF2596</t>
  </si>
  <si>
    <t xml:space="preserve">TXN2597</t>
  </si>
  <si>
    <t xml:space="preserve">REF2597</t>
  </si>
  <si>
    <t xml:space="preserve">TXN2598</t>
  </si>
  <si>
    <t xml:space="preserve">REF2598</t>
  </si>
  <si>
    <t xml:space="preserve">TXN2599</t>
  </si>
  <si>
    <t xml:space="preserve">ACC270</t>
  </si>
  <si>
    <t xml:space="preserve">CUS270</t>
  </si>
  <si>
    <t xml:space="preserve">REF2599</t>
  </si>
  <si>
    <t xml:space="preserve">TXN2600</t>
  </si>
  <si>
    <t xml:space="preserve">ACC430</t>
  </si>
  <si>
    <t xml:space="preserve">CUS430</t>
  </si>
  <si>
    <t xml:space="preserve">REF2600</t>
  </si>
  <si>
    <t xml:space="preserve">TXN2601</t>
  </si>
  <si>
    <t xml:space="preserve">REF2601</t>
  </si>
  <si>
    <t xml:space="preserve">TXN2602</t>
  </si>
  <si>
    <t xml:space="preserve">REF2602</t>
  </si>
  <si>
    <t xml:space="preserve">TXN2603</t>
  </si>
  <si>
    <t xml:space="preserve">REF2603</t>
  </si>
  <si>
    <t xml:space="preserve">TXN2604</t>
  </si>
  <si>
    <t xml:space="preserve">REF2604</t>
  </si>
  <si>
    <t xml:space="preserve">TXN2605</t>
  </si>
  <si>
    <t xml:space="preserve">REF2605</t>
  </si>
  <si>
    <t xml:space="preserve">TXN2606</t>
  </si>
  <si>
    <t xml:space="preserve">ACC757</t>
  </si>
  <si>
    <t xml:space="preserve">CUS757</t>
  </si>
  <si>
    <t xml:space="preserve">REF2606</t>
  </si>
  <si>
    <t xml:space="preserve">TXN2607</t>
  </si>
  <si>
    <t xml:space="preserve">REF2607</t>
  </si>
  <si>
    <t xml:space="preserve">TXN2608</t>
  </si>
  <si>
    <t xml:space="preserve">REF2608</t>
  </si>
  <si>
    <t xml:space="preserve">TXN2609</t>
  </si>
  <si>
    <t xml:space="preserve">REF2609</t>
  </si>
  <si>
    <t xml:space="preserve">TXN2610</t>
  </si>
  <si>
    <t xml:space="preserve">ACC167</t>
  </si>
  <si>
    <t xml:space="preserve">CUS167</t>
  </si>
  <si>
    <t xml:space="preserve">REF2610</t>
  </si>
  <si>
    <t xml:space="preserve">TXN2611</t>
  </si>
  <si>
    <t xml:space="preserve">REF2611</t>
  </si>
  <si>
    <t xml:space="preserve">TXN2612</t>
  </si>
  <si>
    <t xml:space="preserve">REF2612</t>
  </si>
  <si>
    <t xml:space="preserve">TXN2613</t>
  </si>
  <si>
    <t xml:space="preserve">REF2613</t>
  </si>
  <si>
    <t xml:space="preserve">TXN2614</t>
  </si>
  <si>
    <t xml:space="preserve">REF2614</t>
  </si>
  <si>
    <t xml:space="preserve">TXN2615</t>
  </si>
  <si>
    <t xml:space="preserve">REF2615</t>
  </si>
  <si>
    <t xml:space="preserve">TXN2616</t>
  </si>
  <si>
    <t xml:space="preserve">REF2616</t>
  </si>
  <si>
    <t xml:space="preserve">TXN2617</t>
  </si>
  <si>
    <t xml:space="preserve">REF2617</t>
  </si>
  <si>
    <t xml:space="preserve">TXN2618</t>
  </si>
  <si>
    <t xml:space="preserve">REF2618</t>
  </si>
  <si>
    <t xml:space="preserve">TXN2619</t>
  </si>
  <si>
    <t xml:space="preserve">ACC351</t>
  </si>
  <si>
    <t xml:space="preserve">CUS351</t>
  </si>
  <si>
    <t xml:space="preserve">REF2619</t>
  </si>
  <si>
    <t xml:space="preserve">TXN2620</t>
  </si>
  <si>
    <t xml:space="preserve">REF2620</t>
  </si>
  <si>
    <t xml:space="preserve">TXN2621</t>
  </si>
  <si>
    <t xml:space="preserve">REF2621</t>
  </si>
  <si>
    <t xml:space="preserve">TXN2622</t>
  </si>
  <si>
    <t xml:space="preserve">REF2622</t>
  </si>
  <si>
    <t xml:space="preserve">TXN2623</t>
  </si>
  <si>
    <t xml:space="preserve">REF2623</t>
  </si>
  <si>
    <t xml:space="preserve">TXN2624</t>
  </si>
  <si>
    <t xml:space="preserve">REF2624</t>
  </si>
  <si>
    <t xml:space="preserve">TXN2625</t>
  </si>
  <si>
    <t xml:space="preserve">REF2625</t>
  </si>
  <si>
    <t xml:space="preserve">TXN2626</t>
  </si>
  <si>
    <t xml:space="preserve">REF2626</t>
  </si>
  <si>
    <t xml:space="preserve">TXN2627</t>
  </si>
  <si>
    <t xml:space="preserve">ACC837</t>
  </si>
  <si>
    <t xml:space="preserve">CUS837</t>
  </si>
  <si>
    <t xml:space="preserve">REF2627</t>
  </si>
  <si>
    <t xml:space="preserve">TXN2628</t>
  </si>
  <si>
    <t xml:space="preserve">REF2628</t>
  </si>
  <si>
    <t xml:space="preserve">TXN2629</t>
  </si>
  <si>
    <t xml:space="preserve">REF2629</t>
  </si>
  <si>
    <t xml:space="preserve">TXN2630</t>
  </si>
  <si>
    <t xml:space="preserve">REF2630</t>
  </si>
  <si>
    <t xml:space="preserve">TXN2631</t>
  </si>
  <si>
    <t xml:space="preserve">ACC023</t>
  </si>
  <si>
    <t xml:space="preserve">CUS023</t>
  </si>
  <si>
    <t xml:space="preserve">REF2631</t>
  </si>
  <si>
    <t xml:space="preserve">TXN2632</t>
  </si>
  <si>
    <t xml:space="preserve">REF2632</t>
  </si>
  <si>
    <t xml:space="preserve">TXN2633</t>
  </si>
  <si>
    <t xml:space="preserve">REF2633</t>
  </si>
  <si>
    <t xml:space="preserve">TXN2634</t>
  </si>
  <si>
    <t xml:space="preserve">REF2634</t>
  </si>
  <si>
    <t xml:space="preserve">TXN2635</t>
  </si>
  <si>
    <t xml:space="preserve">REF2635</t>
  </si>
  <si>
    <t xml:space="preserve">TXN2636</t>
  </si>
  <si>
    <t xml:space="preserve">REF2636</t>
  </si>
  <si>
    <t xml:space="preserve">TXN2637</t>
  </si>
  <si>
    <t xml:space="preserve">REF2637</t>
  </si>
  <si>
    <t xml:space="preserve">TXN2638</t>
  </si>
  <si>
    <t xml:space="preserve">REF2638</t>
  </si>
  <si>
    <t xml:space="preserve">TXN2639</t>
  </si>
  <si>
    <t xml:space="preserve">REF2639</t>
  </si>
  <si>
    <t xml:space="preserve">TXN2640</t>
  </si>
  <si>
    <t xml:space="preserve">REF2640</t>
  </si>
  <si>
    <t xml:space="preserve">TXN2641</t>
  </si>
  <si>
    <t xml:space="preserve">REF2641</t>
  </si>
  <si>
    <t xml:space="preserve">TXN2642</t>
  </si>
  <si>
    <t xml:space="preserve">REF2642</t>
  </si>
  <si>
    <t xml:space="preserve">TXN2643</t>
  </si>
  <si>
    <t xml:space="preserve">REF2643</t>
  </si>
  <si>
    <t xml:space="preserve">TXN2644</t>
  </si>
  <si>
    <t xml:space="preserve">REF2644</t>
  </si>
  <si>
    <t xml:space="preserve">TXN2645</t>
  </si>
  <si>
    <t xml:space="preserve">REF2645</t>
  </si>
  <si>
    <t xml:space="preserve">TXN2646</t>
  </si>
  <si>
    <t xml:space="preserve">REF2646</t>
  </si>
  <si>
    <t xml:space="preserve">TXN2647</t>
  </si>
  <si>
    <t xml:space="preserve">REF2647</t>
  </si>
  <si>
    <t xml:space="preserve">TXN2648</t>
  </si>
  <si>
    <t xml:space="preserve">REF2648</t>
  </si>
  <si>
    <t xml:space="preserve">TXN2649</t>
  </si>
  <si>
    <t xml:space="preserve">REF2649</t>
  </si>
  <si>
    <t xml:space="preserve">TXN2650</t>
  </si>
  <si>
    <t xml:space="preserve">REF2650</t>
  </si>
  <si>
    <t xml:space="preserve">TXN2651</t>
  </si>
  <si>
    <t xml:space="preserve">REF2651</t>
  </si>
  <si>
    <t xml:space="preserve">TXN2652</t>
  </si>
  <si>
    <t xml:space="preserve">REF2652</t>
  </si>
  <si>
    <t xml:space="preserve">TXN2653</t>
  </si>
  <si>
    <t xml:space="preserve">REF2653</t>
  </si>
  <si>
    <t xml:space="preserve">TXN2654</t>
  </si>
  <si>
    <t xml:space="preserve">REF2654</t>
  </si>
  <si>
    <t xml:space="preserve">TXN2655</t>
  </si>
  <si>
    <t xml:space="preserve">REF2655</t>
  </si>
  <si>
    <t xml:space="preserve">TXN2656</t>
  </si>
  <si>
    <t xml:space="preserve">REF2656</t>
  </si>
  <si>
    <t xml:space="preserve">TXN2657</t>
  </si>
  <si>
    <t xml:space="preserve">REF2657</t>
  </si>
  <si>
    <t xml:space="preserve">TXN2658</t>
  </si>
  <si>
    <t xml:space="preserve">REF2658</t>
  </si>
  <si>
    <t xml:space="preserve">TXN2659</t>
  </si>
  <si>
    <t xml:space="preserve">ACC679</t>
  </si>
  <si>
    <t xml:space="preserve">CUS679</t>
  </si>
  <si>
    <t xml:space="preserve">REF2659</t>
  </si>
  <si>
    <t xml:space="preserve">TXN2660</t>
  </si>
  <si>
    <t xml:space="preserve">REF2660</t>
  </si>
  <si>
    <t xml:space="preserve">TXN2661</t>
  </si>
  <si>
    <t xml:space="preserve">REF2661</t>
  </si>
  <si>
    <t xml:space="preserve">TXN2662</t>
  </si>
  <si>
    <t xml:space="preserve">REF2662</t>
  </si>
  <si>
    <t xml:space="preserve">TXN2663</t>
  </si>
  <si>
    <t xml:space="preserve">REF2663</t>
  </si>
  <si>
    <t xml:space="preserve">TXN2664</t>
  </si>
  <si>
    <t xml:space="preserve">REF2664</t>
  </si>
  <si>
    <t xml:space="preserve">TXN2665</t>
  </si>
  <si>
    <t xml:space="preserve">REF2665</t>
  </si>
  <si>
    <t xml:space="preserve">TXN2666</t>
  </si>
  <si>
    <t xml:space="preserve">REF2666</t>
  </si>
  <si>
    <t xml:space="preserve">TXN2667</t>
  </si>
  <si>
    <t xml:space="preserve">REF2667</t>
  </si>
  <si>
    <t xml:space="preserve">TXN2668</t>
  </si>
  <si>
    <t xml:space="preserve">REF2668</t>
  </si>
  <si>
    <t xml:space="preserve">TXN2669</t>
  </si>
  <si>
    <t xml:space="preserve">ACC015</t>
  </si>
  <si>
    <t xml:space="preserve">CUS015</t>
  </si>
  <si>
    <t xml:space="preserve">REF2669</t>
  </si>
  <si>
    <t xml:space="preserve">TXN2670</t>
  </si>
  <si>
    <t xml:space="preserve">REF2670</t>
  </si>
  <si>
    <t xml:space="preserve">TXN2671</t>
  </si>
  <si>
    <t xml:space="preserve">REF2671</t>
  </si>
  <si>
    <t xml:space="preserve">TXN2672</t>
  </si>
  <si>
    <t xml:space="preserve">REF2672</t>
  </si>
  <si>
    <t xml:space="preserve">TXN2673</t>
  </si>
  <si>
    <t xml:space="preserve">REF2673</t>
  </si>
  <si>
    <t xml:space="preserve">TXN2674</t>
  </si>
  <si>
    <t xml:space="preserve">REF2674</t>
  </si>
  <si>
    <t xml:space="preserve">TXN2675</t>
  </si>
  <si>
    <t xml:space="preserve">REF2675</t>
  </si>
  <si>
    <t xml:space="preserve">TXN2676</t>
  </si>
  <si>
    <t xml:space="preserve">REF2676</t>
  </si>
  <si>
    <t xml:space="preserve">TXN2677</t>
  </si>
  <si>
    <t xml:space="preserve">REF2677</t>
  </si>
  <si>
    <t xml:space="preserve">TXN2678</t>
  </si>
  <si>
    <t xml:space="preserve">REF2678</t>
  </si>
  <si>
    <t xml:space="preserve">TXN2679</t>
  </si>
  <si>
    <t xml:space="preserve">REF2679</t>
  </si>
  <si>
    <t xml:space="preserve">TXN2680</t>
  </si>
  <si>
    <t xml:space="preserve">REF2680</t>
  </si>
  <si>
    <t xml:space="preserve">TXN2681</t>
  </si>
  <si>
    <t xml:space="preserve">REF2681</t>
  </si>
  <si>
    <t xml:space="preserve">TXN2682</t>
  </si>
  <si>
    <t xml:space="preserve">REF2682</t>
  </si>
  <si>
    <t xml:space="preserve">TXN2683</t>
  </si>
  <si>
    <t xml:space="preserve">REF2683</t>
  </si>
  <si>
    <t xml:space="preserve">TXN2684</t>
  </si>
  <si>
    <t xml:space="preserve">ACC909</t>
  </si>
  <si>
    <t xml:space="preserve">CUS909</t>
  </si>
  <si>
    <t xml:space="preserve">REF2684</t>
  </si>
  <si>
    <t xml:space="preserve">TXN2685</t>
  </si>
  <si>
    <t xml:space="preserve">REF2685</t>
  </si>
  <si>
    <t xml:space="preserve">TXN2686</t>
  </si>
  <si>
    <t xml:space="preserve">REF2686</t>
  </si>
  <si>
    <t xml:space="preserve">TXN2687</t>
  </si>
  <si>
    <t xml:space="preserve">REF2687</t>
  </si>
  <si>
    <t xml:space="preserve">TXN2688</t>
  </si>
  <si>
    <t xml:space="preserve">REF2688</t>
  </si>
  <si>
    <t xml:space="preserve">TXN2689</t>
  </si>
  <si>
    <t xml:space="preserve">REF2689</t>
  </si>
  <si>
    <t xml:space="preserve">TXN2690</t>
  </si>
  <si>
    <t xml:space="preserve">REF2690</t>
  </si>
  <si>
    <t xml:space="preserve">TXN2691</t>
  </si>
  <si>
    <t xml:space="preserve">REF2691</t>
  </si>
  <si>
    <t xml:space="preserve">TXN2692</t>
  </si>
  <si>
    <t xml:space="preserve">REF2692</t>
  </si>
  <si>
    <t xml:space="preserve">TXN2693</t>
  </si>
  <si>
    <t xml:space="preserve">ACC417</t>
  </si>
  <si>
    <t xml:space="preserve">CUS417</t>
  </si>
  <si>
    <t xml:space="preserve">REF2693</t>
  </si>
  <si>
    <t xml:space="preserve">TXN2694</t>
  </si>
  <si>
    <t xml:space="preserve">REF2694</t>
  </si>
  <si>
    <t xml:space="preserve">TXN2695</t>
  </si>
  <si>
    <t xml:space="preserve">REF2695</t>
  </si>
  <si>
    <t xml:space="preserve">TXN2696</t>
  </si>
  <si>
    <t xml:space="preserve">REF2696</t>
  </si>
  <si>
    <t xml:space="preserve">TXN2697</t>
  </si>
  <si>
    <t xml:space="preserve">REF2697</t>
  </si>
  <si>
    <t xml:space="preserve">TXN2698</t>
  </si>
  <si>
    <t xml:space="preserve">REF2698</t>
  </si>
  <si>
    <t xml:space="preserve">TXN2699</t>
  </si>
  <si>
    <t xml:space="preserve">REF2699</t>
  </si>
  <si>
    <t xml:space="preserve">TXN2700</t>
  </si>
  <si>
    <t xml:space="preserve">REF2700</t>
  </si>
  <si>
    <t xml:space="preserve">TXN2701</t>
  </si>
  <si>
    <t xml:space="preserve">REF2701</t>
  </si>
  <si>
    <t xml:space="preserve">TXN2702</t>
  </si>
  <si>
    <t xml:space="preserve">REF2702</t>
  </si>
  <si>
    <t xml:space="preserve">TXN2703</t>
  </si>
  <si>
    <t xml:space="preserve">REF2703</t>
  </si>
  <si>
    <t xml:space="preserve">TXN2704</t>
  </si>
  <si>
    <t xml:space="preserve">REF2704</t>
  </si>
  <si>
    <t xml:space="preserve">TXN2705</t>
  </si>
  <si>
    <t xml:space="preserve">REF2705</t>
  </si>
  <si>
    <t xml:space="preserve">TXN2706</t>
  </si>
  <si>
    <t xml:space="preserve">REF2706</t>
  </si>
  <si>
    <t xml:space="preserve">TXN2707</t>
  </si>
  <si>
    <t xml:space="preserve">REF2707</t>
  </si>
  <si>
    <t xml:space="preserve">TXN2708</t>
  </si>
  <si>
    <t xml:space="preserve">REF2708</t>
  </si>
  <si>
    <t xml:space="preserve">TXN2709</t>
  </si>
  <si>
    <t xml:space="preserve">REF2709</t>
  </si>
  <si>
    <t xml:space="preserve">TXN2710</t>
  </si>
  <si>
    <t xml:space="preserve">REF2710</t>
  </si>
  <si>
    <t xml:space="preserve">TXN2711</t>
  </si>
  <si>
    <t xml:space="preserve">ACC633</t>
  </si>
  <si>
    <t xml:space="preserve">CUS633</t>
  </si>
  <si>
    <t xml:space="preserve">REF2711</t>
  </si>
  <si>
    <t xml:space="preserve">TXN2712</t>
  </si>
  <si>
    <t xml:space="preserve">REF2712</t>
  </si>
  <si>
    <t xml:space="preserve">TXN2713</t>
  </si>
  <si>
    <t xml:space="preserve">REF2713</t>
  </si>
  <si>
    <t xml:space="preserve">TXN2714</t>
  </si>
  <si>
    <t xml:space="preserve">REF2714</t>
  </si>
  <si>
    <t xml:space="preserve">TXN2715</t>
  </si>
  <si>
    <t xml:space="preserve">REF2715</t>
  </si>
  <si>
    <t xml:space="preserve">TXN2716</t>
  </si>
  <si>
    <t xml:space="preserve">REF2716</t>
  </si>
  <si>
    <t xml:space="preserve">TXN2717</t>
  </si>
  <si>
    <t xml:space="preserve">REF2717</t>
  </si>
  <si>
    <t xml:space="preserve">TXN2718</t>
  </si>
  <si>
    <t xml:space="preserve">REF2718</t>
  </si>
  <si>
    <t xml:space="preserve">TXN2719</t>
  </si>
  <si>
    <t xml:space="preserve">REF2719</t>
  </si>
  <si>
    <t xml:space="preserve">TXN2720</t>
  </si>
  <si>
    <t xml:space="preserve">REF2720</t>
  </si>
  <si>
    <t xml:space="preserve">TXN2721</t>
  </si>
  <si>
    <t xml:space="preserve">REF2721</t>
  </si>
  <si>
    <t xml:space="preserve">TXN2722</t>
  </si>
  <si>
    <t xml:space="preserve">REF2722</t>
  </si>
  <si>
    <t xml:space="preserve">TXN2723</t>
  </si>
  <si>
    <t xml:space="preserve">REF2723</t>
  </si>
  <si>
    <t xml:space="preserve">TXN2724</t>
  </si>
  <si>
    <t xml:space="preserve">REF2724</t>
  </si>
  <si>
    <t xml:space="preserve">TXN2725</t>
  </si>
  <si>
    <t xml:space="preserve">ACC823</t>
  </si>
  <si>
    <t xml:space="preserve">CUS823</t>
  </si>
  <si>
    <t xml:space="preserve">REF2725</t>
  </si>
  <si>
    <t xml:space="preserve">TXN2726</t>
  </si>
  <si>
    <t xml:space="preserve">REF2726</t>
  </si>
  <si>
    <t xml:space="preserve">TXN2727</t>
  </si>
  <si>
    <t xml:space="preserve">REF2727</t>
  </si>
  <si>
    <t xml:space="preserve">TXN2728</t>
  </si>
  <si>
    <t xml:space="preserve">REF2728</t>
  </si>
  <si>
    <t xml:space="preserve">TXN2729</t>
  </si>
  <si>
    <t xml:space="preserve">REF2729</t>
  </si>
  <si>
    <t xml:space="preserve">TXN2730</t>
  </si>
  <si>
    <t xml:space="preserve">REF2730</t>
  </si>
  <si>
    <t xml:space="preserve">TXN2731</t>
  </si>
  <si>
    <t xml:space="preserve">REF2731</t>
  </si>
  <si>
    <t xml:space="preserve">TXN2732</t>
  </si>
  <si>
    <t xml:space="preserve">REF2732</t>
  </si>
  <si>
    <t xml:space="preserve">TXN2733</t>
  </si>
  <si>
    <t xml:space="preserve">REF2733</t>
  </si>
  <si>
    <t xml:space="preserve">TXN2734</t>
  </si>
  <si>
    <t xml:space="preserve">ACC367</t>
  </si>
  <si>
    <t xml:space="preserve">CUS367</t>
  </si>
  <si>
    <t xml:space="preserve">REF2734</t>
  </si>
  <si>
    <t xml:space="preserve">TXN2735</t>
  </si>
  <si>
    <t xml:space="preserve">REF2735</t>
  </si>
  <si>
    <t xml:space="preserve">TXN2736</t>
  </si>
  <si>
    <t xml:space="preserve">REF2736</t>
  </si>
  <si>
    <t xml:space="preserve">TXN2737</t>
  </si>
  <si>
    <t xml:space="preserve">REF2737</t>
  </si>
  <si>
    <t xml:space="preserve">TXN2738</t>
  </si>
  <si>
    <t xml:space="preserve">ACC782</t>
  </si>
  <si>
    <t xml:space="preserve">CUS782</t>
  </si>
  <si>
    <t xml:space="preserve">REF2738</t>
  </si>
  <si>
    <t xml:space="preserve">TXN2739</t>
  </si>
  <si>
    <t xml:space="preserve">REF2739</t>
  </si>
  <si>
    <t xml:space="preserve">TXN2740</t>
  </si>
  <si>
    <t xml:space="preserve">REF2740</t>
  </si>
  <si>
    <t xml:space="preserve">TXN2741</t>
  </si>
  <si>
    <t xml:space="preserve">REF2741</t>
  </si>
  <si>
    <t xml:space="preserve">TXN2742</t>
  </si>
  <si>
    <t xml:space="preserve">REF2742</t>
  </si>
  <si>
    <t xml:space="preserve">TXN2743</t>
  </si>
  <si>
    <t xml:space="preserve">REF2743</t>
  </si>
  <si>
    <t xml:space="preserve">TXN2744</t>
  </si>
  <si>
    <t xml:space="preserve">REF2744</t>
  </si>
  <si>
    <t xml:space="preserve">TXN2745</t>
  </si>
  <si>
    <t xml:space="preserve">REF2745</t>
  </si>
  <si>
    <t xml:space="preserve">TXN2746</t>
  </si>
  <si>
    <t xml:space="preserve">REF2746</t>
  </si>
  <si>
    <t xml:space="preserve">TXN2747</t>
  </si>
  <si>
    <t xml:space="preserve">REF2747</t>
  </si>
  <si>
    <t xml:space="preserve">TXN2748</t>
  </si>
  <si>
    <t xml:space="preserve">REF2748</t>
  </si>
  <si>
    <t xml:space="preserve">TXN2749</t>
  </si>
  <si>
    <t xml:space="preserve">REF2749</t>
  </si>
  <si>
    <t xml:space="preserve">TXN2750</t>
  </si>
  <si>
    <t xml:space="preserve">REF2750</t>
  </si>
  <si>
    <t xml:space="preserve">TXN2751</t>
  </si>
  <si>
    <t xml:space="preserve">REF2751</t>
  </si>
  <si>
    <t xml:space="preserve">TXN2752</t>
  </si>
  <si>
    <t xml:space="preserve">REF2752</t>
  </si>
  <si>
    <t xml:space="preserve">TXN2753</t>
  </si>
  <si>
    <t xml:space="preserve">ACC464</t>
  </si>
  <si>
    <t xml:space="preserve">CUS464</t>
  </si>
  <si>
    <t xml:space="preserve">REF2753</t>
  </si>
  <si>
    <t xml:space="preserve">TXN2754</t>
  </si>
  <si>
    <t xml:space="preserve">REF2754</t>
  </si>
  <si>
    <t xml:space="preserve">TXN2755</t>
  </si>
  <si>
    <t xml:space="preserve">REF2755</t>
  </si>
  <si>
    <t xml:space="preserve">TXN2756</t>
  </si>
  <si>
    <t xml:space="preserve">REF2756</t>
  </si>
  <si>
    <t xml:space="preserve">TXN2757</t>
  </si>
  <si>
    <t xml:space="preserve">REF2757</t>
  </si>
  <si>
    <t xml:space="preserve">TXN2758</t>
  </si>
  <si>
    <t xml:space="preserve">REF2758</t>
  </si>
  <si>
    <t xml:space="preserve">TXN2759</t>
  </si>
  <si>
    <t xml:space="preserve">REF2759</t>
  </si>
  <si>
    <t xml:space="preserve">TXN2760</t>
  </si>
  <si>
    <t xml:space="preserve">REF2760</t>
  </si>
  <si>
    <t xml:space="preserve">TXN2761</t>
  </si>
  <si>
    <t xml:space="preserve">REF2761</t>
  </si>
  <si>
    <t xml:space="preserve">TXN2762</t>
  </si>
  <si>
    <t xml:space="preserve">REF2762</t>
  </si>
  <si>
    <t xml:space="preserve">TXN2763</t>
  </si>
  <si>
    <t xml:space="preserve">REF2763</t>
  </si>
  <si>
    <t xml:space="preserve">TXN2764</t>
  </si>
  <si>
    <t xml:space="preserve">REF2764</t>
  </si>
  <si>
    <t xml:space="preserve">TXN2765</t>
  </si>
  <si>
    <t xml:space="preserve">ACC829</t>
  </si>
  <si>
    <t xml:space="preserve">CUS829</t>
  </si>
  <si>
    <t xml:space="preserve">REF2765</t>
  </si>
  <si>
    <t xml:space="preserve">TXN2766</t>
  </si>
  <si>
    <t xml:space="preserve">REF2766</t>
  </si>
  <si>
    <t xml:space="preserve">TXN2767</t>
  </si>
  <si>
    <t xml:space="preserve">REF2767</t>
  </si>
  <si>
    <t xml:space="preserve">TXN2768</t>
  </si>
  <si>
    <t xml:space="preserve">REF2768</t>
  </si>
  <si>
    <t xml:space="preserve">TXN2769</t>
  </si>
  <si>
    <t xml:space="preserve">REF2769</t>
  </si>
  <si>
    <t xml:space="preserve">TXN2770</t>
  </si>
  <si>
    <t xml:space="preserve">REF2770</t>
  </si>
  <si>
    <t xml:space="preserve">TXN2771</t>
  </si>
  <si>
    <t xml:space="preserve">REF2771</t>
  </si>
  <si>
    <t xml:space="preserve">TXN2772</t>
  </si>
  <si>
    <t xml:space="preserve">REF2772</t>
  </si>
  <si>
    <t xml:space="preserve">TXN2773</t>
  </si>
  <si>
    <t xml:space="preserve">REF2773</t>
  </si>
  <si>
    <t xml:space="preserve">TXN2774</t>
  </si>
  <si>
    <t xml:space="preserve">REF2774</t>
  </si>
  <si>
    <t xml:space="preserve">TXN2775</t>
  </si>
  <si>
    <t xml:space="preserve">REF2775</t>
  </si>
  <si>
    <t xml:space="preserve">TXN2776</t>
  </si>
  <si>
    <t xml:space="preserve">REF2776</t>
  </si>
  <si>
    <t xml:space="preserve">TXN2777</t>
  </si>
  <si>
    <t xml:space="preserve">REF2777</t>
  </si>
  <si>
    <t xml:space="preserve">TXN2778</t>
  </si>
  <si>
    <t xml:space="preserve">REF2778</t>
  </si>
  <si>
    <t xml:space="preserve">TXN2779</t>
  </si>
  <si>
    <t xml:space="preserve">REF2779</t>
  </si>
  <si>
    <t xml:space="preserve">TXN2780</t>
  </si>
  <si>
    <t xml:space="preserve">REF2780</t>
  </si>
  <si>
    <t xml:space="preserve">TXN2781</t>
  </si>
  <si>
    <t xml:space="preserve">REF2781</t>
  </si>
  <si>
    <t xml:space="preserve">TXN2782</t>
  </si>
  <si>
    <t xml:space="preserve">REF2782</t>
  </si>
  <si>
    <t xml:space="preserve">TXN2783</t>
  </si>
  <si>
    <t xml:space="preserve">REF2783</t>
  </si>
  <si>
    <t xml:space="preserve">TXN2784</t>
  </si>
  <si>
    <t xml:space="preserve">REF2784</t>
  </si>
  <si>
    <t xml:space="preserve">TXN2785</t>
  </si>
  <si>
    <t xml:space="preserve">REF2785</t>
  </si>
  <si>
    <t xml:space="preserve">TXN2786</t>
  </si>
  <si>
    <t xml:space="preserve">REF2786</t>
  </si>
  <si>
    <t xml:space="preserve">TXN2787</t>
  </si>
  <si>
    <t xml:space="preserve">REF2787</t>
  </si>
  <si>
    <t xml:space="preserve">TXN2788</t>
  </si>
  <si>
    <t xml:space="preserve">REF2788</t>
  </si>
  <si>
    <t xml:space="preserve">TXN2789</t>
  </si>
  <si>
    <t xml:space="preserve">REF2789</t>
  </si>
  <si>
    <t xml:space="preserve">TXN2790</t>
  </si>
  <si>
    <t xml:space="preserve">REF2790</t>
  </si>
  <si>
    <t xml:space="preserve">TXN2791</t>
  </si>
  <si>
    <t xml:space="preserve">REF2791</t>
  </si>
  <si>
    <t xml:space="preserve">TXN2792</t>
  </si>
  <si>
    <t xml:space="preserve">REF2792</t>
  </si>
  <si>
    <t xml:space="preserve">TXN2793</t>
  </si>
  <si>
    <t xml:space="preserve">REF2793</t>
  </si>
  <si>
    <t xml:space="preserve">TXN2794</t>
  </si>
  <si>
    <t xml:space="preserve">REF2794</t>
  </si>
  <si>
    <t xml:space="preserve">TXN2795</t>
  </si>
  <si>
    <t xml:space="preserve">REF2795</t>
  </si>
  <si>
    <t xml:space="preserve">TXN2796</t>
  </si>
  <si>
    <t xml:space="preserve">REF2796</t>
  </si>
  <si>
    <t xml:space="preserve">TXN2797</t>
  </si>
  <si>
    <t xml:space="preserve">REF2797</t>
  </si>
  <si>
    <t xml:space="preserve">TXN2798</t>
  </si>
  <si>
    <t xml:space="preserve">REF2798</t>
  </si>
  <si>
    <t xml:space="preserve">TXN2799</t>
  </si>
  <si>
    <t xml:space="preserve">REF2799</t>
  </si>
  <si>
    <t xml:space="preserve">TXN2800</t>
  </si>
  <si>
    <t xml:space="preserve">REF2800</t>
  </si>
  <si>
    <t xml:space="preserve">TXN2801</t>
  </si>
  <si>
    <t xml:space="preserve">REF2801</t>
  </si>
  <si>
    <t xml:space="preserve">TXN2802</t>
  </si>
  <si>
    <t xml:space="preserve">REF2802</t>
  </si>
  <si>
    <t xml:space="preserve">TXN2803</t>
  </si>
  <si>
    <t xml:space="preserve">REF2803</t>
  </si>
  <si>
    <t xml:space="preserve">TXN2804</t>
  </si>
  <si>
    <t xml:space="preserve">REF2804</t>
  </si>
  <si>
    <t xml:space="preserve">TXN2805</t>
  </si>
  <si>
    <t xml:space="preserve">REF2805</t>
  </si>
  <si>
    <t xml:space="preserve">TXN2806</t>
  </si>
  <si>
    <t xml:space="preserve">REF2806</t>
  </si>
  <si>
    <t xml:space="preserve">TXN2807</t>
  </si>
  <si>
    <t xml:space="preserve">REF2807</t>
  </si>
  <si>
    <t xml:space="preserve">TXN2808</t>
  </si>
  <si>
    <t xml:space="preserve">REF2808</t>
  </si>
  <si>
    <t xml:space="preserve">TXN2809</t>
  </si>
  <si>
    <t xml:space="preserve">REF2809</t>
  </si>
  <si>
    <t xml:space="preserve">TXN2810</t>
  </si>
  <si>
    <t xml:space="preserve">REF2810</t>
  </si>
  <si>
    <t xml:space="preserve">TXN2811</t>
  </si>
  <si>
    <t xml:space="preserve">ACC671</t>
  </si>
  <si>
    <t xml:space="preserve">CUS671</t>
  </si>
  <si>
    <t xml:space="preserve">REF2811</t>
  </si>
  <si>
    <t xml:space="preserve">TXN2812</t>
  </si>
  <si>
    <t xml:space="preserve">REF2812</t>
  </si>
  <si>
    <t xml:space="preserve">TXN2813</t>
  </si>
  <si>
    <t xml:space="preserve">REF2813</t>
  </si>
  <si>
    <t xml:space="preserve">TXN2814</t>
  </si>
  <si>
    <t xml:space="preserve">REF2814</t>
  </si>
  <si>
    <t xml:space="preserve">TXN2815</t>
  </si>
  <si>
    <t xml:space="preserve">REF2815</t>
  </si>
  <si>
    <t xml:space="preserve">TXN2816</t>
  </si>
  <si>
    <t xml:space="preserve">REF2816</t>
  </si>
  <si>
    <t xml:space="preserve">TXN2817</t>
  </si>
  <si>
    <t xml:space="preserve">REF2817</t>
  </si>
  <si>
    <t xml:space="preserve">TXN2818</t>
  </si>
  <si>
    <t xml:space="preserve">ACC704</t>
  </si>
  <si>
    <t xml:space="preserve">CUS704</t>
  </si>
  <si>
    <t xml:space="preserve">REF2818</t>
  </si>
  <si>
    <t xml:space="preserve">TXN2819</t>
  </si>
  <si>
    <t xml:space="preserve">REF2819</t>
  </si>
  <si>
    <t xml:space="preserve">TXN2820</t>
  </si>
  <si>
    <t xml:space="preserve">REF2820</t>
  </si>
  <si>
    <t xml:space="preserve">TXN2821</t>
  </si>
  <si>
    <t xml:space="preserve">REF2821</t>
  </si>
  <si>
    <t xml:space="preserve">TXN2822</t>
  </si>
  <si>
    <t xml:space="preserve">REF2822</t>
  </si>
  <si>
    <t xml:space="preserve">TXN2823</t>
  </si>
  <si>
    <t xml:space="preserve">REF2823</t>
  </si>
  <si>
    <t xml:space="preserve">TXN2824</t>
  </si>
  <si>
    <t xml:space="preserve">ACC068</t>
  </si>
  <si>
    <t xml:space="preserve">CUS068</t>
  </si>
  <si>
    <t xml:space="preserve">REF2824</t>
  </si>
  <si>
    <t xml:space="preserve">TXN2825</t>
  </si>
  <si>
    <t xml:space="preserve">REF2825</t>
  </si>
  <si>
    <t xml:space="preserve">TXN2826</t>
  </si>
  <si>
    <t xml:space="preserve">REF2826</t>
  </si>
  <si>
    <t xml:space="preserve">TXN2827</t>
  </si>
  <si>
    <t xml:space="preserve">REF2827</t>
  </si>
  <si>
    <t xml:space="preserve">TXN2828</t>
  </si>
  <si>
    <t xml:space="preserve">REF2828</t>
  </si>
  <si>
    <t xml:space="preserve">TXN2829</t>
  </si>
  <si>
    <t xml:space="preserve">REF2829</t>
  </si>
  <si>
    <t xml:space="preserve">TXN2830</t>
  </si>
  <si>
    <t xml:space="preserve">REF2830</t>
  </si>
  <si>
    <t xml:space="preserve">TXN2831</t>
  </si>
  <si>
    <t xml:space="preserve">REF2831</t>
  </si>
  <si>
    <t xml:space="preserve">TXN2832</t>
  </si>
  <si>
    <t xml:space="preserve">REF2832</t>
  </si>
  <si>
    <t xml:space="preserve">TXN2833</t>
  </si>
  <si>
    <t xml:space="preserve">REF2833</t>
  </si>
  <si>
    <t xml:space="preserve">TXN2834</t>
  </si>
  <si>
    <t xml:space="preserve">REF2834</t>
  </si>
  <si>
    <t xml:space="preserve">TXN2835</t>
  </si>
  <si>
    <t xml:space="preserve">REF2835</t>
  </si>
  <si>
    <t xml:space="preserve">TXN2836</t>
  </si>
  <si>
    <t xml:space="preserve">REF2836</t>
  </si>
  <si>
    <t xml:space="preserve">TXN2837</t>
  </si>
  <si>
    <t xml:space="preserve">REF2837</t>
  </si>
  <si>
    <t xml:space="preserve">TXN2838</t>
  </si>
  <si>
    <t xml:space="preserve">REF2838</t>
  </si>
  <si>
    <t xml:space="preserve">TXN2839</t>
  </si>
  <si>
    <t xml:space="preserve">REF2839</t>
  </si>
  <si>
    <t xml:space="preserve">TXN2840</t>
  </si>
  <si>
    <t xml:space="preserve">REF2840</t>
  </si>
  <si>
    <t xml:space="preserve">TXN2841</t>
  </si>
  <si>
    <t xml:space="preserve">REF2841</t>
  </si>
  <si>
    <t xml:space="preserve">TXN2842</t>
  </si>
  <si>
    <t xml:space="preserve">REF2842</t>
  </si>
  <si>
    <t xml:space="preserve">TXN2843</t>
  </si>
  <si>
    <t xml:space="preserve">REF2843</t>
  </si>
  <si>
    <t xml:space="preserve">TXN2844</t>
  </si>
  <si>
    <t xml:space="preserve">REF2844</t>
  </si>
  <si>
    <t xml:space="preserve">TXN2845</t>
  </si>
  <si>
    <t xml:space="preserve">REF2845</t>
  </si>
  <si>
    <t xml:space="preserve">TXN2846</t>
  </si>
  <si>
    <t xml:space="preserve">REF2846</t>
  </si>
  <si>
    <t xml:space="preserve">TXN2847</t>
  </si>
  <si>
    <t xml:space="preserve">REF2847</t>
  </si>
  <si>
    <t xml:space="preserve">TXN2848</t>
  </si>
  <si>
    <t xml:space="preserve">ACC961</t>
  </si>
  <si>
    <t xml:space="preserve">CUS961</t>
  </si>
  <si>
    <t xml:space="preserve">REF2848</t>
  </si>
  <si>
    <t xml:space="preserve">TXN2849</t>
  </si>
  <si>
    <t xml:space="preserve">REF2849</t>
  </si>
  <si>
    <t xml:space="preserve">TXN2850</t>
  </si>
  <si>
    <t xml:space="preserve">REF2850</t>
  </si>
  <si>
    <t xml:space="preserve">TXN2851</t>
  </si>
  <si>
    <t xml:space="preserve">ACC268</t>
  </si>
  <si>
    <t xml:space="preserve">CUS268</t>
  </si>
  <si>
    <t xml:space="preserve">REF2851</t>
  </si>
  <si>
    <t xml:space="preserve">TXN2852</t>
  </si>
  <si>
    <t xml:space="preserve">REF2852</t>
  </si>
  <si>
    <t xml:space="preserve">TXN2853</t>
  </si>
  <si>
    <t xml:space="preserve">REF2853</t>
  </si>
  <si>
    <t xml:space="preserve">TXN2854</t>
  </si>
  <si>
    <t xml:space="preserve">REF2854</t>
  </si>
  <si>
    <t xml:space="preserve">TXN2855</t>
  </si>
  <si>
    <t xml:space="preserve">REF2855</t>
  </si>
  <si>
    <t xml:space="preserve">TXN2856</t>
  </si>
  <si>
    <t xml:space="preserve">REF2856</t>
  </si>
  <si>
    <t xml:space="preserve">TXN2857</t>
  </si>
  <si>
    <t xml:space="preserve">REF2857</t>
  </si>
  <si>
    <t xml:space="preserve">TXN2858</t>
  </si>
  <si>
    <t xml:space="preserve">REF2858</t>
  </si>
  <si>
    <t xml:space="preserve">TXN2859</t>
  </si>
  <si>
    <t xml:space="preserve">REF2859</t>
  </si>
  <si>
    <t xml:space="preserve">TXN2860</t>
  </si>
  <si>
    <t xml:space="preserve">REF2860</t>
  </si>
  <si>
    <t xml:space="preserve">TXN2861</t>
  </si>
  <si>
    <t xml:space="preserve">REF2861</t>
  </si>
  <si>
    <t xml:space="preserve">TXN2862</t>
  </si>
  <si>
    <t xml:space="preserve">REF2862</t>
  </si>
  <si>
    <t xml:space="preserve">TXN2863</t>
  </si>
  <si>
    <t xml:space="preserve">REF2863</t>
  </si>
  <si>
    <t xml:space="preserve">TXN2864</t>
  </si>
  <si>
    <t xml:space="preserve">REF2864</t>
  </si>
  <si>
    <t xml:space="preserve">TXN2865</t>
  </si>
  <si>
    <t xml:space="preserve">REF2865</t>
  </si>
  <si>
    <t xml:space="preserve">TXN2866</t>
  </si>
  <si>
    <t xml:space="preserve">REF2866</t>
  </si>
  <si>
    <t xml:space="preserve">TXN2867</t>
  </si>
  <si>
    <t xml:space="preserve">ACC818</t>
  </si>
  <si>
    <t xml:space="preserve">CUS818</t>
  </si>
  <si>
    <t xml:space="preserve">REF2867</t>
  </si>
  <si>
    <t xml:space="preserve">TXN2868</t>
  </si>
  <si>
    <t xml:space="preserve">REF2868</t>
  </si>
  <si>
    <t xml:space="preserve">TXN2869</t>
  </si>
  <si>
    <t xml:space="preserve">REF2869</t>
  </si>
  <si>
    <t xml:space="preserve">TXN2870</t>
  </si>
  <si>
    <t xml:space="preserve">REF2870</t>
  </si>
  <si>
    <t xml:space="preserve">TXN2871</t>
  </si>
  <si>
    <t xml:space="preserve">REF2871</t>
  </si>
  <si>
    <t xml:space="preserve">TXN2872</t>
  </si>
  <si>
    <t xml:space="preserve">REF2872</t>
  </si>
  <si>
    <t xml:space="preserve">TXN2873</t>
  </si>
  <si>
    <t xml:space="preserve">REF2873</t>
  </si>
  <si>
    <t xml:space="preserve">TXN2874</t>
  </si>
  <si>
    <t xml:space="preserve">REF2874</t>
  </si>
  <si>
    <t xml:space="preserve">TXN2875</t>
  </si>
  <si>
    <t xml:space="preserve">REF2875</t>
  </si>
  <si>
    <t xml:space="preserve">TXN2876</t>
  </si>
  <si>
    <t xml:space="preserve">REF2876</t>
  </si>
  <si>
    <t xml:space="preserve">TXN2877</t>
  </si>
  <si>
    <t xml:space="preserve">REF2877</t>
  </si>
  <si>
    <t xml:space="preserve">TXN2878</t>
  </si>
  <si>
    <t xml:space="preserve">REF2878</t>
  </si>
  <si>
    <t xml:space="preserve">TXN2879</t>
  </si>
  <si>
    <t xml:space="preserve">REF2879</t>
  </si>
  <si>
    <t xml:space="preserve">TXN2880</t>
  </si>
  <si>
    <t xml:space="preserve">REF2880</t>
  </si>
  <si>
    <t xml:space="preserve">TXN2881</t>
  </si>
  <si>
    <t xml:space="preserve">REF2881</t>
  </si>
  <si>
    <t xml:space="preserve">TXN2882</t>
  </si>
  <si>
    <t xml:space="preserve">REF2882</t>
  </si>
  <si>
    <t xml:space="preserve">TXN2883</t>
  </si>
  <si>
    <t xml:space="preserve">REF2883</t>
  </si>
  <si>
    <t xml:space="preserve">TXN2884</t>
  </si>
  <si>
    <t xml:space="preserve">REF2884</t>
  </si>
  <si>
    <t xml:space="preserve">TXN2885</t>
  </si>
  <si>
    <t xml:space="preserve">REF2885</t>
  </si>
  <si>
    <t xml:space="preserve">TXN2886</t>
  </si>
  <si>
    <t xml:space="preserve">REF2886</t>
  </si>
  <si>
    <t xml:space="preserve">TXN2887</t>
  </si>
  <si>
    <t xml:space="preserve">REF2887</t>
  </si>
  <si>
    <t xml:space="preserve">TXN2888</t>
  </si>
  <si>
    <t xml:space="preserve">REF2888</t>
  </si>
  <si>
    <t xml:space="preserve">TXN2889</t>
  </si>
  <si>
    <t xml:space="preserve">REF2889</t>
  </si>
  <si>
    <t xml:space="preserve">TXN2890</t>
  </si>
  <si>
    <t xml:space="preserve">REF2890</t>
  </si>
  <si>
    <t xml:space="preserve">TXN2891</t>
  </si>
  <si>
    <t xml:space="preserve">REF2891</t>
  </si>
  <si>
    <t xml:space="preserve">TXN2892</t>
  </si>
  <si>
    <t xml:space="preserve">REF2892</t>
  </si>
  <si>
    <t xml:space="preserve">TXN2893</t>
  </si>
  <si>
    <t xml:space="preserve">REF2893</t>
  </si>
  <si>
    <t xml:space="preserve">TXN2894</t>
  </si>
  <si>
    <t xml:space="preserve">REF2894</t>
  </si>
  <si>
    <t xml:space="preserve">TXN2895</t>
  </si>
  <si>
    <t xml:space="preserve">REF2895</t>
  </si>
  <si>
    <t xml:space="preserve">TXN2896</t>
  </si>
  <si>
    <t xml:space="preserve">REF2896</t>
  </si>
  <si>
    <t xml:space="preserve">TXN2897</t>
  </si>
  <si>
    <t xml:space="preserve">REF2897</t>
  </si>
  <si>
    <t xml:space="preserve">TXN2898</t>
  </si>
  <si>
    <t xml:space="preserve">REF2898</t>
  </si>
  <si>
    <t xml:space="preserve">TXN2899</t>
  </si>
  <si>
    <t xml:space="preserve">REF2899</t>
  </si>
  <si>
    <t xml:space="preserve">TXN2900</t>
  </si>
  <si>
    <t xml:space="preserve">REF2900</t>
  </si>
  <si>
    <t xml:space="preserve">TXN2901</t>
  </si>
  <si>
    <t xml:space="preserve">REF2901</t>
  </si>
  <si>
    <t xml:space="preserve">TXN2902</t>
  </si>
  <si>
    <t xml:space="preserve">REF2902</t>
  </si>
  <si>
    <t xml:space="preserve">TXN2903</t>
  </si>
  <si>
    <t xml:space="preserve">REF2903</t>
  </si>
  <si>
    <t xml:space="preserve">TXN2904</t>
  </si>
  <si>
    <t xml:space="preserve">REF2904</t>
  </si>
  <si>
    <t xml:space="preserve">TXN2905</t>
  </si>
  <si>
    <t xml:space="preserve">REF2905</t>
  </si>
  <si>
    <t xml:space="preserve">TXN2906</t>
  </si>
  <si>
    <t xml:space="preserve">REF2906</t>
  </si>
  <si>
    <t xml:space="preserve">TXN2907</t>
  </si>
  <si>
    <t xml:space="preserve">REF2907</t>
  </si>
  <si>
    <t xml:space="preserve">TXN2908</t>
  </si>
  <si>
    <t xml:space="preserve">REF2908</t>
  </si>
  <si>
    <t xml:space="preserve">TXN2909</t>
  </si>
  <si>
    <t xml:space="preserve">REF2909</t>
  </si>
  <si>
    <t xml:space="preserve">TXN2910</t>
  </si>
  <si>
    <t xml:space="preserve">REF2910</t>
  </si>
  <si>
    <t xml:space="preserve">TXN2911</t>
  </si>
  <si>
    <t xml:space="preserve">REF2911</t>
  </si>
  <si>
    <t xml:space="preserve">TXN2912</t>
  </si>
  <si>
    <t xml:space="preserve">REF2912</t>
  </si>
  <si>
    <t xml:space="preserve">TXN2913</t>
  </si>
  <si>
    <t xml:space="preserve">REF2913</t>
  </si>
  <si>
    <t xml:space="preserve">TXN2914</t>
  </si>
  <si>
    <t xml:space="preserve">REF2914</t>
  </si>
  <si>
    <t xml:space="preserve">TXN2915</t>
  </si>
  <si>
    <t xml:space="preserve">REF2915</t>
  </si>
  <si>
    <t xml:space="preserve">TXN2916</t>
  </si>
  <si>
    <t xml:space="preserve">REF2916</t>
  </si>
  <si>
    <t xml:space="preserve">TXN2917</t>
  </si>
  <si>
    <t xml:space="preserve">REF2917</t>
  </si>
  <si>
    <t xml:space="preserve">TXN2918</t>
  </si>
  <si>
    <t xml:space="preserve">REF2918</t>
  </si>
  <si>
    <t xml:space="preserve">TXN2919</t>
  </si>
  <si>
    <t xml:space="preserve">ACC302</t>
  </si>
  <si>
    <t xml:space="preserve">CUS302</t>
  </si>
  <si>
    <t xml:space="preserve">REF2919</t>
  </si>
  <si>
    <t xml:space="preserve">TXN2920</t>
  </si>
  <si>
    <t xml:space="preserve">REF2920</t>
  </si>
  <si>
    <t xml:space="preserve">TXN2921</t>
  </si>
  <si>
    <t xml:space="preserve">REF2921</t>
  </si>
  <si>
    <t xml:space="preserve">TXN2922</t>
  </si>
  <si>
    <t xml:space="preserve">REF2922</t>
  </si>
  <si>
    <t xml:space="preserve">TXN2923</t>
  </si>
  <si>
    <t xml:space="preserve">REF2923</t>
  </si>
  <si>
    <t xml:space="preserve">TXN2924</t>
  </si>
  <si>
    <t xml:space="preserve">REF2924</t>
  </si>
  <si>
    <t xml:space="preserve">TXN2925</t>
  </si>
  <si>
    <t xml:space="preserve">REF2925</t>
  </si>
  <si>
    <t xml:space="preserve">TXN2926</t>
  </si>
  <si>
    <t xml:space="preserve">REF2926</t>
  </si>
  <si>
    <t xml:space="preserve">TXN2927</t>
  </si>
  <si>
    <t xml:space="preserve">REF2927</t>
  </si>
  <si>
    <t xml:space="preserve">TXN2928</t>
  </si>
  <si>
    <t xml:space="preserve">REF2928</t>
  </si>
  <si>
    <t xml:space="preserve">TXN2929</t>
  </si>
  <si>
    <t xml:space="preserve">REF2929</t>
  </si>
  <si>
    <t xml:space="preserve">TXN2930</t>
  </si>
  <si>
    <t xml:space="preserve">REF2930</t>
  </si>
  <si>
    <t xml:space="preserve">TXN2931</t>
  </si>
  <si>
    <t xml:space="preserve">REF2931</t>
  </si>
  <si>
    <t xml:space="preserve">TXN2932</t>
  </si>
  <si>
    <t xml:space="preserve">REF2932</t>
  </si>
  <si>
    <t xml:space="preserve">TXN2933</t>
  </si>
  <si>
    <t xml:space="preserve">REF2933</t>
  </si>
  <si>
    <t xml:space="preserve">TXN2934</t>
  </si>
  <si>
    <t xml:space="preserve">REF2934</t>
  </si>
  <si>
    <t xml:space="preserve">TXN2935</t>
  </si>
  <si>
    <t xml:space="preserve">REF2935</t>
  </si>
  <si>
    <t xml:space="preserve">TXN2936</t>
  </si>
  <si>
    <t xml:space="preserve">REF2936</t>
  </si>
  <si>
    <t xml:space="preserve">TXN2937</t>
  </si>
  <si>
    <t xml:space="preserve">REF2937</t>
  </si>
  <si>
    <t xml:space="preserve">TXN2938</t>
  </si>
  <si>
    <t xml:space="preserve">REF2938</t>
  </si>
  <si>
    <t xml:space="preserve">TXN2939</t>
  </si>
  <si>
    <t xml:space="preserve">REF2939</t>
  </si>
  <si>
    <t xml:space="preserve">TXN2940</t>
  </si>
  <si>
    <t xml:space="preserve">REF2940</t>
  </si>
  <si>
    <t xml:space="preserve">TXN2941</t>
  </si>
  <si>
    <t xml:space="preserve">REF2941</t>
  </si>
  <si>
    <t xml:space="preserve">TXN2942</t>
  </si>
  <si>
    <t xml:space="preserve">REF2942</t>
  </si>
  <si>
    <t xml:space="preserve">TXN2943</t>
  </si>
  <si>
    <t xml:space="preserve">REF2943</t>
  </si>
  <si>
    <t xml:space="preserve">TXN2944</t>
  </si>
  <si>
    <t xml:space="preserve">REF2944</t>
  </si>
  <si>
    <t xml:space="preserve">TXN2945</t>
  </si>
  <si>
    <t xml:space="preserve">REF2945</t>
  </si>
  <si>
    <t xml:space="preserve">TXN2946</t>
  </si>
  <si>
    <t xml:space="preserve">REF2946</t>
  </si>
  <si>
    <t xml:space="preserve">TXN2947</t>
  </si>
  <si>
    <t xml:space="preserve">REF2947</t>
  </si>
  <si>
    <t xml:space="preserve">TXN2948</t>
  </si>
  <si>
    <t xml:space="preserve">REF2948</t>
  </si>
  <si>
    <t xml:space="preserve">TXN2949</t>
  </si>
  <si>
    <t xml:space="preserve">REF2949</t>
  </si>
  <si>
    <t xml:space="preserve">TXN2950</t>
  </si>
  <si>
    <t xml:space="preserve">REF2950</t>
  </si>
  <si>
    <t xml:space="preserve">TXN2951</t>
  </si>
  <si>
    <t xml:space="preserve">REF2951</t>
  </si>
  <si>
    <t xml:space="preserve">TXN2952</t>
  </si>
  <si>
    <t xml:space="preserve">REF2952</t>
  </si>
  <si>
    <t xml:space="preserve">TXN2953</t>
  </si>
  <si>
    <t xml:space="preserve">REF2953</t>
  </si>
  <si>
    <t xml:space="preserve">TXN2954</t>
  </si>
  <si>
    <t xml:space="preserve">REF2954</t>
  </si>
  <si>
    <t xml:space="preserve">TXN2955</t>
  </si>
  <si>
    <t xml:space="preserve">REF2955</t>
  </si>
  <si>
    <t xml:space="preserve">TXN2956</t>
  </si>
  <si>
    <t xml:space="preserve">REF2956</t>
  </si>
  <si>
    <t xml:space="preserve">TXN2957</t>
  </si>
  <si>
    <t xml:space="preserve">REF2957</t>
  </si>
  <si>
    <t xml:space="preserve">TXN2958</t>
  </si>
  <si>
    <t xml:space="preserve">REF2958</t>
  </si>
  <si>
    <t xml:space="preserve">TXN2959</t>
  </si>
  <si>
    <t xml:space="preserve">REF2959</t>
  </si>
  <si>
    <t xml:space="preserve">TXN2960</t>
  </si>
  <si>
    <t xml:space="preserve">REF2960</t>
  </si>
  <si>
    <t xml:space="preserve">TXN2961</t>
  </si>
  <si>
    <t xml:space="preserve">REF2961</t>
  </si>
  <si>
    <t xml:space="preserve">TXN2962</t>
  </si>
  <si>
    <t xml:space="preserve">REF2962</t>
  </si>
  <si>
    <t xml:space="preserve">TXN2963</t>
  </si>
  <si>
    <t xml:space="preserve">REF2963</t>
  </si>
  <si>
    <t xml:space="preserve">TXN2964</t>
  </si>
  <si>
    <t xml:space="preserve">REF2964</t>
  </si>
  <si>
    <t xml:space="preserve">TXN2965</t>
  </si>
  <si>
    <t xml:space="preserve">REF2965</t>
  </si>
  <si>
    <t xml:space="preserve">TXN2966</t>
  </si>
  <si>
    <t xml:space="preserve">REF2966</t>
  </si>
  <si>
    <t xml:space="preserve">TXN2967</t>
  </si>
  <si>
    <t xml:space="preserve">REF2967</t>
  </si>
  <si>
    <t xml:space="preserve">TXN2968</t>
  </si>
  <si>
    <t xml:space="preserve">REF2968</t>
  </si>
  <si>
    <t xml:space="preserve">TXN2969</t>
  </si>
  <si>
    <t xml:space="preserve">REF2969</t>
  </si>
  <si>
    <t xml:space="preserve">TXN2970</t>
  </si>
  <si>
    <t xml:space="preserve">REF2970</t>
  </si>
  <si>
    <t xml:space="preserve">TXN2971</t>
  </si>
  <si>
    <t xml:space="preserve">REF2971</t>
  </si>
  <si>
    <t xml:space="preserve">TXN2972</t>
  </si>
  <si>
    <t xml:space="preserve">REF2972</t>
  </si>
  <si>
    <t xml:space="preserve">TXN2973</t>
  </si>
  <si>
    <t xml:space="preserve">REF2973</t>
  </si>
  <si>
    <t xml:space="preserve">TXN2974</t>
  </si>
  <si>
    <t xml:space="preserve">REF2974</t>
  </si>
  <si>
    <t xml:space="preserve">TXN2975</t>
  </si>
  <si>
    <t xml:space="preserve">REF2975</t>
  </si>
  <si>
    <t xml:space="preserve">TXN2976</t>
  </si>
  <si>
    <t xml:space="preserve">REF2976</t>
  </si>
  <si>
    <t xml:space="preserve">TXN2977</t>
  </si>
  <si>
    <t xml:space="preserve">REF2977</t>
  </si>
  <si>
    <t xml:space="preserve">TXN2978</t>
  </si>
  <si>
    <t xml:space="preserve">REF2978</t>
  </si>
  <si>
    <t xml:space="preserve">TXN2979</t>
  </si>
  <si>
    <t xml:space="preserve">REF2979</t>
  </si>
  <si>
    <t xml:space="preserve">TXN2980</t>
  </si>
  <si>
    <t xml:space="preserve">REF2980</t>
  </si>
  <si>
    <t xml:space="preserve">TXN2981</t>
  </si>
  <si>
    <t xml:space="preserve">REF2981</t>
  </si>
  <si>
    <t xml:space="preserve">TXN2982</t>
  </si>
  <si>
    <t xml:space="preserve">REF2982</t>
  </si>
  <si>
    <t xml:space="preserve">TXN2983</t>
  </si>
  <si>
    <t xml:space="preserve">REF2983</t>
  </si>
  <si>
    <t xml:space="preserve">TXN2984</t>
  </si>
  <si>
    <t xml:space="preserve">ACC356</t>
  </si>
  <si>
    <t xml:space="preserve">CUS356</t>
  </si>
  <si>
    <t xml:space="preserve">REF2984</t>
  </si>
  <si>
    <t xml:space="preserve">TXN2985</t>
  </si>
  <si>
    <t xml:space="preserve">REF2985</t>
  </si>
  <si>
    <t xml:space="preserve">TXN2986</t>
  </si>
  <si>
    <t xml:space="preserve">REF2986</t>
  </si>
  <si>
    <t xml:space="preserve">TXN2987</t>
  </si>
  <si>
    <t xml:space="preserve">REF2987</t>
  </si>
  <si>
    <t xml:space="preserve">TXN2988</t>
  </si>
  <si>
    <t xml:space="preserve">REF2988</t>
  </si>
  <si>
    <t xml:space="preserve">TXN2989</t>
  </si>
  <si>
    <t xml:space="preserve">REF2989</t>
  </si>
  <si>
    <t xml:space="preserve">TXN2990</t>
  </si>
  <si>
    <t xml:space="preserve">REF2990</t>
  </si>
  <si>
    <t xml:space="preserve">TXN2991</t>
  </si>
  <si>
    <t xml:space="preserve">REF2991</t>
  </si>
  <si>
    <t xml:space="preserve">TXN2992</t>
  </si>
  <si>
    <t xml:space="preserve">REF2992</t>
  </si>
  <si>
    <t xml:space="preserve">TXN2993</t>
  </si>
  <si>
    <t xml:space="preserve">REF2993</t>
  </si>
  <si>
    <t xml:space="preserve">TXN2994</t>
  </si>
  <si>
    <t xml:space="preserve">REF2994</t>
  </si>
  <si>
    <t xml:space="preserve">TXN2995</t>
  </si>
  <si>
    <t xml:space="preserve">REF2995</t>
  </si>
  <si>
    <t xml:space="preserve">TXN2996</t>
  </si>
  <si>
    <t xml:space="preserve">ACC155</t>
  </si>
  <si>
    <t xml:space="preserve">CUS155</t>
  </si>
  <si>
    <t xml:space="preserve">REF2996</t>
  </si>
  <si>
    <t xml:space="preserve">TXN2997</t>
  </si>
  <si>
    <t xml:space="preserve">REF2997</t>
  </si>
  <si>
    <t xml:space="preserve">TXN2998</t>
  </si>
  <si>
    <t xml:space="preserve">REF2998</t>
  </si>
  <si>
    <t xml:space="preserve">TXN2999</t>
  </si>
  <si>
    <t xml:space="preserve">REF2999</t>
  </si>
  <si>
    <t xml:space="preserve">TXN3000</t>
  </si>
  <si>
    <t xml:space="preserve">REF3000</t>
  </si>
  <si>
    <t xml:space="preserve">TXN3001</t>
  </si>
  <si>
    <t xml:space="preserve">REF3001</t>
  </si>
  <si>
    <t xml:space="preserve">TXN3002</t>
  </si>
  <si>
    <t xml:space="preserve">REF3002</t>
  </si>
  <si>
    <t xml:space="preserve">TXN3003</t>
  </si>
  <si>
    <t xml:space="preserve">REF3003</t>
  </si>
  <si>
    <t xml:space="preserve">TXN3004</t>
  </si>
  <si>
    <t xml:space="preserve">REF3004</t>
  </si>
  <si>
    <t xml:space="preserve">TXN3005</t>
  </si>
  <si>
    <t xml:space="preserve">REF3005</t>
  </si>
  <si>
    <t xml:space="preserve">TXN3006</t>
  </si>
  <si>
    <t xml:space="preserve">REF3006</t>
  </si>
  <si>
    <t xml:space="preserve">TXN3007</t>
  </si>
  <si>
    <t xml:space="preserve">REF3007</t>
  </si>
  <si>
    <t xml:space="preserve">TXN3008</t>
  </si>
  <si>
    <t xml:space="preserve">REF3008</t>
  </si>
  <si>
    <t xml:space="preserve">TXN3009</t>
  </si>
  <si>
    <t xml:space="preserve">REF3009</t>
  </si>
  <si>
    <t xml:space="preserve">TXN3010</t>
  </si>
  <si>
    <t xml:space="preserve">REF3010</t>
  </si>
  <si>
    <t xml:space="preserve">TXN3011</t>
  </si>
  <si>
    <t xml:space="preserve">REF3011</t>
  </si>
  <si>
    <t xml:space="preserve">TXN3012</t>
  </si>
  <si>
    <t xml:space="preserve">REF3012</t>
  </si>
  <si>
    <t xml:space="preserve">TXN3013</t>
  </si>
  <si>
    <t xml:space="preserve">REF3013</t>
  </si>
  <si>
    <t xml:space="preserve">TXN3014</t>
  </si>
  <si>
    <t xml:space="preserve">REF3014</t>
  </si>
  <si>
    <t xml:space="preserve">TXN3015</t>
  </si>
  <si>
    <t xml:space="preserve">REF3015</t>
  </si>
  <si>
    <t xml:space="preserve">loan_id</t>
  </si>
  <si>
    <t xml:space="preserve">application_date</t>
  </si>
  <si>
    <t xml:space="preserve">approval_date</t>
  </si>
  <si>
    <t xml:space="preserve">loan_product</t>
  </si>
  <si>
    <t xml:space="preserve">requested_amount</t>
  </si>
  <si>
    <t xml:space="preserve">approved_amount</t>
  </si>
  <si>
    <t xml:space="preserve">interest_rate</t>
  </si>
  <si>
    <t xml:space="preserve">term_days</t>
  </si>
  <si>
    <t xml:space="preserve">loan_status</t>
  </si>
  <si>
    <t xml:space="preserve">outstanding_balance</t>
  </si>
  <si>
    <t xml:space="preserve">days_past_due</t>
  </si>
  <si>
    <t xml:space="preserve">dpd_rank_key</t>
  </si>
  <si>
    <t xml:space="preserve">LOAN008</t>
  </si>
  <si>
    <t xml:space="preserve">LOAN009</t>
  </si>
  <si>
    <t xml:space="preserve">LOAN010</t>
  </si>
  <si>
    <t xml:space="preserve">LOAN011</t>
  </si>
  <si>
    <t xml:space="preserve">LOAN012</t>
  </si>
  <si>
    <t xml:space="preserve">LOAN013</t>
  </si>
  <si>
    <t xml:space="preserve">LOAN014</t>
  </si>
  <si>
    <t xml:space="preserve">LOAN015</t>
  </si>
  <si>
    <t xml:space="preserve">LOAN016</t>
  </si>
  <si>
    <t xml:space="preserve">LOAN017</t>
  </si>
  <si>
    <t xml:space="preserve">CUS210</t>
  </si>
  <si>
    <t xml:space="preserve">LOAN018</t>
  </si>
  <si>
    <t xml:space="preserve">LOAN019</t>
  </si>
  <si>
    <t xml:space="preserve">LOAN020</t>
  </si>
  <si>
    <t xml:space="preserve">LOAN021</t>
  </si>
  <si>
    <t xml:space="preserve">LOAN022</t>
  </si>
  <si>
    <t xml:space="preserve">LOAN023</t>
  </si>
  <si>
    <t xml:space="preserve">LOAN024</t>
  </si>
  <si>
    <t xml:space="preserve">LOAN025</t>
  </si>
  <si>
    <t xml:space="preserve">LOAN026</t>
  </si>
  <si>
    <t xml:space="preserve">LOAN027</t>
  </si>
  <si>
    <t xml:space="preserve">LOAN028</t>
  </si>
  <si>
    <t xml:space="preserve">LOAN029</t>
  </si>
  <si>
    <t xml:space="preserve">LOAN030</t>
  </si>
  <si>
    <t xml:space="preserve">LOAN031</t>
  </si>
  <si>
    <t xml:space="preserve">LOAN032</t>
  </si>
  <si>
    <t xml:space="preserve">LOAN033</t>
  </si>
  <si>
    <t xml:space="preserve">LOAN034</t>
  </si>
  <si>
    <t xml:space="preserve">LOAN035</t>
  </si>
  <si>
    <t xml:space="preserve">LOAN036</t>
  </si>
  <si>
    <t xml:space="preserve">LOAN037</t>
  </si>
  <si>
    <t xml:space="preserve">LOAN038</t>
  </si>
  <si>
    <t xml:space="preserve">LOAN039</t>
  </si>
  <si>
    <t xml:space="preserve">LOAN040</t>
  </si>
  <si>
    <t xml:space="preserve">LOAN041</t>
  </si>
  <si>
    <t xml:space="preserve">LOAN042</t>
  </si>
  <si>
    <t xml:space="preserve">LOAN043</t>
  </si>
  <si>
    <t xml:space="preserve">LOAN044</t>
  </si>
  <si>
    <t xml:space="preserve">LOAN045</t>
  </si>
  <si>
    <t xml:space="preserve">LOAN046</t>
  </si>
  <si>
    <t xml:space="preserve">LOAN047</t>
  </si>
  <si>
    <t xml:space="preserve">LOAN048</t>
  </si>
  <si>
    <t xml:space="preserve">LOAN049</t>
  </si>
  <si>
    <t xml:space="preserve">LOAN050</t>
  </si>
  <si>
    <t xml:space="preserve">LOAN051</t>
  </si>
  <si>
    <t xml:space="preserve">LOAN052</t>
  </si>
  <si>
    <t xml:space="preserve">LOAN053</t>
  </si>
  <si>
    <t xml:space="preserve">LOAN054</t>
  </si>
  <si>
    <t xml:space="preserve">LOAN055</t>
  </si>
  <si>
    <t xml:space="preserve">LOAN056</t>
  </si>
  <si>
    <t xml:space="preserve">CUS559</t>
  </si>
  <si>
    <t xml:space="preserve">LOAN057</t>
  </si>
  <si>
    <t xml:space="preserve">LOAN058</t>
  </si>
  <si>
    <t xml:space="preserve">LOAN059</t>
  </si>
  <si>
    <t xml:space="preserve">LOAN060</t>
  </si>
  <si>
    <t xml:space="preserve">LOAN061</t>
  </si>
  <si>
    <t xml:space="preserve">LOAN062</t>
  </si>
  <si>
    <t xml:space="preserve">LOAN063</t>
  </si>
  <si>
    <t xml:space="preserve">LOAN064</t>
  </si>
  <si>
    <t xml:space="preserve">LOAN065</t>
  </si>
  <si>
    <t xml:space="preserve">LOAN066</t>
  </si>
  <si>
    <t xml:space="preserve">LOAN067</t>
  </si>
  <si>
    <t xml:space="preserve">LOAN068</t>
  </si>
  <si>
    <t xml:space="preserve">LOAN069</t>
  </si>
  <si>
    <t xml:space="preserve">LOAN070</t>
  </si>
  <si>
    <t xml:space="preserve">LOAN071</t>
  </si>
  <si>
    <t xml:space="preserve">LOAN072</t>
  </si>
  <si>
    <t xml:space="preserve">LOAN073</t>
  </si>
  <si>
    <t xml:space="preserve">LOAN074</t>
  </si>
  <si>
    <t xml:space="preserve">LOAN075</t>
  </si>
  <si>
    <t xml:space="preserve">LOAN076</t>
  </si>
  <si>
    <t xml:space="preserve">LOAN077</t>
  </si>
  <si>
    <t xml:space="preserve">LOAN078</t>
  </si>
  <si>
    <t xml:space="preserve">LOAN079</t>
  </si>
  <si>
    <t xml:space="preserve">LOAN080</t>
  </si>
  <si>
    <t xml:space="preserve">LOAN081</t>
  </si>
  <si>
    <t xml:space="preserve">LOAN082</t>
  </si>
  <si>
    <t xml:space="preserve">LOAN083</t>
  </si>
  <si>
    <t xml:space="preserve">CUS997</t>
  </si>
  <si>
    <t xml:space="preserve">LOAN084</t>
  </si>
  <si>
    <t xml:space="preserve">LOAN085</t>
  </si>
  <si>
    <t xml:space="preserve">LOAN086</t>
  </si>
  <si>
    <t xml:space="preserve">LOAN087</t>
  </si>
  <si>
    <t xml:space="preserve">LOAN088</t>
  </si>
  <si>
    <t xml:space="preserve">LOAN089</t>
  </si>
  <si>
    <t xml:space="preserve">LOAN090</t>
  </si>
  <si>
    <t xml:space="preserve">LOAN091</t>
  </si>
  <si>
    <t xml:space="preserve">LOAN092</t>
  </si>
  <si>
    <t xml:space="preserve">LOAN093</t>
  </si>
  <si>
    <t xml:space="preserve">LOAN094</t>
  </si>
  <si>
    <t xml:space="preserve">LOAN095</t>
  </si>
  <si>
    <t xml:space="preserve">LOAN096</t>
  </si>
  <si>
    <t xml:space="preserve">CUS594</t>
  </si>
  <si>
    <t xml:space="preserve">LOAN097</t>
  </si>
  <si>
    <t xml:space="preserve">LOAN098</t>
  </si>
  <si>
    <t xml:space="preserve">LOAN099</t>
  </si>
  <si>
    <t xml:space="preserve">LOAN100</t>
  </si>
  <si>
    <t xml:space="preserve">LOAN101</t>
  </si>
  <si>
    <t xml:space="preserve">LOAN102</t>
  </si>
  <si>
    <t xml:space="preserve">LOAN103</t>
  </si>
  <si>
    <t xml:space="preserve">LOAN104</t>
  </si>
  <si>
    <t xml:space="preserve">LOAN105</t>
  </si>
  <si>
    <t xml:space="preserve">LOAN106</t>
  </si>
  <si>
    <t xml:space="preserve">LOAN107</t>
  </si>
  <si>
    <t xml:space="preserve">LOAN108</t>
  </si>
  <si>
    <t xml:space="preserve">LOAN109</t>
  </si>
  <si>
    <t xml:space="preserve">LOAN110</t>
  </si>
  <si>
    <t xml:space="preserve">LOAN111</t>
  </si>
  <si>
    <t xml:space="preserve">LOAN112</t>
  </si>
  <si>
    <t xml:space="preserve">LOAN113</t>
  </si>
  <si>
    <t xml:space="preserve">LOAN114</t>
  </si>
  <si>
    <t xml:space="preserve">LOAN115</t>
  </si>
  <si>
    <t xml:space="preserve">LOAN116</t>
  </si>
  <si>
    <t xml:space="preserve">LOAN117</t>
  </si>
  <si>
    <t xml:space="preserve">LOAN118</t>
  </si>
  <si>
    <t xml:space="preserve">LOAN119</t>
  </si>
  <si>
    <t xml:space="preserve">LOAN120</t>
  </si>
  <si>
    <t xml:space="preserve">LOAN121</t>
  </si>
  <si>
    <t xml:space="preserve">LOAN122</t>
  </si>
  <si>
    <t xml:space="preserve">LOAN123</t>
  </si>
  <si>
    <t xml:space="preserve">LOAN124</t>
  </si>
  <si>
    <t xml:space="preserve">LOAN125</t>
  </si>
  <si>
    <t xml:space="preserve">LOAN126</t>
  </si>
  <si>
    <t xml:space="preserve">LOAN127</t>
  </si>
  <si>
    <t xml:space="preserve">LOAN128</t>
  </si>
  <si>
    <t xml:space="preserve">LOAN129</t>
  </si>
  <si>
    <t xml:space="preserve">LOAN130</t>
  </si>
  <si>
    <t xml:space="preserve">LOAN131</t>
  </si>
  <si>
    <t xml:space="preserve">LOAN132</t>
  </si>
  <si>
    <t xml:space="preserve">LOAN133</t>
  </si>
  <si>
    <t xml:space="preserve">LOAN134</t>
  </si>
  <si>
    <t xml:space="preserve">LOAN135</t>
  </si>
  <si>
    <t xml:space="preserve">LOAN136</t>
  </si>
  <si>
    <t xml:space="preserve">LOAN137</t>
  </si>
  <si>
    <t xml:space="preserve">LOAN138</t>
  </si>
  <si>
    <t xml:space="preserve">LOAN139</t>
  </si>
  <si>
    <t xml:space="preserve">LOAN140</t>
  </si>
  <si>
    <t xml:space="preserve">LOAN141</t>
  </si>
  <si>
    <t xml:space="preserve">LOAN142</t>
  </si>
  <si>
    <t xml:space="preserve">LOAN143</t>
  </si>
  <si>
    <t xml:space="preserve">LOAN144</t>
  </si>
  <si>
    <t xml:space="preserve">LOAN145</t>
  </si>
  <si>
    <t xml:space="preserve">LOAN146</t>
  </si>
  <si>
    <t xml:space="preserve">CUS875</t>
  </si>
  <si>
    <t xml:space="preserve">LOAN147</t>
  </si>
  <si>
    <t xml:space="preserve">LOAN148</t>
  </si>
  <si>
    <t xml:space="preserve">LOAN149</t>
  </si>
  <si>
    <t xml:space="preserve">LOAN150</t>
  </si>
  <si>
    <t xml:space="preserve">LOAN151</t>
  </si>
  <si>
    <t xml:space="preserve">LOAN152</t>
  </si>
  <si>
    <t xml:space="preserve">LOAN153</t>
  </si>
  <si>
    <t xml:space="preserve">LOAN154</t>
  </si>
  <si>
    <t xml:space="preserve">LOAN155</t>
  </si>
  <si>
    <t xml:space="preserve">LOAN156</t>
  </si>
  <si>
    <t xml:space="preserve">LOAN157</t>
  </si>
  <si>
    <t xml:space="preserve">LOAN158</t>
  </si>
  <si>
    <t xml:space="preserve">LOAN159</t>
  </si>
  <si>
    <t xml:space="preserve">LOAN160</t>
  </si>
  <si>
    <t xml:space="preserve">LOAN161</t>
  </si>
  <si>
    <t xml:space="preserve">LOAN162</t>
  </si>
  <si>
    <t xml:space="preserve">LOAN163</t>
  </si>
  <si>
    <t xml:space="preserve">LOAN164</t>
  </si>
  <si>
    <t xml:space="preserve">LOAN165</t>
  </si>
  <si>
    <t xml:space="preserve">LOAN166</t>
  </si>
  <si>
    <t xml:space="preserve">CUS286</t>
  </si>
  <si>
    <t xml:space="preserve">LOAN167</t>
  </si>
  <si>
    <t xml:space="preserve">LOAN168</t>
  </si>
  <si>
    <t xml:space="preserve">LOAN169</t>
  </si>
  <si>
    <t xml:space="preserve">CUS440</t>
  </si>
  <si>
    <t xml:space="preserve">LOAN170</t>
  </si>
  <si>
    <t xml:space="preserve">LOAN171</t>
  </si>
  <si>
    <t xml:space="preserve">LOAN172</t>
  </si>
  <si>
    <t xml:space="preserve">LOAN173</t>
  </si>
  <si>
    <t xml:space="preserve">LOAN174</t>
  </si>
  <si>
    <t xml:space="preserve">LOAN175</t>
  </si>
  <si>
    <t xml:space="preserve">LOAN176</t>
  </si>
  <si>
    <t xml:space="preserve">LOAN177</t>
  </si>
  <si>
    <t xml:space="preserve">LOAN178</t>
  </si>
  <si>
    <t xml:space="preserve">LOAN179</t>
  </si>
  <si>
    <t xml:space="preserve">LOAN180</t>
  </si>
  <si>
    <t xml:space="preserve">LOAN181</t>
  </si>
  <si>
    <t xml:space="preserve">LOAN182</t>
  </si>
  <si>
    <t xml:space="preserve">CUS750</t>
  </si>
  <si>
    <t xml:space="preserve">LOAN183</t>
  </si>
  <si>
    <t xml:space="preserve">LOAN184</t>
  </si>
  <si>
    <t xml:space="preserve">LOAN185</t>
  </si>
  <si>
    <t xml:space="preserve">LOAN186</t>
  </si>
  <si>
    <t xml:space="preserve">LOAN187</t>
  </si>
  <si>
    <t xml:space="preserve">LOAN188</t>
  </si>
  <si>
    <t xml:space="preserve">LOAN189</t>
  </si>
  <si>
    <t xml:space="preserve">CUS257</t>
  </si>
  <si>
    <t xml:space="preserve">LOAN190</t>
  </si>
  <si>
    <t xml:space="preserve">LOAN191</t>
  </si>
  <si>
    <t xml:space="preserve">LOAN192</t>
  </si>
  <si>
    <t xml:space="preserve">LOAN193</t>
  </si>
  <si>
    <t xml:space="preserve">LOAN194</t>
  </si>
  <si>
    <t xml:space="preserve">LOAN195</t>
  </si>
  <si>
    <t xml:space="preserve">LOAN196</t>
  </si>
  <si>
    <t xml:space="preserve">LOAN197</t>
  </si>
  <si>
    <t xml:space="preserve">LOAN198</t>
  </si>
  <si>
    <t xml:space="preserve">LOAN199</t>
  </si>
  <si>
    <t xml:space="preserve">LOAN200</t>
  </si>
  <si>
    <t xml:space="preserve">LOAN201</t>
  </si>
  <si>
    <t xml:space="preserve">LOAN202</t>
  </si>
  <si>
    <t xml:space="preserve">LOAN203</t>
  </si>
  <si>
    <t xml:space="preserve">LOAN204</t>
  </si>
  <si>
    <t xml:space="preserve">LOAN205</t>
  </si>
  <si>
    <t xml:space="preserve">LOAN206</t>
  </si>
  <si>
    <t xml:space="preserve">LOAN207</t>
  </si>
  <si>
    <t xml:space="preserve">LOAN208</t>
  </si>
  <si>
    <t xml:space="preserve">LOAN209</t>
  </si>
  <si>
    <t xml:space="preserve">LOAN210</t>
  </si>
  <si>
    <t xml:space="preserve">LOAN211</t>
  </si>
  <si>
    <t xml:space="preserve">LOAN212</t>
  </si>
  <si>
    <t xml:space="preserve">LOAN213</t>
  </si>
  <si>
    <t xml:space="preserve">LOAN214</t>
  </si>
  <si>
    <t xml:space="preserve">LOAN215</t>
  </si>
  <si>
    <t xml:space="preserve">LOAN216</t>
  </si>
  <si>
    <t xml:space="preserve">LOAN217</t>
  </si>
  <si>
    <t xml:space="preserve">CUS231</t>
  </si>
  <si>
    <t xml:space="preserve">LOAN218</t>
  </si>
  <si>
    <t xml:space="preserve">LOAN219</t>
  </si>
  <si>
    <t xml:space="preserve">LOAN220</t>
  </si>
  <si>
    <t xml:space="preserve">LOAN221</t>
  </si>
  <si>
    <t xml:space="preserve">LOAN222</t>
  </si>
  <si>
    <t xml:space="preserve">LOAN223</t>
  </si>
  <si>
    <t xml:space="preserve">LOAN224</t>
  </si>
  <si>
    <t xml:space="preserve">LOAN225</t>
  </si>
  <si>
    <t xml:space="preserve">LOAN226</t>
  </si>
  <si>
    <t xml:space="preserve">LOAN227</t>
  </si>
  <si>
    <t xml:space="preserve">LOAN228</t>
  </si>
  <si>
    <t xml:space="preserve">LOAN229</t>
  </si>
  <si>
    <t xml:space="preserve">LOAN230</t>
  </si>
  <si>
    <t xml:space="preserve">LOAN231</t>
  </si>
  <si>
    <t xml:space="preserve">LOAN232</t>
  </si>
  <si>
    <t xml:space="preserve">LOAN233</t>
  </si>
  <si>
    <t xml:space="preserve">LOAN234</t>
  </si>
  <si>
    <t xml:space="preserve">LOAN235</t>
  </si>
  <si>
    <t xml:space="preserve">LOAN236</t>
  </si>
  <si>
    <t xml:space="preserve">LOAN237</t>
  </si>
  <si>
    <t xml:space="preserve">LOAN238</t>
  </si>
  <si>
    <t xml:space="preserve">LOAN239</t>
  </si>
  <si>
    <t xml:space="preserve">LOAN240</t>
  </si>
  <si>
    <t xml:space="preserve">LOAN241</t>
  </si>
  <si>
    <t xml:space="preserve">LOAN242</t>
  </si>
  <si>
    <t xml:space="preserve">LOAN243</t>
  </si>
  <si>
    <t xml:space="preserve">LOAN244</t>
  </si>
  <si>
    <t xml:space="preserve">LOAN245</t>
  </si>
  <si>
    <t xml:space="preserve">LOAN246</t>
  </si>
  <si>
    <t xml:space="preserve">LOAN247</t>
  </si>
  <si>
    <t xml:space="preserve">LOAN248</t>
  </si>
  <si>
    <t xml:space="preserve">LOAN249</t>
  </si>
  <si>
    <t xml:space="preserve">LOAN250</t>
  </si>
  <si>
    <t xml:space="preserve">LOAN251</t>
  </si>
  <si>
    <t xml:space="preserve">LOAN252</t>
  </si>
  <si>
    <t xml:space="preserve">LOAN253</t>
  </si>
  <si>
    <t xml:space="preserve">LOAN254</t>
  </si>
  <si>
    <t xml:space="preserve">LOAN255</t>
  </si>
  <si>
    <t xml:space="preserve">LOAN256</t>
  </si>
  <si>
    <t xml:space="preserve">LOAN257</t>
  </si>
  <si>
    <t xml:space="preserve">LOAN258</t>
  </si>
  <si>
    <t xml:space="preserve">LOAN259</t>
  </si>
  <si>
    <t xml:space="preserve">LOAN260</t>
  </si>
  <si>
    <t xml:space="preserve">LOAN261</t>
  </si>
  <si>
    <t xml:space="preserve">LOAN262</t>
  </si>
  <si>
    <t xml:space="preserve">LOAN263</t>
  </si>
  <si>
    <t xml:space="preserve">LOAN264</t>
  </si>
  <si>
    <t xml:space="preserve">LOAN265</t>
  </si>
  <si>
    <t xml:space="preserve">LOAN266</t>
  </si>
  <si>
    <t xml:space="preserve">LOAN267</t>
  </si>
  <si>
    <t xml:space="preserve">LOAN268</t>
  </si>
  <si>
    <t xml:space="preserve">LOAN269</t>
  </si>
  <si>
    <t xml:space="preserve">LOAN270</t>
  </si>
  <si>
    <t xml:space="preserve">LOAN271</t>
  </si>
  <si>
    <t xml:space="preserve">LOAN272</t>
  </si>
  <si>
    <t xml:space="preserve">LOAN273</t>
  </si>
  <si>
    <t xml:space="preserve">LOAN274</t>
  </si>
  <si>
    <t xml:space="preserve">LOAN275</t>
  </si>
  <si>
    <t xml:space="preserve">LOAN276</t>
  </si>
  <si>
    <t xml:space="preserve">LOAN277</t>
  </si>
  <si>
    <t xml:space="preserve">CUS680</t>
  </si>
  <si>
    <t xml:space="preserve">LOAN278</t>
  </si>
  <si>
    <t xml:space="preserve">LOAN279</t>
  </si>
  <si>
    <t xml:space="preserve">LOAN280</t>
  </si>
  <si>
    <t xml:space="preserve">LOAN281</t>
  </si>
  <si>
    <t xml:space="preserve">LOAN282</t>
  </si>
  <si>
    <t xml:space="preserve">LOAN283</t>
  </si>
  <si>
    <t xml:space="preserve">LOAN284</t>
  </si>
  <si>
    <t xml:space="preserve">LOAN285</t>
  </si>
  <si>
    <t xml:space="preserve">LOAN286</t>
  </si>
  <si>
    <t xml:space="preserve">LOAN287</t>
  </si>
  <si>
    <t xml:space="preserve">LOAN288</t>
  </si>
  <si>
    <t xml:space="preserve">LOAN289</t>
  </si>
  <si>
    <t xml:space="preserve">LOAN290</t>
  </si>
  <si>
    <t xml:space="preserve">LOAN291</t>
  </si>
  <si>
    <t xml:space="preserve">LOAN292</t>
  </si>
  <si>
    <t xml:space="preserve">LOAN293</t>
  </si>
  <si>
    <t xml:space="preserve">LOAN294</t>
  </si>
  <si>
    <t xml:space="preserve">CUS670</t>
  </si>
  <si>
    <t xml:space="preserve">LOAN295</t>
  </si>
  <si>
    <t xml:space="preserve">LOAN296</t>
  </si>
  <si>
    <t xml:space="preserve">LOAN297</t>
  </si>
  <si>
    <t xml:space="preserve">LOAN298</t>
  </si>
  <si>
    <t xml:space="preserve">LOAN299</t>
  </si>
  <si>
    <t xml:space="preserve">LOAN300</t>
  </si>
  <si>
    <t xml:space="preserve">LOAN301</t>
  </si>
  <si>
    <t xml:space="preserve">LOAN302</t>
  </si>
  <si>
    <t xml:space="preserve">LOAN303</t>
  </si>
  <si>
    <t xml:space="preserve">LOAN304</t>
  </si>
  <si>
    <t xml:space="preserve">LOAN305</t>
  </si>
  <si>
    <t xml:space="preserve">LOAN306</t>
  </si>
  <si>
    <t xml:space="preserve">LOAN307</t>
  </si>
  <si>
    <t xml:space="preserve">LOAN308</t>
  </si>
  <si>
    <t xml:space="preserve">LOAN309</t>
  </si>
  <si>
    <t xml:space="preserve">LOAN310</t>
  </si>
  <si>
    <t xml:space="preserve">LOAN311</t>
  </si>
  <si>
    <t xml:space="preserve">LOAN312</t>
  </si>
  <si>
    <t xml:space="preserve">LOAN313</t>
  </si>
  <si>
    <t xml:space="preserve">LOAN314</t>
  </si>
  <si>
    <t xml:space="preserve">LOAN315</t>
  </si>
  <si>
    <t xml:space="preserve">LOAN316</t>
  </si>
  <si>
    <t xml:space="preserve">LOAN317</t>
  </si>
  <si>
    <t xml:space="preserve">LOAN318</t>
  </si>
  <si>
    <t xml:space="preserve">LOAN319</t>
  </si>
  <si>
    <t xml:space="preserve">LOAN320</t>
  </si>
  <si>
    <t xml:space="preserve">LOAN321</t>
  </si>
  <si>
    <t xml:space="preserve">LOAN322</t>
  </si>
  <si>
    <t xml:space="preserve">LOAN323</t>
  </si>
  <si>
    <t xml:space="preserve">LOAN324</t>
  </si>
  <si>
    <t xml:space="preserve">LOAN325</t>
  </si>
  <si>
    <t xml:space="preserve">LOAN326</t>
  </si>
  <si>
    <t xml:space="preserve">LOAN327</t>
  </si>
  <si>
    <t xml:space="preserve">LOAN328</t>
  </si>
  <si>
    <t xml:space="preserve">LOAN329</t>
  </si>
  <si>
    <t xml:space="preserve">LOAN330</t>
  </si>
  <si>
    <t xml:space="preserve">LOAN331</t>
  </si>
  <si>
    <t xml:space="preserve">LOAN332</t>
  </si>
  <si>
    <t xml:space="preserve">LOAN333</t>
  </si>
  <si>
    <t xml:space="preserve">LOAN334</t>
  </si>
  <si>
    <t xml:space="preserve">LOAN335</t>
  </si>
  <si>
    <t xml:space="preserve">LOAN336</t>
  </si>
  <si>
    <t xml:space="preserve">LOAN337</t>
  </si>
  <si>
    <t xml:space="preserve">LOAN338</t>
  </si>
  <si>
    <t xml:space="preserve">LOAN339</t>
  </si>
  <si>
    <t xml:space="preserve">LOAN340</t>
  </si>
  <si>
    <t xml:space="preserve">LOAN341</t>
  </si>
  <si>
    <t xml:space="preserve">LOAN342</t>
  </si>
  <si>
    <t xml:space="preserve">LOAN343</t>
  </si>
  <si>
    <t xml:space="preserve">LOAN344</t>
  </si>
  <si>
    <t xml:space="preserve">LOAN345</t>
  </si>
  <si>
    <t xml:space="preserve">LOAN346</t>
  </si>
  <si>
    <t xml:space="preserve">LOAN347</t>
  </si>
  <si>
    <t xml:space="preserve">LOAN348</t>
  </si>
  <si>
    <t xml:space="preserve">LOAN349</t>
  </si>
  <si>
    <t xml:space="preserve">LOAN350</t>
  </si>
  <si>
    <t xml:space="preserve">LOAN351</t>
  </si>
  <si>
    <t xml:space="preserve">LOAN352</t>
  </si>
  <si>
    <t xml:space="preserve">LOAN353</t>
  </si>
  <si>
    <t xml:space="preserve">LOAN354</t>
  </si>
  <si>
    <t xml:space="preserve">LOAN355</t>
  </si>
  <si>
    <t xml:space="preserve">LOAN356</t>
  </si>
  <si>
    <t xml:space="preserve">LOAN357</t>
  </si>
  <si>
    <t xml:space="preserve">LOAN358</t>
  </si>
  <si>
    <t xml:space="preserve">CUS049</t>
  </si>
  <si>
    <t xml:space="preserve">LOAN359</t>
  </si>
  <si>
    <t xml:space="preserve">LOAN360</t>
  </si>
  <si>
    <t xml:space="preserve">LOAN361</t>
  </si>
  <si>
    <t xml:space="preserve">LOAN362</t>
  </si>
  <si>
    <t xml:space="preserve">CUS160</t>
  </si>
  <si>
    <t xml:space="preserve">LOAN363</t>
  </si>
  <si>
    <t xml:space="preserve">LOAN364</t>
  </si>
  <si>
    <t xml:space="preserve">LOAN365</t>
  </si>
  <si>
    <t xml:space="preserve">LOAN366</t>
  </si>
  <si>
    <t xml:space="preserve">LOAN367</t>
  </si>
  <si>
    <t xml:space="preserve">LOAN368</t>
  </si>
  <si>
    <t xml:space="preserve">CUS943</t>
  </si>
  <si>
    <t xml:space="preserve">LOAN369</t>
  </si>
  <si>
    <t xml:space="preserve">LOAN370</t>
  </si>
  <si>
    <t xml:space="preserve">LOAN371</t>
  </si>
  <si>
    <t xml:space="preserve">LOAN372</t>
  </si>
  <si>
    <t xml:space="preserve">LOAN373</t>
  </si>
  <si>
    <t xml:space="preserve">LOAN374</t>
  </si>
  <si>
    <t xml:space="preserve">LOAN375</t>
  </si>
  <si>
    <t xml:space="preserve">LOAN376</t>
  </si>
  <si>
    <t xml:space="preserve">LOAN377</t>
  </si>
  <si>
    <t xml:space="preserve">LOAN378</t>
  </si>
  <si>
    <t xml:space="preserve">LOAN379</t>
  </si>
  <si>
    <t xml:space="preserve">LOAN380</t>
  </si>
  <si>
    <t xml:space="preserve">LOAN381</t>
  </si>
  <si>
    <t xml:space="preserve">LOAN382</t>
  </si>
  <si>
    <t xml:space="preserve">LOAN383</t>
  </si>
  <si>
    <t xml:space="preserve">LOAN384</t>
  </si>
  <si>
    <t xml:space="preserve">LOAN385</t>
  </si>
  <si>
    <t xml:space="preserve">LOAN386</t>
  </si>
  <si>
    <t xml:space="preserve">LOAN387</t>
  </si>
  <si>
    <t xml:space="preserve">LOAN388</t>
  </si>
  <si>
    <t xml:space="preserve">LOAN389</t>
  </si>
  <si>
    <t xml:space="preserve">LOAN390</t>
  </si>
  <si>
    <t xml:space="preserve">LOAN391</t>
  </si>
  <si>
    <t xml:space="preserve">LOAN392</t>
  </si>
  <si>
    <t xml:space="preserve">LOAN393</t>
  </si>
  <si>
    <t xml:space="preserve">LOAN394</t>
  </si>
  <si>
    <t xml:space="preserve">LOAN395</t>
  </si>
  <si>
    <t xml:space="preserve">LOAN396</t>
  </si>
  <si>
    <t xml:space="preserve">LOAN397</t>
  </si>
  <si>
    <t xml:space="preserve">LOAN398</t>
  </si>
  <si>
    <t xml:space="preserve">LOAN399</t>
  </si>
  <si>
    <t xml:space="preserve">CUS392</t>
  </si>
  <si>
    <t xml:space="preserve">LOAN400</t>
  </si>
  <si>
    <t xml:space="preserve">LOAN401</t>
  </si>
  <si>
    <t xml:space="preserve">LOAN402</t>
  </si>
  <si>
    <t xml:space="preserve">LOAN403</t>
  </si>
  <si>
    <t xml:space="preserve">LOAN404</t>
  </si>
  <si>
    <t xml:space="preserve">LOAN405</t>
  </si>
  <si>
    <t xml:space="preserve">CUS899</t>
  </si>
  <si>
    <t xml:space="preserve">LOAN406</t>
  </si>
  <si>
    <t xml:space="preserve">LOAN407</t>
  </si>
  <si>
    <t xml:space="preserve">LOAN408</t>
  </si>
  <si>
    <t xml:space="preserve">LOAN409</t>
  </si>
  <si>
    <t xml:space="preserve">CUS419</t>
  </si>
  <si>
    <t xml:space="preserve">LOAN410</t>
  </si>
  <si>
    <t xml:space="preserve">LOAN411</t>
  </si>
  <si>
    <t xml:space="preserve">LOAN412</t>
  </si>
  <si>
    <t xml:space="preserve">LOAN413</t>
  </si>
  <si>
    <t xml:space="preserve">LOAN414</t>
  </si>
  <si>
    <t xml:space="preserve">LOAN415</t>
  </si>
  <si>
    <t xml:space="preserve">LOAN416</t>
  </si>
  <si>
    <t xml:space="preserve">LOAN417</t>
  </si>
  <si>
    <t xml:space="preserve">LOAN418</t>
  </si>
  <si>
    <t xml:space="preserve">LOAN419</t>
  </si>
  <si>
    <t xml:space="preserve">LOAN420</t>
  </si>
  <si>
    <t xml:space="preserve">LOAN421</t>
  </si>
  <si>
    <t xml:space="preserve">LOAN422</t>
  </si>
  <si>
    <t xml:space="preserve">LOAN423</t>
  </si>
  <si>
    <t xml:space="preserve">LOAN424</t>
  </si>
  <si>
    <t xml:space="preserve">LOAN425</t>
  </si>
  <si>
    <t xml:space="preserve">LOAN426</t>
  </si>
  <si>
    <t xml:space="preserve">LOAN427</t>
  </si>
  <si>
    <t xml:space="preserve">LOAN428</t>
  </si>
  <si>
    <t xml:space="preserve">LOAN429</t>
  </si>
  <si>
    <t xml:space="preserve">LOAN430</t>
  </si>
  <si>
    <t xml:space="preserve">LOAN431</t>
  </si>
  <si>
    <t xml:space="preserve">LOAN432</t>
  </si>
  <si>
    <t xml:space="preserve">LOAN433</t>
  </si>
  <si>
    <t xml:space="preserve">LOAN434</t>
  </si>
  <si>
    <t xml:space="preserve">LOAN435</t>
  </si>
  <si>
    <t xml:space="preserve">LOAN436</t>
  </si>
  <si>
    <t xml:space="preserve">LOAN437</t>
  </si>
  <si>
    <t xml:space="preserve">CUS687</t>
  </si>
  <si>
    <t xml:space="preserve">LOAN438</t>
  </si>
  <si>
    <t xml:space="preserve">LOAN439</t>
  </si>
  <si>
    <t xml:space="preserve">LOAN440</t>
  </si>
  <si>
    <t xml:space="preserve">LOAN441</t>
  </si>
  <si>
    <t xml:space="preserve">LOAN442</t>
  </si>
  <si>
    <t xml:space="preserve">LOAN443</t>
  </si>
  <si>
    <t xml:space="preserve">LOAN444</t>
  </si>
  <si>
    <t xml:space="preserve">LOAN445</t>
  </si>
  <si>
    <t xml:space="preserve">LOAN446</t>
  </si>
  <si>
    <t xml:space="preserve">CUS631</t>
  </si>
  <si>
    <t xml:space="preserve">LOAN447</t>
  </si>
  <si>
    <t xml:space="preserve">LOAN448</t>
  </si>
  <si>
    <t xml:space="preserve">LOAN449</t>
  </si>
  <si>
    <t xml:space="preserve">LOAN450</t>
  </si>
  <si>
    <t xml:space="preserve">LOAN451</t>
  </si>
  <si>
    <t xml:space="preserve">LOAN452</t>
  </si>
  <si>
    <t xml:space="preserve">LOAN453</t>
  </si>
  <si>
    <t xml:space="preserve">LOAN454</t>
  </si>
  <si>
    <t xml:space="preserve">LOAN455</t>
  </si>
  <si>
    <t xml:space="preserve">LOAN456</t>
  </si>
  <si>
    <t xml:space="preserve">LOAN457</t>
  </si>
  <si>
    <t xml:space="preserve">LOAN458</t>
  </si>
  <si>
    <t xml:space="preserve">LOAN459</t>
  </si>
  <si>
    <t xml:space="preserve">LOAN460</t>
  </si>
  <si>
    <t xml:space="preserve">LOAN461</t>
  </si>
  <si>
    <t xml:space="preserve">LOAN462</t>
  </si>
  <si>
    <t xml:space="preserve">LOAN463</t>
  </si>
  <si>
    <t xml:space="preserve">LOAN464</t>
  </si>
  <si>
    <t xml:space="preserve">LOAN465</t>
  </si>
  <si>
    <t xml:space="preserve">LOAN466</t>
  </si>
  <si>
    <t xml:space="preserve">LOAN467</t>
  </si>
  <si>
    <t xml:space="preserve">LOAN468</t>
  </si>
  <si>
    <t xml:space="preserve">LOAN469</t>
  </si>
  <si>
    <t xml:space="preserve">LOAN470</t>
  </si>
  <si>
    <t xml:space="preserve">LOAN471</t>
  </si>
  <si>
    <t xml:space="preserve">LOAN472</t>
  </si>
  <si>
    <t xml:space="preserve">LOAN473</t>
  </si>
  <si>
    <t xml:space="preserve">LOAN474</t>
  </si>
  <si>
    <t xml:space="preserve">LOAN475</t>
  </si>
  <si>
    <t xml:space="preserve">LOAN476</t>
  </si>
  <si>
    <t xml:space="preserve">LOAN477</t>
  </si>
  <si>
    <t xml:space="preserve">LOAN478</t>
  </si>
  <si>
    <t xml:space="preserve">LOAN479</t>
  </si>
  <si>
    <t xml:space="preserve">LOAN480</t>
  </si>
  <si>
    <t xml:space="preserve">LOAN481</t>
  </si>
  <si>
    <t xml:space="preserve">LOAN482</t>
  </si>
  <si>
    <t xml:space="preserve">LOAN483</t>
  </si>
  <si>
    <t xml:space="preserve">LOAN484</t>
  </si>
  <si>
    <t xml:space="preserve">LOAN485</t>
  </si>
  <si>
    <t xml:space="preserve">LOAN486</t>
  </si>
  <si>
    <t xml:space="preserve">LOAN487</t>
  </si>
  <si>
    <t xml:space="preserve">LOAN488</t>
  </si>
  <si>
    <t xml:space="preserve">LOAN489</t>
  </si>
  <si>
    <t xml:space="preserve">LOAN490</t>
  </si>
  <si>
    <t xml:space="preserve">LOAN491</t>
  </si>
  <si>
    <t xml:space="preserve">LOAN492</t>
  </si>
  <si>
    <t xml:space="preserve">LOAN493</t>
  </si>
  <si>
    <t xml:space="preserve">CUS020</t>
  </si>
  <si>
    <t xml:space="preserve">LOAN494</t>
  </si>
  <si>
    <t xml:space="preserve">LOAN495</t>
  </si>
  <si>
    <t xml:space="preserve">LOAN496</t>
  </si>
  <si>
    <t xml:space="preserve">LOAN497</t>
  </si>
  <si>
    <t xml:space="preserve">LOAN498</t>
  </si>
  <si>
    <t xml:space="preserve">LOAN499</t>
  </si>
  <si>
    <t xml:space="preserve">LOAN500</t>
  </si>
  <si>
    <t xml:space="preserve">LOAN501</t>
  </si>
  <si>
    <t xml:space="preserve">LOAN502</t>
  </si>
  <si>
    <t xml:space="preserve">CUS313</t>
  </si>
  <si>
    <t xml:space="preserve">LOAN503</t>
  </si>
  <si>
    <t xml:space="preserve">LOAN504</t>
  </si>
  <si>
    <t xml:space="preserve">LOAN505</t>
  </si>
  <si>
    <t xml:space="preserve">LOAN506</t>
  </si>
  <si>
    <t xml:space="preserve">LOAN507</t>
  </si>
  <si>
    <t xml:space="preserve">first_name</t>
  </si>
  <si>
    <t xml:space="preserve">last_name</t>
  </si>
  <si>
    <t xml:space="preserve">gender</t>
  </si>
  <si>
    <t xml:space="preserve">date_of_birth</t>
  </si>
  <si>
    <t xml:space="preserve">phone_number</t>
  </si>
  <si>
    <t xml:space="preserve">county_id</t>
  </si>
  <si>
    <t xml:space="preserve">customer_type</t>
  </si>
  <si>
    <t xml:space="preserve">occupation</t>
  </si>
  <si>
    <t xml:space="preserve">income_band</t>
  </si>
  <si>
    <t xml:space="preserve">registration_date</t>
  </si>
  <si>
    <t xml:space="preserve">kyc_status</t>
  </si>
  <si>
    <t xml:space="preserve">customer_status</t>
  </si>
  <si>
    <t xml:space="preserve">Brian</t>
  </si>
  <si>
    <t xml:space="preserve">Mwangi</t>
  </si>
  <si>
    <t xml:space="preserve">Male</t>
  </si>
  <si>
    <t xml:space="preserve">Software Developer</t>
  </si>
  <si>
    <t xml:space="preserve">Verified</t>
  </si>
  <si>
    <t xml:space="preserve">Wanjiku</t>
  </si>
  <si>
    <t xml:space="preserve">Kamau</t>
  </si>
  <si>
    <t xml:space="preserve">Female</t>
  </si>
  <si>
    <t xml:space="preserve">Business Owner</t>
  </si>
  <si>
    <t xml:space="preserve">Kevin</t>
  </si>
  <si>
    <t xml:space="preserve">Otieno</t>
  </si>
  <si>
    <t xml:space="preserve">Teacher</t>
  </si>
  <si>
    <t xml:space="preserve">Amina</t>
  </si>
  <si>
    <t xml:space="preserve">Hassan</t>
  </si>
  <si>
    <t xml:space="preserve">Trader</t>
  </si>
  <si>
    <t xml:space="preserve">David</t>
  </si>
  <si>
    <t xml:space="preserve">Kiptoo</t>
  </si>
  <si>
    <t xml:space="preserve">Farmer</t>
  </si>
  <si>
    <t xml:space="preserve">Faith</t>
  </si>
  <si>
    <t xml:space="preserve">Njeri</t>
  </si>
  <si>
    <t xml:space="preserve">Freelancer</t>
  </si>
  <si>
    <t xml:space="preserve">Samuel</t>
  </si>
  <si>
    <t xml:space="preserve">Omondi</t>
  </si>
  <si>
    <t xml:space="preserve">Mercy</t>
  </si>
  <si>
    <t xml:space="preserve">Achieng</t>
  </si>
  <si>
    <t xml:space="preserve">Retail Worker</t>
  </si>
  <si>
    <t xml:space="preserve">John</t>
  </si>
  <si>
    <t xml:space="preserve">Engineer</t>
  </si>
  <si>
    <t xml:space="preserve">Grace</t>
  </si>
  <si>
    <t xml:space="preserve">Muthoni</t>
  </si>
  <si>
    <t xml:space="preserve">Entrepreneur</t>
  </si>
  <si>
    <t xml:space="preserve">Driver</t>
  </si>
  <si>
    <t xml:space="preserve">Joseph</t>
  </si>
  <si>
    <t xml:space="preserve">SME</t>
  </si>
  <si>
    <t xml:space="preserve">Michael</t>
  </si>
  <si>
    <t xml:space="preserve">Nurse</t>
  </si>
  <si>
    <t xml:space="preserve">Ruth</t>
  </si>
  <si>
    <t xml:space="preserve">Kariuki</t>
  </si>
  <si>
    <t xml:space="preserve">Pending</t>
  </si>
  <si>
    <t xml:space="preserve">Martin</t>
  </si>
  <si>
    <t xml:space="preserve">Accountant</t>
  </si>
  <si>
    <t xml:space="preserve">Inactive</t>
  </si>
  <si>
    <t xml:space="preserve">Koech</t>
  </si>
  <si>
    <t xml:space="preserve">Lucy</t>
  </si>
  <si>
    <t xml:space="preserve">Maina</t>
  </si>
  <si>
    <t xml:space="preserve">Jane</t>
  </si>
  <si>
    <t xml:space="preserve">Chebet</t>
  </si>
  <si>
    <t xml:space="preserve">Consultant</t>
  </si>
  <si>
    <t xml:space="preserve">Wekesa</t>
  </si>
  <si>
    <t xml:space="preserve">Mary</t>
  </si>
  <si>
    <t xml:space="preserve">Nyambura</t>
  </si>
  <si>
    <t xml:space="preserve">Esther</t>
  </si>
  <si>
    <t xml:space="preserve">Wambui</t>
  </si>
  <si>
    <t xml:space="preserve">Mutua</t>
  </si>
  <si>
    <t xml:space="preserve">Eric</t>
  </si>
  <si>
    <t xml:space="preserve">Joy</t>
  </si>
  <si>
    <t xml:space="preserve">Njoroge</t>
  </si>
  <si>
    <t xml:space="preserve">Dennis</t>
  </si>
  <si>
    <t xml:space="preserve">Cynthia</t>
  </si>
  <si>
    <t xml:space="preserve">Ouma</t>
  </si>
  <si>
    <t xml:space="preserve">Daniel</t>
  </si>
  <si>
    <t xml:space="preserve">Ann</t>
  </si>
  <si>
    <t xml:space="preserve">James</t>
  </si>
  <si>
    <t xml:space="preserve">Sharon</t>
  </si>
  <si>
    <t xml:space="preserve">Kipchumba</t>
  </si>
  <si>
    <t xml:space="preserve">Victor</t>
  </si>
  <si>
    <t xml:space="preserve">Peter</t>
  </si>
  <si>
    <t xml:space="preserve">CUS087</t>
  </si>
  <si>
    <t xml:space="preserve">Collins</t>
  </si>
  <si>
    <t xml:space="preserve">Irene</t>
  </si>
  <si>
    <t xml:space="preserve">CUS096</t>
  </si>
  <si>
    <t xml:space="preserve">Kiplagat</t>
  </si>
  <si>
    <t xml:space="preserve">CUS120</t>
  </si>
  <si>
    <t xml:space="preserve">CUS212</t>
  </si>
  <si>
    <t xml:space="preserve">CUS219</t>
  </si>
  <si>
    <t xml:space="preserve">CUS233</t>
  </si>
  <si>
    <t xml:space="preserve">CUS267</t>
  </si>
  <si>
    <t xml:space="preserve">CUS291</t>
  </si>
  <si>
    <t xml:space="preserve">CUS296</t>
  </si>
  <si>
    <t xml:space="preserve">CUS300</t>
  </si>
  <si>
    <t xml:space="preserve">CUS422</t>
  </si>
  <si>
    <t xml:space="preserve">CUS460</t>
  </si>
  <si>
    <t xml:space="preserve">CUS481</t>
  </si>
  <si>
    <t xml:space="preserve">CUS496</t>
  </si>
  <si>
    <t xml:space="preserve">CUS504</t>
  </si>
  <si>
    <t xml:space="preserve">CUS514</t>
  </si>
  <si>
    <t xml:space="preserve">CUS522</t>
  </si>
  <si>
    <t xml:space="preserve">CUS551</t>
  </si>
  <si>
    <t xml:space="preserve">CUS555</t>
  </si>
  <si>
    <t xml:space="preserve">CUS694</t>
  </si>
  <si>
    <t xml:space="preserve">CUS695</t>
  </si>
  <si>
    <t xml:space="preserve">CUS833</t>
  </si>
  <si>
    <t xml:space="preserve">CUS848</t>
  </si>
  <si>
    <t xml:space="preserve">CUS897</t>
  </si>
  <si>
    <t xml:space="preserve">CUS910</t>
  </si>
  <si>
    <t xml:space="preserve">CUS925</t>
  </si>
  <si>
    <t xml:space="preserve">CUS933</t>
  </si>
  <si>
    <t xml:space="preserve">fraud_event_id</t>
  </si>
  <si>
    <t xml:space="preserve">detected_at</t>
  </si>
  <si>
    <t xml:space="preserve">fraud_type</t>
  </si>
  <si>
    <t xml:space="preserve">risk_score</t>
  </si>
  <si>
    <t xml:space="preserve">investigation_status</t>
  </si>
  <si>
    <t xml:space="preserve">confirmed_fraud</t>
  </si>
  <si>
    <t xml:space="preserve">FRD0003</t>
  </si>
  <si>
    <t xml:space="preserve">Velocity anomaly</t>
  </si>
  <si>
    <t xml:space="preserve">Confirmed</t>
  </si>
  <si>
    <t xml:space="preserve">FRD0004</t>
  </si>
  <si>
    <t xml:space="preserve">Closed</t>
  </si>
  <si>
    <t xml:space="preserve">FRD0005</t>
  </si>
  <si>
    <t xml:space="preserve">New beneficiary risk</t>
  </si>
  <si>
    <t xml:space="preserve">Investigating</t>
  </si>
  <si>
    <t xml:space="preserve">FRD0006</t>
  </si>
  <si>
    <t xml:space="preserve">FRD0007</t>
  </si>
  <si>
    <t xml:space="preserve">Multiple failed attempts</t>
  </si>
  <si>
    <t xml:space="preserve">FRD0008</t>
  </si>
  <si>
    <t xml:space="preserve">FRD0009</t>
  </si>
  <si>
    <t xml:space="preserve">New</t>
  </si>
  <si>
    <t xml:space="preserve">FRD0010</t>
  </si>
  <si>
    <t xml:space="preserve">FRD0011</t>
  </si>
  <si>
    <t xml:space="preserve">FRD0012</t>
  </si>
  <si>
    <t xml:space="preserve">FRD0013</t>
  </si>
  <si>
    <t xml:space="preserve">FRD0014</t>
  </si>
  <si>
    <t xml:space="preserve">FRD0015</t>
  </si>
  <si>
    <t xml:space="preserve">Unusual transaction amount</t>
  </si>
  <si>
    <t xml:space="preserve">FRD0016</t>
  </si>
  <si>
    <t xml:space="preserve">FRD0017</t>
  </si>
  <si>
    <t xml:space="preserve">FRD0018</t>
  </si>
  <si>
    <t xml:space="preserve">FRD0019</t>
  </si>
  <si>
    <t xml:space="preserve">FRD0020</t>
  </si>
  <si>
    <t xml:space="preserve">FRD0021</t>
  </si>
  <si>
    <t xml:space="preserve">FRD0022</t>
  </si>
  <si>
    <t xml:space="preserve">FRD0023</t>
  </si>
  <si>
    <t xml:space="preserve">FRD0024</t>
  </si>
  <si>
    <t xml:space="preserve">FRD0025</t>
  </si>
  <si>
    <t xml:space="preserve">FRD0026</t>
  </si>
  <si>
    <t xml:space="preserve">FRD0027</t>
  </si>
  <si>
    <t xml:space="preserve">FRD0028</t>
  </si>
  <si>
    <t xml:space="preserve">FRD0029</t>
  </si>
  <si>
    <t xml:space="preserve">FRD0030</t>
  </si>
  <si>
    <t xml:space="preserve">FRD0031</t>
  </si>
  <si>
    <t xml:space="preserve">FRD0032</t>
  </si>
  <si>
    <t xml:space="preserve">FRD0033</t>
  </si>
  <si>
    <t xml:space="preserve">FRD0034</t>
  </si>
  <si>
    <t xml:space="preserve">FRD0035</t>
  </si>
  <si>
    <t xml:space="preserve">FRD0036</t>
  </si>
  <si>
    <t xml:space="preserve">FRD0037</t>
  </si>
  <si>
    <t xml:space="preserve">FRD0038</t>
  </si>
  <si>
    <t xml:space="preserve">FRD0039</t>
  </si>
  <si>
    <t xml:space="preserve">FRD0040</t>
  </si>
  <si>
    <t xml:space="preserve">FRD0041</t>
  </si>
  <si>
    <t xml:space="preserve">FRD0042</t>
  </si>
  <si>
    <t xml:space="preserve">FRD0043</t>
  </si>
  <si>
    <t xml:space="preserve">FRD0044</t>
  </si>
  <si>
    <t xml:space="preserve">FRD0045</t>
  </si>
  <si>
    <t xml:space="preserve">FRD0046</t>
  </si>
  <si>
    <t xml:space="preserve">FRD0047</t>
  </si>
  <si>
    <t xml:space="preserve">FRD0048</t>
  </si>
  <si>
    <t xml:space="preserve">FRD0049</t>
  </si>
  <si>
    <t xml:space="preserve">FRD0050</t>
  </si>
  <si>
    <t xml:space="preserve">FRD0051</t>
  </si>
  <si>
    <t xml:space="preserve">FRD0052</t>
  </si>
  <si>
    <t xml:space="preserve">FRD0053</t>
  </si>
  <si>
    <t xml:space="preserve">FRD0054</t>
  </si>
  <si>
    <t xml:space="preserve">FRD0055</t>
  </si>
  <si>
    <t xml:space="preserve">FRD0056</t>
  </si>
  <si>
    <t xml:space="preserve">FRD0057</t>
  </si>
  <si>
    <t xml:space="preserve">FRD0058</t>
  </si>
  <si>
    <t xml:space="preserve">FRD0059</t>
  </si>
  <si>
    <t xml:space="preserve">FRD0060</t>
  </si>
  <si>
    <t xml:space="preserve">FRD0061</t>
  </si>
  <si>
    <t xml:space="preserve">FRD0062</t>
  </si>
  <si>
    <t xml:space="preserve">FRD0063</t>
  </si>
  <si>
    <t xml:space="preserve">FRD0064</t>
  </si>
  <si>
    <t xml:space="preserve">FRD0065</t>
  </si>
  <si>
    <t xml:space="preserve">FRD0066</t>
  </si>
  <si>
    <t xml:space="preserve">FRD0067</t>
  </si>
  <si>
    <t xml:space="preserve">FRD0068</t>
  </si>
  <si>
    <t xml:space="preserve">FRD0069</t>
  </si>
  <si>
    <t xml:space="preserve">FRD0070</t>
  </si>
  <si>
    <t xml:space="preserve">FRD0071</t>
  </si>
  <si>
    <t xml:space="preserve">FRD0072</t>
  </si>
  <si>
    <t xml:space="preserve">FRD0073</t>
  </si>
  <si>
    <t xml:space="preserve">FRD0074</t>
  </si>
  <si>
    <t xml:space="preserve">FRD0075</t>
  </si>
  <si>
    <t xml:space="preserve">FRD0076</t>
  </si>
  <si>
    <t xml:space="preserve">FRD0077</t>
  </si>
  <si>
    <t xml:space="preserve">FRD0078</t>
  </si>
  <si>
    <t xml:space="preserve">FRD0079</t>
  </si>
  <si>
    <t xml:space="preserve">FRD0080</t>
  </si>
  <si>
    <t xml:space="preserve">FRD0081</t>
  </si>
  <si>
    <t xml:space="preserve">FRD0082</t>
  </si>
  <si>
    <t xml:space="preserve">FRD0083</t>
  </si>
  <si>
    <t xml:space="preserve">FRD0084</t>
  </si>
  <si>
    <t xml:space="preserve">FRD0085</t>
  </si>
  <si>
    <t xml:space="preserve">FRD0086</t>
  </si>
  <si>
    <t xml:space="preserve">FRD0087</t>
  </si>
  <si>
    <t xml:space="preserve">FRD0088</t>
  </si>
  <si>
    <t xml:space="preserve">FRD0089</t>
  </si>
  <si>
    <t xml:space="preserve">FRD0090</t>
  </si>
  <si>
    <t xml:space="preserve">FRD0091</t>
  </si>
  <si>
    <t xml:space="preserve">FRD0092</t>
  </si>
  <si>
    <t xml:space="preserve">FRD0093</t>
  </si>
  <si>
    <t xml:space="preserve">FRD0094</t>
  </si>
  <si>
    <t xml:space="preserve">FRD0095</t>
  </si>
  <si>
    <t xml:space="preserve">FRD0096</t>
  </si>
  <si>
    <t xml:space="preserve">FRD0097</t>
  </si>
  <si>
    <t xml:space="preserve">FRD0098</t>
  </si>
  <si>
    <t xml:space="preserve">FRD0099</t>
  </si>
  <si>
    <t xml:space="preserve">FRD0100</t>
  </si>
  <si>
    <t xml:space="preserve">FRD0101</t>
  </si>
  <si>
    <t xml:space="preserve">FRD0102</t>
  </si>
  <si>
    <t xml:space="preserve">FRD0103</t>
  </si>
  <si>
    <t xml:space="preserve">FRD0104</t>
  </si>
  <si>
    <t xml:space="preserve">FRD0105</t>
  </si>
  <si>
    <t xml:space="preserve">FRD0106</t>
  </si>
  <si>
    <t xml:space="preserve">FRD0107</t>
  </si>
  <si>
    <t xml:space="preserve">FRD0108</t>
  </si>
  <si>
    <t xml:space="preserve">FRD0109</t>
  </si>
  <si>
    <t xml:space="preserve">FRD0110</t>
  </si>
  <si>
    <t xml:space="preserve">FRD0111</t>
  </si>
  <si>
    <t xml:space="preserve">FRD0112</t>
  </si>
  <si>
    <t xml:space="preserve">FRD0113</t>
  </si>
  <si>
    <t xml:space="preserve">FRD0114</t>
  </si>
  <si>
    <t xml:space="preserve">FRD0115</t>
  </si>
  <si>
    <t xml:space="preserve">FRD0116</t>
  </si>
  <si>
    <t xml:space="preserve">FRD0117</t>
  </si>
  <si>
    <t xml:space="preserve">FRD0118</t>
  </si>
  <si>
    <t xml:space="preserve">FRD0119</t>
  </si>
  <si>
    <t xml:space="preserve">FRD0120</t>
  </si>
  <si>
    <t xml:space="preserve">FRD0121</t>
  </si>
  <si>
    <t xml:space="preserve">FRD0122</t>
  </si>
  <si>
    <t xml:space="preserve">FRD0123</t>
  </si>
  <si>
    <t xml:space="preserve">FRD0124</t>
  </si>
  <si>
    <t xml:space="preserve">FRD0125</t>
  </si>
  <si>
    <t xml:space="preserve">FRD0126</t>
  </si>
  <si>
    <t xml:space="preserve">FRD0127</t>
  </si>
  <si>
    <t xml:space="preserve">FRD0128</t>
  </si>
  <si>
    <t xml:space="preserve">FRD0129</t>
  </si>
  <si>
    <t xml:space="preserve">FRD0130</t>
  </si>
  <si>
    <t xml:space="preserve">FRD0131</t>
  </si>
  <si>
    <t xml:space="preserve">FRD0132</t>
  </si>
  <si>
    <t xml:space="preserve">FRD0133</t>
  </si>
  <si>
    <t xml:space="preserve">FRD0134</t>
  </si>
  <si>
    <t xml:space="preserve">FRD0135</t>
  </si>
  <si>
    <t xml:space="preserve">FRD0136</t>
  </si>
  <si>
    <t xml:space="preserve">FRD0137</t>
  </si>
  <si>
    <t xml:space="preserve">FRD0138</t>
  </si>
  <si>
    <t xml:space="preserve">FRD0139</t>
  </si>
  <si>
    <t xml:space="preserve">FRD0140</t>
  </si>
  <si>
    <t xml:space="preserve">FRD0141</t>
  </si>
  <si>
    <t xml:space="preserve">FRD0142</t>
  </si>
  <si>
    <t xml:space="preserve">FRD0143</t>
  </si>
  <si>
    <t xml:space="preserve">FRD0144</t>
  </si>
  <si>
    <t xml:space="preserve">FRD0145</t>
  </si>
  <si>
    <t xml:space="preserve">FRD0146</t>
  </si>
  <si>
    <t xml:space="preserve">FRD0147</t>
  </si>
  <si>
    <t xml:space="preserve">FRD0148</t>
  </si>
  <si>
    <t xml:space="preserve">FRD0149</t>
  </si>
  <si>
    <t xml:space="preserve">FRD0150</t>
  </si>
  <si>
    <t xml:space="preserve">FRD0151</t>
  </si>
  <si>
    <t xml:space="preserve">FRD0152</t>
  </si>
  <si>
    <t xml:space="preserve">fee_id</t>
  </si>
  <si>
    <t xml:space="preserve">fee_type</t>
  </si>
  <si>
    <t xml:space="preserve">fee_amount</t>
  </si>
  <si>
    <t xml:space="preserve">fee_date</t>
  </si>
  <si>
    <t xml:space="preserve">FEE0001</t>
  </si>
  <si>
    <t xml:space="preserve">Withdrawal Fee</t>
  </si>
  <si>
    <t xml:space="preserve">FEE0002</t>
  </si>
  <si>
    <t xml:space="preserve">Transaction Fee</t>
  </si>
  <si>
    <t xml:space="preserve">FEE0003</t>
  </si>
  <si>
    <t xml:space="preserve">Transfer Fee</t>
  </si>
  <si>
    <t xml:space="preserve">FEE0004</t>
  </si>
  <si>
    <t xml:space="preserve">FEE0005</t>
  </si>
  <si>
    <t xml:space="preserve">FEE0006</t>
  </si>
  <si>
    <t xml:space="preserve">FEE0007</t>
  </si>
  <si>
    <t xml:space="preserve">Merchant Fee</t>
  </si>
  <si>
    <t xml:space="preserve">FEE0008</t>
  </si>
  <si>
    <t xml:space="preserve">FEE0009</t>
  </si>
  <si>
    <t xml:space="preserve">FEE0010</t>
  </si>
  <si>
    <t xml:space="preserve">FEE0011</t>
  </si>
  <si>
    <t xml:space="preserve">FEE0012</t>
  </si>
  <si>
    <t xml:space="preserve">Bill Payment Fee</t>
  </si>
  <si>
    <t xml:space="preserve">FEE0013</t>
  </si>
  <si>
    <t xml:space="preserve">FEE0014</t>
  </si>
  <si>
    <t xml:space="preserve">FEE0015</t>
  </si>
  <si>
    <t xml:space="preserve">FEE0016</t>
  </si>
  <si>
    <t xml:space="preserve">FEE0017</t>
  </si>
  <si>
    <t xml:space="preserve">FEE0018</t>
  </si>
  <si>
    <t xml:space="preserve">FEE0019</t>
  </si>
  <si>
    <t xml:space="preserve">FEE0020</t>
  </si>
  <si>
    <t xml:space="preserve">FEE0021</t>
  </si>
  <si>
    <t xml:space="preserve">FEE0022</t>
  </si>
  <si>
    <t xml:space="preserve">FEE0023</t>
  </si>
  <si>
    <t xml:space="preserve">FEE0024</t>
  </si>
  <si>
    <t xml:space="preserve">FEE0025</t>
  </si>
  <si>
    <t xml:space="preserve">FEE0026</t>
  </si>
  <si>
    <t xml:space="preserve">FEE0027</t>
  </si>
  <si>
    <t xml:space="preserve">FEE0028</t>
  </si>
  <si>
    <t xml:space="preserve">FEE0029</t>
  </si>
  <si>
    <t xml:space="preserve">FEE0030</t>
  </si>
  <si>
    <t xml:space="preserve">FEE0031</t>
  </si>
  <si>
    <t xml:space="preserve">FEE0032</t>
  </si>
  <si>
    <t xml:space="preserve">FEE0033</t>
  </si>
  <si>
    <t xml:space="preserve">FEE0034</t>
  </si>
  <si>
    <t xml:space="preserve">FEE0035</t>
  </si>
  <si>
    <t xml:space="preserve">FEE0036</t>
  </si>
  <si>
    <t xml:space="preserve">FEE0037</t>
  </si>
  <si>
    <t xml:space="preserve">FEE0038</t>
  </si>
  <si>
    <t xml:space="preserve">FEE0039</t>
  </si>
  <si>
    <t xml:space="preserve">FEE0040</t>
  </si>
  <si>
    <t xml:space="preserve">FEE0041</t>
  </si>
  <si>
    <t xml:space="preserve">FEE0042</t>
  </si>
  <si>
    <t xml:space="preserve">FEE0043</t>
  </si>
  <si>
    <t xml:space="preserve">FEE0044</t>
  </si>
  <si>
    <t xml:space="preserve">FEE0045</t>
  </si>
  <si>
    <t xml:space="preserve">FEE0046</t>
  </si>
  <si>
    <t xml:space="preserve">FEE0047</t>
  </si>
  <si>
    <t xml:space="preserve">FEE0048</t>
  </si>
  <si>
    <t xml:space="preserve">FEE0049</t>
  </si>
  <si>
    <t xml:space="preserve">FEE0050</t>
  </si>
  <si>
    <t xml:space="preserve">FEE0051</t>
  </si>
  <si>
    <t xml:space="preserve">FEE0052</t>
  </si>
  <si>
    <t xml:space="preserve">FEE0053</t>
  </si>
  <si>
    <t xml:space="preserve">FEE0054</t>
  </si>
  <si>
    <t xml:space="preserve">FEE0055</t>
  </si>
  <si>
    <t xml:space="preserve">FEE0056</t>
  </si>
  <si>
    <t xml:space="preserve">FEE0057</t>
  </si>
  <si>
    <t xml:space="preserve">FEE0058</t>
  </si>
  <si>
    <t xml:space="preserve">FEE0059</t>
  </si>
  <si>
    <t xml:space="preserve">FEE0060</t>
  </si>
  <si>
    <t xml:space="preserve">FEE0061</t>
  </si>
  <si>
    <t xml:space="preserve">FEE0062</t>
  </si>
  <si>
    <t xml:space="preserve">FEE0063</t>
  </si>
  <si>
    <t xml:space="preserve">FEE0064</t>
  </si>
  <si>
    <t xml:space="preserve">FEE0065</t>
  </si>
  <si>
    <t xml:space="preserve">FEE0066</t>
  </si>
  <si>
    <t xml:space="preserve">FEE0067</t>
  </si>
  <si>
    <t xml:space="preserve">FEE0068</t>
  </si>
  <si>
    <t xml:space="preserve">FEE0069</t>
  </si>
  <si>
    <t xml:space="preserve">FEE0070</t>
  </si>
  <si>
    <t xml:space="preserve">FEE0071</t>
  </si>
  <si>
    <t xml:space="preserve">FEE0072</t>
  </si>
  <si>
    <t xml:space="preserve">FEE0073</t>
  </si>
  <si>
    <t xml:space="preserve">FEE0074</t>
  </si>
  <si>
    <t xml:space="preserve">FEE0075</t>
  </si>
  <si>
    <t xml:space="preserve">FEE0076</t>
  </si>
  <si>
    <t xml:space="preserve">FEE0077</t>
  </si>
  <si>
    <t xml:space="preserve">FEE0078</t>
  </si>
  <si>
    <t xml:space="preserve">FEE0079</t>
  </si>
  <si>
    <t xml:space="preserve">FEE0080</t>
  </si>
  <si>
    <t xml:space="preserve">FEE0081</t>
  </si>
  <si>
    <t xml:space="preserve">FEE0082</t>
  </si>
  <si>
    <t xml:space="preserve">FEE0083</t>
  </si>
  <si>
    <t xml:space="preserve">FEE0084</t>
  </si>
  <si>
    <t xml:space="preserve">FEE0085</t>
  </si>
  <si>
    <t xml:space="preserve">FEE0086</t>
  </si>
  <si>
    <t xml:space="preserve">FEE0087</t>
  </si>
  <si>
    <t xml:space="preserve">FEE0088</t>
  </si>
  <si>
    <t xml:space="preserve">FEE0089</t>
  </si>
  <si>
    <t xml:space="preserve">FEE0090</t>
  </si>
  <si>
    <t xml:space="preserve">FEE0091</t>
  </si>
  <si>
    <t xml:space="preserve">FEE0092</t>
  </si>
  <si>
    <t xml:space="preserve">FEE0093</t>
  </si>
  <si>
    <t xml:space="preserve">FEE0094</t>
  </si>
  <si>
    <t xml:space="preserve">FEE0095</t>
  </si>
  <si>
    <t xml:space="preserve">FEE0096</t>
  </si>
  <si>
    <t xml:space="preserve">FEE0097</t>
  </si>
  <si>
    <t xml:space="preserve">FEE0098</t>
  </si>
  <si>
    <t xml:space="preserve">FEE0099</t>
  </si>
  <si>
    <t xml:space="preserve">FEE0100</t>
  </si>
  <si>
    <t xml:space="preserve">FEE0101</t>
  </si>
  <si>
    <t xml:space="preserve">FEE0102</t>
  </si>
  <si>
    <t xml:space="preserve">FEE0103</t>
  </si>
  <si>
    <t xml:space="preserve">FEE0104</t>
  </si>
  <si>
    <t xml:space="preserve">FEE0105</t>
  </si>
  <si>
    <t xml:space="preserve">FEE0106</t>
  </si>
  <si>
    <t xml:space="preserve">FEE0107</t>
  </si>
  <si>
    <t xml:space="preserve">FEE0108</t>
  </si>
  <si>
    <t xml:space="preserve">FEE0109</t>
  </si>
  <si>
    <t xml:space="preserve">FEE0110</t>
  </si>
  <si>
    <t xml:space="preserve">FEE0111</t>
  </si>
  <si>
    <t xml:space="preserve">FEE0112</t>
  </si>
  <si>
    <t xml:space="preserve">FEE0113</t>
  </si>
  <si>
    <t xml:space="preserve">FEE0114</t>
  </si>
  <si>
    <t xml:space="preserve">FEE0115</t>
  </si>
  <si>
    <t xml:space="preserve">FEE0116</t>
  </si>
  <si>
    <t xml:space="preserve">FEE0117</t>
  </si>
  <si>
    <t xml:space="preserve">FEE0118</t>
  </si>
  <si>
    <t xml:space="preserve">FEE0119</t>
  </si>
  <si>
    <t xml:space="preserve">FEE0120</t>
  </si>
  <si>
    <t xml:space="preserve">FEE0121</t>
  </si>
  <si>
    <t xml:space="preserve">FEE0122</t>
  </si>
  <si>
    <t xml:space="preserve">FEE0123</t>
  </si>
  <si>
    <t xml:space="preserve">FEE0124</t>
  </si>
  <si>
    <t xml:space="preserve">FEE0125</t>
  </si>
  <si>
    <t xml:space="preserve">FEE0126</t>
  </si>
  <si>
    <t xml:space="preserve">FEE0127</t>
  </si>
  <si>
    <t xml:space="preserve">FEE0128</t>
  </si>
  <si>
    <t xml:space="preserve">FEE0129</t>
  </si>
  <si>
    <t xml:space="preserve">FEE0130</t>
  </si>
  <si>
    <t xml:space="preserve">FEE0131</t>
  </si>
  <si>
    <t xml:space="preserve">FEE0132</t>
  </si>
  <si>
    <t xml:space="preserve">FEE0133</t>
  </si>
  <si>
    <t xml:space="preserve">FEE0134</t>
  </si>
  <si>
    <t xml:space="preserve">FEE0135</t>
  </si>
  <si>
    <t xml:space="preserve">FEE0136</t>
  </si>
  <si>
    <t xml:space="preserve">FEE0137</t>
  </si>
  <si>
    <t xml:space="preserve">FEE0138</t>
  </si>
  <si>
    <t xml:space="preserve">FEE0139</t>
  </si>
  <si>
    <t xml:space="preserve">FEE0140</t>
  </si>
  <si>
    <t xml:space="preserve">FEE0141</t>
  </si>
  <si>
    <t xml:space="preserve">FEE0142</t>
  </si>
  <si>
    <t xml:space="preserve">FEE0143</t>
  </si>
  <si>
    <t xml:space="preserve">FEE0144</t>
  </si>
  <si>
    <t xml:space="preserve">FEE0145</t>
  </si>
  <si>
    <t xml:space="preserve">FEE0146</t>
  </si>
  <si>
    <t xml:space="preserve">FEE0147</t>
  </si>
  <si>
    <t xml:space="preserve">FEE0148</t>
  </si>
  <si>
    <t xml:space="preserve">FEE0149</t>
  </si>
  <si>
    <t xml:space="preserve">FEE0150</t>
  </si>
  <si>
    <t xml:space="preserve">FEE0151</t>
  </si>
  <si>
    <t xml:space="preserve">FEE0152</t>
  </si>
  <si>
    <t xml:space="preserve">FEE0153</t>
  </si>
  <si>
    <t xml:space="preserve">FEE0154</t>
  </si>
  <si>
    <t xml:space="preserve">FEE0155</t>
  </si>
  <si>
    <t xml:space="preserve">FEE0156</t>
  </si>
  <si>
    <t xml:space="preserve">FEE0157</t>
  </si>
  <si>
    <t xml:space="preserve">FEE0158</t>
  </si>
  <si>
    <t xml:space="preserve">FEE0159</t>
  </si>
  <si>
    <t xml:space="preserve">FEE0160</t>
  </si>
  <si>
    <t xml:space="preserve">FEE0161</t>
  </si>
  <si>
    <t xml:space="preserve">FEE0162</t>
  </si>
  <si>
    <t xml:space="preserve">FEE0163</t>
  </si>
  <si>
    <t xml:space="preserve">FEE0164</t>
  </si>
  <si>
    <t xml:space="preserve">FEE0165</t>
  </si>
  <si>
    <t xml:space="preserve">FEE0166</t>
  </si>
  <si>
    <t xml:space="preserve">FEE0167</t>
  </si>
  <si>
    <t xml:space="preserve">FEE0168</t>
  </si>
  <si>
    <t xml:space="preserve">FEE0169</t>
  </si>
  <si>
    <t xml:space="preserve">FEE0170</t>
  </si>
  <si>
    <t xml:space="preserve">FEE0171</t>
  </si>
  <si>
    <t xml:space="preserve">FEE0172</t>
  </si>
  <si>
    <t xml:space="preserve">FEE0173</t>
  </si>
  <si>
    <t xml:space="preserve">FEE0174</t>
  </si>
  <si>
    <t xml:space="preserve">FEE0175</t>
  </si>
  <si>
    <t xml:space="preserve">FEE0176</t>
  </si>
  <si>
    <t xml:space="preserve">FEE0177</t>
  </si>
  <si>
    <t xml:space="preserve">FEE0178</t>
  </si>
  <si>
    <t xml:space="preserve">FEE0179</t>
  </si>
  <si>
    <t xml:space="preserve">FEE0180</t>
  </si>
  <si>
    <t xml:space="preserve">FEE0181</t>
  </si>
  <si>
    <t xml:space="preserve">FEE0182</t>
  </si>
  <si>
    <t xml:space="preserve">FEE0183</t>
  </si>
  <si>
    <t xml:space="preserve">FEE0184</t>
  </si>
  <si>
    <t xml:space="preserve">FEE0185</t>
  </si>
  <si>
    <t xml:space="preserve">FEE0186</t>
  </si>
  <si>
    <t xml:space="preserve">FEE0187</t>
  </si>
  <si>
    <t xml:space="preserve">FEE0188</t>
  </si>
  <si>
    <t xml:space="preserve">FEE0189</t>
  </si>
  <si>
    <t xml:space="preserve">FEE0190</t>
  </si>
  <si>
    <t xml:space="preserve">FEE0191</t>
  </si>
  <si>
    <t xml:space="preserve">FEE0192</t>
  </si>
  <si>
    <t xml:space="preserve">FEE0193</t>
  </si>
  <si>
    <t xml:space="preserve">FEE0194</t>
  </si>
  <si>
    <t xml:space="preserve">FEE0195</t>
  </si>
  <si>
    <t xml:space="preserve">FEE0196</t>
  </si>
  <si>
    <t xml:space="preserve">FEE0197</t>
  </si>
  <si>
    <t xml:space="preserve">FEE0198</t>
  </si>
  <si>
    <t xml:space="preserve">FEE0199</t>
  </si>
  <si>
    <t xml:space="preserve">FEE0200</t>
  </si>
  <si>
    <t xml:space="preserve">FEE0201</t>
  </si>
  <si>
    <t xml:space="preserve">FEE0202</t>
  </si>
  <si>
    <t xml:space="preserve">FEE0203</t>
  </si>
  <si>
    <t xml:space="preserve">FEE0204</t>
  </si>
  <si>
    <t xml:space="preserve">FEE0205</t>
  </si>
  <si>
    <t xml:space="preserve">FEE0206</t>
  </si>
  <si>
    <t xml:space="preserve">FEE0207</t>
  </si>
  <si>
    <t xml:space="preserve">FEE0208</t>
  </si>
  <si>
    <t xml:space="preserve">FEE0209</t>
  </si>
  <si>
    <t xml:space="preserve">FEE0210</t>
  </si>
  <si>
    <t xml:space="preserve">FEE0211</t>
  </si>
  <si>
    <t xml:space="preserve">FEE0212</t>
  </si>
  <si>
    <t xml:space="preserve">FEE0213</t>
  </si>
  <si>
    <t xml:space="preserve">FEE0214</t>
  </si>
  <si>
    <t xml:space="preserve">FEE0215</t>
  </si>
  <si>
    <t xml:space="preserve">FEE0216</t>
  </si>
  <si>
    <t xml:space="preserve">FEE0217</t>
  </si>
  <si>
    <t xml:space="preserve">FEE0218</t>
  </si>
  <si>
    <t xml:space="preserve">FEE0219</t>
  </si>
  <si>
    <t xml:space="preserve">FEE0220</t>
  </si>
  <si>
    <t xml:space="preserve">FEE0221</t>
  </si>
  <si>
    <t xml:space="preserve">FEE0222</t>
  </si>
  <si>
    <t xml:space="preserve">FEE0223</t>
  </si>
  <si>
    <t xml:space="preserve">FEE0224</t>
  </si>
  <si>
    <t xml:space="preserve">FEE0225</t>
  </si>
  <si>
    <t xml:space="preserve">FEE0226</t>
  </si>
  <si>
    <t xml:space="preserve">FEE0227</t>
  </si>
  <si>
    <t xml:space="preserve">FEE0228</t>
  </si>
  <si>
    <t xml:space="preserve">FEE0229</t>
  </si>
  <si>
    <t xml:space="preserve">FEE0230</t>
  </si>
  <si>
    <t xml:space="preserve">FEE0231</t>
  </si>
  <si>
    <t xml:space="preserve">FEE0232</t>
  </si>
  <si>
    <t xml:space="preserve">FEE0233</t>
  </si>
  <si>
    <t xml:space="preserve">FEE0234</t>
  </si>
  <si>
    <t xml:space="preserve">FEE0235</t>
  </si>
  <si>
    <t xml:space="preserve">FEE0236</t>
  </si>
  <si>
    <t xml:space="preserve">FEE0237</t>
  </si>
  <si>
    <t xml:space="preserve">FEE0238</t>
  </si>
  <si>
    <t xml:space="preserve">FEE0239</t>
  </si>
  <si>
    <t xml:space="preserve">FEE0240</t>
  </si>
  <si>
    <t xml:space="preserve">FEE0241</t>
  </si>
  <si>
    <t xml:space="preserve">FEE0242</t>
  </si>
  <si>
    <t xml:space="preserve">FEE0243</t>
  </si>
  <si>
    <t xml:space="preserve">FEE0244</t>
  </si>
  <si>
    <t xml:space="preserve">FEE0245</t>
  </si>
  <si>
    <t xml:space="preserve">FEE0246</t>
  </si>
  <si>
    <t xml:space="preserve">FEE0247</t>
  </si>
  <si>
    <t xml:space="preserve">FEE0248</t>
  </si>
  <si>
    <t xml:space="preserve">FEE0249</t>
  </si>
  <si>
    <t xml:space="preserve">FEE0250</t>
  </si>
  <si>
    <t xml:space="preserve">FEE0251</t>
  </si>
  <si>
    <t xml:space="preserve">FEE0252</t>
  </si>
  <si>
    <t xml:space="preserve">FEE0253</t>
  </si>
  <si>
    <t xml:space="preserve">FEE0254</t>
  </si>
  <si>
    <t xml:space="preserve">FEE0255</t>
  </si>
  <si>
    <t xml:space="preserve">FEE0256</t>
  </si>
  <si>
    <t xml:space="preserve">FEE0257</t>
  </si>
  <si>
    <t xml:space="preserve">FEE0258</t>
  </si>
  <si>
    <t xml:space="preserve">FEE0259</t>
  </si>
  <si>
    <t xml:space="preserve">FEE0260</t>
  </si>
  <si>
    <t xml:space="preserve">FEE0261</t>
  </si>
  <si>
    <t xml:space="preserve">FEE0262</t>
  </si>
  <si>
    <t xml:space="preserve">FEE0263</t>
  </si>
  <si>
    <t xml:space="preserve">FEE0264</t>
  </si>
  <si>
    <t xml:space="preserve">FEE0265</t>
  </si>
  <si>
    <t xml:space="preserve">FEE0266</t>
  </si>
  <si>
    <t xml:space="preserve">FEE0267</t>
  </si>
  <si>
    <t xml:space="preserve">FEE0268</t>
  </si>
  <si>
    <t xml:space="preserve">FEE0269</t>
  </si>
  <si>
    <t xml:space="preserve">FEE0270</t>
  </si>
  <si>
    <t xml:space="preserve">FEE0271</t>
  </si>
  <si>
    <t xml:space="preserve">FEE0272</t>
  </si>
  <si>
    <t xml:space="preserve">FEE0273</t>
  </si>
  <si>
    <t xml:space="preserve">FEE0274</t>
  </si>
  <si>
    <t xml:space="preserve">FEE0275</t>
  </si>
  <si>
    <t xml:space="preserve">FEE0276</t>
  </si>
  <si>
    <t xml:space="preserve">FEE0277</t>
  </si>
  <si>
    <t xml:space="preserve">FEE0278</t>
  </si>
  <si>
    <t xml:space="preserve">FEE0279</t>
  </si>
  <si>
    <t xml:space="preserve">FEE0280</t>
  </si>
  <si>
    <t xml:space="preserve">FEE0281</t>
  </si>
  <si>
    <t xml:space="preserve">FEE0282</t>
  </si>
  <si>
    <t xml:space="preserve">FEE0283</t>
  </si>
  <si>
    <t xml:space="preserve">FEE0284</t>
  </si>
  <si>
    <t xml:space="preserve">FEE0285</t>
  </si>
  <si>
    <t xml:space="preserve">FEE0286</t>
  </si>
  <si>
    <t xml:space="preserve">FEE0287</t>
  </si>
  <si>
    <t xml:space="preserve">FEE0288</t>
  </si>
  <si>
    <t xml:space="preserve">FEE0289</t>
  </si>
  <si>
    <t xml:space="preserve">FEE0290</t>
  </si>
  <si>
    <t xml:space="preserve">FEE0291</t>
  </si>
  <si>
    <t xml:space="preserve">FEE0292</t>
  </si>
  <si>
    <t xml:space="preserve">FEE0293</t>
  </si>
  <si>
    <t xml:space="preserve">FEE0294</t>
  </si>
  <si>
    <t xml:space="preserve">FEE0295</t>
  </si>
  <si>
    <t xml:space="preserve">FEE0296</t>
  </si>
  <si>
    <t xml:space="preserve">FEE0297</t>
  </si>
  <si>
    <t xml:space="preserve">FEE0298</t>
  </si>
  <si>
    <t xml:space="preserve">FEE0299</t>
  </si>
  <si>
    <t xml:space="preserve">FEE0300</t>
  </si>
  <si>
    <t xml:space="preserve">FEE0301</t>
  </si>
  <si>
    <t xml:space="preserve">FEE0302</t>
  </si>
  <si>
    <t xml:space="preserve">FEE0303</t>
  </si>
  <si>
    <t xml:space="preserve">FEE0304</t>
  </si>
  <si>
    <t xml:space="preserve">FEE0305</t>
  </si>
  <si>
    <t xml:space="preserve">FEE0306</t>
  </si>
  <si>
    <t xml:space="preserve">FEE0307</t>
  </si>
  <si>
    <t xml:space="preserve">FEE0308</t>
  </si>
  <si>
    <t xml:space="preserve">FEE0309</t>
  </si>
  <si>
    <t xml:space="preserve">FEE0310</t>
  </si>
  <si>
    <t xml:space="preserve">FEE0311</t>
  </si>
  <si>
    <t xml:space="preserve">FEE0312</t>
  </si>
  <si>
    <t xml:space="preserve">FEE0313</t>
  </si>
  <si>
    <t xml:space="preserve">FEE0314</t>
  </si>
  <si>
    <t xml:space="preserve">FEE0315</t>
  </si>
  <si>
    <t xml:space="preserve">FEE0316</t>
  </si>
  <si>
    <t xml:space="preserve">FEE0317</t>
  </si>
  <si>
    <t xml:space="preserve">FEE0318</t>
  </si>
  <si>
    <t xml:space="preserve">FEE0319</t>
  </si>
  <si>
    <t xml:space="preserve">FEE0320</t>
  </si>
  <si>
    <t xml:space="preserve">FEE0321</t>
  </si>
  <si>
    <t xml:space="preserve">FEE0322</t>
  </si>
  <si>
    <t xml:space="preserve">FEE0323</t>
  </si>
  <si>
    <t xml:space="preserve">FEE0324</t>
  </si>
  <si>
    <t xml:space="preserve">FEE0325</t>
  </si>
  <si>
    <t xml:space="preserve">FEE0326</t>
  </si>
  <si>
    <t xml:space="preserve">FEE0327</t>
  </si>
  <si>
    <t xml:space="preserve">FEE0328</t>
  </si>
  <si>
    <t xml:space="preserve">FEE0329</t>
  </si>
  <si>
    <t xml:space="preserve">FEE0330</t>
  </si>
  <si>
    <t xml:space="preserve">FEE0331</t>
  </si>
  <si>
    <t xml:space="preserve">FEE0332</t>
  </si>
  <si>
    <t xml:space="preserve">FEE0333</t>
  </si>
  <si>
    <t xml:space="preserve">FEE0334</t>
  </si>
  <si>
    <t xml:space="preserve">FEE0335</t>
  </si>
  <si>
    <t xml:space="preserve">FEE0336</t>
  </si>
  <si>
    <t xml:space="preserve">FEE0337</t>
  </si>
  <si>
    <t xml:space="preserve">FEE0338</t>
  </si>
  <si>
    <t xml:space="preserve">FEE0339</t>
  </si>
  <si>
    <t xml:space="preserve">FEE0340</t>
  </si>
  <si>
    <t xml:space="preserve">FEE0341</t>
  </si>
  <si>
    <t xml:space="preserve">FEE0342</t>
  </si>
  <si>
    <t xml:space="preserve">FEE0343</t>
  </si>
  <si>
    <t xml:space="preserve">FEE0344</t>
  </si>
  <si>
    <t xml:space="preserve">FEE0345</t>
  </si>
  <si>
    <t xml:space="preserve">FEE0346</t>
  </si>
  <si>
    <t xml:space="preserve">FEE0347</t>
  </si>
  <si>
    <t xml:space="preserve">FEE0348</t>
  </si>
  <si>
    <t xml:space="preserve">FEE0349</t>
  </si>
  <si>
    <t xml:space="preserve">FEE0350</t>
  </si>
  <si>
    <t xml:space="preserve">FEE0351</t>
  </si>
  <si>
    <t xml:space="preserve">FEE0352</t>
  </si>
  <si>
    <t xml:space="preserve">FEE0353</t>
  </si>
  <si>
    <t xml:space="preserve">FEE0354</t>
  </si>
  <si>
    <t xml:space="preserve">FEE0355</t>
  </si>
  <si>
    <t xml:space="preserve">FEE0356</t>
  </si>
  <si>
    <t xml:space="preserve">FEE0357</t>
  </si>
  <si>
    <t xml:space="preserve">FEE0358</t>
  </si>
  <si>
    <t xml:space="preserve">FEE0359</t>
  </si>
  <si>
    <t xml:space="preserve">FEE0360</t>
  </si>
  <si>
    <t xml:space="preserve">FEE0361</t>
  </si>
  <si>
    <t xml:space="preserve">FEE0362</t>
  </si>
  <si>
    <t xml:space="preserve">FEE0363</t>
  </si>
  <si>
    <t xml:space="preserve">FEE0364</t>
  </si>
  <si>
    <t xml:space="preserve">FEE0365</t>
  </si>
  <si>
    <t xml:space="preserve">FEE0366</t>
  </si>
  <si>
    <t xml:space="preserve">FEE0367</t>
  </si>
  <si>
    <t xml:space="preserve">FEE0368</t>
  </si>
  <si>
    <t xml:space="preserve">FEE0369</t>
  </si>
  <si>
    <t xml:space="preserve">FEE0370</t>
  </si>
  <si>
    <t xml:space="preserve">FEE0371</t>
  </si>
  <si>
    <t xml:space="preserve">FEE0372</t>
  </si>
  <si>
    <t xml:space="preserve">FEE0373</t>
  </si>
  <si>
    <t xml:space="preserve">FEE0374</t>
  </si>
  <si>
    <t xml:space="preserve">FEE0375</t>
  </si>
  <si>
    <t xml:space="preserve">FEE0376</t>
  </si>
  <si>
    <t xml:space="preserve">FEE0377</t>
  </si>
  <si>
    <t xml:space="preserve">FEE0378</t>
  </si>
  <si>
    <t xml:space="preserve">FEE0379</t>
  </si>
  <si>
    <t xml:space="preserve">FEE0380</t>
  </si>
  <si>
    <t xml:space="preserve">FEE0381</t>
  </si>
  <si>
    <t xml:space="preserve">FEE0382</t>
  </si>
  <si>
    <t xml:space="preserve">FEE0383</t>
  </si>
  <si>
    <t xml:space="preserve">FEE0384</t>
  </si>
  <si>
    <t xml:space="preserve">FEE0385</t>
  </si>
  <si>
    <t xml:space="preserve">FEE0386</t>
  </si>
  <si>
    <t xml:space="preserve">FEE0387</t>
  </si>
  <si>
    <t xml:space="preserve">FEE0388</t>
  </si>
  <si>
    <t xml:space="preserve">FEE0389</t>
  </si>
  <si>
    <t xml:space="preserve">FEE0390</t>
  </si>
  <si>
    <t xml:space="preserve">FEE0391</t>
  </si>
  <si>
    <t xml:space="preserve">FEE0392</t>
  </si>
  <si>
    <t xml:space="preserve">FEE0393</t>
  </si>
  <si>
    <t xml:space="preserve">FEE0394</t>
  </si>
  <si>
    <t xml:space="preserve">FEE0395</t>
  </si>
  <si>
    <t xml:space="preserve">FEE0396</t>
  </si>
  <si>
    <t xml:space="preserve">FEE0397</t>
  </si>
  <si>
    <t xml:space="preserve">FEE0398</t>
  </si>
  <si>
    <t xml:space="preserve">FEE0399</t>
  </si>
  <si>
    <t xml:space="preserve">FEE0400</t>
  </si>
  <si>
    <t xml:space="preserve">FEE0401</t>
  </si>
  <si>
    <t xml:space="preserve">FEE0402</t>
  </si>
  <si>
    <t xml:space="preserve">FEE0403</t>
  </si>
  <si>
    <t xml:space="preserve">FEE0404</t>
  </si>
  <si>
    <t xml:space="preserve">FEE0405</t>
  </si>
  <si>
    <t xml:space="preserve">FEE0406</t>
  </si>
  <si>
    <t xml:space="preserve">FEE0407</t>
  </si>
  <si>
    <t xml:space="preserve">FEE0408</t>
  </si>
  <si>
    <t xml:space="preserve">FEE0409</t>
  </si>
  <si>
    <t xml:space="preserve">FEE0410</t>
  </si>
  <si>
    <t xml:space="preserve">FEE0411</t>
  </si>
  <si>
    <t xml:space="preserve">FEE0412</t>
  </si>
  <si>
    <t xml:space="preserve">FEE0413</t>
  </si>
  <si>
    <t xml:space="preserve">FEE0414</t>
  </si>
  <si>
    <t xml:space="preserve">FEE0415</t>
  </si>
  <si>
    <t xml:space="preserve">FEE0416</t>
  </si>
  <si>
    <t xml:space="preserve">FEE0417</t>
  </si>
  <si>
    <t xml:space="preserve">FEE0418</t>
  </si>
  <si>
    <t xml:space="preserve">FEE0419</t>
  </si>
  <si>
    <t xml:space="preserve">FEE0420</t>
  </si>
  <si>
    <t xml:space="preserve">FEE0421</t>
  </si>
  <si>
    <t xml:space="preserve">FEE0422</t>
  </si>
  <si>
    <t xml:space="preserve">FEE0423</t>
  </si>
  <si>
    <t xml:space="preserve">FEE0424</t>
  </si>
  <si>
    <t xml:space="preserve">FEE0425</t>
  </si>
  <si>
    <t xml:space="preserve">FEE0426</t>
  </si>
  <si>
    <t xml:space="preserve">FEE0427</t>
  </si>
  <si>
    <t xml:space="preserve">FEE0428</t>
  </si>
  <si>
    <t xml:space="preserve">FEE0429</t>
  </si>
  <si>
    <t xml:space="preserve">FEE0430</t>
  </si>
  <si>
    <t xml:space="preserve">FEE0431</t>
  </si>
  <si>
    <t xml:space="preserve">FEE0432</t>
  </si>
  <si>
    <t xml:space="preserve">FEE0433</t>
  </si>
  <si>
    <t xml:space="preserve">FEE0434</t>
  </si>
  <si>
    <t xml:space="preserve">FEE0435</t>
  </si>
  <si>
    <t xml:space="preserve">FEE0436</t>
  </si>
  <si>
    <t xml:space="preserve">FEE0437</t>
  </si>
  <si>
    <t xml:space="preserve">FEE0438</t>
  </si>
  <si>
    <t xml:space="preserve">FEE0439</t>
  </si>
  <si>
    <t xml:space="preserve">FEE0440</t>
  </si>
  <si>
    <t xml:space="preserve">FEE0441</t>
  </si>
  <si>
    <t xml:space="preserve">FEE0442</t>
  </si>
  <si>
    <t xml:space="preserve">FEE0443</t>
  </si>
  <si>
    <t xml:space="preserve">FEE0444</t>
  </si>
  <si>
    <t xml:space="preserve">FEE0445</t>
  </si>
  <si>
    <t xml:space="preserve">FEE0446</t>
  </si>
  <si>
    <t xml:space="preserve">FEE0447</t>
  </si>
  <si>
    <t xml:space="preserve">FEE0448</t>
  </si>
  <si>
    <t xml:space="preserve">FEE0449</t>
  </si>
  <si>
    <t xml:space="preserve">FEE0450</t>
  </si>
  <si>
    <t xml:space="preserve">FEE0451</t>
  </si>
  <si>
    <t xml:space="preserve">FEE0452</t>
  </si>
  <si>
    <t xml:space="preserve">FEE0453</t>
  </si>
  <si>
    <t xml:space="preserve">FEE0454</t>
  </si>
  <si>
    <t xml:space="preserve">FEE0455</t>
  </si>
  <si>
    <t xml:space="preserve">FEE0456</t>
  </si>
  <si>
    <t xml:space="preserve">FEE0457</t>
  </si>
  <si>
    <t xml:space="preserve">FEE0458</t>
  </si>
  <si>
    <t xml:space="preserve">FEE0459</t>
  </si>
  <si>
    <t xml:space="preserve">FEE0460</t>
  </si>
  <si>
    <t xml:space="preserve">FEE0461</t>
  </si>
  <si>
    <t xml:space="preserve">FEE0462</t>
  </si>
  <si>
    <t xml:space="preserve">FEE0463</t>
  </si>
  <si>
    <t xml:space="preserve">FEE0464</t>
  </si>
  <si>
    <t xml:space="preserve">FEE0465</t>
  </si>
  <si>
    <t xml:space="preserve">FEE0466</t>
  </si>
  <si>
    <t xml:space="preserve">FEE0467</t>
  </si>
  <si>
    <t xml:space="preserve">FEE0468</t>
  </si>
  <si>
    <t xml:space="preserve">FEE0469</t>
  </si>
  <si>
    <t xml:space="preserve">FEE0470</t>
  </si>
  <si>
    <t xml:space="preserve">FEE0471</t>
  </si>
  <si>
    <t xml:space="preserve">FEE0472</t>
  </si>
  <si>
    <t xml:space="preserve">FEE0473</t>
  </si>
  <si>
    <t xml:space="preserve">FEE0474</t>
  </si>
  <si>
    <t xml:space="preserve">FEE0475</t>
  </si>
  <si>
    <t xml:space="preserve">FEE0476</t>
  </si>
  <si>
    <t xml:space="preserve">FEE0477</t>
  </si>
  <si>
    <t xml:space="preserve">FEE0478</t>
  </si>
  <si>
    <t xml:space="preserve">FEE0479</t>
  </si>
  <si>
    <t xml:space="preserve">FEE0480</t>
  </si>
  <si>
    <t xml:space="preserve">FEE0481</t>
  </si>
  <si>
    <t xml:space="preserve">FEE0482</t>
  </si>
  <si>
    <t xml:space="preserve">FEE0483</t>
  </si>
  <si>
    <t xml:space="preserve">FEE0484</t>
  </si>
  <si>
    <t xml:space="preserve">FEE0485</t>
  </si>
  <si>
    <t xml:space="preserve">FEE0486</t>
  </si>
  <si>
    <t xml:space="preserve">FEE0487</t>
  </si>
  <si>
    <t xml:space="preserve">FEE0488</t>
  </si>
  <si>
    <t xml:space="preserve">FEE0489</t>
  </si>
  <si>
    <t xml:space="preserve">FEE0490</t>
  </si>
  <si>
    <t xml:space="preserve">FEE0491</t>
  </si>
  <si>
    <t xml:space="preserve">FEE0492</t>
  </si>
  <si>
    <t xml:space="preserve">FEE0493</t>
  </si>
  <si>
    <t xml:space="preserve">FEE0494</t>
  </si>
  <si>
    <t xml:space="preserve">FEE0495</t>
  </si>
  <si>
    <t xml:space="preserve">FEE0496</t>
  </si>
  <si>
    <t xml:space="preserve">FEE0497</t>
  </si>
  <si>
    <t xml:space="preserve">FEE0498</t>
  </si>
  <si>
    <t xml:space="preserve">FEE0499</t>
  </si>
  <si>
    <t xml:space="preserve">FEE0500</t>
  </si>
  <si>
    <t xml:space="preserve">FEE0501</t>
  </si>
  <si>
    <t xml:space="preserve">FEE0502</t>
  </si>
  <si>
    <t xml:space="preserve">FEE0503</t>
  </si>
  <si>
    <t xml:space="preserve">FEE0504</t>
  </si>
  <si>
    <t xml:space="preserve">FEE0505</t>
  </si>
  <si>
    <t xml:space="preserve">FEE0506</t>
  </si>
  <si>
    <t xml:space="preserve">FEE0507</t>
  </si>
  <si>
    <t xml:space="preserve">FEE0508</t>
  </si>
  <si>
    <t xml:space="preserve">FEE0509</t>
  </si>
  <si>
    <t xml:space="preserve">FEE0510</t>
  </si>
  <si>
    <t xml:space="preserve">FEE0511</t>
  </si>
  <si>
    <t xml:space="preserve">FEE0512</t>
  </si>
  <si>
    <t xml:space="preserve">FEE0513</t>
  </si>
  <si>
    <t xml:space="preserve">FEE0514</t>
  </si>
  <si>
    <t xml:space="preserve">FEE0515</t>
  </si>
  <si>
    <t xml:space="preserve">FEE0516</t>
  </si>
  <si>
    <t xml:space="preserve">FEE0517</t>
  </si>
  <si>
    <t xml:space="preserve">FEE0518</t>
  </si>
  <si>
    <t xml:space="preserve">FEE0519</t>
  </si>
  <si>
    <t xml:space="preserve">FEE0520</t>
  </si>
  <si>
    <t xml:space="preserve">FEE0521</t>
  </si>
  <si>
    <t xml:space="preserve">FEE0522</t>
  </si>
  <si>
    <t xml:space="preserve">FEE0523</t>
  </si>
  <si>
    <t xml:space="preserve">FEE0524</t>
  </si>
  <si>
    <t xml:space="preserve">FEE0525</t>
  </si>
  <si>
    <t xml:space="preserve">FEE0526</t>
  </si>
  <si>
    <t xml:space="preserve">FEE0527</t>
  </si>
  <si>
    <t xml:space="preserve">FEE0528</t>
  </si>
  <si>
    <t xml:space="preserve">FEE0529</t>
  </si>
  <si>
    <t xml:space="preserve">FEE0530</t>
  </si>
  <si>
    <t xml:space="preserve">FEE0531</t>
  </si>
  <si>
    <t xml:space="preserve">FEE0532</t>
  </si>
  <si>
    <t xml:space="preserve">FEE0533</t>
  </si>
  <si>
    <t xml:space="preserve">FEE0534</t>
  </si>
  <si>
    <t xml:space="preserve">FEE0535</t>
  </si>
  <si>
    <t xml:space="preserve">FEE0536</t>
  </si>
  <si>
    <t xml:space="preserve">FEE0537</t>
  </si>
  <si>
    <t xml:space="preserve">FEE0538</t>
  </si>
  <si>
    <t xml:space="preserve">FEE0539</t>
  </si>
  <si>
    <t xml:space="preserve">FEE0540</t>
  </si>
  <si>
    <t xml:space="preserve">FEE0541</t>
  </si>
  <si>
    <t xml:space="preserve">FEE0542</t>
  </si>
  <si>
    <t xml:space="preserve">FEE0543</t>
  </si>
  <si>
    <t xml:space="preserve">FEE0544</t>
  </si>
  <si>
    <t xml:space="preserve">FEE0545</t>
  </si>
  <si>
    <t xml:space="preserve">FEE0546</t>
  </si>
  <si>
    <t xml:space="preserve">FEE0547</t>
  </si>
  <si>
    <t xml:space="preserve">FEE0548</t>
  </si>
  <si>
    <t xml:space="preserve">FEE0549</t>
  </si>
  <si>
    <t xml:space="preserve">FEE0550</t>
  </si>
  <si>
    <t xml:space="preserve">FEE0551</t>
  </si>
  <si>
    <t xml:space="preserve">FEE0552</t>
  </si>
  <si>
    <t xml:space="preserve">FEE0553</t>
  </si>
  <si>
    <t xml:space="preserve">FEE0554</t>
  </si>
  <si>
    <t xml:space="preserve">FEE0555</t>
  </si>
  <si>
    <t xml:space="preserve">FEE0556</t>
  </si>
  <si>
    <t xml:space="preserve">FEE0557</t>
  </si>
  <si>
    <t xml:space="preserve">FEE0558</t>
  </si>
  <si>
    <t xml:space="preserve">FEE0559</t>
  </si>
  <si>
    <t xml:space="preserve">FEE0560</t>
  </si>
  <si>
    <t xml:space="preserve">FEE0561</t>
  </si>
  <si>
    <t xml:space="preserve">FEE0562</t>
  </si>
  <si>
    <t xml:space="preserve">FEE0563</t>
  </si>
  <si>
    <t xml:space="preserve">FEE0564</t>
  </si>
  <si>
    <t xml:space="preserve">FEE0565</t>
  </si>
  <si>
    <t xml:space="preserve">FEE0566</t>
  </si>
  <si>
    <t xml:space="preserve">FEE0567</t>
  </si>
  <si>
    <t xml:space="preserve">FEE0568</t>
  </si>
  <si>
    <t xml:space="preserve">FEE0569</t>
  </si>
  <si>
    <t xml:space="preserve">FEE0570</t>
  </si>
  <si>
    <t xml:space="preserve">FEE0571</t>
  </si>
  <si>
    <t xml:space="preserve">FEE0572</t>
  </si>
  <si>
    <t xml:space="preserve">FEE0573</t>
  </si>
  <si>
    <t xml:space="preserve">FEE0574</t>
  </si>
  <si>
    <t xml:space="preserve">FEE0575</t>
  </si>
  <si>
    <t xml:space="preserve">FEE0576</t>
  </si>
  <si>
    <t xml:space="preserve">FEE0577</t>
  </si>
  <si>
    <t xml:space="preserve">FEE0578</t>
  </si>
  <si>
    <t xml:space="preserve">FEE0579</t>
  </si>
  <si>
    <t xml:space="preserve">FEE0580</t>
  </si>
  <si>
    <t xml:space="preserve">FEE0581</t>
  </si>
  <si>
    <t xml:space="preserve">FEE0582</t>
  </si>
  <si>
    <t xml:space="preserve">FEE0583</t>
  </si>
  <si>
    <t xml:space="preserve">FEE0584</t>
  </si>
  <si>
    <t xml:space="preserve">FEE0585</t>
  </si>
  <si>
    <t xml:space="preserve">FEE0586</t>
  </si>
  <si>
    <t xml:space="preserve">FEE0587</t>
  </si>
  <si>
    <t xml:space="preserve">FEE0588</t>
  </si>
  <si>
    <t xml:space="preserve">FEE0589</t>
  </si>
  <si>
    <t xml:space="preserve">FEE0590</t>
  </si>
  <si>
    <t xml:space="preserve">FEE0591</t>
  </si>
  <si>
    <t xml:space="preserve">FEE0592</t>
  </si>
  <si>
    <t xml:space="preserve">FEE0593</t>
  </si>
  <si>
    <t xml:space="preserve">FEE0594</t>
  </si>
  <si>
    <t xml:space="preserve">FEE0595</t>
  </si>
  <si>
    <t xml:space="preserve">FEE0596</t>
  </si>
  <si>
    <t xml:space="preserve">FEE0597</t>
  </si>
  <si>
    <t xml:space="preserve">FEE0598</t>
  </si>
  <si>
    <t xml:space="preserve">FEE0599</t>
  </si>
  <si>
    <t xml:space="preserve">FEE0600</t>
  </si>
  <si>
    <t xml:space="preserve">FEE0601</t>
  </si>
  <si>
    <t xml:space="preserve">FEE0602</t>
  </si>
  <si>
    <t xml:space="preserve">FEE0603</t>
  </si>
  <si>
    <t xml:space="preserve">FEE0604</t>
  </si>
  <si>
    <t xml:space="preserve">FEE0605</t>
  </si>
  <si>
    <t xml:space="preserve">FEE0606</t>
  </si>
  <si>
    <t xml:space="preserve">FEE0607</t>
  </si>
  <si>
    <t xml:space="preserve">FEE0608</t>
  </si>
  <si>
    <t xml:space="preserve">FEE0609</t>
  </si>
  <si>
    <t xml:space="preserve">FEE0610</t>
  </si>
  <si>
    <t xml:space="preserve">FEE0611</t>
  </si>
  <si>
    <t xml:space="preserve">FEE0612</t>
  </si>
  <si>
    <t xml:space="preserve">FEE0613</t>
  </si>
  <si>
    <t xml:space="preserve">FEE0614</t>
  </si>
  <si>
    <t xml:space="preserve">FEE0615</t>
  </si>
  <si>
    <t xml:space="preserve">FEE0616</t>
  </si>
  <si>
    <t xml:space="preserve">FEE0617</t>
  </si>
  <si>
    <t xml:space="preserve">FEE0618</t>
  </si>
  <si>
    <t xml:space="preserve">FEE0619</t>
  </si>
  <si>
    <t xml:space="preserve">FEE0620</t>
  </si>
  <si>
    <t xml:space="preserve">FEE0621</t>
  </si>
  <si>
    <t xml:space="preserve">FEE0622</t>
  </si>
  <si>
    <t xml:space="preserve">FEE0623</t>
  </si>
  <si>
    <t xml:space="preserve">FEE0624</t>
  </si>
  <si>
    <t xml:space="preserve">FEE0625</t>
  </si>
  <si>
    <t xml:space="preserve">FEE0626</t>
  </si>
  <si>
    <t xml:space="preserve">FEE0627</t>
  </si>
  <si>
    <t xml:space="preserve">FEE0628</t>
  </si>
  <si>
    <t xml:space="preserve">FEE0629</t>
  </si>
  <si>
    <t xml:space="preserve">FEE0630</t>
  </si>
  <si>
    <t xml:space="preserve">FEE0631</t>
  </si>
  <si>
    <t xml:space="preserve">FEE0632</t>
  </si>
  <si>
    <t xml:space="preserve">FEE0633</t>
  </si>
  <si>
    <t xml:space="preserve">FEE0634</t>
  </si>
  <si>
    <t xml:space="preserve">FEE0635</t>
  </si>
  <si>
    <t xml:space="preserve">FEE0636</t>
  </si>
  <si>
    <t xml:space="preserve">FEE0637</t>
  </si>
  <si>
    <t xml:space="preserve">FEE0638</t>
  </si>
  <si>
    <t xml:space="preserve">FEE0639</t>
  </si>
  <si>
    <t xml:space="preserve">FEE0640</t>
  </si>
  <si>
    <t xml:space="preserve">FEE0641</t>
  </si>
  <si>
    <t xml:space="preserve">FEE0642</t>
  </si>
  <si>
    <t xml:space="preserve">FEE0643</t>
  </si>
  <si>
    <t xml:space="preserve">FEE0644</t>
  </si>
  <si>
    <t xml:space="preserve">FEE0645</t>
  </si>
  <si>
    <t xml:space="preserve">FEE0646</t>
  </si>
  <si>
    <t xml:space="preserve">FEE0647</t>
  </si>
  <si>
    <t xml:space="preserve">FEE0648</t>
  </si>
  <si>
    <t xml:space="preserve">FEE0649</t>
  </si>
  <si>
    <t xml:space="preserve">FEE0650</t>
  </si>
  <si>
    <t xml:space="preserve">FEE0651</t>
  </si>
  <si>
    <t xml:space="preserve">FEE0652</t>
  </si>
  <si>
    <t xml:space="preserve">FEE0653</t>
  </si>
  <si>
    <t xml:space="preserve">FEE0654</t>
  </si>
  <si>
    <t xml:space="preserve">FEE0655</t>
  </si>
  <si>
    <t xml:space="preserve">FEE0656</t>
  </si>
  <si>
    <t xml:space="preserve">FEE0657</t>
  </si>
  <si>
    <t xml:space="preserve">FEE0658</t>
  </si>
  <si>
    <t xml:space="preserve">FEE0659</t>
  </si>
  <si>
    <t xml:space="preserve">FEE0660</t>
  </si>
  <si>
    <t xml:space="preserve">FEE0661</t>
  </si>
  <si>
    <t xml:space="preserve">FEE0662</t>
  </si>
  <si>
    <t xml:space="preserve">FEE0663</t>
  </si>
  <si>
    <t xml:space="preserve">FEE0664</t>
  </si>
  <si>
    <t xml:space="preserve">FEE0665</t>
  </si>
  <si>
    <t xml:space="preserve">FEE0666</t>
  </si>
  <si>
    <t xml:space="preserve">FEE0667</t>
  </si>
  <si>
    <t xml:space="preserve">FEE0668</t>
  </si>
  <si>
    <t xml:space="preserve">FEE0669</t>
  </si>
  <si>
    <t xml:space="preserve">FEE0670</t>
  </si>
  <si>
    <t xml:space="preserve">FEE0671</t>
  </si>
  <si>
    <t xml:space="preserve">FEE0672</t>
  </si>
  <si>
    <t xml:space="preserve">FEE0673</t>
  </si>
  <si>
    <t xml:space="preserve">FEE0674</t>
  </si>
  <si>
    <t xml:space="preserve">FEE0675</t>
  </si>
  <si>
    <t xml:space="preserve">FEE0676</t>
  </si>
  <si>
    <t xml:space="preserve">FEE0677</t>
  </si>
  <si>
    <t xml:space="preserve">FEE0678</t>
  </si>
  <si>
    <t xml:space="preserve">FEE0679</t>
  </si>
  <si>
    <t xml:space="preserve">FEE0680</t>
  </si>
  <si>
    <t xml:space="preserve">FEE0681</t>
  </si>
  <si>
    <t xml:space="preserve">FEE0682</t>
  </si>
  <si>
    <t xml:space="preserve">FEE0683</t>
  </si>
  <si>
    <t xml:space="preserve">FEE0684</t>
  </si>
  <si>
    <t xml:space="preserve">FEE0685</t>
  </si>
  <si>
    <t xml:space="preserve">FEE0686</t>
  </si>
  <si>
    <t xml:space="preserve">FEE0687</t>
  </si>
  <si>
    <t xml:space="preserve">FEE0688</t>
  </si>
  <si>
    <t xml:space="preserve">FEE0689</t>
  </si>
  <si>
    <t xml:space="preserve">FEE0690</t>
  </si>
  <si>
    <t xml:space="preserve">FEE0691</t>
  </si>
  <si>
    <t xml:space="preserve">FEE0692</t>
  </si>
  <si>
    <t xml:space="preserve">FEE0693</t>
  </si>
  <si>
    <t xml:space="preserve">FEE0694</t>
  </si>
  <si>
    <t xml:space="preserve">FEE0695</t>
  </si>
  <si>
    <t xml:space="preserve">FEE0696</t>
  </si>
  <si>
    <t xml:space="preserve">FEE0697</t>
  </si>
  <si>
    <t xml:space="preserve">FEE0698</t>
  </si>
  <si>
    <t xml:space="preserve">FEE0699</t>
  </si>
  <si>
    <t xml:space="preserve">FEE0700</t>
  </si>
  <si>
    <t xml:space="preserve">FEE0701</t>
  </si>
  <si>
    <t xml:space="preserve">FEE0702</t>
  </si>
  <si>
    <t xml:space="preserve">FEE0703</t>
  </si>
  <si>
    <t xml:space="preserve">FEE0704</t>
  </si>
  <si>
    <t xml:space="preserve">FEE0705</t>
  </si>
  <si>
    <t xml:space="preserve">FEE0706</t>
  </si>
  <si>
    <t xml:space="preserve">FEE0707</t>
  </si>
  <si>
    <t xml:space="preserve">FEE0708</t>
  </si>
  <si>
    <t xml:space="preserve">FEE0709</t>
  </si>
  <si>
    <t xml:space="preserve">FEE0710</t>
  </si>
  <si>
    <t xml:space="preserve">FEE0711</t>
  </si>
  <si>
    <t xml:space="preserve">FEE0712</t>
  </si>
  <si>
    <t xml:space="preserve">FEE0713</t>
  </si>
  <si>
    <t xml:space="preserve">FEE0714</t>
  </si>
  <si>
    <t xml:space="preserve">FEE0715</t>
  </si>
  <si>
    <t xml:space="preserve">FEE0716</t>
  </si>
  <si>
    <t xml:space="preserve">FEE0717</t>
  </si>
  <si>
    <t xml:space="preserve">FEE0718</t>
  </si>
  <si>
    <t xml:space="preserve">FEE0719</t>
  </si>
  <si>
    <t xml:space="preserve">FEE0720</t>
  </si>
  <si>
    <t xml:space="preserve">FEE0721</t>
  </si>
  <si>
    <t xml:space="preserve">FEE0722</t>
  </si>
  <si>
    <t xml:space="preserve">FEE0723</t>
  </si>
  <si>
    <t xml:space="preserve">FEE0724</t>
  </si>
  <si>
    <t xml:space="preserve">FEE0725</t>
  </si>
  <si>
    <t xml:space="preserve">FEE0726</t>
  </si>
  <si>
    <t xml:space="preserve">FEE0727</t>
  </si>
  <si>
    <t xml:space="preserve">FEE0728</t>
  </si>
  <si>
    <t xml:space="preserve">FEE0729</t>
  </si>
  <si>
    <t xml:space="preserve">FEE0730</t>
  </si>
  <si>
    <t xml:space="preserve">FEE0731</t>
  </si>
  <si>
    <t xml:space="preserve">FEE0732</t>
  </si>
  <si>
    <t xml:space="preserve">FEE0733</t>
  </si>
  <si>
    <t xml:space="preserve">FEE0734</t>
  </si>
  <si>
    <t xml:space="preserve">FEE0735</t>
  </si>
  <si>
    <t xml:space="preserve">FEE0736</t>
  </si>
  <si>
    <t xml:space="preserve">FEE0737</t>
  </si>
  <si>
    <t xml:space="preserve">FEE0738</t>
  </si>
  <si>
    <t xml:space="preserve">FEE0739</t>
  </si>
  <si>
    <t xml:space="preserve">FEE0740</t>
  </si>
  <si>
    <t xml:space="preserve">FEE0741</t>
  </si>
  <si>
    <t xml:space="preserve">FEE0742</t>
  </si>
  <si>
    <t xml:space="preserve">FEE0743</t>
  </si>
  <si>
    <t xml:space="preserve">FEE0744</t>
  </si>
  <si>
    <t xml:space="preserve">FEE0745</t>
  </si>
  <si>
    <t xml:space="preserve">FEE0746</t>
  </si>
  <si>
    <t xml:space="preserve">FEE0747</t>
  </si>
  <si>
    <t xml:space="preserve">FEE0748</t>
  </si>
  <si>
    <t xml:space="preserve">FEE0749</t>
  </si>
  <si>
    <t xml:space="preserve">FEE0750</t>
  </si>
  <si>
    <t xml:space="preserve">FEE0751</t>
  </si>
  <si>
    <t xml:space="preserve">FEE0752</t>
  </si>
  <si>
    <t xml:space="preserve">FEE0753</t>
  </si>
  <si>
    <t xml:space="preserve">FEE0754</t>
  </si>
  <si>
    <t xml:space="preserve">FEE0755</t>
  </si>
  <si>
    <t xml:space="preserve">FEE0756</t>
  </si>
  <si>
    <t xml:space="preserve">FEE0757</t>
  </si>
  <si>
    <t xml:space="preserve">FEE0758</t>
  </si>
  <si>
    <t xml:space="preserve">FEE0759</t>
  </si>
  <si>
    <t xml:space="preserve">FEE0760</t>
  </si>
  <si>
    <t xml:space="preserve">FEE0761</t>
  </si>
  <si>
    <t xml:space="preserve">FEE0762</t>
  </si>
  <si>
    <t xml:space="preserve">FEE0763</t>
  </si>
  <si>
    <t xml:space="preserve">FEE0764</t>
  </si>
  <si>
    <t xml:space="preserve">FEE0765</t>
  </si>
  <si>
    <t xml:space="preserve">FEE0766</t>
  </si>
  <si>
    <t xml:space="preserve">FEE0767</t>
  </si>
  <si>
    <t xml:space="preserve">FEE0768</t>
  </si>
  <si>
    <t xml:space="preserve">FEE0769</t>
  </si>
  <si>
    <t xml:space="preserve">FEE0770</t>
  </si>
  <si>
    <t xml:space="preserve">FEE0771</t>
  </si>
  <si>
    <t xml:space="preserve">FEE0772</t>
  </si>
  <si>
    <t xml:space="preserve">FEE0773</t>
  </si>
  <si>
    <t xml:space="preserve">FEE0774</t>
  </si>
  <si>
    <t xml:space="preserve">FEE0775</t>
  </si>
  <si>
    <t xml:space="preserve">FEE0776</t>
  </si>
  <si>
    <t xml:space="preserve">FEE0777</t>
  </si>
  <si>
    <t xml:space="preserve">FEE0778</t>
  </si>
  <si>
    <t xml:space="preserve">FEE0779</t>
  </si>
  <si>
    <t xml:space="preserve">FEE0780</t>
  </si>
  <si>
    <t xml:space="preserve">FEE0781</t>
  </si>
  <si>
    <t xml:space="preserve">FEE0782</t>
  </si>
  <si>
    <t xml:space="preserve">FEE0783</t>
  </si>
  <si>
    <t xml:space="preserve">FEE0784</t>
  </si>
  <si>
    <t xml:space="preserve">FEE0785</t>
  </si>
  <si>
    <t xml:space="preserve">FEE0786</t>
  </si>
  <si>
    <t xml:space="preserve">FEE0787</t>
  </si>
  <si>
    <t xml:space="preserve">FEE0788</t>
  </si>
  <si>
    <t xml:space="preserve">FEE0789</t>
  </si>
  <si>
    <t xml:space="preserve">FEE0790</t>
  </si>
  <si>
    <t xml:space="preserve">FEE0791</t>
  </si>
  <si>
    <t xml:space="preserve">FEE0792</t>
  </si>
  <si>
    <t xml:space="preserve">FEE0793</t>
  </si>
  <si>
    <t xml:space="preserve">FEE0794</t>
  </si>
  <si>
    <t xml:space="preserve">FEE0795</t>
  </si>
  <si>
    <t xml:space="preserve">FEE0796</t>
  </si>
  <si>
    <t xml:space="preserve">FEE0797</t>
  </si>
  <si>
    <t xml:space="preserve">FEE0798</t>
  </si>
  <si>
    <t xml:space="preserve">FEE0799</t>
  </si>
  <si>
    <t xml:space="preserve">FEE0800</t>
  </si>
  <si>
    <t xml:space="preserve">FEE0801</t>
  </si>
  <si>
    <t xml:space="preserve">FEE0802</t>
  </si>
  <si>
    <t xml:space="preserve">FEE0803</t>
  </si>
  <si>
    <t xml:space="preserve">FEE0804</t>
  </si>
  <si>
    <t xml:space="preserve">FEE0805</t>
  </si>
  <si>
    <t xml:space="preserve">FEE0806</t>
  </si>
  <si>
    <t xml:space="preserve">FEE0807</t>
  </si>
  <si>
    <t xml:space="preserve">FEE0808</t>
  </si>
  <si>
    <t xml:space="preserve">FEE0809</t>
  </si>
  <si>
    <t xml:space="preserve">FEE0810</t>
  </si>
  <si>
    <t xml:space="preserve">FEE0811</t>
  </si>
  <si>
    <t xml:space="preserve">FEE0812</t>
  </si>
  <si>
    <t xml:space="preserve">FEE0813</t>
  </si>
  <si>
    <t xml:space="preserve">FEE0814</t>
  </si>
  <si>
    <t xml:space="preserve">FEE0815</t>
  </si>
  <si>
    <t xml:space="preserve">FEE0816</t>
  </si>
  <si>
    <t xml:space="preserve">FEE0817</t>
  </si>
  <si>
    <t xml:space="preserve">FEE0818</t>
  </si>
  <si>
    <t xml:space="preserve">FEE0819</t>
  </si>
  <si>
    <t xml:space="preserve">FEE0820</t>
  </si>
  <si>
    <t xml:space="preserve">FEE0821</t>
  </si>
  <si>
    <t xml:space="preserve">FEE0822</t>
  </si>
  <si>
    <t xml:space="preserve">FEE0823</t>
  </si>
  <si>
    <t xml:space="preserve">FEE0824</t>
  </si>
  <si>
    <t xml:space="preserve">FEE0825</t>
  </si>
  <si>
    <t xml:space="preserve">FEE0826</t>
  </si>
  <si>
    <t xml:space="preserve">FEE0827</t>
  </si>
  <si>
    <t xml:space="preserve">FEE0828</t>
  </si>
  <si>
    <t xml:space="preserve">FEE0829</t>
  </si>
  <si>
    <t xml:space="preserve">FEE0830</t>
  </si>
  <si>
    <t xml:space="preserve">FEE0831</t>
  </si>
  <si>
    <t xml:space="preserve">FEE0832</t>
  </si>
  <si>
    <t xml:space="preserve">FEE0833</t>
  </si>
  <si>
    <t xml:space="preserve">FEE0834</t>
  </si>
  <si>
    <t xml:space="preserve">FEE0835</t>
  </si>
  <si>
    <t xml:space="preserve">FEE0836</t>
  </si>
  <si>
    <t xml:space="preserve">FEE0837</t>
  </si>
  <si>
    <t xml:space="preserve">FEE0838</t>
  </si>
  <si>
    <t xml:space="preserve">FEE0839</t>
  </si>
  <si>
    <t xml:space="preserve">FEE0840</t>
  </si>
  <si>
    <t xml:space="preserve">FEE0841</t>
  </si>
  <si>
    <t xml:space="preserve">FEE0842</t>
  </si>
  <si>
    <t xml:space="preserve">FEE0843</t>
  </si>
  <si>
    <t xml:space="preserve">FEE0844</t>
  </si>
  <si>
    <t xml:space="preserve">FEE0845</t>
  </si>
  <si>
    <t xml:space="preserve">FEE0846</t>
  </si>
  <si>
    <t xml:space="preserve">FEE0847</t>
  </si>
  <si>
    <t xml:space="preserve">FEE0848</t>
  </si>
  <si>
    <t xml:space="preserve">FEE0849</t>
  </si>
  <si>
    <t xml:space="preserve">FEE0850</t>
  </si>
  <si>
    <t xml:space="preserve">FEE0851</t>
  </si>
  <si>
    <t xml:space="preserve">FEE0852</t>
  </si>
  <si>
    <t xml:space="preserve">FEE0853</t>
  </si>
  <si>
    <t xml:space="preserve">FEE0854</t>
  </si>
  <si>
    <t xml:space="preserve">FEE0855</t>
  </si>
  <si>
    <t xml:space="preserve">FEE0856</t>
  </si>
  <si>
    <t xml:space="preserve">FEE0857</t>
  </si>
  <si>
    <t xml:space="preserve">FEE0858</t>
  </si>
  <si>
    <t xml:space="preserve">FEE0859</t>
  </si>
  <si>
    <t xml:space="preserve">FEE0860</t>
  </si>
  <si>
    <t xml:space="preserve">FEE0861</t>
  </si>
  <si>
    <t xml:space="preserve">FEE0862</t>
  </si>
  <si>
    <t xml:space="preserve">FEE0863</t>
  </si>
  <si>
    <t xml:space="preserve">FEE0864</t>
  </si>
  <si>
    <t xml:space="preserve">FEE0865</t>
  </si>
  <si>
    <t xml:space="preserve">FEE0866</t>
  </si>
  <si>
    <t xml:space="preserve">FEE0867</t>
  </si>
  <si>
    <t xml:space="preserve">FEE0868</t>
  </si>
  <si>
    <t xml:space="preserve">FEE0869</t>
  </si>
  <si>
    <t xml:space="preserve">FEE0870</t>
  </si>
  <si>
    <t xml:space="preserve">FEE0871</t>
  </si>
  <si>
    <t xml:space="preserve">FEE0872</t>
  </si>
  <si>
    <t xml:space="preserve">FEE0873</t>
  </si>
  <si>
    <t xml:space="preserve">FEE0874</t>
  </si>
  <si>
    <t xml:space="preserve">FEE0875</t>
  </si>
  <si>
    <t xml:space="preserve">FEE0876</t>
  </si>
  <si>
    <t xml:space="preserve">FEE0877</t>
  </si>
  <si>
    <t xml:space="preserve">FEE0878</t>
  </si>
  <si>
    <t xml:space="preserve">FEE0879</t>
  </si>
  <si>
    <t xml:space="preserve">FEE0880</t>
  </si>
  <si>
    <t xml:space="preserve">FEE0881</t>
  </si>
  <si>
    <t xml:space="preserve">FEE0882</t>
  </si>
  <si>
    <t xml:space="preserve">FEE0883</t>
  </si>
  <si>
    <t xml:space="preserve">FEE0884</t>
  </si>
  <si>
    <t xml:space="preserve">FEE0885</t>
  </si>
  <si>
    <t xml:space="preserve">FEE0886</t>
  </si>
  <si>
    <t xml:space="preserve">FEE0887</t>
  </si>
  <si>
    <t xml:space="preserve">FEE0888</t>
  </si>
  <si>
    <t xml:space="preserve">FEE0889</t>
  </si>
  <si>
    <t xml:space="preserve">FEE0890</t>
  </si>
  <si>
    <t xml:space="preserve">FEE0891</t>
  </si>
  <si>
    <t xml:space="preserve">FEE0892</t>
  </si>
  <si>
    <t xml:space="preserve">FEE0893</t>
  </si>
  <si>
    <t xml:space="preserve">FEE0894</t>
  </si>
  <si>
    <t xml:space="preserve">FEE0895</t>
  </si>
  <si>
    <t xml:space="preserve">FEE0896</t>
  </si>
  <si>
    <t xml:space="preserve">FEE0897</t>
  </si>
  <si>
    <t xml:space="preserve">FEE0898</t>
  </si>
  <si>
    <t xml:space="preserve">FEE0899</t>
  </si>
  <si>
    <t xml:space="preserve">FEE0900</t>
  </si>
  <si>
    <t xml:space="preserve">FEE0901</t>
  </si>
  <si>
    <t xml:space="preserve">FEE0902</t>
  </si>
  <si>
    <t xml:space="preserve">FEE0903</t>
  </si>
  <si>
    <t xml:space="preserve">FEE0904</t>
  </si>
  <si>
    <t xml:space="preserve">FEE0905</t>
  </si>
  <si>
    <t xml:space="preserve">FEE0906</t>
  </si>
  <si>
    <t xml:space="preserve">FEE0907</t>
  </si>
  <si>
    <t xml:space="preserve">FEE0908</t>
  </si>
  <si>
    <t xml:space="preserve">FEE0909</t>
  </si>
  <si>
    <t xml:space="preserve">FEE0910</t>
  </si>
  <si>
    <t xml:space="preserve">FEE0911</t>
  </si>
  <si>
    <t xml:space="preserve">FEE0912</t>
  </si>
  <si>
    <t xml:space="preserve">FEE0913</t>
  </si>
  <si>
    <t xml:space="preserve">FEE0914</t>
  </si>
  <si>
    <t xml:space="preserve">FEE0915</t>
  </si>
  <si>
    <t xml:space="preserve">FEE0916</t>
  </si>
  <si>
    <t xml:space="preserve">FEE0917</t>
  </si>
  <si>
    <t xml:space="preserve">FEE0918</t>
  </si>
  <si>
    <t xml:space="preserve">FEE0919</t>
  </si>
  <si>
    <t xml:space="preserve">FEE0920</t>
  </si>
  <si>
    <t xml:space="preserve">FEE0921</t>
  </si>
  <si>
    <t xml:space="preserve">FEE0922</t>
  </si>
  <si>
    <t xml:space="preserve">FEE0923</t>
  </si>
  <si>
    <t xml:space="preserve">FEE0924</t>
  </si>
  <si>
    <t xml:space="preserve">FEE0925</t>
  </si>
  <si>
    <t xml:space="preserve">FEE0926</t>
  </si>
  <si>
    <t xml:space="preserve">FEE0927</t>
  </si>
  <si>
    <t xml:space="preserve">FEE0928</t>
  </si>
  <si>
    <t xml:space="preserve">FEE0929</t>
  </si>
  <si>
    <t xml:space="preserve">FEE0930</t>
  </si>
  <si>
    <t xml:space="preserve">FEE0931</t>
  </si>
  <si>
    <t xml:space="preserve">FEE0932</t>
  </si>
  <si>
    <t xml:space="preserve">FEE0933</t>
  </si>
  <si>
    <t xml:space="preserve">FEE0934</t>
  </si>
  <si>
    <t xml:space="preserve">FEE0935</t>
  </si>
  <si>
    <t xml:space="preserve">FEE0936</t>
  </si>
  <si>
    <t xml:space="preserve">FEE0937</t>
  </si>
  <si>
    <t xml:space="preserve">FEE0938</t>
  </si>
  <si>
    <t xml:space="preserve">FEE0939</t>
  </si>
  <si>
    <t xml:space="preserve">FEE0940</t>
  </si>
  <si>
    <t xml:space="preserve">FEE0941</t>
  </si>
  <si>
    <t xml:space="preserve">FEE0942</t>
  </si>
  <si>
    <t xml:space="preserve">FEE0943</t>
  </si>
  <si>
    <t xml:space="preserve">FEE0944</t>
  </si>
  <si>
    <t xml:space="preserve">FEE0945</t>
  </si>
  <si>
    <t xml:space="preserve">FEE0946</t>
  </si>
  <si>
    <t xml:space="preserve">FEE0947</t>
  </si>
  <si>
    <t xml:space="preserve">FEE0948</t>
  </si>
  <si>
    <t xml:space="preserve">FEE0949</t>
  </si>
  <si>
    <t xml:space="preserve">FEE0950</t>
  </si>
  <si>
    <t xml:space="preserve">FEE0951</t>
  </si>
  <si>
    <t xml:space="preserve">FEE0952</t>
  </si>
  <si>
    <t xml:space="preserve">FEE0953</t>
  </si>
  <si>
    <t xml:space="preserve">FEE0954</t>
  </si>
  <si>
    <t xml:space="preserve">FEE0955</t>
  </si>
  <si>
    <t xml:space="preserve">FEE0956</t>
  </si>
  <si>
    <t xml:space="preserve">FEE0957</t>
  </si>
  <si>
    <t xml:space="preserve">FEE0958</t>
  </si>
  <si>
    <t xml:space="preserve">FEE0959</t>
  </si>
  <si>
    <t xml:space="preserve">FEE0960</t>
  </si>
  <si>
    <t xml:space="preserve">FEE0961</t>
  </si>
  <si>
    <t xml:space="preserve">FEE0962</t>
  </si>
  <si>
    <t xml:space="preserve">FEE0963</t>
  </si>
  <si>
    <t xml:space="preserve">FEE0964</t>
  </si>
  <si>
    <t xml:space="preserve">FEE0965</t>
  </si>
  <si>
    <t xml:space="preserve">FEE0966</t>
  </si>
  <si>
    <t xml:space="preserve">FEE0967</t>
  </si>
  <si>
    <t xml:space="preserve">FEE0968</t>
  </si>
  <si>
    <t xml:space="preserve">FEE0969</t>
  </si>
  <si>
    <t xml:space="preserve">FEE0970</t>
  </si>
  <si>
    <t xml:space="preserve">FEE0971</t>
  </si>
  <si>
    <t xml:space="preserve">FEE0972</t>
  </si>
  <si>
    <t xml:space="preserve">FEE0973</t>
  </si>
  <si>
    <t xml:space="preserve">FEE0974</t>
  </si>
  <si>
    <t xml:space="preserve">FEE0975</t>
  </si>
  <si>
    <t xml:space="preserve">FEE0976</t>
  </si>
  <si>
    <t xml:space="preserve">FEE0977</t>
  </si>
  <si>
    <t xml:space="preserve">FEE0978</t>
  </si>
  <si>
    <t xml:space="preserve">FEE0979</t>
  </si>
  <si>
    <t xml:space="preserve">FEE0980</t>
  </si>
  <si>
    <t xml:space="preserve">FEE0981</t>
  </si>
  <si>
    <t xml:space="preserve">FEE0982</t>
  </si>
  <si>
    <t xml:space="preserve">FEE0983</t>
  </si>
  <si>
    <t xml:space="preserve">FEE0984</t>
  </si>
  <si>
    <t xml:space="preserve">FEE0985</t>
  </si>
  <si>
    <t xml:space="preserve">FEE0986</t>
  </si>
  <si>
    <t xml:space="preserve">FEE0987</t>
  </si>
  <si>
    <t xml:space="preserve">FEE0988</t>
  </si>
  <si>
    <t xml:space="preserve">FEE0989</t>
  </si>
  <si>
    <t xml:space="preserve">FEE0990</t>
  </si>
  <si>
    <t xml:space="preserve">FEE0991</t>
  </si>
  <si>
    <t xml:space="preserve">FEE0992</t>
  </si>
  <si>
    <t xml:space="preserve">FEE0993</t>
  </si>
  <si>
    <t xml:space="preserve">FEE0994</t>
  </si>
  <si>
    <t xml:space="preserve">FEE0995</t>
  </si>
  <si>
    <t xml:space="preserve">FEE0996</t>
  </si>
  <si>
    <t xml:space="preserve">FEE0997</t>
  </si>
  <si>
    <t xml:space="preserve">FEE0998</t>
  </si>
  <si>
    <t xml:space="preserve">FEE0999</t>
  </si>
  <si>
    <t xml:space="preserve">FEE1000</t>
  </si>
  <si>
    <t xml:space="preserve">FEE1001</t>
  </si>
  <si>
    <t xml:space="preserve">FEE1002</t>
  </si>
  <si>
    <t xml:space="preserve">FEE1003</t>
  </si>
  <si>
    <t xml:space="preserve">FEE1004</t>
  </si>
  <si>
    <t xml:space="preserve">FEE1005</t>
  </si>
  <si>
    <t xml:space="preserve">FEE1006</t>
  </si>
  <si>
    <t xml:space="preserve">FEE1007</t>
  </si>
  <si>
    <t xml:space="preserve">FEE1008</t>
  </si>
  <si>
    <t xml:space="preserve">FEE1009</t>
  </si>
  <si>
    <t xml:space="preserve">FEE1010</t>
  </si>
  <si>
    <t xml:space="preserve">FEE1011</t>
  </si>
  <si>
    <t xml:space="preserve">FEE1012</t>
  </si>
  <si>
    <t xml:space="preserve">FEE1013</t>
  </si>
  <si>
    <t xml:space="preserve">FEE1014</t>
  </si>
  <si>
    <t xml:space="preserve">FEE1015</t>
  </si>
  <si>
    <t xml:space="preserve">FEE1016</t>
  </si>
  <si>
    <t xml:space="preserve">FEE1017</t>
  </si>
  <si>
    <t xml:space="preserve">FEE1018</t>
  </si>
  <si>
    <t xml:space="preserve">FEE1019</t>
  </si>
  <si>
    <t xml:space="preserve">FEE1020</t>
  </si>
  <si>
    <t xml:space="preserve">FEE1021</t>
  </si>
  <si>
    <t xml:space="preserve">FEE1022</t>
  </si>
  <si>
    <t xml:space="preserve">FEE1023</t>
  </si>
  <si>
    <t xml:space="preserve">FEE1024</t>
  </si>
  <si>
    <t xml:space="preserve">FEE1025</t>
  </si>
  <si>
    <t xml:space="preserve">FEE1026</t>
  </si>
  <si>
    <t xml:space="preserve">FEE1027</t>
  </si>
  <si>
    <t xml:space="preserve">FEE1028</t>
  </si>
  <si>
    <t xml:space="preserve">FEE1029</t>
  </si>
  <si>
    <t xml:space="preserve">FEE1030</t>
  </si>
  <si>
    <t xml:space="preserve">FEE1031</t>
  </si>
  <si>
    <t xml:space="preserve">FEE1032</t>
  </si>
  <si>
    <t xml:space="preserve">FEE1033</t>
  </si>
  <si>
    <t xml:space="preserve">FEE1034</t>
  </si>
  <si>
    <t xml:space="preserve">FEE1035</t>
  </si>
  <si>
    <t xml:space="preserve">FEE1036</t>
  </si>
  <si>
    <t xml:space="preserve">FEE1037</t>
  </si>
  <si>
    <t xml:space="preserve">FEE1038</t>
  </si>
  <si>
    <t xml:space="preserve">FEE1039</t>
  </si>
  <si>
    <t xml:space="preserve">FEE1040</t>
  </si>
  <si>
    <t xml:space="preserve">FEE1041</t>
  </si>
  <si>
    <t xml:space="preserve">FEE1042</t>
  </si>
  <si>
    <t xml:space="preserve">FEE1043</t>
  </si>
  <si>
    <t xml:space="preserve">FEE1044</t>
  </si>
  <si>
    <t xml:space="preserve">FEE1045</t>
  </si>
  <si>
    <t xml:space="preserve">FEE1046</t>
  </si>
  <si>
    <t xml:space="preserve">FEE1047</t>
  </si>
  <si>
    <t xml:space="preserve">FEE1048</t>
  </si>
  <si>
    <t xml:space="preserve">FEE1049</t>
  </si>
  <si>
    <t xml:space="preserve">FEE1050</t>
  </si>
  <si>
    <t xml:space="preserve">FEE1051</t>
  </si>
  <si>
    <t xml:space="preserve">FEE1052</t>
  </si>
  <si>
    <t xml:space="preserve">FEE1053</t>
  </si>
  <si>
    <t xml:space="preserve">FEE1054</t>
  </si>
  <si>
    <t xml:space="preserve">FEE1055</t>
  </si>
  <si>
    <t xml:space="preserve">FEE1056</t>
  </si>
  <si>
    <t xml:space="preserve">FEE1057</t>
  </si>
  <si>
    <t xml:space="preserve">FEE1058</t>
  </si>
  <si>
    <t xml:space="preserve">FEE1059</t>
  </si>
  <si>
    <t xml:space="preserve">FEE1060</t>
  </si>
  <si>
    <t xml:space="preserve">FEE1061</t>
  </si>
  <si>
    <t xml:space="preserve">FEE1062</t>
  </si>
  <si>
    <t xml:space="preserve">FEE1063</t>
  </si>
  <si>
    <t xml:space="preserve">FEE1064</t>
  </si>
  <si>
    <t xml:space="preserve">FEE1065</t>
  </si>
  <si>
    <t xml:space="preserve">FEE1066</t>
  </si>
  <si>
    <t xml:space="preserve">FEE1067</t>
  </si>
  <si>
    <t xml:space="preserve">FEE1068</t>
  </si>
  <si>
    <t xml:space="preserve">FEE1069</t>
  </si>
  <si>
    <t xml:space="preserve">FEE1070</t>
  </si>
  <si>
    <t xml:space="preserve">FEE1071</t>
  </si>
  <si>
    <t xml:space="preserve">FEE1072</t>
  </si>
  <si>
    <t xml:space="preserve">FEE1073</t>
  </si>
  <si>
    <t xml:space="preserve">FEE1074</t>
  </si>
  <si>
    <t xml:space="preserve">FEE1075</t>
  </si>
  <si>
    <t xml:space="preserve">FEE1076</t>
  </si>
  <si>
    <t xml:space="preserve">FEE1077</t>
  </si>
  <si>
    <t xml:space="preserve">FEE1078</t>
  </si>
  <si>
    <t xml:space="preserve">FEE1079</t>
  </si>
  <si>
    <t xml:space="preserve">FEE1080</t>
  </si>
  <si>
    <t xml:space="preserve">FEE1081</t>
  </si>
  <si>
    <t xml:space="preserve">FEE1082</t>
  </si>
  <si>
    <t xml:space="preserve">FEE1083</t>
  </si>
  <si>
    <t xml:space="preserve">FEE1084</t>
  </si>
  <si>
    <t xml:space="preserve">FEE1085</t>
  </si>
  <si>
    <t xml:space="preserve">FEE1086</t>
  </si>
  <si>
    <t xml:space="preserve">FEE1087</t>
  </si>
  <si>
    <t xml:space="preserve">FEE1088</t>
  </si>
  <si>
    <t xml:space="preserve">FEE1089</t>
  </si>
  <si>
    <t xml:space="preserve">FEE1090</t>
  </si>
  <si>
    <t xml:space="preserve">FEE1091</t>
  </si>
  <si>
    <t xml:space="preserve">FEE1092</t>
  </si>
  <si>
    <t xml:space="preserve">FEE1093</t>
  </si>
  <si>
    <t xml:space="preserve">FEE1094</t>
  </si>
  <si>
    <t xml:space="preserve">FEE1095</t>
  </si>
  <si>
    <t xml:space="preserve">FEE1096</t>
  </si>
  <si>
    <t xml:space="preserve">FEE1097</t>
  </si>
  <si>
    <t xml:space="preserve">FEE1098</t>
  </si>
  <si>
    <t xml:space="preserve">FEE1099</t>
  </si>
  <si>
    <t xml:space="preserve">FEE1100</t>
  </si>
  <si>
    <t xml:space="preserve">FEE1101</t>
  </si>
  <si>
    <t xml:space="preserve">FEE1102</t>
  </si>
  <si>
    <t xml:space="preserve">FEE1103</t>
  </si>
  <si>
    <t xml:space="preserve">FEE1104</t>
  </si>
  <si>
    <t xml:space="preserve">FEE1105</t>
  </si>
  <si>
    <t xml:space="preserve">FEE1106</t>
  </si>
  <si>
    <t xml:space="preserve">FEE1107</t>
  </si>
  <si>
    <t xml:space="preserve">FEE1108</t>
  </si>
  <si>
    <t xml:space="preserve">FEE1109</t>
  </si>
  <si>
    <t xml:space="preserve">FEE1110</t>
  </si>
  <si>
    <t xml:space="preserve">FEE1111</t>
  </si>
  <si>
    <t xml:space="preserve">FEE1112</t>
  </si>
  <si>
    <t xml:space="preserve">FEE1113</t>
  </si>
  <si>
    <t xml:space="preserve">FEE1114</t>
  </si>
  <si>
    <t xml:space="preserve">FEE1115</t>
  </si>
  <si>
    <t xml:space="preserve">FEE1116</t>
  </si>
  <si>
    <t xml:space="preserve">FEE1117</t>
  </si>
  <si>
    <t xml:space="preserve">FEE1118</t>
  </si>
  <si>
    <t xml:space="preserve">FEE1119</t>
  </si>
  <si>
    <t xml:space="preserve">FEE1120</t>
  </si>
  <si>
    <t xml:space="preserve">FEE1121</t>
  </si>
  <si>
    <t xml:space="preserve">FEE1122</t>
  </si>
  <si>
    <t xml:space="preserve">FEE1123</t>
  </si>
  <si>
    <t xml:space="preserve">FEE1124</t>
  </si>
  <si>
    <t xml:space="preserve">FEE1125</t>
  </si>
  <si>
    <t xml:space="preserve">FEE1126</t>
  </si>
  <si>
    <t xml:space="preserve">FEE1127</t>
  </si>
  <si>
    <t xml:space="preserve">FEE1128</t>
  </si>
  <si>
    <t xml:space="preserve">FEE1129</t>
  </si>
  <si>
    <t xml:space="preserve">FEE1130</t>
  </si>
  <si>
    <t xml:space="preserve">FEE1131</t>
  </si>
  <si>
    <t xml:space="preserve">FEE1132</t>
  </si>
  <si>
    <t xml:space="preserve">FEE1133</t>
  </si>
  <si>
    <t xml:space="preserve">FEE1134</t>
  </si>
  <si>
    <t xml:space="preserve">FEE1135</t>
  </si>
  <si>
    <t xml:space="preserve">FEE1136</t>
  </si>
  <si>
    <t xml:space="preserve">FEE1137</t>
  </si>
  <si>
    <t xml:space="preserve">FEE1138</t>
  </si>
  <si>
    <t xml:space="preserve">FEE1139</t>
  </si>
  <si>
    <t xml:space="preserve">FEE1140</t>
  </si>
  <si>
    <t xml:space="preserve">FEE1141</t>
  </si>
  <si>
    <t xml:space="preserve">FEE1142</t>
  </si>
  <si>
    <t xml:space="preserve">FEE1143</t>
  </si>
  <si>
    <t xml:space="preserve">FEE1144</t>
  </si>
  <si>
    <t xml:space="preserve">FEE1145</t>
  </si>
  <si>
    <t xml:space="preserve">FEE1146</t>
  </si>
  <si>
    <t xml:space="preserve">FEE1147</t>
  </si>
  <si>
    <t xml:space="preserve">FEE1148</t>
  </si>
  <si>
    <t xml:space="preserve">FEE1149</t>
  </si>
  <si>
    <t xml:space="preserve">FEE1150</t>
  </si>
  <si>
    <t xml:space="preserve">FEE1151</t>
  </si>
  <si>
    <t xml:space="preserve">FEE1152</t>
  </si>
  <si>
    <t xml:space="preserve">FEE1153</t>
  </si>
  <si>
    <t xml:space="preserve">FEE1154</t>
  </si>
  <si>
    <t xml:space="preserve">FEE1155</t>
  </si>
  <si>
    <t xml:space="preserve">FEE1156</t>
  </si>
  <si>
    <t xml:space="preserve">FEE1157</t>
  </si>
  <si>
    <t xml:space="preserve">FEE1158</t>
  </si>
  <si>
    <t xml:space="preserve">FEE1159</t>
  </si>
  <si>
    <t xml:space="preserve">FEE1160</t>
  </si>
  <si>
    <t xml:space="preserve">FEE1161</t>
  </si>
  <si>
    <t xml:space="preserve">FEE1162</t>
  </si>
  <si>
    <t xml:space="preserve">FEE1163</t>
  </si>
  <si>
    <t xml:space="preserve">FEE1164</t>
  </si>
  <si>
    <t xml:space="preserve">FEE1165</t>
  </si>
  <si>
    <t xml:space="preserve">FEE1166</t>
  </si>
  <si>
    <t xml:space="preserve">FEE1167</t>
  </si>
  <si>
    <t xml:space="preserve">FEE1168</t>
  </si>
  <si>
    <t xml:space="preserve">FEE1169</t>
  </si>
  <si>
    <t xml:space="preserve">FEE1170</t>
  </si>
  <si>
    <t xml:space="preserve">FEE1171</t>
  </si>
  <si>
    <t xml:space="preserve">FEE1172</t>
  </si>
  <si>
    <t xml:space="preserve">FEE1173</t>
  </si>
  <si>
    <t xml:space="preserve">FEE1174</t>
  </si>
  <si>
    <t xml:space="preserve">FEE1175</t>
  </si>
  <si>
    <t xml:space="preserve">FEE1176</t>
  </si>
  <si>
    <t xml:space="preserve">FEE1177</t>
  </si>
  <si>
    <t xml:space="preserve">FEE1178</t>
  </si>
  <si>
    <t xml:space="preserve">FEE1179</t>
  </si>
  <si>
    <t xml:space="preserve">FEE1180</t>
  </si>
  <si>
    <t xml:space="preserve">FEE1181</t>
  </si>
  <si>
    <t xml:space="preserve">FEE1182</t>
  </si>
  <si>
    <t xml:space="preserve">FEE1183</t>
  </si>
  <si>
    <t xml:space="preserve">FEE1184</t>
  </si>
  <si>
    <t xml:space="preserve">FEE1185</t>
  </si>
  <si>
    <t xml:space="preserve">FEE1186</t>
  </si>
  <si>
    <t xml:space="preserve">FEE1187</t>
  </si>
  <si>
    <t xml:space="preserve">FEE1188</t>
  </si>
  <si>
    <t xml:space="preserve">FEE1189</t>
  </si>
  <si>
    <t xml:space="preserve">FEE1190</t>
  </si>
  <si>
    <t xml:space="preserve">FEE1191</t>
  </si>
  <si>
    <t xml:space="preserve">FEE1192</t>
  </si>
  <si>
    <t xml:space="preserve">FEE1193</t>
  </si>
  <si>
    <t xml:space="preserve">FEE1194</t>
  </si>
  <si>
    <t xml:space="preserve">FEE1195</t>
  </si>
  <si>
    <t xml:space="preserve">FEE1196</t>
  </si>
  <si>
    <t xml:space="preserve">FEE1197</t>
  </si>
  <si>
    <t xml:space="preserve">FEE1198</t>
  </si>
  <si>
    <t xml:space="preserve">FEE1199</t>
  </si>
  <si>
    <t xml:space="preserve">FEE1200</t>
  </si>
  <si>
    <t xml:space="preserve">FEE1201</t>
  </si>
  <si>
    <t xml:space="preserve">FEE1202</t>
  </si>
  <si>
    <t xml:space="preserve">FEE1203</t>
  </si>
  <si>
    <t xml:space="preserve">FEE1204</t>
  </si>
  <si>
    <t xml:space="preserve">FEE1205</t>
  </si>
  <si>
    <t xml:space="preserve">FEE1206</t>
  </si>
  <si>
    <t xml:space="preserve">FEE1207</t>
  </si>
  <si>
    <t xml:space="preserve">FEE1208</t>
  </si>
  <si>
    <t xml:space="preserve">FEE1209</t>
  </si>
  <si>
    <t xml:space="preserve">FEE1210</t>
  </si>
  <si>
    <t xml:space="preserve">FEE1211</t>
  </si>
  <si>
    <t xml:space="preserve">FEE1212</t>
  </si>
  <si>
    <t xml:space="preserve">FEE1213</t>
  </si>
  <si>
    <t xml:space="preserve">FEE1214</t>
  </si>
  <si>
    <t xml:space="preserve">FEE1215</t>
  </si>
  <si>
    <t xml:space="preserve">FEE1216</t>
  </si>
  <si>
    <t xml:space="preserve">FEE1217</t>
  </si>
  <si>
    <t xml:space="preserve">FEE1218</t>
  </si>
  <si>
    <t xml:space="preserve">FEE1219</t>
  </si>
  <si>
    <t xml:space="preserve">FEE1220</t>
  </si>
  <si>
    <t xml:space="preserve">FEE1221</t>
  </si>
  <si>
    <t xml:space="preserve">FEE1222</t>
  </si>
  <si>
    <t xml:space="preserve">FEE1223</t>
  </si>
  <si>
    <t xml:space="preserve">FEE1224</t>
  </si>
  <si>
    <t xml:space="preserve">FEE1225</t>
  </si>
  <si>
    <t xml:space="preserve">FEE1226</t>
  </si>
  <si>
    <t xml:space="preserve">FEE1227</t>
  </si>
  <si>
    <t xml:space="preserve">FEE1228</t>
  </si>
  <si>
    <t xml:space="preserve">FEE1229</t>
  </si>
  <si>
    <t xml:space="preserve">FEE1230</t>
  </si>
  <si>
    <t xml:space="preserve">FEE1231</t>
  </si>
  <si>
    <t xml:space="preserve">FEE1232</t>
  </si>
  <si>
    <t xml:space="preserve">FEE1233</t>
  </si>
  <si>
    <t xml:space="preserve">FEE1234</t>
  </si>
  <si>
    <t xml:space="preserve">FEE1235</t>
  </si>
  <si>
    <t xml:space="preserve">FEE1236</t>
  </si>
  <si>
    <t xml:space="preserve">FEE1237</t>
  </si>
  <si>
    <t xml:space="preserve">FEE1238</t>
  </si>
  <si>
    <t xml:space="preserve">FEE1239</t>
  </si>
  <si>
    <t xml:space="preserve">FEE1240</t>
  </si>
  <si>
    <t xml:space="preserve">FEE1241</t>
  </si>
  <si>
    <t xml:space="preserve">FEE1242</t>
  </si>
  <si>
    <t xml:space="preserve">FEE1243</t>
  </si>
  <si>
    <t xml:space="preserve">FEE1244</t>
  </si>
  <si>
    <t xml:space="preserve">FEE1245</t>
  </si>
  <si>
    <t xml:space="preserve">FEE1246</t>
  </si>
  <si>
    <t xml:space="preserve">FEE1247</t>
  </si>
  <si>
    <t xml:space="preserve">FEE1248</t>
  </si>
  <si>
    <t xml:space="preserve">FEE1249</t>
  </si>
  <si>
    <t xml:space="preserve">FEE1250</t>
  </si>
  <si>
    <t xml:space="preserve">FEE1251</t>
  </si>
  <si>
    <t xml:space="preserve">FEE1252</t>
  </si>
  <si>
    <t xml:space="preserve">FEE1253</t>
  </si>
  <si>
    <t xml:space="preserve">FEE1254</t>
  </si>
  <si>
    <t xml:space="preserve">FEE1255</t>
  </si>
  <si>
    <t xml:space="preserve">FEE1256</t>
  </si>
  <si>
    <t xml:space="preserve">FEE1257</t>
  </si>
  <si>
    <t xml:space="preserve">FEE1258</t>
  </si>
  <si>
    <t xml:space="preserve">FEE1259</t>
  </si>
  <si>
    <t xml:space="preserve">FEE1260</t>
  </si>
  <si>
    <t xml:space="preserve">FEE1261</t>
  </si>
  <si>
    <t xml:space="preserve">FEE1262</t>
  </si>
  <si>
    <t xml:space="preserve">FEE1263</t>
  </si>
  <si>
    <t xml:space="preserve">FEE1264</t>
  </si>
  <si>
    <t xml:space="preserve">FEE1265</t>
  </si>
  <si>
    <t xml:space="preserve">FEE1266</t>
  </si>
  <si>
    <t xml:space="preserve">FEE1267</t>
  </si>
  <si>
    <t xml:space="preserve">FEE1268</t>
  </si>
  <si>
    <t xml:space="preserve">FEE1269</t>
  </si>
  <si>
    <t xml:space="preserve">FEE1270</t>
  </si>
  <si>
    <t xml:space="preserve">FEE1271</t>
  </si>
  <si>
    <t xml:space="preserve">FEE1272</t>
  </si>
  <si>
    <t xml:space="preserve">FEE1273</t>
  </si>
  <si>
    <t xml:space="preserve">FEE1274</t>
  </si>
  <si>
    <t xml:space="preserve">FEE1275</t>
  </si>
  <si>
    <t xml:space="preserve">FEE1276</t>
  </si>
  <si>
    <t xml:space="preserve">FEE1277</t>
  </si>
  <si>
    <t xml:space="preserve">FEE1278</t>
  </si>
  <si>
    <t xml:space="preserve">FEE1279</t>
  </si>
  <si>
    <t xml:space="preserve">FEE1280</t>
  </si>
  <si>
    <t xml:space="preserve">FEE1281</t>
  </si>
  <si>
    <t xml:space="preserve">FEE1282</t>
  </si>
  <si>
    <t xml:space="preserve">FEE1283</t>
  </si>
  <si>
    <t xml:space="preserve">FEE1284</t>
  </si>
  <si>
    <t xml:space="preserve">FEE1285</t>
  </si>
  <si>
    <t xml:space="preserve">FEE1286</t>
  </si>
  <si>
    <t xml:space="preserve">FEE1287</t>
  </si>
  <si>
    <t xml:space="preserve">FEE1288</t>
  </si>
  <si>
    <t xml:space="preserve">FEE1289</t>
  </si>
  <si>
    <t xml:space="preserve">FEE1290</t>
  </si>
  <si>
    <t xml:space="preserve">FEE1291</t>
  </si>
  <si>
    <t xml:space="preserve">FEE1292</t>
  </si>
  <si>
    <t xml:space="preserve">FEE1293</t>
  </si>
  <si>
    <t xml:space="preserve">FEE1294</t>
  </si>
  <si>
    <t xml:space="preserve">FEE1295</t>
  </si>
  <si>
    <t xml:space="preserve">FEE1296</t>
  </si>
  <si>
    <t xml:space="preserve">FEE1297</t>
  </si>
  <si>
    <t xml:space="preserve">FEE1298</t>
  </si>
  <si>
    <t xml:space="preserve">FEE1299</t>
  </si>
  <si>
    <t xml:space="preserve">FEE1300</t>
  </si>
  <si>
    <t xml:space="preserve">FEE1301</t>
  </si>
  <si>
    <t xml:space="preserve">FEE1302</t>
  </si>
  <si>
    <t xml:space="preserve">FEE1303</t>
  </si>
  <si>
    <t xml:space="preserve">FEE1304</t>
  </si>
  <si>
    <t xml:space="preserve">FEE1305</t>
  </si>
  <si>
    <t xml:space="preserve">FEE1306</t>
  </si>
  <si>
    <t xml:space="preserve">FEE1307</t>
  </si>
  <si>
    <t xml:space="preserve">FEE1308</t>
  </si>
  <si>
    <t xml:space="preserve">FEE1309</t>
  </si>
  <si>
    <t xml:space="preserve">FEE1310</t>
  </si>
  <si>
    <t xml:space="preserve">FEE1311</t>
  </si>
  <si>
    <t xml:space="preserve">FEE1312</t>
  </si>
  <si>
    <t xml:space="preserve">FEE1313</t>
  </si>
  <si>
    <t xml:space="preserve">FEE1314</t>
  </si>
  <si>
    <t xml:space="preserve">FEE1315</t>
  </si>
  <si>
    <t xml:space="preserve">FEE1316</t>
  </si>
  <si>
    <t xml:space="preserve">FEE1317</t>
  </si>
  <si>
    <t xml:space="preserve">FEE1318</t>
  </si>
  <si>
    <t xml:space="preserve">FEE1319</t>
  </si>
  <si>
    <t xml:space="preserve">FEE1320</t>
  </si>
  <si>
    <t xml:space="preserve">FEE1321</t>
  </si>
  <si>
    <t xml:space="preserve">FEE1322</t>
  </si>
  <si>
    <t xml:space="preserve">FEE1323</t>
  </si>
  <si>
    <t xml:space="preserve">FEE1324</t>
  </si>
  <si>
    <t xml:space="preserve">FEE1325</t>
  </si>
  <si>
    <t xml:space="preserve">FEE1326</t>
  </si>
  <si>
    <t xml:space="preserve">FEE1327</t>
  </si>
  <si>
    <t xml:space="preserve">FEE1328</t>
  </si>
  <si>
    <t xml:space="preserve">FEE1329</t>
  </si>
  <si>
    <t xml:space="preserve">FEE1330</t>
  </si>
  <si>
    <t xml:space="preserve">FEE1331</t>
  </si>
  <si>
    <t xml:space="preserve">FEE1332</t>
  </si>
  <si>
    <t xml:space="preserve">FEE1333</t>
  </si>
  <si>
    <t xml:space="preserve">FEE1334</t>
  </si>
  <si>
    <t xml:space="preserve">FEE1335</t>
  </si>
  <si>
    <t xml:space="preserve">FEE1336</t>
  </si>
  <si>
    <t xml:space="preserve">FEE1337</t>
  </si>
  <si>
    <t xml:space="preserve">FEE1338</t>
  </si>
  <si>
    <t xml:space="preserve">FEE1339</t>
  </si>
  <si>
    <t xml:space="preserve">FEE1340</t>
  </si>
  <si>
    <t xml:space="preserve">FEE1341</t>
  </si>
  <si>
    <t xml:space="preserve">FEE1342</t>
  </si>
  <si>
    <t xml:space="preserve">FEE1343</t>
  </si>
  <si>
    <t xml:space="preserve">FEE1344</t>
  </si>
  <si>
    <t xml:space="preserve">FEE1345</t>
  </si>
  <si>
    <t xml:space="preserve">FEE1346</t>
  </si>
  <si>
    <t xml:space="preserve">FEE1347</t>
  </si>
  <si>
    <t xml:space="preserve">FEE1348</t>
  </si>
  <si>
    <t xml:space="preserve">FEE1349</t>
  </si>
  <si>
    <t xml:space="preserve">FEE1350</t>
  </si>
  <si>
    <t xml:space="preserve">FEE1351</t>
  </si>
  <si>
    <t xml:space="preserve">FEE1352</t>
  </si>
  <si>
    <t xml:space="preserve">FEE1353</t>
  </si>
  <si>
    <t xml:space="preserve">FEE1354</t>
  </si>
  <si>
    <t xml:space="preserve">FEE1355</t>
  </si>
  <si>
    <t xml:space="preserve">FEE1356</t>
  </si>
  <si>
    <t xml:space="preserve">FEE1357</t>
  </si>
  <si>
    <t xml:space="preserve">FEE1358</t>
  </si>
  <si>
    <t xml:space="preserve">FEE1359</t>
  </si>
  <si>
    <t xml:space="preserve">FEE1360</t>
  </si>
  <si>
    <t xml:space="preserve">FEE1361</t>
  </si>
  <si>
    <t xml:space="preserve">FEE1362</t>
  </si>
  <si>
    <t xml:space="preserve">FEE1363</t>
  </si>
  <si>
    <t xml:space="preserve">FEE1364</t>
  </si>
  <si>
    <t xml:space="preserve">FEE1365</t>
  </si>
  <si>
    <t xml:space="preserve">FEE1366</t>
  </si>
  <si>
    <t xml:space="preserve">FEE1367</t>
  </si>
  <si>
    <t xml:space="preserve">FEE1368</t>
  </si>
  <si>
    <t xml:space="preserve">FEE1369</t>
  </si>
  <si>
    <t xml:space="preserve">FEE1370</t>
  </si>
  <si>
    <t xml:space="preserve">FEE1371</t>
  </si>
  <si>
    <t xml:space="preserve">FEE1372</t>
  </si>
  <si>
    <t xml:space="preserve">FEE1373</t>
  </si>
  <si>
    <t xml:space="preserve">FEE1374</t>
  </si>
  <si>
    <t xml:space="preserve">FEE1375</t>
  </si>
  <si>
    <t xml:space="preserve">FEE1376</t>
  </si>
  <si>
    <t xml:space="preserve">FEE1377</t>
  </si>
  <si>
    <t xml:space="preserve">FEE1378</t>
  </si>
  <si>
    <t xml:space="preserve">FEE1379</t>
  </si>
  <si>
    <t xml:space="preserve">FEE1380</t>
  </si>
  <si>
    <t xml:space="preserve">FEE1381</t>
  </si>
  <si>
    <t xml:space="preserve">FEE1382</t>
  </si>
  <si>
    <t xml:space="preserve">FEE1383</t>
  </si>
  <si>
    <t xml:space="preserve">FEE1384</t>
  </si>
  <si>
    <t xml:space="preserve">FEE1385</t>
  </si>
  <si>
    <t xml:space="preserve">FEE1386</t>
  </si>
  <si>
    <t xml:space="preserve">FEE1387</t>
  </si>
  <si>
    <t xml:space="preserve">FEE1388</t>
  </si>
  <si>
    <t xml:space="preserve">FEE1389</t>
  </si>
  <si>
    <t xml:space="preserve">FEE1390</t>
  </si>
  <si>
    <t xml:space="preserve">FEE1391</t>
  </si>
  <si>
    <t xml:space="preserve">FEE1392</t>
  </si>
  <si>
    <t xml:space="preserve">FEE1393</t>
  </si>
  <si>
    <t xml:space="preserve">FEE1394</t>
  </si>
  <si>
    <t xml:space="preserve">FEE1395</t>
  </si>
  <si>
    <t xml:space="preserve">FEE1396</t>
  </si>
  <si>
    <t xml:space="preserve">FEE1397</t>
  </si>
  <si>
    <t xml:space="preserve">FEE1398</t>
  </si>
  <si>
    <t xml:space="preserve">FEE1399</t>
  </si>
  <si>
    <t xml:space="preserve">FEE1400</t>
  </si>
  <si>
    <t xml:space="preserve">FEE1401</t>
  </si>
  <si>
    <t xml:space="preserve">FEE1402</t>
  </si>
  <si>
    <t xml:space="preserve">FEE1403</t>
  </si>
  <si>
    <t xml:space="preserve">FEE1404</t>
  </si>
  <si>
    <t xml:space="preserve">FEE1405</t>
  </si>
  <si>
    <t xml:space="preserve">FEE1406</t>
  </si>
  <si>
    <t xml:space="preserve">FEE1407</t>
  </si>
  <si>
    <t xml:space="preserve">FEE1408</t>
  </si>
  <si>
    <t xml:space="preserve">FEE1409</t>
  </si>
  <si>
    <t xml:space="preserve">FEE1410</t>
  </si>
  <si>
    <t xml:space="preserve">FEE1411</t>
  </si>
  <si>
    <t xml:space="preserve">FEE1412</t>
  </si>
  <si>
    <t xml:space="preserve">FEE1413</t>
  </si>
  <si>
    <t xml:space="preserve">FEE1414</t>
  </si>
  <si>
    <t xml:space="preserve">FEE1415</t>
  </si>
  <si>
    <t xml:space="preserve">FEE1416</t>
  </si>
  <si>
    <t xml:space="preserve">FEE1417</t>
  </si>
  <si>
    <t xml:space="preserve">FEE1418</t>
  </si>
  <si>
    <t xml:space="preserve">FEE1419</t>
  </si>
  <si>
    <t xml:space="preserve">FEE1420</t>
  </si>
  <si>
    <t xml:space="preserve">FEE1421</t>
  </si>
  <si>
    <t xml:space="preserve">FEE1422</t>
  </si>
  <si>
    <t xml:space="preserve">FEE1423</t>
  </si>
  <si>
    <t xml:space="preserve">FEE1424</t>
  </si>
  <si>
    <t xml:space="preserve">FEE1425</t>
  </si>
  <si>
    <t xml:space="preserve">FEE1426</t>
  </si>
  <si>
    <t xml:space="preserve">FEE1427</t>
  </si>
  <si>
    <t xml:space="preserve">FEE1428</t>
  </si>
  <si>
    <t xml:space="preserve">FEE1429</t>
  </si>
  <si>
    <t xml:space="preserve">FEE1430</t>
  </si>
  <si>
    <t xml:space="preserve">FEE1431</t>
  </si>
  <si>
    <t xml:space="preserve">FEE1432</t>
  </si>
  <si>
    <t xml:space="preserve">FEE1433</t>
  </si>
  <si>
    <t xml:space="preserve">FEE1434</t>
  </si>
  <si>
    <t xml:space="preserve">FEE1435</t>
  </si>
  <si>
    <t xml:space="preserve">FEE1436</t>
  </si>
  <si>
    <t xml:space="preserve">FEE1437</t>
  </si>
  <si>
    <t xml:space="preserve">FEE1438</t>
  </si>
  <si>
    <t xml:space="preserve">FEE1439</t>
  </si>
  <si>
    <t xml:space="preserve">FEE1440</t>
  </si>
  <si>
    <t xml:space="preserve">FEE1441</t>
  </si>
  <si>
    <t xml:space="preserve">FEE1442</t>
  </si>
  <si>
    <t xml:space="preserve">FEE1443</t>
  </si>
  <si>
    <t xml:space="preserve">FEE1444</t>
  </si>
  <si>
    <t xml:space="preserve">FEE1445</t>
  </si>
  <si>
    <t xml:space="preserve">FEE1446</t>
  </si>
  <si>
    <t xml:space="preserve">FEE1447</t>
  </si>
  <si>
    <t xml:space="preserve">FEE1448</t>
  </si>
  <si>
    <t xml:space="preserve">FEE1449</t>
  </si>
  <si>
    <t xml:space="preserve">FEE1450</t>
  </si>
  <si>
    <t xml:space="preserve">FEE1451</t>
  </si>
  <si>
    <t xml:space="preserve">FEE1452</t>
  </si>
  <si>
    <t xml:space="preserve">FEE1453</t>
  </si>
  <si>
    <t xml:space="preserve">FEE1454</t>
  </si>
  <si>
    <t xml:space="preserve">FEE1455</t>
  </si>
  <si>
    <t xml:space="preserve">FEE1456</t>
  </si>
  <si>
    <t xml:space="preserve">FEE1457</t>
  </si>
  <si>
    <t xml:space="preserve">FEE1458</t>
  </si>
  <si>
    <t xml:space="preserve">FEE1459</t>
  </si>
  <si>
    <t xml:space="preserve">FEE1460</t>
  </si>
  <si>
    <t xml:space="preserve">FEE1461</t>
  </si>
  <si>
    <t xml:space="preserve">FEE1462</t>
  </si>
  <si>
    <t xml:space="preserve">FEE1463</t>
  </si>
  <si>
    <t xml:space="preserve">FEE1464</t>
  </si>
  <si>
    <t xml:space="preserve">FEE1465</t>
  </si>
  <si>
    <t xml:space="preserve">FEE1466</t>
  </si>
  <si>
    <t xml:space="preserve">FEE1467</t>
  </si>
  <si>
    <t xml:space="preserve">FEE1468</t>
  </si>
  <si>
    <t xml:space="preserve">FEE1469</t>
  </si>
  <si>
    <t xml:space="preserve">FEE1470</t>
  </si>
  <si>
    <t xml:space="preserve">FEE1471</t>
  </si>
  <si>
    <t xml:space="preserve">FEE1472</t>
  </si>
  <si>
    <t xml:space="preserve">FEE1473</t>
  </si>
  <si>
    <t xml:space="preserve">FEE1474</t>
  </si>
  <si>
    <t xml:space="preserve">FEE1475</t>
  </si>
  <si>
    <t xml:space="preserve">FEE1476</t>
  </si>
  <si>
    <t xml:space="preserve">FEE1477</t>
  </si>
  <si>
    <t xml:space="preserve">FEE1478</t>
  </si>
  <si>
    <t xml:space="preserve">FEE1479</t>
  </si>
  <si>
    <t xml:space="preserve">FEE1480</t>
  </si>
  <si>
    <t xml:space="preserve">FEE1481</t>
  </si>
  <si>
    <t xml:space="preserve">FEE1482</t>
  </si>
  <si>
    <t xml:space="preserve">FEE1483</t>
  </si>
  <si>
    <t xml:space="preserve">FEE1484</t>
  </si>
  <si>
    <t xml:space="preserve">FEE1485</t>
  </si>
  <si>
    <t xml:space="preserve">FEE1486</t>
  </si>
  <si>
    <t xml:space="preserve">FEE1487</t>
  </si>
  <si>
    <t xml:space="preserve">FEE1488</t>
  </si>
  <si>
    <t xml:space="preserve">FEE1489</t>
  </si>
  <si>
    <t xml:space="preserve">FEE1490</t>
  </si>
  <si>
    <t xml:space="preserve">FEE1491</t>
  </si>
  <si>
    <t xml:space="preserve">FEE1492</t>
  </si>
  <si>
    <t xml:space="preserve">FEE1493</t>
  </si>
  <si>
    <t xml:space="preserve">FEE1494</t>
  </si>
  <si>
    <t xml:space="preserve">FEE1495</t>
  </si>
  <si>
    <t xml:space="preserve">FEE1496</t>
  </si>
  <si>
    <t xml:space="preserve">FEE1497</t>
  </si>
  <si>
    <t xml:space="preserve">FEE1498</t>
  </si>
  <si>
    <t xml:space="preserve">FEE1499</t>
  </si>
  <si>
    <t xml:space="preserve">FEE1500</t>
  </si>
  <si>
    <t xml:space="preserve">FEE1501</t>
  </si>
  <si>
    <t xml:space="preserve">FEE1502</t>
  </si>
  <si>
    <t xml:space="preserve">FEE1503</t>
  </si>
  <si>
    <t xml:space="preserve">FEE1504</t>
  </si>
  <si>
    <t xml:space="preserve">FEE1505</t>
  </si>
  <si>
    <t xml:space="preserve">FEE1506</t>
  </si>
  <si>
    <t xml:space="preserve">FEE1507</t>
  </si>
  <si>
    <t xml:space="preserve">FEE1508</t>
  </si>
  <si>
    <t xml:space="preserve">FEE1509</t>
  </si>
  <si>
    <t xml:space="preserve">FEE1510</t>
  </si>
  <si>
    <t xml:space="preserve">FEE1511</t>
  </si>
  <si>
    <t xml:space="preserve">FEE1512</t>
  </si>
  <si>
    <t xml:space="preserve">FEE1513</t>
  </si>
  <si>
    <t xml:space="preserve">FEE1514</t>
  </si>
  <si>
    <t xml:space="preserve">FEE1515</t>
  </si>
  <si>
    <t xml:space="preserve">FEE1516</t>
  </si>
  <si>
    <t xml:space="preserve">FEE1517</t>
  </si>
  <si>
    <t xml:space="preserve">FEE1518</t>
  </si>
  <si>
    <t xml:space="preserve">FEE1519</t>
  </si>
  <si>
    <t xml:space="preserve">FEE1520</t>
  </si>
  <si>
    <t xml:space="preserve">FEE1521</t>
  </si>
  <si>
    <t xml:space="preserve">FEE1522</t>
  </si>
  <si>
    <t xml:space="preserve">FEE1523</t>
  </si>
  <si>
    <t xml:space="preserve">FEE1524</t>
  </si>
  <si>
    <t xml:space="preserve">FEE1525</t>
  </si>
  <si>
    <t xml:space="preserve">FEE1526</t>
  </si>
  <si>
    <t xml:space="preserve">FEE1527</t>
  </si>
  <si>
    <t xml:space="preserve">FEE1528</t>
  </si>
  <si>
    <t xml:space="preserve">FEE1529</t>
  </si>
  <si>
    <t xml:space="preserve">FEE1530</t>
  </si>
  <si>
    <t xml:space="preserve">FEE1531</t>
  </si>
  <si>
    <t xml:space="preserve">FEE1532</t>
  </si>
  <si>
    <t xml:space="preserve">FEE1533</t>
  </si>
  <si>
    <t xml:space="preserve">FEE1534</t>
  </si>
  <si>
    <t xml:space="preserve">FEE1535</t>
  </si>
  <si>
    <t xml:space="preserve">FEE1536</t>
  </si>
  <si>
    <t xml:space="preserve">FEE1537</t>
  </si>
  <si>
    <t xml:space="preserve">FEE1538</t>
  </si>
  <si>
    <t xml:space="preserve">FEE1539</t>
  </si>
  <si>
    <t xml:space="preserve">FEE1540</t>
  </si>
  <si>
    <t xml:space="preserve">FEE1541</t>
  </si>
  <si>
    <t xml:space="preserve">FEE1542</t>
  </si>
  <si>
    <t xml:space="preserve">FEE1543</t>
  </si>
  <si>
    <t xml:space="preserve">FEE1544</t>
  </si>
  <si>
    <t xml:space="preserve">FEE1545</t>
  </si>
  <si>
    <t xml:space="preserve">FEE1546</t>
  </si>
  <si>
    <t xml:space="preserve">FEE1547</t>
  </si>
  <si>
    <t xml:space="preserve">FEE1548</t>
  </si>
  <si>
    <t xml:space="preserve">FEE1549</t>
  </si>
  <si>
    <t xml:space="preserve">FEE1550</t>
  </si>
  <si>
    <t xml:space="preserve">FEE1551</t>
  </si>
  <si>
    <t xml:space="preserve">FEE1552</t>
  </si>
  <si>
    <t xml:space="preserve">FEE1553</t>
  </si>
  <si>
    <t xml:space="preserve">FEE1554</t>
  </si>
  <si>
    <t xml:space="preserve">FEE1555</t>
  </si>
  <si>
    <t xml:space="preserve">FEE1556</t>
  </si>
  <si>
    <t xml:space="preserve">FEE1557</t>
  </si>
  <si>
    <t xml:space="preserve">FEE1558</t>
  </si>
  <si>
    <t xml:space="preserve">FEE1559</t>
  </si>
  <si>
    <t xml:space="preserve">FEE1560</t>
  </si>
  <si>
    <t xml:space="preserve">FEE1561</t>
  </si>
  <si>
    <t xml:space="preserve">FEE1562</t>
  </si>
  <si>
    <t xml:space="preserve">FEE1563</t>
  </si>
  <si>
    <t xml:space="preserve">FEE1564</t>
  </si>
  <si>
    <t xml:space="preserve">FEE1565</t>
  </si>
  <si>
    <t xml:space="preserve">FEE1566</t>
  </si>
  <si>
    <t xml:space="preserve">FEE1567</t>
  </si>
  <si>
    <t xml:space="preserve">FEE1568</t>
  </si>
  <si>
    <t xml:space="preserve">FEE1569</t>
  </si>
  <si>
    <t xml:space="preserve">FEE1570</t>
  </si>
  <si>
    <t xml:space="preserve">FEE1571</t>
  </si>
  <si>
    <t xml:space="preserve">FEE1572</t>
  </si>
  <si>
    <t xml:space="preserve">FEE1573</t>
  </si>
  <si>
    <t xml:space="preserve">FEE1574</t>
  </si>
  <si>
    <t xml:space="preserve">FEE1575</t>
  </si>
  <si>
    <t xml:space="preserve">FEE1576</t>
  </si>
  <si>
    <t xml:space="preserve">FEE1577</t>
  </si>
  <si>
    <t xml:space="preserve">FEE1578</t>
  </si>
  <si>
    <t xml:space="preserve">FEE1579</t>
  </si>
  <si>
    <t xml:space="preserve">FEE1580</t>
  </si>
  <si>
    <t xml:space="preserve">FEE1581</t>
  </si>
  <si>
    <t xml:space="preserve">FEE1582</t>
  </si>
  <si>
    <t xml:space="preserve">FEE1583</t>
  </si>
  <si>
    <t xml:space="preserve">FEE1584</t>
  </si>
  <si>
    <t xml:space="preserve">FEE1585</t>
  </si>
  <si>
    <t xml:space="preserve">FEE1586</t>
  </si>
  <si>
    <t xml:space="preserve">FEE1587</t>
  </si>
  <si>
    <t xml:space="preserve">FEE1588</t>
  </si>
  <si>
    <t xml:space="preserve">FEE1589</t>
  </si>
  <si>
    <t xml:space="preserve">FEE1590</t>
  </si>
  <si>
    <t xml:space="preserve">FEE1591</t>
  </si>
  <si>
    <t xml:space="preserve">FEE1592</t>
  </si>
  <si>
    <t xml:space="preserve">FEE1593</t>
  </si>
  <si>
    <t xml:space="preserve">FEE1594</t>
  </si>
  <si>
    <t xml:space="preserve">FEE1595</t>
  </si>
  <si>
    <t xml:space="preserve">FEE1596</t>
  </si>
  <si>
    <t xml:space="preserve">FEE1597</t>
  </si>
  <si>
    <t xml:space="preserve">FEE1598</t>
  </si>
  <si>
    <t xml:space="preserve">FEE1599</t>
  </si>
  <si>
    <t xml:space="preserve">FEE1600</t>
  </si>
  <si>
    <t xml:space="preserve">FEE1601</t>
  </si>
  <si>
    <t xml:space="preserve">FEE1602</t>
  </si>
  <si>
    <t xml:space="preserve">FEE1603</t>
  </si>
  <si>
    <t xml:space="preserve">FEE1604</t>
  </si>
  <si>
    <t xml:space="preserve">FEE1605</t>
  </si>
  <si>
    <t xml:space="preserve">FEE1606</t>
  </si>
  <si>
    <t xml:space="preserve">FEE1607</t>
  </si>
  <si>
    <t xml:space="preserve">FEE1608</t>
  </si>
  <si>
    <t xml:space="preserve">FEE1609</t>
  </si>
  <si>
    <t xml:space="preserve">FEE1610</t>
  </si>
  <si>
    <t xml:space="preserve">FEE1611</t>
  </si>
  <si>
    <t xml:space="preserve">FEE1612</t>
  </si>
  <si>
    <t xml:space="preserve">FEE1613</t>
  </si>
  <si>
    <t xml:space="preserve">FEE1614</t>
  </si>
  <si>
    <t xml:space="preserve">FEE1615</t>
  </si>
  <si>
    <t xml:space="preserve">FEE1616</t>
  </si>
  <si>
    <t xml:space="preserve">FEE1617</t>
  </si>
  <si>
    <t xml:space="preserve">FEE1618</t>
  </si>
  <si>
    <t xml:space="preserve">FEE1619</t>
  </si>
  <si>
    <t xml:space="preserve">FEE1620</t>
  </si>
  <si>
    <t xml:space="preserve">FEE1621</t>
  </si>
  <si>
    <t xml:space="preserve">FEE1622</t>
  </si>
  <si>
    <t xml:space="preserve">FEE1623</t>
  </si>
  <si>
    <t xml:space="preserve">FEE1624</t>
  </si>
  <si>
    <t xml:space="preserve">FEE1625</t>
  </si>
  <si>
    <t xml:space="preserve">FEE1626</t>
  </si>
  <si>
    <t xml:space="preserve">FEE1627</t>
  </si>
  <si>
    <t xml:space="preserve">FEE1628</t>
  </si>
  <si>
    <t xml:space="preserve">FEE1629</t>
  </si>
  <si>
    <t xml:space="preserve">FEE1630</t>
  </si>
  <si>
    <t xml:space="preserve">FEE1631</t>
  </si>
  <si>
    <t xml:space="preserve">FEE1632</t>
  </si>
  <si>
    <t xml:space="preserve">FEE1633</t>
  </si>
  <si>
    <t xml:space="preserve">FEE1634</t>
  </si>
  <si>
    <t xml:space="preserve">FEE1635</t>
  </si>
  <si>
    <t xml:space="preserve">FEE1636</t>
  </si>
  <si>
    <t xml:space="preserve">FEE1637</t>
  </si>
  <si>
    <t xml:space="preserve">FEE1638</t>
  </si>
  <si>
    <t xml:space="preserve">FEE1639</t>
  </si>
  <si>
    <t xml:space="preserve">FEE1640</t>
  </si>
  <si>
    <t xml:space="preserve">FEE1641</t>
  </si>
  <si>
    <t xml:space="preserve">FEE1642</t>
  </si>
  <si>
    <t xml:space="preserve">FEE1643</t>
  </si>
  <si>
    <t xml:space="preserve">FEE1644</t>
  </si>
  <si>
    <t xml:space="preserve">FEE1645</t>
  </si>
  <si>
    <t xml:space="preserve">FEE1646</t>
  </si>
  <si>
    <t xml:space="preserve">FEE1647</t>
  </si>
  <si>
    <t xml:space="preserve">FEE1648</t>
  </si>
  <si>
    <t xml:space="preserve">FEE1649</t>
  </si>
  <si>
    <t xml:space="preserve">FEE1650</t>
  </si>
  <si>
    <t xml:space="preserve">FEE1651</t>
  </si>
  <si>
    <t xml:space="preserve">FEE1652</t>
  </si>
  <si>
    <t xml:space="preserve">FEE1653</t>
  </si>
  <si>
    <t xml:space="preserve">FEE1654</t>
  </si>
  <si>
    <t xml:space="preserve">FEE1655</t>
  </si>
  <si>
    <t xml:space="preserve">FEE1656</t>
  </si>
  <si>
    <t xml:space="preserve">FEE1657</t>
  </si>
  <si>
    <t xml:space="preserve">FEE1658</t>
  </si>
  <si>
    <t xml:space="preserve">FEE1659</t>
  </si>
  <si>
    <t xml:space="preserve">FEE1660</t>
  </si>
  <si>
    <t xml:space="preserve">FEE1661</t>
  </si>
  <si>
    <t xml:space="preserve">FEE1662</t>
  </si>
  <si>
    <t xml:space="preserve">FEE1663</t>
  </si>
  <si>
    <t xml:space="preserve">FEE1664</t>
  </si>
  <si>
    <t xml:space="preserve">FEE1665</t>
  </si>
  <si>
    <t xml:space="preserve">FEE1666</t>
  </si>
  <si>
    <t xml:space="preserve">FEE1667</t>
  </si>
  <si>
    <t xml:space="preserve">FEE1668</t>
  </si>
  <si>
    <t xml:space="preserve">FEE1669</t>
  </si>
  <si>
    <t xml:space="preserve">FEE1670</t>
  </si>
  <si>
    <t xml:space="preserve">FEE1671</t>
  </si>
  <si>
    <t xml:space="preserve">FEE1672</t>
  </si>
  <si>
    <t xml:space="preserve">FEE1673</t>
  </si>
  <si>
    <t xml:space="preserve">FEE1674</t>
  </si>
  <si>
    <t xml:space="preserve">FEE1675</t>
  </si>
  <si>
    <t xml:space="preserve">FEE1676</t>
  </si>
  <si>
    <t xml:space="preserve">FEE1677</t>
  </si>
  <si>
    <t xml:space="preserve">FEE1678</t>
  </si>
  <si>
    <t xml:space="preserve">FEE1679</t>
  </si>
  <si>
    <t xml:space="preserve">FEE1680</t>
  </si>
  <si>
    <t xml:space="preserve">FEE1681</t>
  </si>
  <si>
    <t xml:space="preserve">FEE1682</t>
  </si>
  <si>
    <t xml:space="preserve">FEE1683</t>
  </si>
  <si>
    <t xml:space="preserve">FEE1684</t>
  </si>
  <si>
    <t xml:space="preserve">FEE1685</t>
  </si>
  <si>
    <t xml:space="preserve">FEE1686</t>
  </si>
  <si>
    <t xml:space="preserve">FEE1687</t>
  </si>
  <si>
    <t xml:space="preserve">FEE1688</t>
  </si>
  <si>
    <t xml:space="preserve">FEE1689</t>
  </si>
  <si>
    <t xml:space="preserve">FEE1690</t>
  </si>
  <si>
    <t xml:space="preserve">FEE1691</t>
  </si>
  <si>
    <t xml:space="preserve">FEE1692</t>
  </si>
  <si>
    <t xml:space="preserve">FEE1693</t>
  </si>
  <si>
    <t xml:space="preserve">FEE1694</t>
  </si>
  <si>
    <t xml:space="preserve">FEE1695</t>
  </si>
  <si>
    <t xml:space="preserve">FEE1696</t>
  </si>
  <si>
    <t xml:space="preserve">FEE1697</t>
  </si>
  <si>
    <t xml:space="preserve">FEE1698</t>
  </si>
  <si>
    <t xml:space="preserve">FEE1699</t>
  </si>
  <si>
    <t xml:space="preserve">FEE1700</t>
  </si>
  <si>
    <t xml:space="preserve">FEE1701</t>
  </si>
  <si>
    <t xml:space="preserve">FEE1702</t>
  </si>
  <si>
    <t xml:space="preserve">FEE1703</t>
  </si>
  <si>
    <t xml:space="preserve">FEE1704</t>
  </si>
  <si>
    <t xml:space="preserve">FEE1705</t>
  </si>
  <si>
    <t xml:space="preserve">FEE1706</t>
  </si>
  <si>
    <t xml:space="preserve">FEE1707</t>
  </si>
  <si>
    <t xml:space="preserve">FEE1708</t>
  </si>
  <si>
    <t xml:space="preserve">FEE1709</t>
  </si>
  <si>
    <t xml:space="preserve">FEE1710</t>
  </si>
  <si>
    <t xml:space="preserve">FEE1711</t>
  </si>
  <si>
    <t xml:space="preserve">FEE1712</t>
  </si>
  <si>
    <t xml:space="preserve">FEE1713</t>
  </si>
  <si>
    <t xml:space="preserve">FEE1714</t>
  </si>
  <si>
    <t xml:space="preserve">FEE1715</t>
  </si>
  <si>
    <t xml:space="preserve">FEE1716</t>
  </si>
  <si>
    <t xml:space="preserve">FEE1717</t>
  </si>
  <si>
    <t xml:space="preserve">FEE1718</t>
  </si>
  <si>
    <t xml:space="preserve">FEE1719</t>
  </si>
  <si>
    <t xml:space="preserve">FEE1720</t>
  </si>
  <si>
    <t xml:space="preserve">FEE1721</t>
  </si>
  <si>
    <t xml:space="preserve">FEE1722</t>
  </si>
  <si>
    <t xml:space="preserve">FEE1723</t>
  </si>
  <si>
    <t xml:space="preserve">FEE1724</t>
  </si>
  <si>
    <t xml:space="preserve">FEE1725</t>
  </si>
  <si>
    <t xml:space="preserve">FEE1726</t>
  </si>
  <si>
    <t xml:space="preserve">FEE1727</t>
  </si>
  <si>
    <t xml:space="preserve">FEE1728</t>
  </si>
  <si>
    <t xml:space="preserve">FEE1729</t>
  </si>
  <si>
    <t xml:space="preserve">FEE1730</t>
  </si>
  <si>
    <t xml:space="preserve">FEE1731</t>
  </si>
  <si>
    <t xml:space="preserve">FEE1732</t>
  </si>
  <si>
    <t xml:space="preserve">FEE1733</t>
  </si>
  <si>
    <t xml:space="preserve">FEE1734</t>
  </si>
  <si>
    <t xml:space="preserve">FEE1735</t>
  </si>
  <si>
    <t xml:space="preserve">FEE1736</t>
  </si>
  <si>
    <t xml:space="preserve">FEE1737</t>
  </si>
  <si>
    <t xml:space="preserve">FEE1738</t>
  </si>
  <si>
    <t xml:space="preserve">FEE1739</t>
  </si>
  <si>
    <t xml:space="preserve">FEE1740</t>
  </si>
  <si>
    <t xml:space="preserve">FEE1741</t>
  </si>
  <si>
    <t xml:space="preserve">FEE1742</t>
  </si>
  <si>
    <t xml:space="preserve">FEE1743</t>
  </si>
  <si>
    <t xml:space="preserve">FEE1744</t>
  </si>
  <si>
    <t xml:space="preserve">FEE1745</t>
  </si>
  <si>
    <t xml:space="preserve">FEE1746</t>
  </si>
  <si>
    <t xml:space="preserve">FEE1747</t>
  </si>
  <si>
    <t xml:space="preserve">FEE1748</t>
  </si>
  <si>
    <t xml:space="preserve">FEE1749</t>
  </si>
  <si>
    <t xml:space="preserve">FEE1750</t>
  </si>
  <si>
    <t xml:space="preserve">FEE1751</t>
  </si>
  <si>
    <t xml:space="preserve">FEE1752</t>
  </si>
  <si>
    <t xml:space="preserve">FEE1753</t>
  </si>
  <si>
    <t xml:space="preserve">FEE1754</t>
  </si>
  <si>
    <t xml:space="preserve">FEE1755</t>
  </si>
  <si>
    <t xml:space="preserve">FEE1756</t>
  </si>
  <si>
    <t xml:space="preserve">FEE1757</t>
  </si>
  <si>
    <t xml:space="preserve">FEE1758</t>
  </si>
  <si>
    <t xml:space="preserve">FEE1759</t>
  </si>
  <si>
    <t xml:space="preserve">FEE1760</t>
  </si>
  <si>
    <t xml:space="preserve">FEE1761</t>
  </si>
  <si>
    <t xml:space="preserve">FEE1762</t>
  </si>
  <si>
    <t xml:space="preserve">FEE1763</t>
  </si>
  <si>
    <t xml:space="preserve">FEE1764</t>
  </si>
  <si>
    <t xml:space="preserve">FEE1765</t>
  </si>
  <si>
    <t xml:space="preserve">FEE1766</t>
  </si>
  <si>
    <t xml:space="preserve">FEE1767</t>
  </si>
  <si>
    <t xml:space="preserve">FEE1768</t>
  </si>
  <si>
    <t xml:space="preserve">FEE1769</t>
  </si>
  <si>
    <t xml:space="preserve">FEE1770</t>
  </si>
  <si>
    <t xml:space="preserve">FEE1771</t>
  </si>
  <si>
    <t xml:space="preserve">FEE1772</t>
  </si>
  <si>
    <t xml:space="preserve">FEE1773</t>
  </si>
  <si>
    <t xml:space="preserve">FEE1774</t>
  </si>
  <si>
    <t xml:space="preserve">FEE1775</t>
  </si>
  <si>
    <t xml:space="preserve">FEE1776</t>
  </si>
  <si>
    <t xml:space="preserve">FEE1777</t>
  </si>
  <si>
    <t xml:space="preserve">FEE1778</t>
  </si>
  <si>
    <t xml:space="preserve">FEE1779</t>
  </si>
  <si>
    <t xml:space="preserve">FEE1780</t>
  </si>
  <si>
    <t xml:space="preserve">FEE1781</t>
  </si>
  <si>
    <t xml:space="preserve">FEE1782</t>
  </si>
  <si>
    <t xml:space="preserve">FEE1783</t>
  </si>
  <si>
    <t xml:space="preserve">FEE1784</t>
  </si>
  <si>
    <t xml:space="preserve">FEE1785</t>
  </si>
  <si>
    <t xml:space="preserve">FEE1786</t>
  </si>
  <si>
    <t xml:space="preserve">FEE1787</t>
  </si>
  <si>
    <t xml:space="preserve">FEE1788</t>
  </si>
  <si>
    <t xml:space="preserve">FEE1789</t>
  </si>
  <si>
    <t xml:space="preserve">FEE1790</t>
  </si>
  <si>
    <t xml:space="preserve">FEE1791</t>
  </si>
  <si>
    <t xml:space="preserve">FEE1792</t>
  </si>
  <si>
    <t xml:space="preserve">FEE1793</t>
  </si>
  <si>
    <t xml:space="preserve">FEE1794</t>
  </si>
  <si>
    <t xml:space="preserve">FEE1795</t>
  </si>
  <si>
    <t xml:space="preserve">FEE1796</t>
  </si>
  <si>
    <t xml:space="preserve">FEE1797</t>
  </si>
  <si>
    <t xml:space="preserve">FEE1798</t>
  </si>
  <si>
    <t xml:space="preserve">FEE1799</t>
  </si>
  <si>
    <t xml:space="preserve">FEE1800</t>
  </si>
  <si>
    <t xml:space="preserve">FEE1801</t>
  </si>
  <si>
    <t xml:space="preserve">FEE1802</t>
  </si>
  <si>
    <t xml:space="preserve">FEE1803</t>
  </si>
  <si>
    <t xml:space="preserve">FEE1804</t>
  </si>
  <si>
    <t xml:space="preserve">FEE1805</t>
  </si>
  <si>
    <t xml:space="preserve">FEE1806</t>
  </si>
  <si>
    <t xml:space="preserve">FEE1807</t>
  </si>
  <si>
    <t xml:space="preserve">FEE1808</t>
  </si>
  <si>
    <t xml:space="preserve">FEE1809</t>
  </si>
  <si>
    <t xml:space="preserve">FEE1810</t>
  </si>
  <si>
    <t xml:space="preserve">FEE1811</t>
  </si>
  <si>
    <t xml:space="preserve">FEE1812</t>
  </si>
  <si>
    <t xml:space="preserve">FEE1813</t>
  </si>
  <si>
    <t xml:space="preserve">FEE1814</t>
  </si>
  <si>
    <t xml:space="preserve">FEE1815</t>
  </si>
  <si>
    <t xml:space="preserve">FEE1816</t>
  </si>
  <si>
    <t xml:space="preserve">FEE1817</t>
  </si>
  <si>
    <t xml:space="preserve">FEE1818</t>
  </si>
  <si>
    <t xml:space="preserve">FEE1819</t>
  </si>
  <si>
    <t xml:space="preserve">FEE1820</t>
  </si>
  <si>
    <t xml:space="preserve">FEE1821</t>
  </si>
  <si>
    <t xml:space="preserve">FEE1822</t>
  </si>
  <si>
    <t xml:space="preserve">FEE1823</t>
  </si>
  <si>
    <t xml:space="preserve">FEE1824</t>
  </si>
  <si>
    <t xml:space="preserve">FEE1825</t>
  </si>
  <si>
    <t xml:space="preserve">FEE1826</t>
  </si>
  <si>
    <t xml:space="preserve">FEE1827</t>
  </si>
  <si>
    <t xml:space="preserve">FEE1828</t>
  </si>
  <si>
    <t xml:space="preserve">FEE1829</t>
  </si>
  <si>
    <t xml:space="preserve">FEE1830</t>
  </si>
  <si>
    <t xml:space="preserve">FEE1831</t>
  </si>
  <si>
    <t xml:space="preserve">FEE1832</t>
  </si>
  <si>
    <t xml:space="preserve">FEE1833</t>
  </si>
  <si>
    <t xml:space="preserve">FEE1834</t>
  </si>
  <si>
    <t xml:space="preserve">FEE1835</t>
  </si>
  <si>
    <t xml:space="preserve">FEE1836</t>
  </si>
  <si>
    <t xml:space="preserve">FEE1837</t>
  </si>
  <si>
    <t xml:space="preserve">FEE1838</t>
  </si>
  <si>
    <t xml:space="preserve">FEE1839</t>
  </si>
  <si>
    <t xml:space="preserve">FEE1840</t>
  </si>
  <si>
    <t xml:space="preserve">FEE1841</t>
  </si>
  <si>
    <t xml:space="preserve">FEE1842</t>
  </si>
  <si>
    <t xml:space="preserve">FEE1843</t>
  </si>
  <si>
    <t xml:space="preserve">FEE1844</t>
  </si>
  <si>
    <t xml:space="preserve">FEE1845</t>
  </si>
  <si>
    <t xml:space="preserve">FEE1846</t>
  </si>
  <si>
    <t xml:space="preserve">FEE1847</t>
  </si>
  <si>
    <t xml:space="preserve">FEE1848</t>
  </si>
  <si>
    <t xml:space="preserve">FEE1849</t>
  </si>
  <si>
    <t xml:space="preserve">FEE1850</t>
  </si>
  <si>
    <t xml:space="preserve">FEE1851</t>
  </si>
  <si>
    <t xml:space="preserve">FEE1852</t>
  </si>
  <si>
    <t xml:space="preserve">FEE1853</t>
  </si>
  <si>
    <t xml:space="preserve">FEE1854</t>
  </si>
  <si>
    <t xml:space="preserve">FEE1855</t>
  </si>
  <si>
    <t xml:space="preserve">FEE1856</t>
  </si>
  <si>
    <t xml:space="preserve">FEE1857</t>
  </si>
  <si>
    <t xml:space="preserve">FEE1858</t>
  </si>
  <si>
    <t xml:space="preserve">FEE1859</t>
  </si>
  <si>
    <t xml:space="preserve">FEE1860</t>
  </si>
  <si>
    <t xml:space="preserve">FEE1861</t>
  </si>
  <si>
    <t xml:space="preserve">FEE1862</t>
  </si>
  <si>
    <t xml:space="preserve">FEE1863</t>
  </si>
  <si>
    <t xml:space="preserve">FEE1864</t>
  </si>
  <si>
    <t xml:space="preserve">FEE1865</t>
  </si>
  <si>
    <t xml:space="preserve">FEE1866</t>
  </si>
  <si>
    <t xml:space="preserve">FEE1867</t>
  </si>
  <si>
    <t xml:space="preserve">FEE1868</t>
  </si>
  <si>
    <t xml:space="preserve">FEE1869</t>
  </si>
  <si>
    <t xml:space="preserve">FEE1870</t>
  </si>
  <si>
    <t xml:space="preserve">FEE1871</t>
  </si>
  <si>
    <t xml:space="preserve">FEE1872</t>
  </si>
  <si>
    <t xml:space="preserve">FEE1873</t>
  </si>
  <si>
    <t xml:space="preserve">FEE1874</t>
  </si>
  <si>
    <t xml:space="preserve">FEE1875</t>
  </si>
  <si>
    <t xml:space="preserve">FEE1876</t>
  </si>
  <si>
    <t xml:space="preserve">FEE1877</t>
  </si>
  <si>
    <t xml:space="preserve">FEE1878</t>
  </si>
  <si>
    <t xml:space="preserve">FEE1879</t>
  </si>
  <si>
    <t xml:space="preserve">FEE1880</t>
  </si>
  <si>
    <t xml:space="preserve">FEE1881</t>
  </si>
  <si>
    <t xml:space="preserve">FEE1882</t>
  </si>
  <si>
    <t xml:space="preserve">FEE1883</t>
  </si>
  <si>
    <t xml:space="preserve">FEE1884</t>
  </si>
  <si>
    <t xml:space="preserve">FEE1885</t>
  </si>
  <si>
    <t xml:space="preserve">FEE1886</t>
  </si>
  <si>
    <t xml:space="preserve">FEE1887</t>
  </si>
  <si>
    <t xml:space="preserve">FEE1888</t>
  </si>
  <si>
    <t xml:space="preserve">FEE1889</t>
  </si>
  <si>
    <t xml:space="preserve">FEE1890</t>
  </si>
  <si>
    <t xml:space="preserve">FEE1891</t>
  </si>
  <si>
    <t xml:space="preserve">FEE1892</t>
  </si>
  <si>
    <t xml:space="preserve">FEE1893</t>
  </si>
  <si>
    <t xml:space="preserve">FEE1894</t>
  </si>
  <si>
    <t xml:space="preserve">FEE1895</t>
  </si>
  <si>
    <t xml:space="preserve">FEE1896</t>
  </si>
  <si>
    <t xml:space="preserve">FEE1897</t>
  </si>
  <si>
    <t xml:space="preserve">FEE1898</t>
  </si>
  <si>
    <t xml:space="preserve">FEE1899</t>
  </si>
  <si>
    <t xml:space="preserve">FEE1900</t>
  </si>
  <si>
    <t xml:space="preserve">FEE1901</t>
  </si>
  <si>
    <t xml:space="preserve">FEE1902</t>
  </si>
  <si>
    <t xml:space="preserve">FEE1903</t>
  </si>
  <si>
    <t xml:space="preserve">FEE1904</t>
  </si>
  <si>
    <t xml:space="preserve">FEE1905</t>
  </si>
  <si>
    <t xml:space="preserve">FEE1906</t>
  </si>
  <si>
    <t xml:space="preserve">FEE1907</t>
  </si>
  <si>
    <t xml:space="preserve">FEE1908</t>
  </si>
  <si>
    <t xml:space="preserve">FEE1909</t>
  </si>
  <si>
    <t xml:space="preserve">FEE1910</t>
  </si>
  <si>
    <t xml:space="preserve">FEE1911</t>
  </si>
  <si>
    <t xml:space="preserve">FEE1912</t>
  </si>
  <si>
    <t xml:space="preserve">FEE1913</t>
  </si>
  <si>
    <t xml:space="preserve">FEE1914</t>
  </si>
  <si>
    <t xml:space="preserve">FEE1915</t>
  </si>
  <si>
    <t xml:space="preserve">FEE1916</t>
  </si>
  <si>
    <t xml:space="preserve">FEE1917</t>
  </si>
  <si>
    <t xml:space="preserve">FEE1918</t>
  </si>
  <si>
    <t xml:space="preserve">FEE1919</t>
  </si>
  <si>
    <t xml:space="preserve">FEE1920</t>
  </si>
  <si>
    <t xml:space="preserve">FEE1921</t>
  </si>
  <si>
    <t xml:space="preserve">FEE1922</t>
  </si>
  <si>
    <t xml:space="preserve">FEE1923</t>
  </si>
  <si>
    <t xml:space="preserve">FEE1924</t>
  </si>
  <si>
    <t xml:space="preserve">FEE1925</t>
  </si>
  <si>
    <t xml:space="preserve">FEE1926</t>
  </si>
  <si>
    <t xml:space="preserve">FEE1927</t>
  </si>
  <si>
    <t xml:space="preserve">FEE1928</t>
  </si>
  <si>
    <t xml:space="preserve">FEE1929</t>
  </si>
  <si>
    <t xml:space="preserve">FEE1930</t>
  </si>
  <si>
    <t xml:space="preserve">FEE1931</t>
  </si>
  <si>
    <t xml:space="preserve">FEE1932</t>
  </si>
  <si>
    <t xml:space="preserve">FEE1933</t>
  </si>
  <si>
    <t xml:space="preserve">FEE1934</t>
  </si>
  <si>
    <t xml:space="preserve">FEE1935</t>
  </si>
  <si>
    <t xml:space="preserve">FEE1936</t>
  </si>
  <si>
    <t xml:space="preserve">FEE1937</t>
  </si>
  <si>
    <t xml:space="preserve">FEE1938</t>
  </si>
  <si>
    <t xml:space="preserve">FEE1939</t>
  </si>
  <si>
    <t xml:space="preserve">FEE1940</t>
  </si>
  <si>
    <t xml:space="preserve">FEE1941</t>
  </si>
  <si>
    <t xml:space="preserve">FEE1942</t>
  </si>
  <si>
    <t xml:space="preserve">FEE1943</t>
  </si>
  <si>
    <t xml:space="preserve">FEE1944</t>
  </si>
  <si>
    <t xml:space="preserve">FEE1945</t>
  </si>
  <si>
    <t xml:space="preserve">FEE1946</t>
  </si>
  <si>
    <t xml:space="preserve">FEE1947</t>
  </si>
  <si>
    <t xml:space="preserve">FEE1948</t>
  </si>
  <si>
    <t xml:space="preserve">FEE1949</t>
  </si>
  <si>
    <t xml:space="preserve">FEE1950</t>
  </si>
  <si>
    <t xml:space="preserve">FEE1951</t>
  </si>
  <si>
    <t xml:space="preserve">FEE1952</t>
  </si>
  <si>
    <t xml:space="preserve">FEE1953</t>
  </si>
  <si>
    <t xml:space="preserve">FEE1954</t>
  </si>
  <si>
    <t xml:space="preserve">FEE1955</t>
  </si>
  <si>
    <t xml:space="preserve">FEE1956</t>
  </si>
  <si>
    <t xml:space="preserve">FEE1957</t>
  </si>
  <si>
    <t xml:space="preserve">FEE1958</t>
  </si>
  <si>
    <t xml:space="preserve">FEE1959</t>
  </si>
  <si>
    <t xml:space="preserve">FEE1960</t>
  </si>
  <si>
    <t xml:space="preserve">FEE1961</t>
  </si>
  <si>
    <t xml:space="preserve">FEE1962</t>
  </si>
  <si>
    <t xml:space="preserve">FEE1963</t>
  </si>
  <si>
    <t xml:space="preserve">FEE1964</t>
  </si>
  <si>
    <t xml:space="preserve">FEE1965</t>
  </si>
  <si>
    <t xml:space="preserve">FEE1966</t>
  </si>
  <si>
    <t xml:space="preserve">FEE1967</t>
  </si>
  <si>
    <t xml:space="preserve">FEE1968</t>
  </si>
  <si>
    <t xml:space="preserve">FEE1969</t>
  </si>
  <si>
    <t xml:space="preserve">FEE1970</t>
  </si>
  <si>
    <t xml:space="preserve">FEE1971</t>
  </si>
  <si>
    <t xml:space="preserve">FEE1972</t>
  </si>
  <si>
    <t xml:space="preserve">FEE1973</t>
  </si>
  <si>
    <t xml:space="preserve">FEE1974</t>
  </si>
  <si>
    <t xml:space="preserve">FEE1975</t>
  </si>
  <si>
    <t xml:space="preserve">FEE1976</t>
  </si>
  <si>
    <t xml:space="preserve">FEE1977</t>
  </si>
  <si>
    <t xml:space="preserve">FEE1978</t>
  </si>
  <si>
    <t xml:space="preserve">FEE1979</t>
  </si>
  <si>
    <t xml:space="preserve">FEE1980</t>
  </si>
  <si>
    <t xml:space="preserve">FEE1981</t>
  </si>
  <si>
    <t xml:space="preserve">FEE1982</t>
  </si>
  <si>
    <t xml:space="preserve">FEE1983</t>
  </si>
  <si>
    <t xml:space="preserve">FEE1984</t>
  </si>
  <si>
    <t xml:space="preserve">FEE1985</t>
  </si>
  <si>
    <t xml:space="preserve">FEE1986</t>
  </si>
  <si>
    <t xml:space="preserve">FEE1987</t>
  </si>
  <si>
    <t xml:space="preserve">FEE1988</t>
  </si>
  <si>
    <t xml:space="preserve">FEE1989</t>
  </si>
  <si>
    <t xml:space="preserve">FEE1990</t>
  </si>
  <si>
    <t xml:space="preserve">FEE1991</t>
  </si>
  <si>
    <t xml:space="preserve">FEE1992</t>
  </si>
  <si>
    <t xml:space="preserve">FEE1993</t>
  </si>
  <si>
    <t xml:space="preserve">FEE1994</t>
  </si>
  <si>
    <t xml:space="preserve">FEE1995</t>
  </si>
  <si>
    <t xml:space="preserve">FEE1996</t>
  </si>
  <si>
    <t xml:space="preserve">FEE1997</t>
  </si>
  <si>
    <t xml:space="preserve">FEE1998</t>
  </si>
  <si>
    <t xml:space="preserve">FEE1999</t>
  </si>
  <si>
    <t xml:space="preserve">FEE2000</t>
  </si>
  <si>
    <t xml:space="preserve">FEE2001</t>
  </si>
  <si>
    <t xml:space="preserve">FEE2002</t>
  </si>
  <si>
    <t xml:space="preserve">FEE2003</t>
  </si>
  <si>
    <t xml:space="preserve">FEE2004</t>
  </si>
  <si>
    <t xml:space="preserve">FEE2005</t>
  </si>
  <si>
    <t xml:space="preserve">FEE2006</t>
  </si>
  <si>
    <t xml:space="preserve">FEE2007</t>
  </si>
  <si>
    <t xml:space="preserve">FEE2008</t>
  </si>
  <si>
    <t xml:space="preserve">FEE2009</t>
  </si>
  <si>
    <t xml:space="preserve">FEE2010</t>
  </si>
  <si>
    <t xml:space="preserve">FEE2011</t>
  </si>
  <si>
    <t xml:space="preserve">FEE2012</t>
  </si>
  <si>
    <t xml:space="preserve">FEE2013</t>
  </si>
  <si>
    <t xml:space="preserve">FEE2014</t>
  </si>
  <si>
    <t xml:space="preserve">FEE2015</t>
  </si>
  <si>
    <t xml:space="preserve">FEE2016</t>
  </si>
  <si>
    <t xml:space="preserve">FEE2017</t>
  </si>
  <si>
    <t xml:space="preserve">FEE2018</t>
  </si>
  <si>
    <t xml:space="preserve">FEE2019</t>
  </si>
  <si>
    <t xml:space="preserve">FEE2020</t>
  </si>
  <si>
    <t xml:space="preserve">FEE2021</t>
  </si>
  <si>
    <t xml:space="preserve">FEE2022</t>
  </si>
  <si>
    <t xml:space="preserve">FEE2023</t>
  </si>
  <si>
    <t xml:space="preserve">FEE2024</t>
  </si>
  <si>
    <t xml:space="preserve">FEE2025</t>
  </si>
  <si>
    <t xml:space="preserve">FEE2026</t>
  </si>
  <si>
    <t xml:space="preserve">FEE2027</t>
  </si>
  <si>
    <t xml:space="preserve">FEE2028</t>
  </si>
  <si>
    <t xml:space="preserve">FEE2029</t>
  </si>
  <si>
    <t xml:space="preserve">FEE2030</t>
  </si>
  <si>
    <t xml:space="preserve">FEE2031</t>
  </si>
  <si>
    <t xml:space="preserve">FEE2032</t>
  </si>
  <si>
    <t xml:space="preserve">FEE2033</t>
  </si>
  <si>
    <t xml:space="preserve">FEE2034</t>
  </si>
  <si>
    <t xml:space="preserve">FEE2035</t>
  </si>
  <si>
    <t xml:space="preserve">FEE2036</t>
  </si>
  <si>
    <t xml:space="preserve">FEE2037</t>
  </si>
  <si>
    <t xml:space="preserve">FEE2038</t>
  </si>
  <si>
    <t xml:space="preserve">FEE2039</t>
  </si>
  <si>
    <t xml:space="preserve">FEE2040</t>
  </si>
  <si>
    <t xml:space="preserve">FEE2041</t>
  </si>
  <si>
    <t xml:space="preserve">FEE2042</t>
  </si>
  <si>
    <t xml:space="preserve">FEE2043</t>
  </si>
  <si>
    <t xml:space="preserve">FEE2044</t>
  </si>
  <si>
    <t xml:space="preserve">FEE2045</t>
  </si>
  <si>
    <t xml:space="preserve">FEE2046</t>
  </si>
  <si>
    <t xml:space="preserve">FEE2047</t>
  </si>
  <si>
    <t xml:space="preserve">FEE2048</t>
  </si>
  <si>
    <t xml:space="preserve">FEE2049</t>
  </si>
  <si>
    <t xml:space="preserve">FEE2050</t>
  </si>
  <si>
    <t xml:space="preserve">FEE2051</t>
  </si>
  <si>
    <t xml:space="preserve">FEE2052</t>
  </si>
  <si>
    <t xml:space="preserve">FEE2053</t>
  </si>
  <si>
    <t xml:space="preserve">FEE2054</t>
  </si>
  <si>
    <t xml:space="preserve">FEE2055</t>
  </si>
  <si>
    <t xml:space="preserve">FEE2056</t>
  </si>
  <si>
    <t xml:space="preserve">FEE2057</t>
  </si>
  <si>
    <t xml:space="preserve">FEE2058</t>
  </si>
  <si>
    <t xml:space="preserve">FEE2059</t>
  </si>
  <si>
    <t xml:space="preserve">FEE2060</t>
  </si>
  <si>
    <t xml:space="preserve">FEE2061</t>
  </si>
  <si>
    <t xml:space="preserve">FEE2062</t>
  </si>
  <si>
    <t xml:space="preserve">FEE2063</t>
  </si>
  <si>
    <t xml:space="preserve">FEE2064</t>
  </si>
  <si>
    <t xml:space="preserve">FEE2065</t>
  </si>
  <si>
    <t xml:space="preserve">FEE2066</t>
  </si>
  <si>
    <t xml:space="preserve">FEE2067</t>
  </si>
  <si>
    <t xml:space="preserve">FEE2068</t>
  </si>
  <si>
    <t xml:space="preserve">FEE2069</t>
  </si>
  <si>
    <t xml:space="preserve">FEE2070</t>
  </si>
  <si>
    <t xml:space="preserve">FEE2071</t>
  </si>
  <si>
    <t xml:space="preserve">FEE2072</t>
  </si>
  <si>
    <t xml:space="preserve">FEE2073</t>
  </si>
  <si>
    <t xml:space="preserve">FEE2074</t>
  </si>
  <si>
    <t xml:space="preserve">FEE2075</t>
  </si>
  <si>
    <t xml:space="preserve">FEE2076</t>
  </si>
  <si>
    <t xml:space="preserve">FEE2077</t>
  </si>
  <si>
    <t xml:space="preserve">FEE2078</t>
  </si>
  <si>
    <t xml:space="preserve">FEE2079</t>
  </si>
  <si>
    <t xml:space="preserve">FEE2080</t>
  </si>
  <si>
    <t xml:space="preserve">FEE2081</t>
  </si>
  <si>
    <t xml:space="preserve">FEE2082</t>
  </si>
  <si>
    <t xml:space="preserve">FEE2083</t>
  </si>
  <si>
    <t xml:space="preserve">FEE2084</t>
  </si>
  <si>
    <t xml:space="preserve">FEE2085</t>
  </si>
  <si>
    <t xml:space="preserve">FEE2086</t>
  </si>
  <si>
    <t xml:space="preserve">FEE2087</t>
  </si>
  <si>
    <t xml:space="preserve">FEE2088</t>
  </si>
  <si>
    <t xml:space="preserve">FEE2089</t>
  </si>
  <si>
    <t xml:space="preserve">FEE2090</t>
  </si>
  <si>
    <t xml:space="preserve">FEE2091</t>
  </si>
  <si>
    <t xml:space="preserve">FEE2092</t>
  </si>
  <si>
    <t xml:space="preserve">FEE2093</t>
  </si>
  <si>
    <t xml:space="preserve">FEE2094</t>
  </si>
  <si>
    <t xml:space="preserve">FEE2095</t>
  </si>
  <si>
    <t xml:space="preserve">FEE2096</t>
  </si>
  <si>
    <t xml:space="preserve">FEE2097</t>
  </si>
  <si>
    <t xml:space="preserve">FEE2098</t>
  </si>
  <si>
    <t xml:space="preserve">FEE2099</t>
  </si>
  <si>
    <t xml:space="preserve">FEE2100</t>
  </si>
  <si>
    <t xml:space="preserve">FEE2101</t>
  </si>
  <si>
    <t xml:space="preserve">FEE2102</t>
  </si>
  <si>
    <t xml:space="preserve">FEE2103</t>
  </si>
  <si>
    <t xml:space="preserve">FEE2104</t>
  </si>
  <si>
    <t xml:space="preserve">FEE2105</t>
  </si>
  <si>
    <t xml:space="preserve">FEE2106</t>
  </si>
  <si>
    <t xml:space="preserve">FEE2107</t>
  </si>
  <si>
    <t xml:space="preserve">FEE2108</t>
  </si>
  <si>
    <t xml:space="preserve">FEE2109</t>
  </si>
  <si>
    <t xml:space="preserve">FEE2110</t>
  </si>
  <si>
    <t xml:space="preserve">FEE2111</t>
  </si>
  <si>
    <t xml:space="preserve">FEE2112</t>
  </si>
  <si>
    <t xml:space="preserve">FEE2113</t>
  </si>
  <si>
    <t xml:space="preserve">FEE2114</t>
  </si>
  <si>
    <t xml:space="preserve">FEE2115</t>
  </si>
  <si>
    <t xml:space="preserve">FEE2116</t>
  </si>
  <si>
    <t xml:space="preserve">FEE2117</t>
  </si>
  <si>
    <t xml:space="preserve">FEE2118</t>
  </si>
  <si>
    <t xml:space="preserve">FEE2119</t>
  </si>
  <si>
    <t xml:space="preserve">FEE2120</t>
  </si>
  <si>
    <t xml:space="preserve">FEE2121</t>
  </si>
  <si>
    <t xml:space="preserve">FEE2122</t>
  </si>
  <si>
    <t xml:space="preserve">FEE2123</t>
  </si>
  <si>
    <t xml:space="preserve">FEE2124</t>
  </si>
  <si>
    <t xml:space="preserve">FEE2125</t>
  </si>
  <si>
    <t xml:space="preserve">FEE2126</t>
  </si>
  <si>
    <t xml:space="preserve">FEE2127</t>
  </si>
  <si>
    <t xml:space="preserve">FEE2128</t>
  </si>
  <si>
    <t xml:space="preserve">FEE2129</t>
  </si>
  <si>
    <t xml:space="preserve">FEE2130</t>
  </si>
  <si>
    <t xml:space="preserve">FEE2131</t>
  </si>
  <si>
    <t xml:space="preserve">FEE2132</t>
  </si>
  <si>
    <t xml:space="preserve">FEE2133</t>
  </si>
  <si>
    <t xml:space="preserve">FEE2134</t>
  </si>
  <si>
    <t xml:space="preserve">FEE2135</t>
  </si>
  <si>
    <t xml:space="preserve">FEE2136</t>
  </si>
  <si>
    <t xml:space="preserve">FEE2137</t>
  </si>
  <si>
    <t xml:space="preserve">FEE2138</t>
  </si>
  <si>
    <t xml:space="preserve">FEE2139</t>
  </si>
  <si>
    <t xml:space="preserve">FEE2140</t>
  </si>
  <si>
    <t xml:space="preserve">FEE2141</t>
  </si>
  <si>
    <t xml:space="preserve">FEE2142</t>
  </si>
  <si>
    <t xml:space="preserve">FEE2143</t>
  </si>
  <si>
    <t xml:space="preserve">FEE2144</t>
  </si>
  <si>
    <t xml:space="preserve">FEE2145</t>
  </si>
  <si>
    <t xml:space="preserve">FEE2146</t>
  </si>
  <si>
    <t xml:space="preserve">FEE2147</t>
  </si>
  <si>
    <t xml:space="preserve">FEE2148</t>
  </si>
  <si>
    <t xml:space="preserve">FEE2149</t>
  </si>
  <si>
    <t xml:space="preserve">FEE2150</t>
  </si>
  <si>
    <t xml:space="preserve">FEE2151</t>
  </si>
  <si>
    <t xml:space="preserve">FEE2152</t>
  </si>
  <si>
    <t xml:space="preserve">FEE2153</t>
  </si>
  <si>
    <t xml:space="preserve">FEE2154</t>
  </si>
  <si>
    <t xml:space="preserve">FEE2155</t>
  </si>
  <si>
    <t xml:space="preserve">FEE2156</t>
  </si>
  <si>
    <t xml:space="preserve">FEE2157</t>
  </si>
  <si>
    <t xml:space="preserve">FEE2158</t>
  </si>
  <si>
    <t xml:space="preserve">FEE2159</t>
  </si>
  <si>
    <t xml:space="preserve">FEE2160</t>
  </si>
  <si>
    <t xml:space="preserve">FEE2161</t>
  </si>
  <si>
    <t xml:space="preserve">FEE2162</t>
  </si>
  <si>
    <t xml:space="preserve">FEE2163</t>
  </si>
  <si>
    <t xml:space="preserve">FEE2164</t>
  </si>
  <si>
    <t xml:space="preserve">FEE2165</t>
  </si>
  <si>
    <t xml:space="preserve">FEE2166</t>
  </si>
  <si>
    <t xml:space="preserve">FEE2167</t>
  </si>
  <si>
    <t xml:space="preserve">FEE2168</t>
  </si>
  <si>
    <t xml:space="preserve">FEE2169</t>
  </si>
  <si>
    <t xml:space="preserve">FEE2170</t>
  </si>
  <si>
    <t xml:space="preserve">FEE2171</t>
  </si>
  <si>
    <t xml:space="preserve">FEE2172</t>
  </si>
  <si>
    <t xml:space="preserve">FEE2173</t>
  </si>
  <si>
    <t xml:space="preserve">FEE2174</t>
  </si>
  <si>
    <t xml:space="preserve">FEE2175</t>
  </si>
  <si>
    <t xml:space="preserve">FEE2176</t>
  </si>
  <si>
    <t xml:space="preserve">FEE2177</t>
  </si>
  <si>
    <t xml:space="preserve">FEE2178</t>
  </si>
  <si>
    <t xml:space="preserve">FEE2179</t>
  </si>
  <si>
    <t xml:space="preserve">FEE2180</t>
  </si>
  <si>
    <t xml:space="preserve">FEE2181</t>
  </si>
  <si>
    <t xml:space="preserve">FEE2182</t>
  </si>
  <si>
    <t xml:space="preserve">FEE2183</t>
  </si>
  <si>
    <t xml:space="preserve">FEE2184</t>
  </si>
  <si>
    <t xml:space="preserve">FEE2185</t>
  </si>
  <si>
    <t xml:space="preserve">FEE2186</t>
  </si>
  <si>
    <t xml:space="preserve">FEE2187</t>
  </si>
  <si>
    <t xml:space="preserve">FEE2188</t>
  </si>
  <si>
    <t xml:space="preserve">FEE2189</t>
  </si>
  <si>
    <t xml:space="preserve">FEE2190</t>
  </si>
  <si>
    <t xml:space="preserve">FEE2191</t>
  </si>
  <si>
    <t xml:space="preserve">FEE2192</t>
  </si>
  <si>
    <t xml:space="preserve">FEE2193</t>
  </si>
  <si>
    <t xml:space="preserve">FEE2194</t>
  </si>
  <si>
    <t xml:space="preserve">FEE2195</t>
  </si>
  <si>
    <t xml:space="preserve">FEE2196</t>
  </si>
  <si>
    <t xml:space="preserve">FEE2197</t>
  </si>
  <si>
    <t xml:space="preserve">FEE2198</t>
  </si>
  <si>
    <t xml:space="preserve">FEE2199</t>
  </si>
  <si>
    <t xml:space="preserve">FEE2200</t>
  </si>
  <si>
    <t xml:space="preserve">FEE2201</t>
  </si>
  <si>
    <t xml:space="preserve">FEE2202</t>
  </si>
  <si>
    <t xml:space="preserve">FEE2203</t>
  </si>
  <si>
    <t xml:space="preserve">FEE2204</t>
  </si>
  <si>
    <t xml:space="preserve">FEE2205</t>
  </si>
  <si>
    <t xml:space="preserve">FEE2206</t>
  </si>
  <si>
    <t xml:space="preserve">FEE2207</t>
  </si>
  <si>
    <t xml:space="preserve">FEE2208</t>
  </si>
  <si>
    <t xml:space="preserve">FEE2209</t>
  </si>
  <si>
    <t xml:space="preserve">FEE2210</t>
  </si>
  <si>
    <t xml:space="preserve">FEE2211</t>
  </si>
  <si>
    <t xml:space="preserve">FEE2212</t>
  </si>
  <si>
    <t xml:space="preserve">FEE2213</t>
  </si>
  <si>
    <t xml:space="preserve">FEE2214</t>
  </si>
  <si>
    <t xml:space="preserve">FEE2215</t>
  </si>
  <si>
    <t xml:space="preserve">FEE2216</t>
  </si>
  <si>
    <t xml:space="preserve">FEE2217</t>
  </si>
  <si>
    <t xml:space="preserve">FEE2218</t>
  </si>
  <si>
    <t xml:space="preserve">FEE2219</t>
  </si>
  <si>
    <t xml:space="preserve">FEE2220</t>
  </si>
  <si>
    <t xml:space="preserve">FEE2221</t>
  </si>
  <si>
    <t xml:space="preserve">FEE2222</t>
  </si>
  <si>
    <t xml:space="preserve">FEE2223</t>
  </si>
  <si>
    <t xml:space="preserve">FEE2224</t>
  </si>
  <si>
    <t xml:space="preserve">FEE2225</t>
  </si>
  <si>
    <t xml:space="preserve">FEE2226</t>
  </si>
  <si>
    <t xml:space="preserve">FEE2227</t>
  </si>
  <si>
    <t xml:space="preserve">FEE2228</t>
  </si>
  <si>
    <t xml:space="preserve">FEE2229</t>
  </si>
  <si>
    <t xml:space="preserve">FEE2230</t>
  </si>
  <si>
    <t xml:space="preserve">FEE2231</t>
  </si>
  <si>
    <t xml:space="preserve">FEE2232</t>
  </si>
  <si>
    <t xml:space="preserve">FEE2233</t>
  </si>
  <si>
    <t xml:space="preserve">FEE2234</t>
  </si>
  <si>
    <t xml:space="preserve">FEE2235</t>
  </si>
  <si>
    <t xml:space="preserve">FEE2236</t>
  </si>
  <si>
    <t xml:space="preserve">FEE2237</t>
  </si>
  <si>
    <t xml:space="preserve">FEE2238</t>
  </si>
  <si>
    <t xml:space="preserve">FEE2239</t>
  </si>
  <si>
    <t xml:space="preserve">FEE2240</t>
  </si>
  <si>
    <t xml:space="preserve">FEE2241</t>
  </si>
  <si>
    <t xml:space="preserve">FEE2242</t>
  </si>
  <si>
    <t xml:space="preserve">FEE2243</t>
  </si>
  <si>
    <t xml:space="preserve">FEE2244</t>
  </si>
  <si>
    <t xml:space="preserve">FEE2245</t>
  </si>
  <si>
    <t xml:space="preserve">FEE2246</t>
  </si>
  <si>
    <t xml:space="preserve">FEE2247</t>
  </si>
  <si>
    <t xml:space="preserve">FEE2248</t>
  </si>
  <si>
    <t xml:space="preserve">FEE2249</t>
  </si>
  <si>
    <t xml:space="preserve">FEE2250</t>
  </si>
  <si>
    <t xml:space="preserve">FEE2251</t>
  </si>
  <si>
    <t xml:space="preserve">FEE2252</t>
  </si>
  <si>
    <t xml:space="preserve">FEE2253</t>
  </si>
  <si>
    <t xml:space="preserve">FEE2254</t>
  </si>
  <si>
    <t xml:space="preserve">FEE2255</t>
  </si>
  <si>
    <t xml:space="preserve">FEE2256</t>
  </si>
  <si>
    <t xml:space="preserve">FEE2257</t>
  </si>
  <si>
    <t xml:space="preserve">FEE2258</t>
  </si>
  <si>
    <t xml:space="preserve">FEE2259</t>
  </si>
  <si>
    <t xml:space="preserve">FEE2260</t>
  </si>
  <si>
    <t xml:space="preserve">FEE2261</t>
  </si>
  <si>
    <t xml:space="preserve">FEE2262</t>
  </si>
  <si>
    <t xml:space="preserve">FEE2263</t>
  </si>
  <si>
    <t xml:space="preserve">FEE2264</t>
  </si>
  <si>
    <t xml:space="preserve">FEE2265</t>
  </si>
  <si>
    <t xml:space="preserve">FEE2266</t>
  </si>
  <si>
    <t xml:space="preserve">FEE2267</t>
  </si>
  <si>
    <t xml:space="preserve">FEE2268</t>
  </si>
  <si>
    <t xml:space="preserve">FEE2269</t>
  </si>
  <si>
    <t xml:space="preserve">FEE2270</t>
  </si>
  <si>
    <t xml:space="preserve">FEE2271</t>
  </si>
  <si>
    <t xml:space="preserve">FEE2272</t>
  </si>
  <si>
    <t xml:space="preserve">FEE2273</t>
  </si>
  <si>
    <t xml:space="preserve">FEE2274</t>
  </si>
  <si>
    <t xml:space="preserve">FEE2275</t>
  </si>
  <si>
    <t xml:space="preserve">FEE2276</t>
  </si>
  <si>
    <t xml:space="preserve">FEE2277</t>
  </si>
  <si>
    <t xml:space="preserve">FEE2278</t>
  </si>
  <si>
    <t xml:space="preserve">FEE2279</t>
  </si>
  <si>
    <t xml:space="preserve">FEE2280</t>
  </si>
  <si>
    <t xml:space="preserve">FEE2281</t>
  </si>
  <si>
    <t xml:space="preserve">FEE2282</t>
  </si>
  <si>
    <t xml:space="preserve">FEE2283</t>
  </si>
  <si>
    <t xml:space="preserve">FEE2284</t>
  </si>
  <si>
    <t xml:space="preserve">FEE2285</t>
  </si>
  <si>
    <t xml:space="preserve">FEE2286</t>
  </si>
  <si>
    <t xml:space="preserve">FEE2287</t>
  </si>
  <si>
    <t xml:space="preserve">FEE2288</t>
  </si>
  <si>
    <t xml:space="preserve">FEE2289</t>
  </si>
  <si>
    <t xml:space="preserve">FEE2290</t>
  </si>
  <si>
    <t xml:space="preserve">FEE2291</t>
  </si>
  <si>
    <t xml:space="preserve">FEE2292</t>
  </si>
  <si>
    <t xml:space="preserve">FEE2293</t>
  </si>
  <si>
    <t xml:space="preserve">FEE2294</t>
  </si>
  <si>
    <t xml:space="preserve">FEE2295</t>
  </si>
  <si>
    <t xml:space="preserve">FEE2296</t>
  </si>
  <si>
    <t xml:space="preserve">FEE2297</t>
  </si>
  <si>
    <t xml:space="preserve">FEE2298</t>
  </si>
  <si>
    <t xml:space="preserve">FEE2299</t>
  </si>
  <si>
    <t xml:space="preserve">FEE2300</t>
  </si>
  <si>
    <t xml:space="preserve">FEE2301</t>
  </si>
  <si>
    <t xml:space="preserve">FEE2302</t>
  </si>
  <si>
    <t xml:space="preserve">FEE2303</t>
  </si>
  <si>
    <t xml:space="preserve">FEE2304</t>
  </si>
  <si>
    <t xml:space="preserve">FEE2305</t>
  </si>
  <si>
    <t xml:space="preserve">FEE2306</t>
  </si>
  <si>
    <t xml:space="preserve">FEE2307</t>
  </si>
  <si>
    <t xml:space="preserve">FEE2308</t>
  </si>
  <si>
    <t xml:space="preserve">FEE2309</t>
  </si>
  <si>
    <t xml:space="preserve">FEE2310</t>
  </si>
  <si>
    <t xml:space="preserve">FEE2311</t>
  </si>
  <si>
    <t xml:space="preserve">FEE2312</t>
  </si>
  <si>
    <t xml:space="preserve">FEE2313</t>
  </si>
  <si>
    <t xml:space="preserve">FEE2314</t>
  </si>
  <si>
    <t xml:space="preserve">FEE2315</t>
  </si>
  <si>
    <t xml:space="preserve">FEE2316</t>
  </si>
  <si>
    <t xml:space="preserve">FEE2317</t>
  </si>
  <si>
    <t xml:space="preserve">FEE2318</t>
  </si>
  <si>
    <t xml:space="preserve">FEE2319</t>
  </si>
  <si>
    <t xml:space="preserve">FEE2320</t>
  </si>
  <si>
    <t xml:space="preserve">FEE2321</t>
  </si>
  <si>
    <t xml:space="preserve">FEE2322</t>
  </si>
  <si>
    <t xml:space="preserve">FEE2323</t>
  </si>
  <si>
    <t xml:space="preserve">FEE2324</t>
  </si>
  <si>
    <t xml:space="preserve">FEE2325</t>
  </si>
  <si>
    <t xml:space="preserve">FEE2326</t>
  </si>
  <si>
    <t xml:space="preserve">FEE2327</t>
  </si>
  <si>
    <t xml:space="preserve">FEE2328</t>
  </si>
  <si>
    <t xml:space="preserve">FEE2329</t>
  </si>
  <si>
    <t xml:space="preserve">FEE2330</t>
  </si>
  <si>
    <t xml:space="preserve">FEE2331</t>
  </si>
  <si>
    <t xml:space="preserve">FEE2332</t>
  </si>
  <si>
    <t xml:space="preserve">FEE2333</t>
  </si>
  <si>
    <t xml:space="preserve">FEE2334</t>
  </si>
  <si>
    <t xml:space="preserve">FEE2335</t>
  </si>
  <si>
    <t xml:space="preserve">FEE2336</t>
  </si>
  <si>
    <t xml:space="preserve">FEE2337</t>
  </si>
  <si>
    <t xml:space="preserve">FEE2338</t>
  </si>
  <si>
    <t xml:space="preserve">FEE2339</t>
  </si>
  <si>
    <t xml:space="preserve">FEE2340</t>
  </si>
  <si>
    <t xml:space="preserve">FEE2341</t>
  </si>
  <si>
    <t xml:space="preserve">FEE2342</t>
  </si>
  <si>
    <t xml:space="preserve">FEE2343</t>
  </si>
  <si>
    <t xml:space="preserve">FEE2344</t>
  </si>
  <si>
    <t xml:space="preserve">FEE2345</t>
  </si>
  <si>
    <t xml:space="preserve">FEE2346</t>
  </si>
  <si>
    <t xml:space="preserve">FEE2347</t>
  </si>
  <si>
    <t xml:space="preserve">FEE2348</t>
  </si>
  <si>
    <t xml:space="preserve">FEE2349</t>
  </si>
  <si>
    <t xml:space="preserve">FEE2350</t>
  </si>
  <si>
    <t xml:space="preserve">FEE2351</t>
  </si>
  <si>
    <t xml:space="preserve">FEE2352</t>
  </si>
  <si>
    <t xml:space="preserve">FEE2353</t>
  </si>
  <si>
    <t xml:space="preserve">FEE2354</t>
  </si>
  <si>
    <t xml:space="preserve">FEE2355</t>
  </si>
  <si>
    <t xml:space="preserve">FEE2356</t>
  </si>
  <si>
    <t xml:space="preserve">FEE2357</t>
  </si>
  <si>
    <t xml:space="preserve">FEE2358</t>
  </si>
  <si>
    <t xml:space="preserve">FEE2359</t>
  </si>
  <si>
    <t xml:space="preserve">FEE2360</t>
  </si>
  <si>
    <t xml:space="preserve">FEE2361</t>
  </si>
  <si>
    <t xml:space="preserve">FEE2362</t>
  </si>
  <si>
    <t xml:space="preserve">FEE2363</t>
  </si>
  <si>
    <t xml:space="preserve">FEE2364</t>
  </si>
  <si>
    <t xml:space="preserve">FEE2365</t>
  </si>
  <si>
    <t xml:space="preserve">FEE2366</t>
  </si>
  <si>
    <t xml:space="preserve">FEE2367</t>
  </si>
  <si>
    <t xml:space="preserve">FEE2368</t>
  </si>
  <si>
    <t xml:space="preserve">FEE2369</t>
  </si>
  <si>
    <t xml:space="preserve">FEE2370</t>
  </si>
  <si>
    <t xml:space="preserve">FEE2371</t>
  </si>
  <si>
    <t xml:space="preserve">FEE2372</t>
  </si>
  <si>
    <t xml:space="preserve">FEE2373</t>
  </si>
  <si>
    <t xml:space="preserve">FEE2374</t>
  </si>
  <si>
    <t xml:space="preserve">FEE2375</t>
  </si>
  <si>
    <t xml:space="preserve">FEE2376</t>
  </si>
  <si>
    <t xml:space="preserve">FEE2377</t>
  </si>
  <si>
    <t xml:space="preserve">FEE2378</t>
  </si>
  <si>
    <t xml:space="preserve">FEE2379</t>
  </si>
  <si>
    <t xml:space="preserve">FEE2380</t>
  </si>
  <si>
    <t xml:space="preserve">FEE2381</t>
  </si>
  <si>
    <t xml:space="preserve">FEE2382</t>
  </si>
  <si>
    <t xml:space="preserve">FEE2383</t>
  </si>
  <si>
    <t xml:space="preserve">FEE2384</t>
  </si>
  <si>
    <t xml:space="preserve">FEE2385</t>
  </si>
  <si>
    <t xml:space="preserve">FEE2386</t>
  </si>
  <si>
    <t xml:space="preserve">FEE2387</t>
  </si>
  <si>
    <t xml:space="preserve">FEE2388</t>
  </si>
  <si>
    <t xml:space="preserve">FEE2389</t>
  </si>
  <si>
    <t xml:space="preserve">FEE2390</t>
  </si>
  <si>
    <t xml:space="preserve">FEE2391</t>
  </si>
  <si>
    <t xml:space="preserve">FEE2392</t>
  </si>
  <si>
    <t xml:space="preserve">FEE2393</t>
  </si>
  <si>
    <t xml:space="preserve">FEE2394</t>
  </si>
  <si>
    <t xml:space="preserve">FEE2395</t>
  </si>
  <si>
    <t xml:space="preserve">FEE2396</t>
  </si>
  <si>
    <t xml:space="preserve">FEE2397</t>
  </si>
  <si>
    <t xml:space="preserve">FEE2398</t>
  </si>
  <si>
    <t xml:space="preserve">FEE2399</t>
  </si>
  <si>
    <t xml:space="preserve">FEE2400</t>
  </si>
  <si>
    <t xml:space="preserve">FEE2401</t>
  </si>
  <si>
    <t xml:space="preserve">FEE2402</t>
  </si>
  <si>
    <t xml:space="preserve">FEE2403</t>
  </si>
  <si>
    <t xml:space="preserve">FEE2404</t>
  </si>
  <si>
    <t xml:space="preserve">FEE2405</t>
  </si>
  <si>
    <t xml:space="preserve">FEE2406</t>
  </si>
  <si>
    <t xml:space="preserve">FEE2407</t>
  </si>
  <si>
    <t xml:space="preserve">FEE2408</t>
  </si>
  <si>
    <t xml:space="preserve">FEE2409</t>
  </si>
  <si>
    <t xml:space="preserve">FEE2410</t>
  </si>
  <si>
    <t xml:space="preserve">FEE2411</t>
  </si>
  <si>
    <t xml:space="preserve">FEE2412</t>
  </si>
  <si>
    <t xml:space="preserve">FEE2413</t>
  </si>
  <si>
    <t xml:space="preserve">FEE2414</t>
  </si>
  <si>
    <t xml:space="preserve">FEE2415</t>
  </si>
  <si>
    <t xml:space="preserve">FEE2416</t>
  </si>
  <si>
    <t xml:space="preserve">FEE2417</t>
  </si>
  <si>
    <t xml:space="preserve">FEE2418</t>
  </si>
  <si>
    <t xml:space="preserve">FEE2419</t>
  </si>
  <si>
    <t xml:space="preserve">FEE2420</t>
  </si>
  <si>
    <t xml:space="preserve">FEE2421</t>
  </si>
  <si>
    <t xml:space="preserve">FEE2422</t>
  </si>
  <si>
    <t xml:space="preserve">FEE2423</t>
  </si>
  <si>
    <t xml:space="preserve">FEE2424</t>
  </si>
  <si>
    <t xml:space="preserve">FEE2425</t>
  </si>
  <si>
    <t xml:space="preserve">FEE2426</t>
  </si>
  <si>
    <t xml:space="preserve">FEE2427</t>
  </si>
  <si>
    <t xml:space="preserve">FEE2428</t>
  </si>
  <si>
    <t xml:space="preserve">FEE2429</t>
  </si>
  <si>
    <t xml:space="preserve">FEE2430</t>
  </si>
  <si>
    <t xml:space="preserve">FEE2431</t>
  </si>
  <si>
    <t xml:space="preserve">FEE2432</t>
  </si>
  <si>
    <t xml:space="preserve">FEE2433</t>
  </si>
  <si>
    <t xml:space="preserve">FEE2434</t>
  </si>
  <si>
    <t xml:space="preserve">FEE2435</t>
  </si>
  <si>
    <t xml:space="preserve">FEE2436</t>
  </si>
  <si>
    <t xml:space="preserve">FEE2437</t>
  </si>
  <si>
    <t xml:space="preserve">FEE2438</t>
  </si>
  <si>
    <t xml:space="preserve">FEE2439</t>
  </si>
  <si>
    <t xml:space="preserve">FEE2440</t>
  </si>
  <si>
    <t xml:space="preserve">FEE2441</t>
  </si>
  <si>
    <t xml:space="preserve">FEE2442</t>
  </si>
  <si>
    <t xml:space="preserve">FEE2443</t>
  </si>
  <si>
    <t xml:space="preserve">FEE2444</t>
  </si>
  <si>
    <t xml:space="preserve">FEE2445</t>
  </si>
  <si>
    <t xml:space="preserve">FEE2446</t>
  </si>
  <si>
    <t xml:space="preserve">FEE2447</t>
  </si>
  <si>
    <t xml:space="preserve">FEE2448</t>
  </si>
  <si>
    <t xml:space="preserve">FEE2449</t>
  </si>
  <si>
    <t xml:space="preserve">FEE2450</t>
  </si>
  <si>
    <t xml:space="preserve">FEE2451</t>
  </si>
  <si>
    <t xml:space="preserve">FEE2452</t>
  </si>
  <si>
    <t xml:space="preserve">FEE2453</t>
  </si>
  <si>
    <t xml:space="preserve">FEE2454</t>
  </si>
  <si>
    <t xml:space="preserve">FEE2455</t>
  </si>
  <si>
    <t xml:space="preserve">FEE2456</t>
  </si>
  <si>
    <t xml:space="preserve">FEE2457</t>
  </si>
  <si>
    <t xml:space="preserve">FEE2458</t>
  </si>
  <si>
    <t xml:space="preserve">FEE2459</t>
  </si>
  <si>
    <t xml:space="preserve">FEE2460</t>
  </si>
  <si>
    <t xml:space="preserve">FEE2461</t>
  </si>
  <si>
    <t xml:space="preserve">FEE2462</t>
  </si>
  <si>
    <t xml:space="preserve">FEE2463</t>
  </si>
  <si>
    <t xml:space="preserve">FEE2464</t>
  </si>
  <si>
    <t xml:space="preserve">FEE2465</t>
  </si>
  <si>
    <t xml:space="preserve">FEE2466</t>
  </si>
  <si>
    <t xml:space="preserve">FEE2467</t>
  </si>
  <si>
    <t xml:space="preserve">FEE2468</t>
  </si>
  <si>
    <t xml:space="preserve">FEE2469</t>
  </si>
  <si>
    <t xml:space="preserve">FEE2470</t>
  </si>
  <si>
    <t xml:space="preserve">FEE2471</t>
  </si>
  <si>
    <t xml:space="preserve">FEE2472</t>
  </si>
  <si>
    <t xml:space="preserve">FEE2473</t>
  </si>
  <si>
    <t xml:space="preserve">FEE2474</t>
  </si>
  <si>
    <t xml:space="preserve">FEE2475</t>
  </si>
  <si>
    <t xml:space="preserve">FEE2476</t>
  </si>
  <si>
    <t xml:space="preserve">FEE2477</t>
  </si>
  <si>
    <t xml:space="preserve">FEE2478</t>
  </si>
  <si>
    <t xml:space="preserve">FEE2479</t>
  </si>
  <si>
    <t xml:space="preserve">FEE2480</t>
  </si>
  <si>
    <t xml:space="preserve">FEE2481</t>
  </si>
  <si>
    <t xml:space="preserve">FEE2482</t>
  </si>
  <si>
    <t xml:space="preserve">FEE2483</t>
  </si>
  <si>
    <t xml:space="preserve">FEE2484</t>
  </si>
  <si>
    <t xml:space="preserve">FEE2485</t>
  </si>
  <si>
    <t xml:space="preserve">FEE2486</t>
  </si>
  <si>
    <t xml:space="preserve">FEE2487</t>
  </si>
  <si>
    <t xml:space="preserve">FEE2488</t>
  </si>
  <si>
    <t xml:space="preserve">FEE2489</t>
  </si>
  <si>
    <t xml:space="preserve">FEE2490</t>
  </si>
  <si>
    <t xml:space="preserve">FEE2491</t>
  </si>
  <si>
    <t xml:space="preserve">FEE2492</t>
  </si>
  <si>
    <t xml:space="preserve">FEE2493</t>
  </si>
  <si>
    <t xml:space="preserve">FEE2494</t>
  </si>
  <si>
    <t xml:space="preserve">FEE2495</t>
  </si>
  <si>
    <t xml:space="preserve">FEE2496</t>
  </si>
  <si>
    <t xml:space="preserve">FEE2497</t>
  </si>
  <si>
    <t xml:space="preserve">FEE2498</t>
  </si>
  <si>
    <t xml:space="preserve">FEE2499</t>
  </si>
  <si>
    <t xml:space="preserve">FEE2500</t>
  </si>
  <si>
    <t xml:space="preserve">FEE2501</t>
  </si>
  <si>
    <t xml:space="preserve">FEE2502</t>
  </si>
  <si>
    <t xml:space="preserve">FEE2503</t>
  </si>
  <si>
    <t xml:space="preserve">FEE2504</t>
  </si>
  <si>
    <t xml:space="preserve">FEE2505</t>
  </si>
  <si>
    <t xml:space="preserve">FEE2506</t>
  </si>
  <si>
    <t xml:space="preserve">FEE2507</t>
  </si>
  <si>
    <t xml:space="preserve">FEE2508</t>
  </si>
  <si>
    <t xml:space="preserve">FEE2509</t>
  </si>
  <si>
    <t xml:space="preserve">FEE2510</t>
  </si>
  <si>
    <t xml:space="preserve">FEE2511</t>
  </si>
  <si>
    <t xml:space="preserve">FEE2512</t>
  </si>
  <si>
    <t xml:space="preserve">FEE2513</t>
  </si>
  <si>
    <t xml:space="preserve">FEE2514</t>
  </si>
  <si>
    <t xml:space="preserve">FEE2515</t>
  </si>
  <si>
    <t xml:space="preserve">FEE2516</t>
  </si>
  <si>
    <t xml:space="preserve">FEE2517</t>
  </si>
  <si>
    <t xml:space="preserve">FEE2518</t>
  </si>
  <si>
    <t xml:space="preserve">FEE2519</t>
  </si>
  <si>
    <t xml:space="preserve">FEE2520</t>
  </si>
  <si>
    <t xml:space="preserve">FEE2521</t>
  </si>
  <si>
    <t xml:space="preserve">FEE2522</t>
  </si>
  <si>
    <t xml:space="preserve">FEE2523</t>
  </si>
  <si>
    <t xml:space="preserve">FEE2524</t>
  </si>
  <si>
    <t xml:space="preserve">FEE2525</t>
  </si>
  <si>
    <t xml:space="preserve">FEE2526</t>
  </si>
  <si>
    <t xml:space="preserve">FEE2527</t>
  </si>
  <si>
    <t xml:space="preserve">FEE2528</t>
  </si>
  <si>
    <t xml:space="preserve">FEE2529</t>
  </si>
  <si>
    <t xml:space="preserve">FEE2530</t>
  </si>
  <si>
    <t xml:space="preserve">FEE2531</t>
  </si>
  <si>
    <t xml:space="preserve">FEE2532</t>
  </si>
  <si>
    <t xml:space="preserve">FEE2533</t>
  </si>
  <si>
    <t xml:space="preserve">FEE2534</t>
  </si>
  <si>
    <t xml:space="preserve">FEE2535</t>
  </si>
  <si>
    <t xml:space="preserve">FEE2536</t>
  </si>
  <si>
    <t xml:space="preserve">FEE2537</t>
  </si>
  <si>
    <t xml:space="preserve">FEE2538</t>
  </si>
  <si>
    <t xml:space="preserve">FEE2539</t>
  </si>
  <si>
    <t xml:space="preserve">FEE2540</t>
  </si>
  <si>
    <t xml:space="preserve">FEE2541</t>
  </si>
  <si>
    <t xml:space="preserve">FEE2542</t>
  </si>
  <si>
    <t xml:space="preserve">FEE2543</t>
  </si>
  <si>
    <t xml:space="preserve">FEE2544</t>
  </si>
  <si>
    <t xml:space="preserve">FEE2545</t>
  </si>
  <si>
    <t xml:space="preserve">FEE2546</t>
  </si>
  <si>
    <t xml:space="preserve">FEE2547</t>
  </si>
  <si>
    <t xml:space="preserve">FEE2548</t>
  </si>
  <si>
    <t xml:space="preserve">FEE2549</t>
  </si>
  <si>
    <t xml:space="preserve">FEE2550</t>
  </si>
  <si>
    <t xml:space="preserve">FEE2551</t>
  </si>
  <si>
    <t xml:space="preserve">FEE2552</t>
  </si>
  <si>
    <t xml:space="preserve">FEE2553</t>
  </si>
  <si>
    <t xml:space="preserve">FEE2554</t>
  </si>
  <si>
    <t xml:space="preserve">FEE2555</t>
  </si>
  <si>
    <t xml:space="preserve">FEE2556</t>
  </si>
  <si>
    <t xml:space="preserve">FEE2557</t>
  </si>
  <si>
    <t xml:space="preserve">FEE2558</t>
  </si>
  <si>
    <t xml:space="preserve">FEE2559</t>
  </si>
  <si>
    <t xml:space="preserve">FEE2560</t>
  </si>
  <si>
    <t xml:space="preserve">FEE2561</t>
  </si>
  <si>
    <t xml:space="preserve">FEE2562</t>
  </si>
  <si>
    <t xml:space="preserve">FEE2563</t>
  </si>
  <si>
    <t xml:space="preserve">FEE2564</t>
  </si>
  <si>
    <t xml:space="preserve">FEE2565</t>
  </si>
  <si>
    <t xml:space="preserve">FEE2566</t>
  </si>
  <si>
    <t xml:space="preserve">FEE2567</t>
  </si>
  <si>
    <t xml:space="preserve">FEE2568</t>
  </si>
  <si>
    <t xml:space="preserve">FEE2569</t>
  </si>
  <si>
    <t xml:space="preserve">FEE2570</t>
  </si>
  <si>
    <t xml:space="preserve">FEE2571</t>
  </si>
  <si>
    <t xml:space="preserve">FEE2572</t>
  </si>
  <si>
    <t xml:space="preserve">FEE2573</t>
  </si>
  <si>
    <t xml:space="preserve">FEE2574</t>
  </si>
  <si>
    <t xml:space="preserve">FEE2575</t>
  </si>
  <si>
    <t xml:space="preserve">FEE2576</t>
  </si>
  <si>
    <t xml:space="preserve">FEE2577</t>
  </si>
  <si>
    <t xml:space="preserve">FEE2578</t>
  </si>
  <si>
    <t xml:space="preserve">FEE2579</t>
  </si>
  <si>
    <t xml:space="preserve">FEE2580</t>
  </si>
  <si>
    <t xml:space="preserve">FEE2581</t>
  </si>
  <si>
    <t xml:space="preserve">FEE2582</t>
  </si>
  <si>
    <t xml:space="preserve">FEE2583</t>
  </si>
  <si>
    <t xml:space="preserve">FEE2584</t>
  </si>
  <si>
    <t xml:space="preserve">FEE2585</t>
  </si>
  <si>
    <t xml:space="preserve">FEE2586</t>
  </si>
  <si>
    <t xml:space="preserve">FEE2587</t>
  </si>
  <si>
    <t xml:space="preserve">FEE2588</t>
  </si>
  <si>
    <t xml:space="preserve">FEE2589</t>
  </si>
  <si>
    <t xml:space="preserve">FEE2590</t>
  </si>
  <si>
    <t xml:space="preserve">FEE2591</t>
  </si>
  <si>
    <t xml:space="preserve">FEE2592</t>
  </si>
  <si>
    <t xml:space="preserve">FEE2593</t>
  </si>
  <si>
    <t xml:space="preserve">FEE2594</t>
  </si>
  <si>
    <t xml:space="preserve">FEE2595</t>
  </si>
  <si>
    <t xml:space="preserve">FEE2596</t>
  </si>
  <si>
    <t xml:space="preserve">FEE2597</t>
  </si>
  <si>
    <t xml:space="preserve">FEE2598</t>
  </si>
  <si>
    <t xml:space="preserve">FEE2599</t>
  </si>
  <si>
    <t xml:space="preserve">FEE2600</t>
  </si>
  <si>
    <t xml:space="preserve">FEE2601</t>
  </si>
  <si>
    <t xml:space="preserve">FEE2602</t>
  </si>
  <si>
    <t xml:space="preserve">FEE2603</t>
  </si>
  <si>
    <t xml:space="preserve">FEE2604</t>
  </si>
  <si>
    <t xml:space="preserve">FEE2605</t>
  </si>
  <si>
    <t xml:space="preserve">FEE2606</t>
  </si>
  <si>
    <t xml:space="preserve">FEE2607</t>
  </si>
  <si>
    <t xml:space="preserve">FEE2608</t>
  </si>
  <si>
    <t xml:space="preserve">FEE2609</t>
  </si>
  <si>
    <t xml:space="preserve">FEE2610</t>
  </si>
  <si>
    <t xml:space="preserve">FEE2611</t>
  </si>
  <si>
    <t xml:space="preserve">FEE2612</t>
  </si>
  <si>
    <t xml:space="preserve">FEE2613</t>
  </si>
  <si>
    <t xml:space="preserve">FEE2614</t>
  </si>
  <si>
    <t xml:space="preserve">FEE2615</t>
  </si>
  <si>
    <t xml:space="preserve">FEE2616</t>
  </si>
  <si>
    <t xml:space="preserve">FEE2617</t>
  </si>
  <si>
    <t xml:space="preserve">FEE2618</t>
  </si>
  <si>
    <t xml:space="preserve">FEE2619</t>
  </si>
  <si>
    <t xml:space="preserve">FEE2620</t>
  </si>
  <si>
    <t xml:space="preserve">FEE2621</t>
  </si>
  <si>
    <t xml:space="preserve">FEE2622</t>
  </si>
  <si>
    <t xml:space="preserve">FEE2623</t>
  </si>
  <si>
    <t xml:space="preserve">FEE2624</t>
  </si>
  <si>
    <t xml:space="preserve">FEE2625</t>
  </si>
  <si>
    <t xml:space="preserve">FEE2626</t>
  </si>
  <si>
    <t xml:space="preserve">FEE2627</t>
  </si>
  <si>
    <t xml:space="preserve">FEE2628</t>
  </si>
  <si>
    <t xml:space="preserve">FEE2629</t>
  </si>
  <si>
    <t xml:space="preserve">FEE2630</t>
  </si>
  <si>
    <t xml:space="preserve">FEE2631</t>
  </si>
  <si>
    <t xml:space="preserve">FEE2632</t>
  </si>
  <si>
    <t xml:space="preserve">FEE2633</t>
  </si>
  <si>
    <t xml:space="preserve">FEE2634</t>
  </si>
  <si>
    <t xml:space="preserve">FEE2635</t>
  </si>
  <si>
    <t xml:space="preserve">FEE2636</t>
  </si>
  <si>
    <t xml:space="preserve">FEE2637</t>
  </si>
  <si>
    <t xml:space="preserve">FEE2638</t>
  </si>
  <si>
    <t xml:space="preserve">FEE2639</t>
  </si>
  <si>
    <t xml:space="preserve">FEE2640</t>
  </si>
  <si>
    <t xml:space="preserve">FEE2641</t>
  </si>
  <si>
    <t xml:space="preserve">FEE2642</t>
  </si>
  <si>
    <t xml:space="preserve">FEE2643</t>
  </si>
  <si>
    <t xml:space="preserve">FEE2644</t>
  </si>
  <si>
    <t xml:space="preserve">FEE2645</t>
  </si>
  <si>
    <t xml:space="preserve">FEE2646</t>
  </si>
  <si>
    <t xml:space="preserve">FEE2647</t>
  </si>
  <si>
    <t xml:space="preserve">FEE2648</t>
  </si>
  <si>
    <t xml:space="preserve">FEE2649</t>
  </si>
  <si>
    <t xml:space="preserve">FEE2650</t>
  </si>
  <si>
    <t xml:space="preserve">FEE2651</t>
  </si>
  <si>
    <t xml:space="preserve">FEE2652</t>
  </si>
  <si>
    <t xml:space="preserve">FEE2653</t>
  </si>
  <si>
    <t xml:space="preserve">FEE2654</t>
  </si>
  <si>
    <t xml:space="preserve">FEE2655</t>
  </si>
  <si>
    <t xml:space="preserve">FEE2656</t>
  </si>
  <si>
    <t xml:space="preserve">FEE2657</t>
  </si>
  <si>
    <t xml:space="preserve">FEE2658</t>
  </si>
  <si>
    <t xml:space="preserve">FEE2659</t>
  </si>
  <si>
    <t xml:space="preserve">FEE2660</t>
  </si>
  <si>
    <t xml:space="preserve">FEE2661</t>
  </si>
  <si>
    <t xml:space="preserve">FEE2662</t>
  </si>
  <si>
    <t xml:space="preserve">FEE2663</t>
  </si>
  <si>
    <t xml:space="preserve">FEE2664</t>
  </si>
  <si>
    <t xml:space="preserve">FEE2665</t>
  </si>
  <si>
    <t xml:space="preserve">FEE2666</t>
  </si>
  <si>
    <t xml:space="preserve">FEE2667</t>
  </si>
  <si>
    <t xml:space="preserve">FEE2668</t>
  </si>
  <si>
    <t xml:space="preserve">FEE2669</t>
  </si>
  <si>
    <t xml:space="preserve">FEE2670</t>
  </si>
  <si>
    <t xml:space="preserve">FEE2671</t>
  </si>
  <si>
    <t xml:space="preserve">FEE2672</t>
  </si>
  <si>
    <t xml:space="preserve">FEE2673</t>
  </si>
  <si>
    <t xml:space="preserve">FEE2674</t>
  </si>
  <si>
    <t xml:space="preserve">FEE2675</t>
  </si>
  <si>
    <t xml:space="preserve">FEE2676</t>
  </si>
  <si>
    <t xml:space="preserve">FEE2677</t>
  </si>
  <si>
    <t xml:space="preserve">FEE2678</t>
  </si>
  <si>
    <t xml:space="preserve">FEE2679</t>
  </si>
  <si>
    <t xml:space="preserve">FEE2680</t>
  </si>
  <si>
    <t xml:space="preserve">FEE2681</t>
  </si>
  <si>
    <t xml:space="preserve">FEE2682</t>
  </si>
  <si>
    <t xml:space="preserve">FEE2683</t>
  </si>
  <si>
    <t xml:space="preserve">FEE2684</t>
  </si>
  <si>
    <t xml:space="preserve">FEE2685</t>
  </si>
  <si>
    <t xml:space="preserve">FEE2686</t>
  </si>
  <si>
    <t xml:space="preserve">FEE2687</t>
  </si>
  <si>
    <t xml:space="preserve">FEE2688</t>
  </si>
  <si>
    <t xml:space="preserve">FEE2689</t>
  </si>
  <si>
    <t xml:space="preserve">FEE2690</t>
  </si>
  <si>
    <t xml:space="preserve">FEE2691</t>
  </si>
  <si>
    <t xml:space="preserve">FEE2692</t>
  </si>
  <si>
    <t xml:space="preserve">FEE2693</t>
  </si>
  <si>
    <t xml:space="preserve">FEE2694</t>
  </si>
  <si>
    <t xml:space="preserve">FEE2695</t>
  </si>
  <si>
    <t xml:space="preserve">FEE2696</t>
  </si>
  <si>
    <t xml:space="preserve">FEE2697</t>
  </si>
  <si>
    <t xml:space="preserve">FEE2698</t>
  </si>
  <si>
    <t xml:space="preserve">FEE2699</t>
  </si>
  <si>
    <t xml:space="preserve">FEE2700</t>
  </si>
  <si>
    <t xml:space="preserve">FEE2701</t>
  </si>
  <si>
    <t xml:space="preserve">FEE2702</t>
  </si>
  <si>
    <t xml:space="preserve">FEE2703</t>
  </si>
  <si>
    <t xml:space="preserve">FEE2704</t>
  </si>
  <si>
    <t xml:space="preserve">FEE2705</t>
  </si>
  <si>
    <t xml:space="preserve">FEE2706</t>
  </si>
  <si>
    <t xml:space="preserve">FEE2707</t>
  </si>
  <si>
    <t xml:space="preserve">FEE2708</t>
  </si>
  <si>
    <t xml:space="preserve">FEE2709</t>
  </si>
  <si>
    <t xml:space="preserve">FEE2710</t>
  </si>
  <si>
    <t xml:space="preserve">FEE2711</t>
  </si>
  <si>
    <t xml:space="preserve">FEE2712</t>
  </si>
  <si>
    <t xml:space="preserve">FEE2713</t>
  </si>
  <si>
    <t xml:space="preserve">FEE2714</t>
  </si>
  <si>
    <t xml:space="preserve">FEE2715</t>
  </si>
  <si>
    <t xml:space="preserve">FEE2716</t>
  </si>
  <si>
    <t xml:space="preserve">FEE2717</t>
  </si>
  <si>
    <t xml:space="preserve">FEE2718</t>
  </si>
  <si>
    <t xml:space="preserve">FEE2719</t>
  </si>
  <si>
    <t xml:space="preserve">FEE2720</t>
  </si>
  <si>
    <t xml:space="preserve">FEE2721</t>
  </si>
  <si>
    <t xml:space="preserve">FEE2722</t>
  </si>
  <si>
    <t xml:space="preserve">FEE2723</t>
  </si>
  <si>
    <t xml:space="preserve">FEE2724</t>
  </si>
  <si>
    <t xml:space="preserve">FEE2725</t>
  </si>
  <si>
    <t xml:space="preserve">FEE2726</t>
  </si>
  <si>
    <t xml:space="preserve">FEE2727</t>
  </si>
  <si>
    <t xml:space="preserve">FEE2728</t>
  </si>
  <si>
    <t xml:space="preserve">FEE2729</t>
  </si>
  <si>
    <t xml:space="preserve">FEE2730</t>
  </si>
  <si>
    <t xml:space="preserve">FEE2731</t>
  </si>
  <si>
    <t xml:space="preserve">FEE2732</t>
  </si>
  <si>
    <t xml:space="preserve">FEE2733</t>
  </si>
  <si>
    <t xml:space="preserve">FEE2734</t>
  </si>
  <si>
    <t xml:space="preserve">FEE2735</t>
  </si>
  <si>
    <t xml:space="preserve">FEE2736</t>
  </si>
  <si>
    <t xml:space="preserve">FEE2737</t>
  </si>
  <si>
    <t xml:space="preserve">FEE2738</t>
  </si>
  <si>
    <t xml:space="preserve">FEE2739</t>
  </si>
  <si>
    <t xml:space="preserve">FEE2740</t>
  </si>
  <si>
    <t xml:space="preserve">FEE2741</t>
  </si>
  <si>
    <t xml:space="preserve">FEE2742</t>
  </si>
  <si>
    <t xml:space="preserve">FEE2743</t>
  </si>
  <si>
    <t xml:space="preserve">FEE2744</t>
  </si>
  <si>
    <t xml:space="preserve">FEE2745</t>
  </si>
  <si>
    <t xml:space="preserve">FEE2746</t>
  </si>
  <si>
    <t xml:space="preserve">FEE2747</t>
  </si>
  <si>
    <t xml:space="preserve">FEE2748</t>
  </si>
  <si>
    <t xml:space="preserve">FEE2749</t>
  </si>
  <si>
    <t xml:space="preserve">FEE2750</t>
  </si>
  <si>
    <t xml:space="preserve">FEE2751</t>
  </si>
  <si>
    <t xml:space="preserve">FEE2752</t>
  </si>
  <si>
    <t xml:space="preserve">FEE2753</t>
  </si>
  <si>
    <t xml:space="preserve">FEE2754</t>
  </si>
  <si>
    <t xml:space="preserve">FEE2755</t>
  </si>
  <si>
    <t xml:space="preserve">FEE2756</t>
  </si>
  <si>
    <t xml:space="preserve">FEE2757</t>
  </si>
  <si>
    <t xml:space="preserve">FEE2758</t>
  </si>
  <si>
    <t xml:space="preserve">FEE2759</t>
  </si>
  <si>
    <t xml:space="preserve">FEE2760</t>
  </si>
  <si>
    <t xml:space="preserve">FEE2761</t>
  </si>
  <si>
    <t xml:space="preserve">FEE2762</t>
  </si>
  <si>
    <t xml:space="preserve">FEE2763</t>
  </si>
  <si>
    <t xml:space="preserve">FEE2764</t>
  </si>
  <si>
    <t xml:space="preserve">FEE2765</t>
  </si>
  <si>
    <t xml:space="preserve">FEE2766</t>
  </si>
  <si>
    <t xml:space="preserve">FEE2767</t>
  </si>
  <si>
    <t xml:space="preserve">FEE2768</t>
  </si>
  <si>
    <t xml:space="preserve">FEE2769</t>
  </si>
  <si>
    <t xml:space="preserve">FEE2770</t>
  </si>
  <si>
    <t xml:space="preserve">FEE2771</t>
  </si>
  <si>
    <t xml:space="preserve">FEE2772</t>
  </si>
  <si>
    <t xml:space="preserve">FEE2773</t>
  </si>
  <si>
    <t xml:space="preserve">FEE2774</t>
  </si>
  <si>
    <t xml:space="preserve">FEE2775</t>
  </si>
  <si>
    <t xml:space="preserve">FEE2776</t>
  </si>
  <si>
    <t xml:space="preserve">FEE2777</t>
  </si>
  <si>
    <t xml:space="preserve">FEE2778</t>
  </si>
  <si>
    <t xml:space="preserve">FEE2779</t>
  </si>
  <si>
    <t xml:space="preserve">FEE2780</t>
  </si>
  <si>
    <t xml:space="preserve">FEE2781</t>
  </si>
  <si>
    <t xml:space="preserve">FEE2782</t>
  </si>
  <si>
    <t xml:space="preserve">FEE2783</t>
  </si>
  <si>
    <t xml:space="preserve">FEE2784</t>
  </si>
  <si>
    <t xml:space="preserve">FEE2785</t>
  </si>
  <si>
    <t xml:space="preserve">FEE2786</t>
  </si>
  <si>
    <t xml:space="preserve">FEE2787</t>
  </si>
  <si>
    <t xml:space="preserve">FEE2788</t>
  </si>
  <si>
    <t xml:space="preserve">FEE2789</t>
  </si>
  <si>
    <t xml:space="preserve">FEE2790</t>
  </si>
  <si>
    <t xml:space="preserve">FEE2791</t>
  </si>
  <si>
    <t xml:space="preserve">FEE2792</t>
  </si>
  <si>
    <t xml:space="preserve">FEE2793</t>
  </si>
  <si>
    <t xml:space="preserve">FEE2794</t>
  </si>
  <si>
    <t xml:space="preserve">FEE2795</t>
  </si>
  <si>
    <t xml:space="preserve">FEE2796</t>
  </si>
  <si>
    <t xml:space="preserve">FEE2797</t>
  </si>
  <si>
    <t xml:space="preserve">FEE2798</t>
  </si>
  <si>
    <t xml:space="preserve">FEE2799</t>
  </si>
  <si>
    <t xml:space="preserve">FEE2800</t>
  </si>
  <si>
    <t xml:space="preserve">FEE2801</t>
  </si>
  <si>
    <t xml:space="preserve">FEE2802</t>
  </si>
  <si>
    <t xml:space="preserve">FEE2803</t>
  </si>
  <si>
    <t xml:space="preserve">FEE2804</t>
  </si>
  <si>
    <t xml:space="preserve">FEE2805</t>
  </si>
  <si>
    <t xml:space="preserve">FEE2806</t>
  </si>
  <si>
    <t xml:space="preserve">FEE2807</t>
  </si>
  <si>
    <t xml:space="preserve">FEE2808</t>
  </si>
  <si>
    <t xml:space="preserve">FEE2809</t>
  </si>
  <si>
    <t xml:space="preserve">FEE2810</t>
  </si>
  <si>
    <t xml:space="preserve">FEE2811</t>
  </si>
  <si>
    <t xml:space="preserve">FEE2812</t>
  </si>
  <si>
    <t xml:space="preserve">FEE2813</t>
  </si>
  <si>
    <t xml:space="preserve">FEE2814</t>
  </si>
  <si>
    <t xml:space="preserve">FEE2815</t>
  </si>
  <si>
    <t xml:space="preserve">FEE2816</t>
  </si>
  <si>
    <t xml:space="preserve">FEE2817</t>
  </si>
  <si>
    <t xml:space="preserve">FEE2818</t>
  </si>
  <si>
    <t xml:space="preserve">FEE2819</t>
  </si>
  <si>
    <t xml:space="preserve">FEE2820</t>
  </si>
  <si>
    <t xml:space="preserve">FEE2821</t>
  </si>
  <si>
    <t xml:space="preserve">FEE2822</t>
  </si>
  <si>
    <t xml:space="preserve">FEE2823</t>
  </si>
  <si>
    <t xml:space="preserve">FEE2824</t>
  </si>
  <si>
    <t xml:space="preserve">FEE2825</t>
  </si>
  <si>
    <t xml:space="preserve">FEE2826</t>
  </si>
  <si>
    <t xml:space="preserve">FEE2827</t>
  </si>
  <si>
    <t xml:space="preserve">FEE2828</t>
  </si>
  <si>
    <t xml:space="preserve">FEE2829</t>
  </si>
  <si>
    <t xml:space="preserve">FEE2830</t>
  </si>
  <si>
    <t xml:space="preserve">FEE2831</t>
  </si>
  <si>
    <t xml:space="preserve">FEE2832</t>
  </si>
  <si>
    <t xml:space="preserve">FEE2833</t>
  </si>
  <si>
    <t xml:space="preserve">FEE2834</t>
  </si>
  <si>
    <t xml:space="preserve">FEE2835</t>
  </si>
  <si>
    <t xml:space="preserve">FEE2836</t>
  </si>
  <si>
    <t xml:space="preserve">FEE2837</t>
  </si>
  <si>
    <t xml:space="preserve">FEE2838</t>
  </si>
  <si>
    <t xml:space="preserve">FEE2839</t>
  </si>
  <si>
    <t xml:space="preserve">FEE2840</t>
  </si>
  <si>
    <t xml:space="preserve">FEE2841</t>
  </si>
  <si>
    <t xml:space="preserve">FEE2842</t>
  </si>
  <si>
    <t xml:space="preserve">FEE2843</t>
  </si>
  <si>
    <t xml:space="preserve">FEE2844</t>
  </si>
  <si>
    <t xml:space="preserve">FEE2845</t>
  </si>
  <si>
    <t xml:space="preserve">FEE2846</t>
  </si>
  <si>
    <t xml:space="preserve">FEE2847</t>
  </si>
  <si>
    <t xml:space="preserve">FEE2848</t>
  </si>
  <si>
    <t xml:space="preserve">FEE2849</t>
  </si>
  <si>
    <t xml:space="preserve">FEE2850</t>
  </si>
  <si>
    <t xml:space="preserve">FEE2851</t>
  </si>
  <si>
    <t xml:space="preserve">FEE2852</t>
  </si>
  <si>
    <t xml:space="preserve">FEE2853</t>
  </si>
  <si>
    <t xml:space="preserve">FEE2854</t>
  </si>
  <si>
    <t xml:space="preserve">FEE2855</t>
  </si>
  <si>
    <t xml:space="preserve">FEE2856</t>
  </si>
  <si>
    <t xml:space="preserve">FEE2857</t>
  </si>
  <si>
    <t xml:space="preserve">FEE2858</t>
  </si>
  <si>
    <t xml:space="preserve">FEE2859</t>
  </si>
  <si>
    <t xml:space="preserve">FEE2860</t>
  </si>
  <si>
    <t xml:space="preserve">FEE2861</t>
  </si>
  <si>
    <t xml:space="preserve">FEE2862</t>
  </si>
  <si>
    <t xml:space="preserve">FEE2863</t>
  </si>
  <si>
    <t xml:space="preserve">FEE2864</t>
  </si>
  <si>
    <t xml:space="preserve">FEE2865</t>
  </si>
  <si>
    <t xml:space="preserve">FEE2866</t>
  </si>
  <si>
    <t xml:space="preserve">FEE2867</t>
  </si>
  <si>
    <t xml:space="preserve">FEE2868</t>
  </si>
  <si>
    <t xml:space="preserve">FEE2869</t>
  </si>
  <si>
    <t xml:space="preserve">FEE2870</t>
  </si>
  <si>
    <t xml:space="preserve">FEE2871</t>
  </si>
  <si>
    <t xml:space="preserve">FEE2872</t>
  </si>
  <si>
    <t xml:space="preserve">FEE2873</t>
  </si>
  <si>
    <t xml:space="preserve">FEE2874</t>
  </si>
  <si>
    <t xml:space="preserve">FEE2875</t>
  </si>
  <si>
    <t xml:space="preserve">FEE2876</t>
  </si>
  <si>
    <t xml:space="preserve">FEE2877</t>
  </si>
  <si>
    <t xml:space="preserve">FEE2878</t>
  </si>
  <si>
    <t xml:space="preserve">FEE2879</t>
  </si>
  <si>
    <t xml:space="preserve">FEE2880</t>
  </si>
  <si>
    <t xml:space="preserve">FEE2881</t>
  </si>
  <si>
    <t xml:space="preserve">FEE2882</t>
  </si>
  <si>
    <t xml:space="preserve">FEE2883</t>
  </si>
  <si>
    <t xml:space="preserve">FEE2884</t>
  </si>
  <si>
    <t xml:space="preserve">FEE2885</t>
  </si>
  <si>
    <t xml:space="preserve">FEE2886</t>
  </si>
  <si>
    <t xml:space="preserve">FEE2887</t>
  </si>
  <si>
    <t xml:space="preserve">FEE2888</t>
  </si>
  <si>
    <t xml:space="preserve">FEE2889</t>
  </si>
  <si>
    <t xml:space="preserve">FEE2890</t>
  </si>
  <si>
    <t xml:space="preserve">FEE2891</t>
  </si>
  <si>
    <t xml:space="preserve">FEE2892</t>
  </si>
  <si>
    <t xml:space="preserve">FEE2893</t>
  </si>
  <si>
    <t xml:space="preserve">FEE2894</t>
  </si>
  <si>
    <t xml:space="preserve">FEE2895</t>
  </si>
  <si>
    <t xml:space="preserve">FEE2896</t>
  </si>
  <si>
    <t xml:space="preserve">FEE2897</t>
  </si>
  <si>
    <t xml:space="preserve">FEE2898</t>
  </si>
  <si>
    <t xml:space="preserve">FEE2899</t>
  </si>
  <si>
    <t xml:space="preserve">FEE2900</t>
  </si>
  <si>
    <t xml:space="preserve">FEE2901</t>
  </si>
  <si>
    <t xml:space="preserve">FEE2902</t>
  </si>
  <si>
    <t xml:space="preserve">FEE2903</t>
  </si>
  <si>
    <t xml:space="preserve">FEE2904</t>
  </si>
  <si>
    <t xml:space="preserve">FEE2905</t>
  </si>
  <si>
    <t xml:space="preserve">FEE2906</t>
  </si>
  <si>
    <t xml:space="preserve">FEE2907</t>
  </si>
  <si>
    <t xml:space="preserve">FEE2908</t>
  </si>
  <si>
    <t xml:space="preserve">FEE2909</t>
  </si>
  <si>
    <t xml:space="preserve">FEE2910</t>
  </si>
  <si>
    <t xml:space="preserve">FEE2911</t>
  </si>
  <si>
    <t xml:space="preserve">FEE2912</t>
  </si>
  <si>
    <t xml:space="preserve">FEE2913</t>
  </si>
  <si>
    <t xml:space="preserve">FEE2914</t>
  </si>
  <si>
    <t xml:space="preserve">FEE2915</t>
  </si>
  <si>
    <t xml:space="preserve">FEE2916</t>
  </si>
  <si>
    <t xml:space="preserve">FEE2917</t>
  </si>
  <si>
    <t xml:space="preserve">FEE2918</t>
  </si>
  <si>
    <t xml:space="preserve">FEE2919</t>
  </si>
  <si>
    <t xml:space="preserve">FEE2920</t>
  </si>
  <si>
    <t xml:space="preserve">FEE2921</t>
  </si>
  <si>
    <t xml:space="preserve">FEE2922</t>
  </si>
  <si>
    <t xml:space="preserve">FEE2923</t>
  </si>
  <si>
    <t xml:space="preserve">FEE2924</t>
  </si>
  <si>
    <t xml:space="preserve">FEE2925</t>
  </si>
  <si>
    <t xml:space="preserve">FEE2926</t>
  </si>
  <si>
    <t xml:space="preserve">FEE2927</t>
  </si>
  <si>
    <t xml:space="preserve">FEE2928</t>
  </si>
  <si>
    <t xml:space="preserve">FEE2929</t>
  </si>
  <si>
    <t xml:space="preserve">FEE2930</t>
  </si>
  <si>
    <t xml:space="preserve">FEE2931</t>
  </si>
  <si>
    <t xml:space="preserve">FEE2932</t>
  </si>
  <si>
    <t xml:space="preserve">FEE2933</t>
  </si>
  <si>
    <t xml:space="preserve">FEE2934</t>
  </si>
  <si>
    <t xml:space="preserve">FEE2935</t>
  </si>
  <si>
    <t xml:space="preserve">FEE2936</t>
  </si>
  <si>
    <t xml:space="preserve">FEE2937</t>
  </si>
  <si>
    <t xml:space="preserve">FEE2938</t>
  </si>
  <si>
    <t xml:space="preserve">FEE2939</t>
  </si>
  <si>
    <t xml:space="preserve">FEE2940</t>
  </si>
  <si>
    <t xml:space="preserve">FEE2941</t>
  </si>
  <si>
    <t xml:space="preserve">FEE2942</t>
  </si>
  <si>
    <t xml:space="preserve">FEE2943</t>
  </si>
  <si>
    <t xml:space="preserve">FEE2944</t>
  </si>
  <si>
    <t xml:space="preserve">FEE2945</t>
  </si>
  <si>
    <t xml:space="preserve">FEE2946</t>
  </si>
  <si>
    <t xml:space="preserve">FEE2947</t>
  </si>
  <si>
    <t xml:space="preserve">FEE2948</t>
  </si>
  <si>
    <t xml:space="preserve">FEE2949</t>
  </si>
  <si>
    <t xml:space="preserve">FEE2950</t>
  </si>
  <si>
    <t xml:space="preserve">FEE2951</t>
  </si>
  <si>
    <t xml:space="preserve">FEE2952</t>
  </si>
  <si>
    <t xml:space="preserve">FEE2953</t>
  </si>
  <si>
    <t xml:space="preserve">FEE2954</t>
  </si>
  <si>
    <t xml:space="preserve">FEE2955</t>
  </si>
  <si>
    <t xml:space="preserve">FEE2956</t>
  </si>
  <si>
    <t xml:space="preserve">FEE2957</t>
  </si>
  <si>
    <t xml:space="preserve">FEE2958</t>
  </si>
  <si>
    <t xml:space="preserve">FEE2959</t>
  </si>
  <si>
    <t xml:space="preserve">FEE2960</t>
  </si>
  <si>
    <t xml:space="preserve">FEE2961</t>
  </si>
  <si>
    <t xml:space="preserve">FEE2962</t>
  </si>
  <si>
    <t xml:space="preserve">FEE2963</t>
  </si>
  <si>
    <t xml:space="preserve">FEE2964</t>
  </si>
  <si>
    <t xml:space="preserve">FEE2965</t>
  </si>
  <si>
    <t xml:space="preserve">FEE2966</t>
  </si>
  <si>
    <t xml:space="preserve">FEE2967</t>
  </si>
  <si>
    <t xml:space="preserve">FEE2968</t>
  </si>
  <si>
    <t xml:space="preserve">FEE2969</t>
  </si>
  <si>
    <t xml:space="preserve">FEE2970</t>
  </si>
  <si>
    <t xml:space="preserve">FEE2971</t>
  </si>
  <si>
    <t xml:space="preserve">FEE2972</t>
  </si>
  <si>
    <t xml:space="preserve">FEE2973</t>
  </si>
  <si>
    <t xml:space="preserve">FEE2974</t>
  </si>
  <si>
    <t xml:space="preserve">FEE2975</t>
  </si>
  <si>
    <t xml:space="preserve">FEE2976</t>
  </si>
  <si>
    <t xml:space="preserve">FEE2977</t>
  </si>
  <si>
    <t xml:space="preserve">FEE2978</t>
  </si>
  <si>
    <t xml:space="preserve">FEE2979</t>
  </si>
  <si>
    <t xml:space="preserve">FEE2980</t>
  </si>
  <si>
    <t xml:space="preserve">FEE2981</t>
  </si>
  <si>
    <t xml:space="preserve">FEE2982</t>
  </si>
  <si>
    <t xml:space="preserve">FEE2983</t>
  </si>
  <si>
    <t xml:space="preserve">FEE2984</t>
  </si>
  <si>
    <t xml:space="preserve">FEE2985</t>
  </si>
  <si>
    <t xml:space="preserve">FEE2986</t>
  </si>
  <si>
    <t xml:space="preserve">FEE2987</t>
  </si>
  <si>
    <t xml:space="preserve">FEE2988</t>
  </si>
  <si>
    <t xml:space="preserve">FEE2989</t>
  </si>
  <si>
    <t xml:space="preserve">FEE2990</t>
  </si>
  <si>
    <t xml:space="preserve">FEE2991</t>
  </si>
  <si>
    <t xml:space="preserve">FEE2992</t>
  </si>
  <si>
    <t xml:space="preserve">FEE2993</t>
  </si>
  <si>
    <t xml:space="preserve">FEE2994</t>
  </si>
  <si>
    <t xml:space="preserve">FEE2995</t>
  </si>
  <si>
    <t xml:space="preserve">FEE2996</t>
  </si>
  <si>
    <t xml:space="preserve">FEE2997</t>
  </si>
  <si>
    <t xml:space="preserve">FEE2998</t>
  </si>
  <si>
    <t xml:space="preserve">FEE2999</t>
  </si>
  <si>
    <t xml:space="preserve">FEE3000</t>
  </si>
  <si>
    <t xml:space="preserve">FEE3001</t>
  </si>
  <si>
    <t xml:space="preserve">FEE3002</t>
  </si>
  <si>
    <t xml:space="preserve">FEE3003</t>
  </si>
  <si>
    <t xml:space="preserve">FEE3004</t>
  </si>
  <si>
    <t xml:space="preserve">FEE3005</t>
  </si>
  <si>
    <t xml:space="preserve">FEE3006</t>
  </si>
  <si>
    <t xml:space="preserve">FEE3007</t>
  </si>
  <si>
    <t xml:space="preserve">FEE3008</t>
  </si>
  <si>
    <t xml:space="preserve">FEE3009</t>
  </si>
  <si>
    <t xml:space="preserve">FEE3010</t>
  </si>
  <si>
    <t xml:space="preserve">FEE3011</t>
  </si>
  <si>
    <t xml:space="preserve">FEE3012</t>
  </si>
  <si>
    <t xml:space="preserve">FEE3013</t>
  </si>
  <si>
    <t xml:space="preserve">FEE3014</t>
  </si>
  <si>
    <t xml:space="preserve">FEE3015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</si>
</sst>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yyyy\-mm\-dd\ h:mm:ss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E5EA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D9E2F3"/>
      <rgbColor rgb="FF660066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Dashboard!$B$15:$B$17</c:f>
              <c:strCache>
                <c:ptCount val="3"/>
                <c:pt idx="0">
                  <c:v>Completed</c:v>
                </c:pt>
                <c:pt idx="1">
                  <c:v>Failed</c:v>
                </c:pt>
                <c:pt idx="2">
                  <c:v>Reversed</c:v>
                </c:pt>
              </c:strCache>
            </c:strRef>
          </c:cat>
          <c:val>
            <c:numRef>
              <c:f>Dashboard!$C$15:$C$17</c:f>
              <c:numCache>
                <c:formatCode>#,##0</c:formatCode>
                <c:ptCount val="3"/>
                <c:pt idx="0">
                  <c:v>2035</c:v>
                </c:pt>
                <c:pt idx="1">
                  <c:v>492</c:v>
                </c:pt>
                <c:pt idx="2">
                  <c:v>488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Channel Usage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Dashboard!$E$15:$E$18</c:f>
              <c:strCache>
                <c:ptCount val="4"/>
                <c:pt idx="0">
                  <c:v>Agent</c:v>
                </c:pt>
                <c:pt idx="1">
                  <c:v>USSD</c:v>
                </c:pt>
                <c:pt idx="2">
                  <c:v>Mobile</c:v>
                </c:pt>
                <c:pt idx="3">
                  <c:v>App</c:v>
                </c:pt>
              </c:strCache>
            </c:strRef>
          </c:cat>
          <c:val>
            <c:numRef>
              <c:f>Dashboard!$F$15:$F$18</c:f>
              <c:numCache>
                <c:formatCode>#,##0</c:formatCode>
                <c:ptCount val="4"/>
                <c:pt idx="0">
                  <c:v>782</c:v>
                </c:pt>
                <c:pt idx="1">
                  <c:v>766</c:v>
                </c:pt>
                <c:pt idx="2">
                  <c:v>753</c:v>
                </c:pt>
                <c:pt idx="3">
                  <c:v>714</c:v>
                </c:pt>
              </c:numCache>
            </c:numRef>
          </c:val>
        </c:ser>
        <c:gapWidth val="150"/>
        <c:overlap val="0"/>
        <c:axId val="67251938"/>
        <c:axId val="80742035"/>
      </c:barChart>
      <c:catAx>
        <c:axId val="672519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42035"/>
        <c:crosses val="autoZero"/>
        <c:auto val="1"/>
        <c:lblAlgn val="ctr"/>
        <c:lblOffset val="100"/>
        <c:noMultiLvlLbl val="0"/>
      </c:catAx>
      <c:valAx>
        <c:axId val="80742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51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 Book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Dashboard!$E$21:$E$24</c:f>
              <c:strCache>
                <c:ptCount val="4"/>
                <c:pt idx="0">
                  <c:v>Active</c:v>
                </c:pt>
                <c:pt idx="1">
                  <c:v>Paid</c:v>
                </c:pt>
                <c:pt idx="2">
                  <c:v>Defaulted</c:v>
                </c:pt>
                <c:pt idx="3">
                  <c:v>Rejected</c:v>
                </c:pt>
              </c:strCache>
            </c:strRef>
          </c:cat>
          <c:val>
            <c:numRef>
              <c:f>Dashboard!$F$21:$F$24</c:f>
              <c:numCache>
                <c:formatCode>#,##0</c:formatCode>
                <c:ptCount val="4"/>
                <c:pt idx="0">
                  <c:v>164</c:v>
                </c:pt>
                <c:pt idx="1">
                  <c:v>163</c:v>
                </c:pt>
                <c:pt idx="2">
                  <c:v>100</c:v>
                </c:pt>
                <c:pt idx="3">
                  <c:v>73</c:v>
                </c:pt>
              </c:numCache>
            </c:numRef>
          </c:val>
        </c:ser>
        <c:gapWidth val="150"/>
        <c:overlap val="0"/>
        <c:axId val="68348024"/>
        <c:axId val="23907915"/>
      </c:barChart>
      <c:catAx>
        <c:axId val="6834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07915"/>
        <c:crosses val="autoZero"/>
        <c:auto val="1"/>
        <c:lblAlgn val="ctr"/>
        <c:lblOffset val="100"/>
        <c:noMultiLvlLbl val="0"/>
      </c:catAx>
      <c:valAx>
        <c:axId val="23907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48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130680</xdr:rowOff>
    </xdr:from>
    <xdr:to>
      <xdr:col>3</xdr:col>
      <xdr:colOff>498240</xdr:colOff>
      <xdr:row>40</xdr:row>
      <xdr:rowOff>153000</xdr:rowOff>
    </xdr:to>
    <xdr:graphicFrame>
      <xdr:nvGraphicFramePr>
        <xdr:cNvPr id="0" name="Chart 1"/>
        <xdr:cNvGraphicFramePr/>
      </xdr:nvGraphicFramePr>
      <xdr:xfrm>
        <a:off x="211320" y="49528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25</xdr:row>
      <xdr:rowOff>130680</xdr:rowOff>
    </xdr:from>
    <xdr:to>
      <xdr:col>6</xdr:col>
      <xdr:colOff>1062000</xdr:colOff>
      <xdr:row>40</xdr:row>
      <xdr:rowOff>153000</xdr:rowOff>
    </xdr:to>
    <xdr:graphicFrame>
      <xdr:nvGraphicFramePr>
        <xdr:cNvPr id="1" name="Chart 2"/>
        <xdr:cNvGraphicFramePr/>
      </xdr:nvGraphicFramePr>
      <xdr:xfrm>
        <a:off x="4581360" y="49528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41</xdr:row>
      <xdr:rowOff>130680</xdr:rowOff>
    </xdr:from>
    <xdr:to>
      <xdr:col>6</xdr:col>
      <xdr:colOff>1062000</xdr:colOff>
      <xdr:row>56</xdr:row>
      <xdr:rowOff>153000</xdr:rowOff>
    </xdr:to>
    <xdr:graphicFrame>
      <xdr:nvGraphicFramePr>
        <xdr:cNvPr id="2" name="Chart 3"/>
        <xdr:cNvGraphicFramePr/>
      </xdr:nvGraphicFramePr>
      <xdr:xfrm>
        <a:off x="4581360" y="800100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18"/>
  </cols>
  <sheetData>
    <row r="2" customFormat="false" ht="19.7" hidden="false" customHeight="false" outlineLevel="0" collapsed="false">
      <c r="B2" s="1" t="s">
        <v>15</v>
      </c>
    </row>
    <row r="3" customFormat="false" ht="15" hidden="false" customHeight="false" outlineLevel="0" collapsed="false">
      <c r="B3" s="3" t="s">
        <v>16</v>
      </c>
    </row>
    <row r="5" customFormat="false" ht="15" hidden="false" customHeight="false" outlineLevel="0" collapsed="false">
      <c r="B5" s="4" t="s">
        <v>17</v>
      </c>
      <c r="D5" s="5" t="n">
        <f aca="false">COUNTIF(Data_Customers!$M$2:$M$1001,"Active")</f>
        <v>738</v>
      </c>
    </row>
    <row r="6" customFormat="false" ht="15" hidden="false" customHeight="false" outlineLevel="0" collapsed="false">
      <c r="B6" s="4" t="s">
        <v>18</v>
      </c>
      <c r="D6" s="5" t="n">
        <f aca="false">COUNTA(Data_Transactions!$A$2:$A$3016)</f>
        <v>3015</v>
      </c>
    </row>
    <row r="7" customFormat="false" ht="15" hidden="false" customHeight="false" outlineLevel="0" collapsed="false">
      <c r="B7" s="4" t="s">
        <v>19</v>
      </c>
      <c r="D7" s="6" t="n">
        <f aca="false">COUNTIF(Data_Transactions!$I$2:$I$3016,"Completed")/COUNTA(Data_Transactions!$A$2:$A$3016)</f>
        <v>0.674958540630183</v>
      </c>
    </row>
    <row r="8" customFormat="false" ht="15" hidden="false" customHeight="false" outlineLevel="0" collapsed="false">
      <c r="B8" s="4" t="s">
        <v>20</v>
      </c>
      <c r="D8" s="5" t="n">
        <f aca="false">SUM(Data_Fees!$D$2:$D$3016)</f>
        <v>371094.03</v>
      </c>
    </row>
    <row r="9" customFormat="false" ht="15" hidden="false" customHeight="false" outlineLevel="0" collapsed="false">
      <c r="B9" s="4" t="s">
        <v>21</v>
      </c>
      <c r="D9" s="5" t="n">
        <f aca="false">SUMIFS(Data_Loans!$K$2:$K$501,Data_Loans!$J$2:$J$501,"Active")+SUMIFS(Data_Loans!$K$2:$K$501,Data_Loans!$J$2:$J$501,"Defaulted")</f>
        <v>25030585.86</v>
      </c>
    </row>
    <row r="10" customFormat="false" ht="15" hidden="false" customHeight="false" outlineLevel="0" collapsed="false">
      <c r="B10" s="4" t="s">
        <v>22</v>
      </c>
      <c r="D10" s="6" t="n">
        <f aca="false">COUNTIF(Data_Loans!$J$2:$J$501,"Defaulted")/(COUNTIF(Data_Loans!$J$2:$J$501,"Defaulted")+COUNTIF(Data_Loans!$J$2:$J$501,"Paid"))</f>
        <v>0.380228136882129</v>
      </c>
    </row>
    <row r="11" customFormat="false" ht="15" hidden="false" customHeight="false" outlineLevel="0" collapsed="false">
      <c r="B11" s="4" t="s">
        <v>23</v>
      </c>
      <c r="D11" s="5" t="n">
        <f aca="false">COUNTIF(Data_Fraud!$F$2:$F$151,"New")</f>
        <v>35</v>
      </c>
    </row>
    <row r="14" customFormat="false" ht="15" hidden="false" customHeight="false" outlineLevel="0" collapsed="false">
      <c r="B14" s="7" t="s">
        <v>24</v>
      </c>
      <c r="E14" s="7" t="s">
        <v>25</v>
      </c>
    </row>
    <row r="15" customFormat="false" ht="15" hidden="false" customHeight="false" outlineLevel="0" collapsed="false">
      <c r="B15" s="0" t="s">
        <v>26</v>
      </c>
      <c r="C15" s="8" t="n">
        <f aca="false">COUNTIF(Data_Transactions!$I$2:$I$3016,"Completed")</f>
        <v>2035</v>
      </c>
      <c r="E15" s="9" t="s">
        <v>27</v>
      </c>
      <c r="F15" s="8" t="n">
        <f aca="false">COUNTIF(Data_Transactions!$F$2:$F$3016,"Agent")</f>
        <v>782</v>
      </c>
    </row>
    <row r="16" customFormat="false" ht="15" hidden="false" customHeight="false" outlineLevel="0" collapsed="false">
      <c r="B16" s="0" t="s">
        <v>28</v>
      </c>
      <c r="C16" s="8" t="n">
        <f aca="false">COUNTIF(Data_Transactions!$I$2:$I$3016,"Failed")</f>
        <v>492</v>
      </c>
      <c r="E16" s="9" t="s">
        <v>29</v>
      </c>
      <c r="F16" s="8" t="n">
        <f aca="false">COUNTIF(Data_Transactions!$F$2:$F$3016,"USSD")</f>
        <v>766</v>
      </c>
    </row>
    <row r="17" customFormat="false" ht="15" hidden="false" customHeight="false" outlineLevel="0" collapsed="false">
      <c r="B17" s="0" t="s">
        <v>30</v>
      </c>
      <c r="C17" s="8" t="n">
        <f aca="false">COUNTIF(Data_Transactions!$I$2:$I$3016,"Reversed")</f>
        <v>488</v>
      </c>
      <c r="E17" s="9" t="s">
        <v>31</v>
      </c>
      <c r="F17" s="8" t="n">
        <f aca="false">COUNTIF(Data_Transactions!$F$2:$F$3016,"Mobile")</f>
        <v>753</v>
      </c>
    </row>
    <row r="18" customFormat="false" ht="15" hidden="false" customHeight="false" outlineLevel="0" collapsed="false">
      <c r="E18" s="0" t="s">
        <v>32</v>
      </c>
      <c r="F18" s="8" t="n">
        <f aca="false">COUNTIF(Data_Transactions!$F$2:$F$3016,"App")</f>
        <v>714</v>
      </c>
    </row>
    <row r="20" customFormat="false" ht="15" hidden="false" customHeight="false" outlineLevel="0" collapsed="false">
      <c r="B20" s="7" t="s">
        <v>33</v>
      </c>
      <c r="E20" s="7" t="s">
        <v>34</v>
      </c>
    </row>
    <row r="21" customFormat="false" ht="15" hidden="false" customHeight="false" outlineLevel="0" collapsed="false">
      <c r="B21" s="0" t="s">
        <v>35</v>
      </c>
      <c r="C21" s="8" t="n">
        <f aca="false">SUMIFS(Data_Transactions!$G$2:$G$3016,Data_Transactions!$E$2:$E$3016,"Bill Payment")</f>
        <v>3888387.28</v>
      </c>
      <c r="E21" s="9" t="s">
        <v>36</v>
      </c>
      <c r="F21" s="8" t="n">
        <f aca="false">COUNTIF(Data_Loans!$J$2:$J$501,"Active")</f>
        <v>164</v>
      </c>
    </row>
    <row r="22" customFormat="false" ht="15" hidden="false" customHeight="false" outlineLevel="0" collapsed="false">
      <c r="B22" s="0" t="s">
        <v>37</v>
      </c>
      <c r="C22" s="8" t="n">
        <f aca="false">SUMIFS(Data_Transactions!$G$2:$G$3016,Data_Transactions!$E$2:$E$3016,"Merchant Payment")</f>
        <v>3969092.32</v>
      </c>
      <c r="E22" s="9" t="s">
        <v>38</v>
      </c>
      <c r="F22" s="8" t="n">
        <f aca="false">COUNTIF(Data_Loans!$J$2:$J$501,"Paid")</f>
        <v>163</v>
      </c>
    </row>
    <row r="23" customFormat="false" ht="15" hidden="false" customHeight="false" outlineLevel="0" collapsed="false">
      <c r="B23" s="0" t="s">
        <v>39</v>
      </c>
      <c r="C23" s="8" t="n">
        <f aca="false">SUMIFS(Data_Transactions!$G$2:$G$3016,Data_Transactions!$E$2:$E$3016,"Payment")</f>
        <v>4421961.5</v>
      </c>
      <c r="E23" s="9" t="s">
        <v>40</v>
      </c>
      <c r="F23" s="8" t="n">
        <f aca="false">COUNTIF(Data_Loans!$J$2:$J$501,"Defaulted")</f>
        <v>100</v>
      </c>
    </row>
    <row r="24" customFormat="false" ht="15" hidden="false" customHeight="false" outlineLevel="0" collapsed="false">
      <c r="B24" s="0" t="s">
        <v>41</v>
      </c>
      <c r="C24" s="8" t="n">
        <f aca="false">SUMIFS(Data_Transactions!$G$2:$G$3016,Data_Transactions!$E$2:$E$3016,"Transfer")</f>
        <v>4686509.12</v>
      </c>
      <c r="E24" s="9" t="s">
        <v>42</v>
      </c>
      <c r="F24" s="8" t="n">
        <f aca="false">COUNTIF(Data_Loans!$J$2:$J$501,"Rejected")</f>
        <v>73</v>
      </c>
    </row>
    <row r="25" customFormat="false" ht="15" hidden="false" customHeight="false" outlineLevel="0" collapsed="false">
      <c r="B25" s="0" t="s">
        <v>43</v>
      </c>
      <c r="C25" s="8" t="n">
        <f aca="false">SUMIFS(Data_Transactions!$G$2:$G$3016,Data_Transactions!$E$2:$E$3016,"Withdrawal")</f>
        <v>3735044.45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44</v>
      </c>
    </row>
    <row r="3" customFormat="false" ht="15" hidden="false" customHeight="false" outlineLevel="0" collapsed="false">
      <c r="B3" s="3" t="s">
        <v>45</v>
      </c>
    </row>
    <row r="6" customFormat="false" ht="15" hidden="false" customHeight="false" outlineLevel="0" collapsed="false">
      <c r="A6" s="10"/>
      <c r="B6" s="10" t="s">
        <v>46</v>
      </c>
      <c r="C6" s="10" t="s">
        <v>26</v>
      </c>
      <c r="D6" s="10" t="s">
        <v>28</v>
      </c>
      <c r="E6" s="10" t="s">
        <v>30</v>
      </c>
      <c r="F6" s="9" t="s">
        <v>47</v>
      </c>
    </row>
    <row r="7" customFormat="false" ht="15" hidden="false" customHeight="false" outlineLevel="0" collapsed="false">
      <c r="B7" s="0" t="s">
        <v>27</v>
      </c>
      <c r="C7" s="0" t="n">
        <f aca="false">COUNTIFS(Data_Transactions!$F$2:$F$3016,"Agent",Data_Transactions!$I$2:$I$3016,"Completed")</f>
        <v>536</v>
      </c>
      <c r="D7" s="0" t="n">
        <f aca="false">COUNTIFS(Data_Transactions!$F$2:$F$3016,"Agent",Data_Transactions!$I$2:$I$3016,"Failed")</f>
        <v>131</v>
      </c>
      <c r="E7" s="0" t="n">
        <f aca="false">COUNTIFS(Data_Transactions!$F$2:$F$3016,"Agent",Data_Transactions!$I$2:$I$3016,"Reversed")</f>
        <v>115</v>
      </c>
      <c r="F7" s="11" t="n">
        <f aca="false">(D7+E7)/(C7+D7+E7)</f>
        <v>0.31457800511509</v>
      </c>
    </row>
    <row r="8" customFormat="false" ht="15" hidden="false" customHeight="false" outlineLevel="0" collapsed="false">
      <c r="B8" s="0" t="s">
        <v>29</v>
      </c>
      <c r="C8" s="0" t="n">
        <f aca="false">COUNTIFS(Data_Transactions!$F$2:$F$3016,"USSD",Data_Transactions!$I$2:$I$3016,"Completed")</f>
        <v>520</v>
      </c>
      <c r="D8" s="0" t="n">
        <f aca="false">COUNTIFS(Data_Transactions!$F$2:$F$3016,"USSD",Data_Transactions!$I$2:$I$3016,"Failed")</f>
        <v>139</v>
      </c>
      <c r="E8" s="0" t="n">
        <f aca="false">COUNTIFS(Data_Transactions!$F$2:$F$3016,"USSD",Data_Transactions!$I$2:$I$3016,"Reversed")</f>
        <v>107</v>
      </c>
      <c r="F8" s="11" t="n">
        <f aca="false">(D8+E8)/(C8+D8+E8)</f>
        <v>0.321148825065274</v>
      </c>
    </row>
    <row r="9" customFormat="false" ht="15" hidden="false" customHeight="false" outlineLevel="0" collapsed="false">
      <c r="B9" s="0" t="s">
        <v>31</v>
      </c>
      <c r="C9" s="0" t="n">
        <f aca="false">COUNTIFS(Data_Transactions!$F$2:$F$3016,"Mobile",Data_Transactions!$I$2:$I$3016,"Completed")</f>
        <v>496</v>
      </c>
      <c r="D9" s="0" t="n">
        <f aca="false">COUNTIFS(Data_Transactions!$F$2:$F$3016,"Mobile",Data_Transactions!$I$2:$I$3016,"Failed")</f>
        <v>115</v>
      </c>
      <c r="E9" s="0" t="n">
        <f aca="false">COUNTIFS(Data_Transactions!$F$2:$F$3016,"Mobile",Data_Transactions!$I$2:$I$3016,"Reversed")</f>
        <v>142</v>
      </c>
      <c r="F9" s="11" t="n">
        <f aca="false">(D9+E9)/(C9+D9+E9)</f>
        <v>0.341301460823373</v>
      </c>
    </row>
    <row r="10" customFormat="false" ht="15" hidden="false" customHeight="false" outlineLevel="0" collapsed="false">
      <c r="B10" s="0" t="s">
        <v>32</v>
      </c>
      <c r="C10" s="0" t="n">
        <f aca="false">COUNTIFS(Data_Transactions!$F$2:$F$3016,"App",Data_Transactions!$I$2:$I$3016,"Completed")</f>
        <v>483</v>
      </c>
      <c r="D10" s="0" t="n">
        <f aca="false">COUNTIFS(Data_Transactions!$F$2:$F$3016,"App",Data_Transactions!$I$2:$I$3016,"Failed")</f>
        <v>107</v>
      </c>
      <c r="E10" s="0" t="n">
        <f aca="false">COUNTIFS(Data_Transactions!$F$2:$F$3016,"App",Data_Transactions!$I$2:$I$3016,"Reversed")</f>
        <v>124</v>
      </c>
      <c r="F10" s="11" t="n">
        <f aca="false">(D10+E10)/(C10+D10+E10)</f>
        <v>0.323529411764706</v>
      </c>
    </row>
    <row r="13" customFormat="false" ht="15" hidden="false" customHeight="false" outlineLevel="0" collapsed="false">
      <c r="B13" s="7" t="s">
        <v>48</v>
      </c>
    </row>
    <row r="14" customFormat="false" ht="15" hidden="false" customHeight="false" outlineLevel="0" collapsed="false">
      <c r="A14" s="10"/>
      <c r="B14" s="10" t="s">
        <v>49</v>
      </c>
      <c r="C14" s="10" t="s">
        <v>50</v>
      </c>
      <c r="D14" s="10" t="s">
        <v>51</v>
      </c>
      <c r="E14" s="9" t="s">
        <v>52</v>
      </c>
    </row>
    <row r="15" customFormat="false" ht="15" hidden="false" customHeight="false" outlineLevel="0" collapsed="false">
      <c r="B15" s="0" t="s">
        <v>53</v>
      </c>
      <c r="C15" s="0" t="n">
        <f aca="false">COUNTIFS(Data_Loans!$E$2:$E$501,"Business Loan",Data_Loans!$J$2:$J$501,"Paid")+COUNTIFS(Data_Loans!$E$2:$E$501,"Business Loan",Data_Loans!$J$2:$J$501,"Defaulted")</f>
        <v>89</v>
      </c>
      <c r="D15" s="0" t="n">
        <f aca="false">COUNTIFS(Data_Loans!$E$2:$E$501,"Business Loan",Data_Loans!$J$2:$J$501,"Defaulted")</f>
        <v>38</v>
      </c>
      <c r="E15" s="11" t="n">
        <f aca="false">D15/C15</f>
        <v>0.426966292134831</v>
      </c>
    </row>
    <row r="16" customFormat="false" ht="15" hidden="false" customHeight="false" outlineLevel="0" collapsed="false">
      <c r="B16" s="0" t="s">
        <v>54</v>
      </c>
      <c r="C16" s="0" t="n">
        <f aca="false">COUNTIFS(Data_Loans!$E$2:$E$501,"Mobile Credit",Data_Loans!$J$2:$J$501,"Paid")+COUNTIFS(Data_Loans!$E$2:$E$501,"Mobile Credit",Data_Loans!$J$2:$J$501,"Defaulted")</f>
        <v>86</v>
      </c>
      <c r="D16" s="0" t="n">
        <f aca="false">COUNTIFS(Data_Loans!$E$2:$E$501,"Mobile Credit",Data_Loans!$J$2:$J$501,"Defaulted")</f>
        <v>30</v>
      </c>
      <c r="E16" s="11" t="n">
        <f aca="false">D16/C16</f>
        <v>0.348837209302326</v>
      </c>
    </row>
    <row r="17" customFormat="false" ht="15" hidden="false" customHeight="false" outlineLevel="0" collapsed="false">
      <c r="B17" s="0" t="s">
        <v>55</v>
      </c>
      <c r="C17" s="0" t="n">
        <f aca="false">COUNTIFS(Data_Loans!$E$2:$E$501,"Salary Advance",Data_Loans!$J$2:$J$501,"Paid")+COUNTIFS(Data_Loans!$E$2:$E$501,"Salary Advance",Data_Loans!$J$2:$J$501,"Defaulted")</f>
        <v>88</v>
      </c>
      <c r="D17" s="0" t="n">
        <f aca="false">COUNTIFS(Data_Loans!$E$2:$E$501,"Salary Advance",Data_Loans!$J$2:$J$501,"Defaulted")</f>
        <v>32</v>
      </c>
      <c r="E17" s="11" t="n">
        <f aca="false">D17/C17</f>
        <v>0.363636363636364</v>
      </c>
    </row>
    <row r="20" customFormat="false" ht="15" hidden="false" customHeight="false" outlineLevel="0" collapsed="false">
      <c r="B20" s="7" t="s">
        <v>56</v>
      </c>
    </row>
    <row r="21" customFormat="false" ht="15" hidden="false" customHeight="false" outlineLevel="0" collapsed="false">
      <c r="A21" s="10"/>
      <c r="B21" s="10" t="s">
        <v>57</v>
      </c>
      <c r="C21" s="10" t="s">
        <v>50</v>
      </c>
      <c r="D21" s="10" t="s">
        <v>51</v>
      </c>
      <c r="E21" s="9" t="s">
        <v>52</v>
      </c>
    </row>
    <row r="22" customFormat="false" ht="15" hidden="false" customHeight="false" outlineLevel="0" collapsed="false">
      <c r="B22" s="0" t="s">
        <v>58</v>
      </c>
      <c r="C22" s="0" t="n">
        <f aca="false">SUMPRODUCT((Data_Loans!$J$2:$J$501&lt;&gt;"")*((Data_Loans!$J$2:$J$501="Paid")+(Data_Loans!$J$2:$J$501="Defaulted"))*(IFERROR(VLOOKUP(Data_Loans!$B$2:$B$501,Data_Customers!$A$2:$J$1001,9,0),"")="20K-30K"))</f>
        <v>0</v>
      </c>
      <c r="D22" s="0" t="n">
        <f aca="false">SUMPRODUCT((Data_Loans!$J$2:$J$501="Defaulted")*(IFERROR(VLOOKUP(Data_Loans!$B$2:$B$501,Data_Customers!$A$2:$J$1001,9,0),"")="20K-30K"))</f>
        <v>0</v>
      </c>
      <c r="E22" s="11" t="n">
        <f aca="false">IFERROR(D22/C22,0)</f>
        <v>0</v>
      </c>
    </row>
    <row r="23" customFormat="false" ht="15" hidden="false" customHeight="false" outlineLevel="0" collapsed="false">
      <c r="B23" s="0" t="s">
        <v>59</v>
      </c>
      <c r="C23" s="0" t="n">
        <f aca="false">SUMPRODUCT((Data_Loans!$J$2:$J$501&lt;&gt;"")*((Data_Loans!$J$2:$J$501="Paid")+(Data_Loans!$J$2:$J$501="Defaulted"))*(IFERROR(VLOOKUP(Data_Loans!$B$2:$B$501,Data_Customers!$A$2:$J$1001,9,0),"")="30K-50K"))</f>
        <v>0</v>
      </c>
      <c r="D23" s="0" t="n">
        <f aca="false">SUMPRODUCT((Data_Loans!$J$2:$J$501="Defaulted")*(IFERROR(VLOOKUP(Data_Loans!$B$2:$B$501,Data_Customers!$A$2:$J$1001,9,0),"")="30K-50K"))</f>
        <v>0</v>
      </c>
      <c r="E23" s="11" t="n">
        <f aca="false">IFERROR(D23/C23,0)</f>
        <v>0</v>
      </c>
    </row>
    <row r="24" customFormat="false" ht="15" hidden="false" customHeight="false" outlineLevel="0" collapsed="false">
      <c r="B24" s="0" t="s">
        <v>60</v>
      </c>
      <c r="C24" s="0" t="n">
        <f aca="false">SUMPRODUCT((Data_Loans!$J$2:$J$501&lt;&gt;"")*((Data_Loans!$J$2:$J$501="Paid")+(Data_Loans!$J$2:$J$501="Defaulted"))*(IFERROR(VLOOKUP(Data_Loans!$B$2:$B$501,Data_Customers!$A$2:$J$1001,9,0),"")="50K-100K"))</f>
        <v>0</v>
      </c>
      <c r="D24" s="0" t="n">
        <f aca="false">SUMPRODUCT((Data_Loans!$J$2:$J$501="Defaulted")*(IFERROR(VLOOKUP(Data_Loans!$B$2:$B$501,Data_Customers!$A$2:$J$1001,9,0),"")="50K-100K"))</f>
        <v>0</v>
      </c>
      <c r="E24" s="11" t="n">
        <f aca="false">IFERROR(D24/C24,0)</f>
        <v>0</v>
      </c>
    </row>
    <row r="25" customFormat="false" ht="15" hidden="false" customHeight="false" outlineLevel="0" collapsed="false">
      <c r="B25" s="0" t="s">
        <v>61</v>
      </c>
      <c r="C25" s="0" t="n">
        <f aca="false">SUMPRODUCT((Data_Loans!$J$2:$J$501&lt;&gt;"")*((Data_Loans!$J$2:$J$501="Paid")+(Data_Loans!$J$2:$J$501="Defaulted"))*(IFERROR(VLOOKUP(Data_Loans!$B$2:$B$501,Data_Customers!$A$2:$J$1001,9,0),"")="100K-250K"))</f>
        <v>0</v>
      </c>
      <c r="D25" s="0" t="n">
        <f aca="false">SUMPRODUCT((Data_Loans!$J$2:$J$501="Defaulted")*(IFERROR(VLOOKUP(Data_Loans!$B$2:$B$501,Data_Customers!$A$2:$J$1001,9,0),"")="100K-250K"))</f>
        <v>0</v>
      </c>
      <c r="E25" s="11" t="n">
        <f aca="false">IFERROR(D25/C25,0)</f>
        <v>0</v>
      </c>
    </row>
    <row r="26" customFormat="false" ht="15" hidden="false" customHeight="false" outlineLevel="0" collapsed="false">
      <c r="B26" s="0" t="s">
        <v>62</v>
      </c>
      <c r="C26" s="0" t="n">
        <f aca="false">SUMPRODUCT((Data_Loans!$J$2:$J$501&lt;&gt;"")*((Data_Loans!$J$2:$J$501="Paid")+(Data_Loans!$J$2:$J$501="Defaulted"))*(IFERROR(VLOOKUP(Data_Loans!$B$2:$B$501,Data_Customers!$A$2:$J$1001,9,0),"")="250K+"))</f>
        <v>0</v>
      </c>
      <c r="D26" s="0" t="n">
        <f aca="false">SUMPRODUCT((Data_Loans!$J$2:$J$501="Defaulted")*(IFERROR(VLOOKUP(Data_Loans!$B$2:$B$501,Data_Customers!$A$2:$J$1001,9,0),"")="250K+"))</f>
        <v>0</v>
      </c>
      <c r="E26" s="11" t="n">
        <f aca="false">IFERROR(D26/C26,0)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true" outlineLevel="0" max="7" min="7" style="0" width="16"/>
  </cols>
  <sheetData>
    <row r="2" customFormat="false" ht="19.7" hidden="false" customHeight="false" outlineLevel="0" collapsed="false">
      <c r="B2" s="1" t="s">
        <v>63</v>
      </c>
    </row>
    <row r="3" customFormat="false" ht="15" hidden="false" customHeight="false" outlineLevel="0" collapsed="false">
      <c r="B3" s="3" t="s">
        <v>64</v>
      </c>
    </row>
    <row r="5" customFormat="false" ht="45" hidden="false" customHeight="true" outlineLevel="0" collapsed="false">
      <c r="B5" s="12" t="s">
        <v>65</v>
      </c>
      <c r="C5" s="12"/>
      <c r="D5" s="12"/>
      <c r="E5" s="12"/>
      <c r="F5" s="12"/>
      <c r="G5" s="12"/>
    </row>
    <row r="8" customFormat="false" ht="15" hidden="false" customHeight="false" outlineLevel="0" collapsed="false">
      <c r="B8" s="7" t="s">
        <v>66</v>
      </c>
    </row>
    <row r="9" customFormat="false" ht="15" hidden="false" customHeight="false" outlineLevel="0" collapsed="false">
      <c r="A9" s="10"/>
      <c r="B9" s="10" t="s">
        <v>67</v>
      </c>
      <c r="C9" s="10" t="s">
        <v>68</v>
      </c>
      <c r="D9" s="10" t="s">
        <v>69</v>
      </c>
      <c r="E9" s="10" t="s">
        <v>70</v>
      </c>
      <c r="F9" s="9" t="s">
        <v>71</v>
      </c>
    </row>
    <row r="10" customFormat="false" ht="15" hidden="false" customHeight="false" outlineLevel="0" collapsed="false">
      <c r="B10" s="0" t="str">
        <f aca="false">INDEX(Data_Loans!$A$2:$A$501,MATCH(G10,Data_Loans!$M$2:$M$501,0))</f>
        <v>LOAN455</v>
      </c>
      <c r="C10" s="0" t="str">
        <f aca="false">INDEX(Data_Loans!$B$2:$B$501,MATCH(G10,Data_Loans!$M$2:$M$501,0))</f>
        <v>CUS656</v>
      </c>
      <c r="D10" s="0" t="str">
        <f aca="false">INDEX(Data_Loans!$E$2:$E$501,MATCH(G10,Data_Loans!$M$2:$M$501,0))</f>
        <v>Business Loan</v>
      </c>
      <c r="E10" s="8" t="n">
        <f aca="false">INDEX(Data_Loans!$K$2:$K$501,MATCH(G10,Data_Loans!$M$2:$M$501,0))</f>
        <v>129280.7</v>
      </c>
      <c r="F10" s="9" t="n">
        <f aca="false">INDEX(Data_Loans!$L$2:$L$501,MATCH(G10,Data_Loans!$M$2:$M$501,0))</f>
        <v>90</v>
      </c>
      <c r="G10" s="9" t="n">
        <f aca="false">LARGE(Data_Loans!$M$2:$M$501,1)</f>
        <v>90.000449</v>
      </c>
    </row>
    <row r="11" customFormat="false" ht="15" hidden="false" customHeight="false" outlineLevel="0" collapsed="false">
      <c r="B11" s="0" t="str">
        <f aca="false">INDEX(Data_Loans!$A$2:$A$501,MATCH(G11,Data_Loans!$M$2:$M$501,0))</f>
        <v>LOAN443</v>
      </c>
      <c r="C11" s="0" t="str">
        <f aca="false">INDEX(Data_Loans!$B$2:$B$501,MATCH(G11,Data_Loans!$M$2:$M$501,0))</f>
        <v>CUS167</v>
      </c>
      <c r="D11" s="0" t="str">
        <f aca="false">INDEX(Data_Loans!$E$2:$E$501,MATCH(G11,Data_Loans!$M$2:$M$501,0))</f>
        <v>Mobile Credit</v>
      </c>
      <c r="E11" s="8" t="n">
        <f aca="false">INDEX(Data_Loans!$K$2:$K$501,MATCH(G11,Data_Loans!$M$2:$M$501,0))</f>
        <v>62431.11</v>
      </c>
      <c r="F11" s="9" t="n">
        <f aca="false">INDEX(Data_Loans!$L$2:$L$501,MATCH(G11,Data_Loans!$M$2:$M$501,0))</f>
        <v>90</v>
      </c>
      <c r="G11" s="9" t="n">
        <f aca="false">LARGE(Data_Loans!$M$2:$M$501,2)</f>
        <v>90.000437</v>
      </c>
    </row>
    <row r="12" customFormat="false" ht="15" hidden="false" customHeight="false" outlineLevel="0" collapsed="false">
      <c r="B12" s="0" t="str">
        <f aca="false">INDEX(Data_Loans!$A$2:$A$501,MATCH(G12,Data_Loans!$M$2:$M$501,0))</f>
        <v>LOAN426</v>
      </c>
      <c r="C12" s="0" t="str">
        <f aca="false">INDEX(Data_Loans!$B$2:$B$501,MATCH(G12,Data_Loans!$M$2:$M$501,0))</f>
        <v>CUS147</v>
      </c>
      <c r="D12" s="0" t="str">
        <f aca="false">INDEX(Data_Loans!$E$2:$E$501,MATCH(G12,Data_Loans!$M$2:$M$501,0))</f>
        <v>Salary Advance</v>
      </c>
      <c r="E12" s="8" t="n">
        <f aca="false">INDEX(Data_Loans!$K$2:$K$501,MATCH(G12,Data_Loans!$M$2:$M$501,0))</f>
        <v>13206.11</v>
      </c>
      <c r="F12" s="9" t="n">
        <f aca="false">INDEX(Data_Loans!$L$2:$L$501,MATCH(G12,Data_Loans!$M$2:$M$501,0))</f>
        <v>90</v>
      </c>
      <c r="G12" s="9" t="n">
        <f aca="false">LARGE(Data_Loans!$M$2:$M$501,3)</f>
        <v>90.00042</v>
      </c>
    </row>
    <row r="13" customFormat="false" ht="15" hidden="false" customHeight="false" outlineLevel="0" collapsed="false">
      <c r="B13" s="0" t="str">
        <f aca="false">INDEX(Data_Loans!$A$2:$A$501,MATCH(G13,Data_Loans!$M$2:$M$501,0))</f>
        <v>LOAN422</v>
      </c>
      <c r="C13" s="0" t="str">
        <f aca="false">INDEX(Data_Loans!$B$2:$B$501,MATCH(G13,Data_Loans!$M$2:$M$501,0))</f>
        <v>CUS442</v>
      </c>
      <c r="D13" s="0" t="str">
        <f aca="false">INDEX(Data_Loans!$E$2:$E$501,MATCH(G13,Data_Loans!$M$2:$M$501,0))</f>
        <v>Salary Advance</v>
      </c>
      <c r="E13" s="8" t="n">
        <f aca="false">INDEX(Data_Loans!$K$2:$K$501,MATCH(G13,Data_Loans!$M$2:$M$501,0))</f>
        <v>18909.36</v>
      </c>
      <c r="F13" s="9" t="n">
        <f aca="false">INDEX(Data_Loans!$L$2:$L$501,MATCH(G13,Data_Loans!$M$2:$M$501,0))</f>
        <v>90</v>
      </c>
      <c r="G13" s="9" t="n">
        <f aca="false">LARGE(Data_Loans!$M$2:$M$501,4)</f>
        <v>90.000416</v>
      </c>
    </row>
    <row r="14" customFormat="false" ht="15" hidden="false" customHeight="false" outlineLevel="0" collapsed="false">
      <c r="B14" s="0" t="str">
        <f aca="false">INDEX(Data_Loans!$A$2:$A$501,MATCH(G14,Data_Loans!$M$2:$M$501,0))</f>
        <v>LOAN399</v>
      </c>
      <c r="C14" s="0" t="str">
        <f aca="false">INDEX(Data_Loans!$B$2:$B$501,MATCH(G14,Data_Loans!$M$2:$M$501,0))</f>
        <v>CUS392</v>
      </c>
      <c r="D14" s="0" t="str">
        <f aca="false">INDEX(Data_Loans!$E$2:$E$501,MATCH(G14,Data_Loans!$M$2:$M$501,0))</f>
        <v>Business Loan</v>
      </c>
      <c r="E14" s="8" t="n">
        <f aca="false">INDEX(Data_Loans!$K$2:$K$501,MATCH(G14,Data_Loans!$M$2:$M$501,0))</f>
        <v>3152.26</v>
      </c>
      <c r="F14" s="9" t="n">
        <f aca="false">INDEX(Data_Loans!$L$2:$L$501,MATCH(G14,Data_Loans!$M$2:$M$501,0))</f>
        <v>90</v>
      </c>
      <c r="G14" s="9" t="n">
        <f aca="false">LARGE(Data_Loans!$M$2:$M$501,5)</f>
        <v>90.000393</v>
      </c>
    </row>
    <row r="15" customFormat="false" ht="15" hidden="false" customHeight="false" outlineLevel="0" collapsed="false">
      <c r="B15" s="0" t="str">
        <f aca="false">INDEX(Data_Loans!$A$2:$A$501,MATCH(G15,Data_Loans!$M$2:$M$501,0))</f>
        <v>LOAN393</v>
      </c>
      <c r="C15" s="0" t="str">
        <f aca="false">INDEX(Data_Loans!$B$2:$B$501,MATCH(G15,Data_Loans!$M$2:$M$501,0))</f>
        <v>CUS706</v>
      </c>
      <c r="D15" s="0" t="str">
        <f aca="false">INDEX(Data_Loans!$E$2:$E$501,MATCH(G15,Data_Loans!$M$2:$M$501,0))</f>
        <v>Salary Advance</v>
      </c>
      <c r="E15" s="8" t="n">
        <f aca="false">INDEX(Data_Loans!$K$2:$K$501,MATCH(G15,Data_Loans!$M$2:$M$501,0))</f>
        <v>11482.44</v>
      </c>
      <c r="F15" s="9" t="n">
        <f aca="false">INDEX(Data_Loans!$L$2:$L$501,MATCH(G15,Data_Loans!$M$2:$M$501,0))</f>
        <v>90</v>
      </c>
      <c r="G15" s="9" t="n">
        <f aca="false">LARGE(Data_Loans!$M$2:$M$501,6)</f>
        <v>90.000387</v>
      </c>
    </row>
    <row r="16" customFormat="false" ht="15" hidden="false" customHeight="false" outlineLevel="0" collapsed="false">
      <c r="B16" s="0" t="str">
        <f aca="false">INDEX(Data_Loans!$A$2:$A$501,MATCH(G16,Data_Loans!$M$2:$M$501,0))</f>
        <v>LOAN314</v>
      </c>
      <c r="C16" s="0" t="str">
        <f aca="false">INDEX(Data_Loans!$B$2:$B$501,MATCH(G16,Data_Loans!$M$2:$M$501,0))</f>
        <v>CUS286</v>
      </c>
      <c r="D16" s="0" t="str">
        <f aca="false">INDEX(Data_Loans!$E$2:$E$501,MATCH(G16,Data_Loans!$M$2:$M$501,0))</f>
        <v>Business Loan</v>
      </c>
      <c r="E16" s="8" t="n">
        <f aca="false">INDEX(Data_Loans!$K$2:$K$501,MATCH(G16,Data_Loans!$M$2:$M$501,0))</f>
        <v>47258.85</v>
      </c>
      <c r="F16" s="9" t="n">
        <f aca="false">INDEX(Data_Loans!$L$2:$L$501,MATCH(G16,Data_Loans!$M$2:$M$501,0))</f>
        <v>90</v>
      </c>
      <c r="G16" s="9" t="n">
        <f aca="false">LARGE(Data_Loans!$M$2:$M$501,7)</f>
        <v>90.000308</v>
      </c>
    </row>
    <row r="17" customFormat="false" ht="15" hidden="false" customHeight="false" outlineLevel="0" collapsed="false">
      <c r="B17" s="0" t="str">
        <f aca="false">INDEX(Data_Loans!$A$2:$A$501,MATCH(G17,Data_Loans!$M$2:$M$501,0))</f>
        <v>LOAN309</v>
      </c>
      <c r="C17" s="0" t="str">
        <f aca="false">INDEX(Data_Loans!$B$2:$B$501,MATCH(G17,Data_Loans!$M$2:$M$501,0))</f>
        <v>CUS811</v>
      </c>
      <c r="D17" s="0" t="str">
        <f aca="false">INDEX(Data_Loans!$E$2:$E$501,MATCH(G17,Data_Loans!$M$2:$M$501,0))</f>
        <v>Mobile Credit</v>
      </c>
      <c r="E17" s="8" t="n">
        <f aca="false">INDEX(Data_Loans!$K$2:$K$501,MATCH(G17,Data_Loans!$M$2:$M$501,0))</f>
        <v>24776.7</v>
      </c>
      <c r="F17" s="9" t="n">
        <f aca="false">INDEX(Data_Loans!$L$2:$L$501,MATCH(G17,Data_Loans!$M$2:$M$501,0))</f>
        <v>90</v>
      </c>
      <c r="G17" s="9" t="n">
        <f aca="false">LARGE(Data_Loans!$M$2:$M$501,8)</f>
        <v>90.000303</v>
      </c>
    </row>
    <row r="18" customFormat="false" ht="15" hidden="false" customHeight="false" outlineLevel="0" collapsed="false">
      <c r="B18" s="0" t="str">
        <f aca="false">INDEX(Data_Loans!$A$2:$A$501,MATCH(G18,Data_Loans!$M$2:$M$501,0))</f>
        <v>LOAN264</v>
      </c>
      <c r="C18" s="0" t="str">
        <f aca="false">INDEX(Data_Loans!$B$2:$B$501,MATCH(G18,Data_Loans!$M$2:$M$501,0))</f>
        <v>CUS210</v>
      </c>
      <c r="D18" s="0" t="str">
        <f aca="false">INDEX(Data_Loans!$E$2:$E$501,MATCH(G18,Data_Loans!$M$2:$M$501,0))</f>
        <v>Mobile Credit</v>
      </c>
      <c r="E18" s="8" t="n">
        <f aca="false">INDEX(Data_Loans!$K$2:$K$501,MATCH(G18,Data_Loans!$M$2:$M$501,0))</f>
        <v>121603.11</v>
      </c>
      <c r="F18" s="9" t="n">
        <f aca="false">INDEX(Data_Loans!$L$2:$L$501,MATCH(G18,Data_Loans!$M$2:$M$501,0))</f>
        <v>90</v>
      </c>
      <c r="G18" s="9" t="n">
        <f aca="false">LARGE(Data_Loans!$M$2:$M$501,9)</f>
        <v>90.000258</v>
      </c>
    </row>
    <row r="19" customFormat="false" ht="15" hidden="false" customHeight="false" outlineLevel="0" collapsed="false">
      <c r="B19" s="0" t="str">
        <f aca="false">INDEX(Data_Loans!$A$2:$A$501,MATCH(G19,Data_Loans!$M$2:$M$501,0))</f>
        <v>LOAN247</v>
      </c>
      <c r="C19" s="0" t="str">
        <f aca="false">INDEX(Data_Loans!$B$2:$B$501,MATCH(G19,Data_Loans!$M$2:$M$501,0))</f>
        <v>CUS492</v>
      </c>
      <c r="D19" s="0" t="str">
        <f aca="false">INDEX(Data_Loans!$E$2:$E$501,MATCH(G19,Data_Loans!$M$2:$M$501,0))</f>
        <v>Salary Advance</v>
      </c>
      <c r="E19" s="8" t="n">
        <f aca="false">INDEX(Data_Loans!$K$2:$K$501,MATCH(G19,Data_Loans!$M$2:$M$501,0))</f>
        <v>25584.73</v>
      </c>
      <c r="F19" s="9" t="n">
        <f aca="false">INDEX(Data_Loans!$L$2:$L$501,MATCH(G19,Data_Loans!$M$2:$M$501,0))</f>
        <v>90</v>
      </c>
      <c r="G19" s="9" t="n">
        <f aca="false">LARGE(Data_Loans!$M$2:$M$501,10)</f>
        <v>90.000241</v>
      </c>
    </row>
  </sheetData>
  <mergeCells count="1"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0" t="s">
        <v>72</v>
      </c>
      <c r="B1" s="10" t="s">
        <v>73</v>
      </c>
      <c r="C1" s="10" t="s">
        <v>74</v>
      </c>
      <c r="D1" s="10" t="s">
        <v>75</v>
      </c>
      <c r="E1" s="10" t="s">
        <v>76</v>
      </c>
      <c r="F1" s="10" t="s">
        <v>77</v>
      </c>
      <c r="G1" s="10" t="s">
        <v>78</v>
      </c>
      <c r="H1" s="10" t="s">
        <v>79</v>
      </c>
      <c r="I1" s="10" t="s">
        <v>80</v>
      </c>
      <c r="J1" s="10" t="s">
        <v>81</v>
      </c>
      <c r="K1" s="10" t="s">
        <v>82</v>
      </c>
      <c r="L1" s="10" t="s">
        <v>83</v>
      </c>
      <c r="M1" s="10" t="s">
        <v>84</v>
      </c>
    </row>
    <row r="2" customFormat="false" ht="15" hidden="false" customHeight="false" outlineLevel="0" collapsed="false">
      <c r="A2" s="2" t="s">
        <v>85</v>
      </c>
      <c r="B2" s="2" t="s">
        <v>86</v>
      </c>
      <c r="C2" s="2" t="s">
        <v>87</v>
      </c>
      <c r="D2" s="13" t="n">
        <v>45659.3854166667</v>
      </c>
      <c r="E2" s="2" t="s">
        <v>39</v>
      </c>
      <c r="F2" s="2" t="s">
        <v>31</v>
      </c>
      <c r="G2" s="2" t="n">
        <v>2500</v>
      </c>
      <c r="H2" s="2" t="n">
        <v>25</v>
      </c>
      <c r="I2" s="2" t="s">
        <v>26</v>
      </c>
      <c r="J2" s="2" t="s">
        <v>88</v>
      </c>
      <c r="K2" s="2" t="s">
        <v>89</v>
      </c>
      <c r="L2" s="2" t="s">
        <v>90</v>
      </c>
      <c r="M2" s="2"/>
    </row>
    <row r="3" customFormat="false" ht="15" hidden="false" customHeight="false" outlineLevel="0" collapsed="false">
      <c r="A3" s="2" t="s">
        <v>91</v>
      </c>
      <c r="B3" s="2" t="s">
        <v>92</v>
      </c>
      <c r="C3" s="2" t="s">
        <v>93</v>
      </c>
      <c r="D3" s="13" t="n">
        <v>45659.4722222222</v>
      </c>
      <c r="E3" s="2" t="s">
        <v>41</v>
      </c>
      <c r="F3" s="2" t="s">
        <v>31</v>
      </c>
      <c r="G3" s="2" t="n">
        <v>15000</v>
      </c>
      <c r="H3" s="2" t="n">
        <v>75</v>
      </c>
      <c r="I3" s="2" t="s">
        <v>26</v>
      </c>
      <c r="J3" s="2" t="s">
        <v>94</v>
      </c>
      <c r="K3" s="2" t="s">
        <v>95</v>
      </c>
      <c r="L3" s="2" t="s">
        <v>96</v>
      </c>
      <c r="M3" s="2"/>
    </row>
    <row r="4" customFormat="false" ht="15" hidden="false" customHeight="false" outlineLevel="0" collapsed="false">
      <c r="A4" s="2" t="s">
        <v>97</v>
      </c>
      <c r="B4" s="2" t="s">
        <v>98</v>
      </c>
      <c r="C4" s="2" t="s">
        <v>99</v>
      </c>
      <c r="D4" s="13" t="n">
        <v>45660.3645833333</v>
      </c>
      <c r="E4" s="2" t="s">
        <v>35</v>
      </c>
      <c r="F4" s="2" t="s">
        <v>31</v>
      </c>
      <c r="G4" s="2" t="n">
        <v>3200</v>
      </c>
      <c r="H4" s="2" t="n">
        <v>20</v>
      </c>
      <c r="I4" s="2" t="s">
        <v>26</v>
      </c>
      <c r="J4" s="2" t="s">
        <v>100</v>
      </c>
      <c r="K4" s="2" t="s">
        <v>101</v>
      </c>
      <c r="L4" s="2" t="s">
        <v>102</v>
      </c>
      <c r="M4" s="2"/>
    </row>
    <row r="5" customFormat="false" ht="15" hidden="false" customHeight="false" outlineLevel="0" collapsed="false">
      <c r="A5" s="2" t="s">
        <v>103</v>
      </c>
      <c r="B5" s="2" t="s">
        <v>104</v>
      </c>
      <c r="C5" s="2" t="s">
        <v>105</v>
      </c>
      <c r="D5" s="13" t="n">
        <v>45660.6458333333</v>
      </c>
      <c r="E5" s="2" t="s">
        <v>37</v>
      </c>
      <c r="F5" s="2" t="s">
        <v>29</v>
      </c>
      <c r="G5" s="2" t="n">
        <v>8500</v>
      </c>
      <c r="H5" s="2" t="n">
        <v>50</v>
      </c>
      <c r="I5" s="2" t="s">
        <v>26</v>
      </c>
      <c r="J5" s="2" t="s">
        <v>106</v>
      </c>
      <c r="K5" s="2" t="s">
        <v>89</v>
      </c>
      <c r="L5" s="2" t="s">
        <v>107</v>
      </c>
      <c r="M5" s="2"/>
    </row>
    <row r="6" customFormat="false" ht="15" hidden="false" customHeight="false" outlineLevel="0" collapsed="false">
      <c r="A6" s="2" t="s">
        <v>108</v>
      </c>
      <c r="B6" s="2" t="s">
        <v>109</v>
      </c>
      <c r="C6" s="2" t="s">
        <v>110</v>
      </c>
      <c r="D6" s="13" t="n">
        <v>45661.7152777778</v>
      </c>
      <c r="E6" s="2" t="s">
        <v>43</v>
      </c>
      <c r="F6" s="2" t="s">
        <v>27</v>
      </c>
      <c r="G6" s="2" t="n">
        <v>5000</v>
      </c>
      <c r="H6" s="2" t="n">
        <v>60</v>
      </c>
      <c r="I6" s="2" t="s">
        <v>26</v>
      </c>
      <c r="J6" s="2" t="s">
        <v>111</v>
      </c>
      <c r="K6" s="2" t="s">
        <v>95</v>
      </c>
      <c r="L6" s="2"/>
      <c r="M6" s="2" t="s">
        <v>112</v>
      </c>
    </row>
    <row r="7" customFormat="false" ht="15" hidden="false" customHeight="false" outlineLevel="0" collapsed="false">
      <c r="A7" s="2" t="s">
        <v>113</v>
      </c>
      <c r="B7" s="2" t="s">
        <v>114</v>
      </c>
      <c r="C7" s="2" t="s">
        <v>115</v>
      </c>
      <c r="D7" s="13" t="n">
        <v>45662.5590277778</v>
      </c>
      <c r="E7" s="2" t="s">
        <v>39</v>
      </c>
      <c r="F7" s="2" t="s">
        <v>31</v>
      </c>
      <c r="G7" s="2" t="n">
        <v>1200</v>
      </c>
      <c r="H7" s="2" t="n">
        <v>15</v>
      </c>
      <c r="I7" s="2" t="s">
        <v>26</v>
      </c>
      <c r="J7" s="2" t="s">
        <v>116</v>
      </c>
      <c r="K7" s="2" t="s">
        <v>89</v>
      </c>
      <c r="L7" s="2" t="s">
        <v>117</v>
      </c>
      <c r="M7" s="2"/>
    </row>
    <row r="8" customFormat="false" ht="15" hidden="false" customHeight="false" outlineLevel="0" collapsed="false">
      <c r="A8" s="2" t="s">
        <v>118</v>
      </c>
      <c r="B8" s="2" t="s">
        <v>119</v>
      </c>
      <c r="C8" s="2" t="s">
        <v>120</v>
      </c>
      <c r="D8" s="13" t="n">
        <v>45663.4201388889</v>
      </c>
      <c r="E8" s="2" t="s">
        <v>41</v>
      </c>
      <c r="F8" s="2" t="s">
        <v>31</v>
      </c>
      <c r="G8" s="2" t="n">
        <v>50000</v>
      </c>
      <c r="H8" s="2" t="n">
        <v>100</v>
      </c>
      <c r="I8" s="2" t="s">
        <v>26</v>
      </c>
      <c r="J8" s="2" t="s">
        <v>121</v>
      </c>
      <c r="K8" s="2" t="s">
        <v>122</v>
      </c>
      <c r="L8" s="2" t="s">
        <v>123</v>
      </c>
      <c r="M8" s="2"/>
    </row>
    <row r="9" customFormat="false" ht="15" hidden="false" customHeight="false" outlineLevel="0" collapsed="false">
      <c r="A9" s="2" t="s">
        <v>124</v>
      </c>
      <c r="B9" s="2" t="s">
        <v>125</v>
      </c>
      <c r="C9" s="2" t="s">
        <v>126</v>
      </c>
      <c r="D9" s="13" t="n">
        <v>45664.7777777778</v>
      </c>
      <c r="E9" s="2" t="s">
        <v>39</v>
      </c>
      <c r="F9" s="2" t="s">
        <v>31</v>
      </c>
      <c r="G9" s="2" t="n">
        <v>750</v>
      </c>
      <c r="H9" s="2" t="n">
        <v>10</v>
      </c>
      <c r="I9" s="2" t="s">
        <v>26</v>
      </c>
      <c r="J9" s="2" t="s">
        <v>127</v>
      </c>
      <c r="K9" s="2" t="s">
        <v>89</v>
      </c>
      <c r="L9" s="2" t="s">
        <v>128</v>
      </c>
      <c r="M9" s="2"/>
    </row>
    <row r="10" customFormat="false" ht="15" hidden="false" customHeight="false" outlineLevel="0" collapsed="false">
      <c r="A10" s="2" t="s">
        <v>129</v>
      </c>
      <c r="B10" s="2" t="s">
        <v>130</v>
      </c>
      <c r="C10" s="2" t="s">
        <v>131</v>
      </c>
      <c r="D10" s="13" t="n">
        <v>45665.5104166667</v>
      </c>
      <c r="E10" s="2" t="s">
        <v>39</v>
      </c>
      <c r="F10" s="2" t="s">
        <v>32</v>
      </c>
      <c r="G10" s="2" t="n">
        <v>22000</v>
      </c>
      <c r="H10" s="2" t="n">
        <v>100</v>
      </c>
      <c r="I10" s="2" t="s">
        <v>26</v>
      </c>
      <c r="J10" s="2" t="s">
        <v>132</v>
      </c>
      <c r="K10" s="2" t="s">
        <v>89</v>
      </c>
      <c r="L10" s="2" t="s">
        <v>133</v>
      </c>
      <c r="M10" s="2"/>
    </row>
    <row r="11" customFormat="false" ht="15" hidden="false" customHeight="false" outlineLevel="0" collapsed="false">
      <c r="A11" s="2" t="s">
        <v>134</v>
      </c>
      <c r="B11" s="2" t="s">
        <v>135</v>
      </c>
      <c r="C11" s="2" t="s">
        <v>136</v>
      </c>
      <c r="D11" s="13" t="n">
        <v>45666.6180555556</v>
      </c>
      <c r="E11" s="2" t="s">
        <v>41</v>
      </c>
      <c r="F11" s="2" t="s">
        <v>31</v>
      </c>
      <c r="G11" s="2" t="n">
        <v>12000</v>
      </c>
      <c r="H11" s="2" t="n">
        <v>50</v>
      </c>
      <c r="I11" s="2" t="s">
        <v>26</v>
      </c>
      <c r="J11" s="2" t="s">
        <v>137</v>
      </c>
      <c r="K11" s="2" t="s">
        <v>95</v>
      </c>
      <c r="L11" s="2" t="s">
        <v>138</v>
      </c>
      <c r="M11" s="2"/>
    </row>
    <row r="12" customFormat="false" ht="15" hidden="false" customHeight="false" outlineLevel="0" collapsed="false">
      <c r="A12" s="2" t="s">
        <v>139</v>
      </c>
      <c r="B12" s="2" t="s">
        <v>86</v>
      </c>
      <c r="C12" s="2" t="s">
        <v>87</v>
      </c>
      <c r="D12" s="13" t="n">
        <v>45667.375</v>
      </c>
      <c r="E12" s="2" t="s">
        <v>39</v>
      </c>
      <c r="F12" s="2" t="s">
        <v>32</v>
      </c>
      <c r="G12" s="2" t="n">
        <v>4500</v>
      </c>
      <c r="H12" s="2" t="n">
        <v>35</v>
      </c>
      <c r="I12" s="2" t="s">
        <v>26</v>
      </c>
      <c r="J12" s="2" t="s">
        <v>140</v>
      </c>
      <c r="K12" s="2" t="s">
        <v>89</v>
      </c>
      <c r="L12" s="2" t="s">
        <v>141</v>
      </c>
      <c r="M12" s="2"/>
    </row>
    <row r="13" customFormat="false" ht="15" hidden="false" customHeight="false" outlineLevel="0" collapsed="false">
      <c r="A13" s="2" t="s">
        <v>142</v>
      </c>
      <c r="B13" s="2" t="s">
        <v>92</v>
      </c>
      <c r="C13" s="2" t="s">
        <v>93</v>
      </c>
      <c r="D13" s="13" t="n">
        <v>45667.6875</v>
      </c>
      <c r="E13" s="2" t="s">
        <v>43</v>
      </c>
      <c r="F13" s="2" t="s">
        <v>27</v>
      </c>
      <c r="G13" s="2" t="n">
        <v>10000</v>
      </c>
      <c r="H13" s="2" t="n">
        <v>75</v>
      </c>
      <c r="I13" s="2" t="s">
        <v>28</v>
      </c>
      <c r="J13" s="2" t="s">
        <v>143</v>
      </c>
      <c r="K13" s="2" t="s">
        <v>95</v>
      </c>
      <c r="L13" s="2"/>
      <c r="M13" s="2" t="s">
        <v>144</v>
      </c>
    </row>
    <row r="14" customFormat="false" ht="15" hidden="false" customHeight="false" outlineLevel="0" collapsed="false">
      <c r="A14" s="2" t="s">
        <v>145</v>
      </c>
      <c r="B14" s="2" t="s">
        <v>119</v>
      </c>
      <c r="C14" s="2" t="s">
        <v>120</v>
      </c>
      <c r="D14" s="13" t="n">
        <v>45668.4895833333</v>
      </c>
      <c r="E14" s="2" t="s">
        <v>37</v>
      </c>
      <c r="F14" s="2" t="s">
        <v>32</v>
      </c>
      <c r="G14" s="2" t="n">
        <v>35000</v>
      </c>
      <c r="H14" s="2" t="n">
        <v>100</v>
      </c>
      <c r="I14" s="2" t="s">
        <v>26</v>
      </c>
      <c r="J14" s="2" t="s">
        <v>146</v>
      </c>
      <c r="K14" s="2" t="s">
        <v>89</v>
      </c>
      <c r="L14" s="2" t="s">
        <v>147</v>
      </c>
      <c r="M14" s="2"/>
    </row>
    <row r="15" customFormat="false" ht="15" hidden="false" customHeight="false" outlineLevel="0" collapsed="false">
      <c r="A15" s="2" t="s">
        <v>148</v>
      </c>
      <c r="B15" s="2" t="s">
        <v>130</v>
      </c>
      <c r="C15" s="2" t="s">
        <v>131</v>
      </c>
      <c r="D15" s="13" t="n">
        <v>45669.5416666667</v>
      </c>
      <c r="E15" s="2" t="s">
        <v>41</v>
      </c>
      <c r="F15" s="2" t="s">
        <v>31</v>
      </c>
      <c r="G15" s="2" t="n">
        <v>75000</v>
      </c>
      <c r="H15" s="2" t="n">
        <v>150</v>
      </c>
      <c r="I15" s="2" t="s">
        <v>26</v>
      </c>
      <c r="J15" s="2" t="s">
        <v>149</v>
      </c>
      <c r="K15" s="2" t="s">
        <v>122</v>
      </c>
      <c r="L15" s="2" t="s">
        <v>150</v>
      </c>
      <c r="M15" s="2"/>
    </row>
    <row r="16" customFormat="false" ht="15" hidden="false" customHeight="false" outlineLevel="0" collapsed="false">
      <c r="A16" s="2" t="s">
        <v>151</v>
      </c>
      <c r="B16" s="2" t="s">
        <v>104</v>
      </c>
      <c r="C16" s="2" t="s">
        <v>105</v>
      </c>
      <c r="D16" s="13" t="n">
        <v>45670.4340277778</v>
      </c>
      <c r="E16" s="2" t="s">
        <v>35</v>
      </c>
      <c r="F16" s="2" t="s">
        <v>29</v>
      </c>
      <c r="G16" s="2" t="n">
        <v>4200</v>
      </c>
      <c r="H16" s="2" t="n">
        <v>25</v>
      </c>
      <c r="I16" s="2" t="s">
        <v>26</v>
      </c>
      <c r="J16" s="2" t="s">
        <v>152</v>
      </c>
      <c r="K16" s="2" t="s">
        <v>101</v>
      </c>
      <c r="L16" s="2" t="s">
        <v>153</v>
      </c>
      <c r="M16" s="2"/>
    </row>
    <row r="17" customFormat="false" ht="15" hidden="false" customHeight="false" outlineLevel="0" collapsed="false">
      <c r="A17" s="2" t="s">
        <v>154</v>
      </c>
      <c r="B17" s="2" t="s">
        <v>155</v>
      </c>
      <c r="C17" s="2" t="s">
        <v>156</v>
      </c>
      <c r="D17" s="13" t="n">
        <v>45930.7340277778</v>
      </c>
      <c r="E17" s="2" t="s">
        <v>41</v>
      </c>
      <c r="F17" s="2" t="s">
        <v>29</v>
      </c>
      <c r="G17" s="2" t="n">
        <v>14101.36</v>
      </c>
      <c r="H17" s="2" t="n">
        <v>75.95</v>
      </c>
      <c r="I17" s="2" t="s">
        <v>26</v>
      </c>
      <c r="J17" s="2" t="s">
        <v>157</v>
      </c>
      <c r="K17" s="2" t="s">
        <v>89</v>
      </c>
      <c r="L17" s="2" t="s">
        <v>158</v>
      </c>
      <c r="M17" s="2"/>
    </row>
    <row r="18" customFormat="false" ht="15" hidden="false" customHeight="false" outlineLevel="0" collapsed="false">
      <c r="A18" s="2" t="s">
        <v>159</v>
      </c>
      <c r="B18" s="2" t="s">
        <v>160</v>
      </c>
      <c r="C18" s="2" t="s">
        <v>161</v>
      </c>
      <c r="D18" s="13" t="n">
        <v>45867.5395833333</v>
      </c>
      <c r="E18" s="2" t="s">
        <v>43</v>
      </c>
      <c r="F18" s="2" t="s">
        <v>27</v>
      </c>
      <c r="G18" s="2" t="n">
        <v>8780.1</v>
      </c>
      <c r="H18" s="2" t="n">
        <v>27.96</v>
      </c>
      <c r="I18" s="2" t="s">
        <v>26</v>
      </c>
      <c r="J18" s="2" t="s">
        <v>162</v>
      </c>
      <c r="K18" s="2" t="s">
        <v>122</v>
      </c>
      <c r="L18" s="2"/>
      <c r="M18" s="2" t="s">
        <v>163</v>
      </c>
    </row>
    <row r="19" customFormat="false" ht="15" hidden="false" customHeight="false" outlineLevel="0" collapsed="false">
      <c r="A19" s="2" t="s">
        <v>164</v>
      </c>
      <c r="B19" s="2" t="s">
        <v>165</v>
      </c>
      <c r="C19" s="2" t="s">
        <v>166</v>
      </c>
      <c r="D19" s="13" t="n">
        <v>45579.5881944444</v>
      </c>
      <c r="E19" s="2" t="s">
        <v>39</v>
      </c>
      <c r="F19" s="2" t="s">
        <v>32</v>
      </c>
      <c r="G19" s="2" t="n">
        <v>5593.9</v>
      </c>
      <c r="H19" s="2" t="n">
        <v>36.08</v>
      </c>
      <c r="I19" s="2" t="s">
        <v>26</v>
      </c>
      <c r="J19" s="2" t="s">
        <v>167</v>
      </c>
      <c r="K19" s="2" t="s">
        <v>122</v>
      </c>
      <c r="L19" s="2" t="s">
        <v>168</v>
      </c>
      <c r="M19" s="2"/>
    </row>
    <row r="20" customFormat="false" ht="15" hidden="false" customHeight="false" outlineLevel="0" collapsed="false">
      <c r="A20" s="2" t="s">
        <v>169</v>
      </c>
      <c r="B20" s="2" t="s">
        <v>170</v>
      </c>
      <c r="C20" s="2" t="s">
        <v>171</v>
      </c>
      <c r="D20" s="13" t="n">
        <v>45780.5340277778</v>
      </c>
      <c r="E20" s="2" t="s">
        <v>37</v>
      </c>
      <c r="F20" s="2" t="s">
        <v>29</v>
      </c>
      <c r="G20" s="2" t="n">
        <v>4807.82</v>
      </c>
      <c r="H20" s="2" t="n">
        <v>52.6</v>
      </c>
      <c r="I20" s="2" t="s">
        <v>26</v>
      </c>
      <c r="J20" s="2" t="s">
        <v>172</v>
      </c>
      <c r="K20" s="2" t="s">
        <v>89</v>
      </c>
      <c r="L20" s="2" t="s">
        <v>173</v>
      </c>
      <c r="M20" s="2"/>
    </row>
    <row r="21" customFormat="false" ht="15" hidden="false" customHeight="false" outlineLevel="0" collapsed="false">
      <c r="A21" s="2" t="s">
        <v>174</v>
      </c>
      <c r="B21" s="2" t="s">
        <v>175</v>
      </c>
      <c r="C21" s="2" t="s">
        <v>176</v>
      </c>
      <c r="D21" s="13" t="n">
        <v>45670.3826388889</v>
      </c>
      <c r="E21" s="2" t="s">
        <v>41</v>
      </c>
      <c r="F21" s="2" t="s">
        <v>31</v>
      </c>
      <c r="G21" s="2" t="n">
        <v>1644.52</v>
      </c>
      <c r="H21" s="2" t="n">
        <v>9.76</v>
      </c>
      <c r="I21" s="2" t="s">
        <v>30</v>
      </c>
      <c r="J21" s="2" t="s">
        <v>177</v>
      </c>
      <c r="K21" s="2" t="s">
        <v>95</v>
      </c>
      <c r="L21" s="2" t="s">
        <v>178</v>
      </c>
      <c r="M21" s="2"/>
    </row>
    <row r="22" customFormat="false" ht="15" hidden="false" customHeight="false" outlineLevel="0" collapsed="false">
      <c r="A22" s="2" t="s">
        <v>179</v>
      </c>
      <c r="B22" s="2" t="s">
        <v>180</v>
      </c>
      <c r="C22" s="2" t="s">
        <v>181</v>
      </c>
      <c r="D22" s="13" t="n">
        <v>45941.7208333333</v>
      </c>
      <c r="E22" s="2" t="s">
        <v>39</v>
      </c>
      <c r="F22" s="2" t="s">
        <v>27</v>
      </c>
      <c r="G22" s="2" t="n">
        <v>664.62</v>
      </c>
      <c r="H22" s="2" t="n">
        <v>6.64</v>
      </c>
      <c r="I22" s="2" t="s">
        <v>26</v>
      </c>
      <c r="J22" s="2" t="s">
        <v>182</v>
      </c>
      <c r="K22" s="2" t="s">
        <v>101</v>
      </c>
      <c r="L22" s="2"/>
      <c r="M22" s="2" t="s">
        <v>183</v>
      </c>
    </row>
    <row r="23" customFormat="false" ht="15" hidden="false" customHeight="false" outlineLevel="0" collapsed="false">
      <c r="A23" s="2" t="s">
        <v>184</v>
      </c>
      <c r="B23" s="2" t="s">
        <v>185</v>
      </c>
      <c r="C23" s="2" t="s">
        <v>186</v>
      </c>
      <c r="D23" s="13" t="n">
        <v>45550.5638888889</v>
      </c>
      <c r="E23" s="2" t="s">
        <v>37</v>
      </c>
      <c r="F23" s="2" t="s">
        <v>29</v>
      </c>
      <c r="G23" s="2" t="n">
        <v>1833.33</v>
      </c>
      <c r="H23" s="2" t="n">
        <v>20.46</v>
      </c>
      <c r="I23" s="2" t="s">
        <v>26</v>
      </c>
      <c r="J23" s="2" t="s">
        <v>187</v>
      </c>
      <c r="K23" s="2" t="s">
        <v>89</v>
      </c>
      <c r="L23" s="2" t="s">
        <v>188</v>
      </c>
      <c r="M23" s="2"/>
    </row>
    <row r="24" customFormat="false" ht="15" hidden="false" customHeight="false" outlineLevel="0" collapsed="false">
      <c r="A24" s="2" t="s">
        <v>189</v>
      </c>
      <c r="B24" s="2" t="s">
        <v>190</v>
      </c>
      <c r="C24" s="2" t="s">
        <v>191</v>
      </c>
      <c r="D24" s="13" t="n">
        <v>45536.6777777778</v>
      </c>
      <c r="E24" s="2" t="s">
        <v>37</v>
      </c>
      <c r="F24" s="2" t="s">
        <v>31</v>
      </c>
      <c r="G24" s="2" t="n">
        <v>3447.82</v>
      </c>
      <c r="H24" s="2" t="n">
        <v>8.29</v>
      </c>
      <c r="I24" s="2" t="s">
        <v>26</v>
      </c>
      <c r="J24" s="2" t="s">
        <v>192</v>
      </c>
      <c r="K24" s="2" t="s">
        <v>89</v>
      </c>
      <c r="L24" s="2" t="s">
        <v>193</v>
      </c>
      <c r="M24" s="2"/>
    </row>
    <row r="25" customFormat="false" ht="15" hidden="false" customHeight="false" outlineLevel="0" collapsed="false">
      <c r="A25" s="2" t="s">
        <v>194</v>
      </c>
      <c r="B25" s="2" t="s">
        <v>195</v>
      </c>
      <c r="C25" s="2" t="s">
        <v>196</v>
      </c>
      <c r="D25" s="13" t="n">
        <v>45931.3243055556</v>
      </c>
      <c r="E25" s="2" t="s">
        <v>37</v>
      </c>
      <c r="F25" s="2" t="s">
        <v>27</v>
      </c>
      <c r="G25" s="2" t="n">
        <v>4823.26</v>
      </c>
      <c r="H25" s="2" t="n">
        <v>19.28</v>
      </c>
      <c r="I25" s="2" t="s">
        <v>26</v>
      </c>
      <c r="J25" s="2" t="s">
        <v>197</v>
      </c>
      <c r="K25" s="2" t="s">
        <v>89</v>
      </c>
      <c r="L25" s="2"/>
      <c r="M25" s="2" t="s">
        <v>198</v>
      </c>
    </row>
    <row r="26" customFormat="false" ht="15" hidden="false" customHeight="false" outlineLevel="0" collapsed="false">
      <c r="A26" s="2" t="s">
        <v>199</v>
      </c>
      <c r="B26" s="2" t="s">
        <v>200</v>
      </c>
      <c r="C26" s="2" t="s">
        <v>201</v>
      </c>
      <c r="D26" s="13" t="n">
        <v>45980.6555555556</v>
      </c>
      <c r="E26" s="2" t="s">
        <v>37</v>
      </c>
      <c r="F26" s="2" t="s">
        <v>27</v>
      </c>
      <c r="G26" s="2" t="n">
        <v>2869.02</v>
      </c>
      <c r="H26" s="2" t="n">
        <v>20.44</v>
      </c>
      <c r="I26" s="2" t="s">
        <v>30</v>
      </c>
      <c r="J26" s="2" t="s">
        <v>202</v>
      </c>
      <c r="K26" s="2" t="s">
        <v>101</v>
      </c>
      <c r="L26" s="2"/>
      <c r="M26" s="2" t="s">
        <v>203</v>
      </c>
    </row>
    <row r="27" customFormat="false" ht="15" hidden="false" customHeight="false" outlineLevel="0" collapsed="false">
      <c r="A27" s="2" t="s">
        <v>204</v>
      </c>
      <c r="B27" s="2" t="s">
        <v>205</v>
      </c>
      <c r="C27" s="2" t="s">
        <v>206</v>
      </c>
      <c r="D27" s="13" t="n">
        <v>45646.6493055556</v>
      </c>
      <c r="E27" s="2" t="s">
        <v>37</v>
      </c>
      <c r="F27" s="2" t="s">
        <v>31</v>
      </c>
      <c r="G27" s="2" t="n">
        <v>1932.59</v>
      </c>
      <c r="H27" s="2" t="n">
        <v>5.48</v>
      </c>
      <c r="I27" s="2" t="s">
        <v>30</v>
      </c>
      <c r="J27" s="2" t="s">
        <v>207</v>
      </c>
      <c r="K27" s="2" t="s">
        <v>101</v>
      </c>
      <c r="L27" s="2" t="s">
        <v>208</v>
      </c>
      <c r="M27" s="2"/>
    </row>
    <row r="28" customFormat="false" ht="15" hidden="false" customHeight="false" outlineLevel="0" collapsed="false">
      <c r="A28" s="2" t="s">
        <v>209</v>
      </c>
      <c r="B28" s="2" t="s">
        <v>210</v>
      </c>
      <c r="C28" s="2" t="s">
        <v>211</v>
      </c>
      <c r="D28" s="13" t="n">
        <v>45813.4173611111</v>
      </c>
      <c r="E28" s="2" t="s">
        <v>39</v>
      </c>
      <c r="F28" s="2" t="s">
        <v>31</v>
      </c>
      <c r="G28" s="2" t="n">
        <v>3112.72</v>
      </c>
      <c r="H28" s="2" t="n">
        <v>31.17</v>
      </c>
      <c r="I28" s="2" t="s">
        <v>26</v>
      </c>
      <c r="J28" s="2" t="s">
        <v>212</v>
      </c>
      <c r="K28" s="2" t="s">
        <v>89</v>
      </c>
      <c r="L28" s="2" t="s">
        <v>213</v>
      </c>
      <c r="M28" s="2"/>
    </row>
    <row r="29" customFormat="false" ht="15" hidden="false" customHeight="false" outlineLevel="0" collapsed="false">
      <c r="A29" s="2" t="s">
        <v>214</v>
      </c>
      <c r="B29" s="2" t="s">
        <v>215</v>
      </c>
      <c r="C29" s="2" t="s">
        <v>216</v>
      </c>
      <c r="D29" s="13" t="n">
        <v>45641.38125</v>
      </c>
      <c r="E29" s="2" t="s">
        <v>39</v>
      </c>
      <c r="F29" s="2" t="s">
        <v>32</v>
      </c>
      <c r="G29" s="2" t="n">
        <v>1692.91</v>
      </c>
      <c r="H29" s="2" t="n">
        <v>13.76</v>
      </c>
      <c r="I29" s="2" t="s">
        <v>26</v>
      </c>
      <c r="J29" s="2" t="s">
        <v>217</v>
      </c>
      <c r="K29" s="2" t="s">
        <v>89</v>
      </c>
      <c r="L29" s="2" t="s">
        <v>218</v>
      </c>
      <c r="M29" s="2"/>
    </row>
    <row r="30" customFormat="false" ht="15" hidden="false" customHeight="false" outlineLevel="0" collapsed="false">
      <c r="A30" s="2" t="s">
        <v>219</v>
      </c>
      <c r="B30" s="2" t="s">
        <v>220</v>
      </c>
      <c r="C30" s="2" t="s">
        <v>221</v>
      </c>
      <c r="D30" s="13" t="n">
        <v>45385.375</v>
      </c>
      <c r="E30" s="2" t="s">
        <v>39</v>
      </c>
      <c r="F30" s="2" t="s">
        <v>27</v>
      </c>
      <c r="G30" s="2" t="n">
        <v>2791.25</v>
      </c>
      <c r="H30" s="2" t="n">
        <v>11.45</v>
      </c>
      <c r="I30" s="2" t="s">
        <v>26</v>
      </c>
      <c r="J30" s="2" t="s">
        <v>222</v>
      </c>
      <c r="K30" s="2" t="s">
        <v>95</v>
      </c>
      <c r="L30" s="2"/>
      <c r="M30" s="2" t="s">
        <v>223</v>
      </c>
    </row>
    <row r="31" customFormat="false" ht="15" hidden="false" customHeight="false" outlineLevel="0" collapsed="false">
      <c r="A31" s="2" t="s">
        <v>224</v>
      </c>
      <c r="B31" s="2" t="s">
        <v>225</v>
      </c>
      <c r="C31" s="2" t="s">
        <v>226</v>
      </c>
      <c r="D31" s="13" t="n">
        <v>45494.9430555556</v>
      </c>
      <c r="E31" s="2" t="s">
        <v>43</v>
      </c>
      <c r="F31" s="2" t="s">
        <v>31</v>
      </c>
      <c r="G31" s="2" t="n">
        <v>7837.57</v>
      </c>
      <c r="H31" s="2" t="n">
        <v>73.01</v>
      </c>
      <c r="I31" s="2" t="s">
        <v>26</v>
      </c>
      <c r="J31" s="2" t="s">
        <v>227</v>
      </c>
      <c r="K31" s="2" t="s">
        <v>95</v>
      </c>
      <c r="L31" s="2"/>
      <c r="M31" s="2" t="s">
        <v>228</v>
      </c>
    </row>
    <row r="32" customFormat="false" ht="15" hidden="false" customHeight="false" outlineLevel="0" collapsed="false">
      <c r="A32" s="2" t="s">
        <v>229</v>
      </c>
      <c r="B32" s="2" t="s">
        <v>230</v>
      </c>
      <c r="C32" s="2" t="s">
        <v>231</v>
      </c>
      <c r="D32" s="13" t="n">
        <v>45298.3826388889</v>
      </c>
      <c r="E32" s="2" t="s">
        <v>43</v>
      </c>
      <c r="F32" s="2" t="s">
        <v>32</v>
      </c>
      <c r="G32" s="2" t="n">
        <v>12138.93</v>
      </c>
      <c r="H32" s="2" t="n">
        <v>130.88</v>
      </c>
      <c r="I32" s="2" t="s">
        <v>30</v>
      </c>
      <c r="J32" s="2" t="s">
        <v>232</v>
      </c>
      <c r="K32" s="2" t="s">
        <v>89</v>
      </c>
      <c r="L32" s="2"/>
      <c r="M32" s="2" t="s">
        <v>233</v>
      </c>
    </row>
    <row r="33" customFormat="false" ht="15" hidden="false" customHeight="false" outlineLevel="0" collapsed="false">
      <c r="A33" s="2" t="s">
        <v>234</v>
      </c>
      <c r="B33" s="2" t="s">
        <v>235</v>
      </c>
      <c r="C33" s="2" t="s">
        <v>236</v>
      </c>
      <c r="D33" s="13" t="n">
        <v>45369.5493055556</v>
      </c>
      <c r="E33" s="2" t="s">
        <v>35</v>
      </c>
      <c r="F33" s="2" t="s">
        <v>27</v>
      </c>
      <c r="G33" s="2" t="n">
        <v>1860.01</v>
      </c>
      <c r="H33" s="2" t="n">
        <v>19.27</v>
      </c>
      <c r="I33" s="2" t="s">
        <v>28</v>
      </c>
      <c r="J33" s="2" t="s">
        <v>237</v>
      </c>
      <c r="K33" s="2" t="s">
        <v>101</v>
      </c>
      <c r="L33" s="2"/>
      <c r="M33" s="2" t="s">
        <v>238</v>
      </c>
    </row>
    <row r="34" customFormat="false" ht="15" hidden="false" customHeight="false" outlineLevel="0" collapsed="false">
      <c r="A34" s="2" t="s">
        <v>239</v>
      </c>
      <c r="B34" s="2" t="s">
        <v>240</v>
      </c>
      <c r="C34" s="2" t="s">
        <v>241</v>
      </c>
      <c r="D34" s="13" t="n">
        <v>45728.6611111111</v>
      </c>
      <c r="E34" s="2" t="s">
        <v>35</v>
      </c>
      <c r="F34" s="2" t="s">
        <v>29</v>
      </c>
      <c r="G34" s="2" t="n">
        <v>2833.37</v>
      </c>
      <c r="H34" s="2" t="n">
        <v>5.86</v>
      </c>
      <c r="I34" s="2" t="s">
        <v>26</v>
      </c>
      <c r="J34" s="2" t="s">
        <v>242</v>
      </c>
      <c r="K34" s="2" t="s">
        <v>89</v>
      </c>
      <c r="L34" s="2" t="s">
        <v>243</v>
      </c>
      <c r="M34" s="2"/>
    </row>
    <row r="35" customFormat="false" ht="15" hidden="false" customHeight="false" outlineLevel="0" collapsed="false">
      <c r="A35" s="2" t="s">
        <v>244</v>
      </c>
      <c r="B35" s="2" t="s">
        <v>245</v>
      </c>
      <c r="C35" s="2" t="s">
        <v>246</v>
      </c>
      <c r="D35" s="13" t="n">
        <v>45356.9319444444</v>
      </c>
      <c r="E35" s="2" t="s">
        <v>37</v>
      </c>
      <c r="F35" s="2" t="s">
        <v>31</v>
      </c>
      <c r="G35" s="2" t="n">
        <v>8686.78</v>
      </c>
      <c r="H35" s="2" t="n">
        <v>75.93</v>
      </c>
      <c r="I35" s="2" t="s">
        <v>30</v>
      </c>
      <c r="J35" s="2" t="s">
        <v>247</v>
      </c>
      <c r="K35" s="2" t="s">
        <v>89</v>
      </c>
      <c r="L35" s="2" t="s">
        <v>248</v>
      </c>
      <c r="M35" s="2"/>
    </row>
    <row r="36" customFormat="false" ht="15" hidden="false" customHeight="false" outlineLevel="0" collapsed="false">
      <c r="A36" s="2" t="s">
        <v>249</v>
      </c>
      <c r="B36" s="2" t="s">
        <v>250</v>
      </c>
      <c r="C36" s="2" t="s">
        <v>251</v>
      </c>
      <c r="D36" s="13" t="n">
        <v>45894.7805555556</v>
      </c>
      <c r="E36" s="2" t="s">
        <v>35</v>
      </c>
      <c r="F36" s="2" t="s">
        <v>29</v>
      </c>
      <c r="G36" s="2" t="n">
        <v>10565.35</v>
      </c>
      <c r="H36" s="2" t="n">
        <v>28.09</v>
      </c>
      <c r="I36" s="2" t="s">
        <v>26</v>
      </c>
      <c r="J36" s="2" t="s">
        <v>252</v>
      </c>
      <c r="K36" s="2" t="s">
        <v>101</v>
      </c>
      <c r="L36" s="2" t="s">
        <v>253</v>
      </c>
      <c r="M36" s="2"/>
    </row>
    <row r="37" customFormat="false" ht="15" hidden="false" customHeight="false" outlineLevel="0" collapsed="false">
      <c r="A37" s="2" t="s">
        <v>254</v>
      </c>
      <c r="B37" s="2" t="s">
        <v>255</v>
      </c>
      <c r="C37" s="2" t="s">
        <v>256</v>
      </c>
      <c r="D37" s="13" t="n">
        <v>45783.7715277778</v>
      </c>
      <c r="E37" s="2" t="s">
        <v>41</v>
      </c>
      <c r="F37" s="2" t="s">
        <v>32</v>
      </c>
      <c r="G37" s="2" t="n">
        <v>2057.56</v>
      </c>
      <c r="H37" s="2" t="n">
        <v>15.35</v>
      </c>
      <c r="I37" s="2" t="s">
        <v>28</v>
      </c>
      <c r="J37" s="2" t="s">
        <v>257</v>
      </c>
      <c r="K37" s="2" t="s">
        <v>95</v>
      </c>
      <c r="L37" s="2" t="s">
        <v>258</v>
      </c>
      <c r="M37" s="2"/>
    </row>
    <row r="38" customFormat="false" ht="15" hidden="false" customHeight="false" outlineLevel="0" collapsed="false">
      <c r="A38" s="2" t="s">
        <v>259</v>
      </c>
      <c r="B38" s="2" t="s">
        <v>260</v>
      </c>
      <c r="C38" s="2" t="s">
        <v>261</v>
      </c>
      <c r="D38" s="13" t="n">
        <v>45999.7680555556</v>
      </c>
      <c r="E38" s="2" t="s">
        <v>37</v>
      </c>
      <c r="F38" s="2" t="s">
        <v>27</v>
      </c>
      <c r="G38" s="2" t="n">
        <v>3598.58</v>
      </c>
      <c r="H38" s="2" t="n">
        <v>40.43</v>
      </c>
      <c r="I38" s="2" t="s">
        <v>26</v>
      </c>
      <c r="J38" s="2" t="s">
        <v>262</v>
      </c>
      <c r="K38" s="2" t="s">
        <v>122</v>
      </c>
      <c r="L38" s="2"/>
      <c r="M38" s="2" t="s">
        <v>263</v>
      </c>
    </row>
    <row r="39" customFormat="false" ht="15" hidden="false" customHeight="false" outlineLevel="0" collapsed="false">
      <c r="A39" s="2" t="s">
        <v>264</v>
      </c>
      <c r="B39" s="2" t="s">
        <v>265</v>
      </c>
      <c r="C39" s="2" t="s">
        <v>266</v>
      </c>
      <c r="D39" s="13" t="n">
        <v>45437.8097222222</v>
      </c>
      <c r="E39" s="2" t="s">
        <v>41</v>
      </c>
      <c r="F39" s="2" t="s">
        <v>27</v>
      </c>
      <c r="G39" s="2" t="n">
        <v>8950.85</v>
      </c>
      <c r="H39" s="2" t="n">
        <v>95.8</v>
      </c>
      <c r="I39" s="2" t="s">
        <v>26</v>
      </c>
      <c r="J39" s="2" t="s">
        <v>267</v>
      </c>
      <c r="K39" s="2" t="s">
        <v>89</v>
      </c>
      <c r="L39" s="2"/>
      <c r="M39" s="2" t="s">
        <v>268</v>
      </c>
    </row>
    <row r="40" customFormat="false" ht="15" hidden="false" customHeight="false" outlineLevel="0" collapsed="false">
      <c r="A40" s="2" t="s">
        <v>269</v>
      </c>
      <c r="B40" s="2" t="s">
        <v>270</v>
      </c>
      <c r="C40" s="2" t="s">
        <v>271</v>
      </c>
      <c r="D40" s="13" t="n">
        <v>45969.50625</v>
      </c>
      <c r="E40" s="2" t="s">
        <v>37</v>
      </c>
      <c r="F40" s="2" t="s">
        <v>27</v>
      </c>
      <c r="G40" s="2" t="n">
        <v>4892.05</v>
      </c>
      <c r="H40" s="2" t="n">
        <v>14.42</v>
      </c>
      <c r="I40" s="2" t="s">
        <v>26</v>
      </c>
      <c r="J40" s="2" t="s">
        <v>272</v>
      </c>
      <c r="K40" s="2" t="s">
        <v>101</v>
      </c>
      <c r="L40" s="2"/>
      <c r="M40" s="2" t="s">
        <v>273</v>
      </c>
    </row>
    <row r="41" customFormat="false" ht="15" hidden="false" customHeight="false" outlineLevel="0" collapsed="false">
      <c r="A41" s="2" t="s">
        <v>274</v>
      </c>
      <c r="B41" s="2" t="s">
        <v>275</v>
      </c>
      <c r="C41" s="2" t="s">
        <v>276</v>
      </c>
      <c r="D41" s="13" t="n">
        <v>45494.3131944445</v>
      </c>
      <c r="E41" s="2" t="s">
        <v>43</v>
      </c>
      <c r="F41" s="2" t="s">
        <v>29</v>
      </c>
      <c r="G41" s="2" t="n">
        <v>3085.75</v>
      </c>
      <c r="H41" s="2" t="n">
        <v>35.65</v>
      </c>
      <c r="I41" s="2" t="s">
        <v>26</v>
      </c>
      <c r="J41" s="2" t="s">
        <v>277</v>
      </c>
      <c r="K41" s="2" t="s">
        <v>95</v>
      </c>
      <c r="L41" s="2"/>
      <c r="M41" s="2" t="s">
        <v>278</v>
      </c>
    </row>
    <row r="42" customFormat="false" ht="15" hidden="false" customHeight="false" outlineLevel="0" collapsed="false">
      <c r="A42" s="2" t="s">
        <v>279</v>
      </c>
      <c r="B42" s="2" t="s">
        <v>280</v>
      </c>
      <c r="C42" s="2" t="s">
        <v>281</v>
      </c>
      <c r="D42" s="13" t="n">
        <v>45913.9354166667</v>
      </c>
      <c r="E42" s="2" t="s">
        <v>39</v>
      </c>
      <c r="F42" s="2" t="s">
        <v>29</v>
      </c>
      <c r="G42" s="2" t="n">
        <v>1900.45</v>
      </c>
      <c r="H42" s="2" t="n">
        <v>13.06</v>
      </c>
      <c r="I42" s="2" t="s">
        <v>26</v>
      </c>
      <c r="J42" s="2" t="s">
        <v>282</v>
      </c>
      <c r="K42" s="2" t="s">
        <v>89</v>
      </c>
      <c r="L42" s="2" t="s">
        <v>283</v>
      </c>
      <c r="M42" s="2"/>
    </row>
    <row r="43" customFormat="false" ht="15" hidden="false" customHeight="false" outlineLevel="0" collapsed="false">
      <c r="A43" s="2" t="s">
        <v>284</v>
      </c>
      <c r="B43" s="2" t="s">
        <v>285</v>
      </c>
      <c r="C43" s="2" t="s">
        <v>286</v>
      </c>
      <c r="D43" s="13" t="n">
        <v>45623.9430555556</v>
      </c>
      <c r="E43" s="2" t="s">
        <v>41</v>
      </c>
      <c r="F43" s="2" t="s">
        <v>27</v>
      </c>
      <c r="G43" s="2" t="n">
        <v>2508.54</v>
      </c>
      <c r="H43" s="2" t="n">
        <v>28.68</v>
      </c>
      <c r="I43" s="2" t="s">
        <v>26</v>
      </c>
      <c r="J43" s="2" t="s">
        <v>287</v>
      </c>
      <c r="K43" s="2" t="s">
        <v>89</v>
      </c>
      <c r="L43" s="2"/>
      <c r="M43" s="2" t="s">
        <v>288</v>
      </c>
    </row>
    <row r="44" customFormat="false" ht="15" hidden="false" customHeight="false" outlineLevel="0" collapsed="false">
      <c r="A44" s="2" t="s">
        <v>289</v>
      </c>
      <c r="B44" s="2" t="s">
        <v>290</v>
      </c>
      <c r="C44" s="2" t="s">
        <v>291</v>
      </c>
      <c r="D44" s="13" t="n">
        <v>45607.5145833333</v>
      </c>
      <c r="E44" s="2" t="s">
        <v>39</v>
      </c>
      <c r="F44" s="2" t="s">
        <v>32</v>
      </c>
      <c r="G44" s="2" t="n">
        <v>8171.24</v>
      </c>
      <c r="H44" s="2" t="n">
        <v>51.4</v>
      </c>
      <c r="I44" s="2" t="s">
        <v>28</v>
      </c>
      <c r="J44" s="2" t="s">
        <v>292</v>
      </c>
      <c r="K44" s="2" t="s">
        <v>101</v>
      </c>
      <c r="L44" s="2" t="s">
        <v>293</v>
      </c>
      <c r="M44" s="2"/>
    </row>
    <row r="45" customFormat="false" ht="15" hidden="false" customHeight="false" outlineLevel="0" collapsed="false">
      <c r="A45" s="2" t="s">
        <v>294</v>
      </c>
      <c r="B45" s="2" t="s">
        <v>295</v>
      </c>
      <c r="C45" s="2" t="s">
        <v>296</v>
      </c>
      <c r="D45" s="13" t="n">
        <v>45674.4743055556</v>
      </c>
      <c r="E45" s="2" t="s">
        <v>35</v>
      </c>
      <c r="F45" s="2" t="s">
        <v>27</v>
      </c>
      <c r="G45" s="2" t="n">
        <v>4978.43</v>
      </c>
      <c r="H45" s="2" t="n">
        <v>10.84</v>
      </c>
      <c r="I45" s="2" t="s">
        <v>26</v>
      </c>
      <c r="J45" s="2" t="s">
        <v>297</v>
      </c>
      <c r="K45" s="2" t="s">
        <v>95</v>
      </c>
      <c r="L45" s="2"/>
      <c r="M45" s="2" t="s">
        <v>298</v>
      </c>
    </row>
    <row r="46" customFormat="false" ht="15" hidden="false" customHeight="false" outlineLevel="0" collapsed="false">
      <c r="A46" s="2" t="s">
        <v>299</v>
      </c>
      <c r="B46" s="2" t="s">
        <v>300</v>
      </c>
      <c r="C46" s="2" t="s">
        <v>301</v>
      </c>
      <c r="D46" s="13" t="n">
        <v>45626.6236111111</v>
      </c>
      <c r="E46" s="2" t="s">
        <v>37</v>
      </c>
      <c r="F46" s="2" t="s">
        <v>29</v>
      </c>
      <c r="G46" s="2" t="n">
        <v>10178.08</v>
      </c>
      <c r="H46" s="2" t="n">
        <v>113.56</v>
      </c>
      <c r="I46" s="2" t="s">
        <v>28</v>
      </c>
      <c r="J46" s="2" t="s">
        <v>302</v>
      </c>
      <c r="K46" s="2" t="s">
        <v>101</v>
      </c>
      <c r="L46" s="2" t="s">
        <v>303</v>
      </c>
      <c r="M46" s="2"/>
    </row>
    <row r="47" customFormat="false" ht="15" hidden="false" customHeight="false" outlineLevel="0" collapsed="false">
      <c r="A47" s="2" t="s">
        <v>304</v>
      </c>
      <c r="B47" s="2" t="s">
        <v>305</v>
      </c>
      <c r="C47" s="2" t="s">
        <v>306</v>
      </c>
      <c r="D47" s="13" t="n">
        <v>45631.58125</v>
      </c>
      <c r="E47" s="2" t="s">
        <v>41</v>
      </c>
      <c r="F47" s="2" t="s">
        <v>32</v>
      </c>
      <c r="G47" s="2" t="n">
        <v>1566.78</v>
      </c>
      <c r="H47" s="2" t="n">
        <v>13.05</v>
      </c>
      <c r="I47" s="2" t="s">
        <v>26</v>
      </c>
      <c r="J47" s="2" t="s">
        <v>307</v>
      </c>
      <c r="K47" s="2" t="s">
        <v>122</v>
      </c>
      <c r="L47" s="2" t="s">
        <v>308</v>
      </c>
      <c r="M47" s="2"/>
    </row>
    <row r="48" customFormat="false" ht="15" hidden="false" customHeight="false" outlineLevel="0" collapsed="false">
      <c r="A48" s="2" t="s">
        <v>309</v>
      </c>
      <c r="B48" s="2" t="s">
        <v>310</v>
      </c>
      <c r="C48" s="2" t="s">
        <v>311</v>
      </c>
      <c r="D48" s="13" t="n">
        <v>45773.3055555556</v>
      </c>
      <c r="E48" s="2" t="s">
        <v>43</v>
      </c>
      <c r="F48" s="2" t="s">
        <v>29</v>
      </c>
      <c r="G48" s="2" t="n">
        <v>4108.41</v>
      </c>
      <c r="H48" s="2" t="n">
        <v>39.04</v>
      </c>
      <c r="I48" s="2" t="s">
        <v>26</v>
      </c>
      <c r="J48" s="2" t="s">
        <v>312</v>
      </c>
      <c r="K48" s="2" t="s">
        <v>122</v>
      </c>
      <c r="L48" s="2"/>
      <c r="M48" s="2" t="s">
        <v>313</v>
      </c>
    </row>
    <row r="49" customFormat="false" ht="15" hidden="false" customHeight="false" outlineLevel="0" collapsed="false">
      <c r="A49" s="2" t="s">
        <v>314</v>
      </c>
      <c r="B49" s="2" t="s">
        <v>315</v>
      </c>
      <c r="C49" s="2" t="s">
        <v>316</v>
      </c>
      <c r="D49" s="13" t="n">
        <v>45909.6277777778</v>
      </c>
      <c r="E49" s="2" t="s">
        <v>35</v>
      </c>
      <c r="F49" s="2" t="s">
        <v>32</v>
      </c>
      <c r="G49" s="2" t="n">
        <v>2726.12</v>
      </c>
      <c r="H49" s="2" t="n">
        <v>27.02</v>
      </c>
      <c r="I49" s="2" t="s">
        <v>26</v>
      </c>
      <c r="J49" s="2" t="s">
        <v>317</v>
      </c>
      <c r="K49" s="2" t="s">
        <v>89</v>
      </c>
      <c r="L49" s="2" t="s">
        <v>318</v>
      </c>
      <c r="M49" s="2"/>
    </row>
    <row r="50" customFormat="false" ht="15" hidden="false" customHeight="false" outlineLevel="0" collapsed="false">
      <c r="A50" s="2" t="s">
        <v>319</v>
      </c>
      <c r="B50" s="2" t="s">
        <v>320</v>
      </c>
      <c r="C50" s="2" t="s">
        <v>321</v>
      </c>
      <c r="D50" s="13" t="n">
        <v>45544.6111111111</v>
      </c>
      <c r="E50" s="2" t="s">
        <v>43</v>
      </c>
      <c r="F50" s="2" t="s">
        <v>32</v>
      </c>
      <c r="G50" s="2" t="n">
        <v>1070.47</v>
      </c>
      <c r="H50" s="2" t="n">
        <v>8.78</v>
      </c>
      <c r="I50" s="2" t="s">
        <v>26</v>
      </c>
      <c r="J50" s="2" t="s">
        <v>322</v>
      </c>
      <c r="K50" s="2" t="s">
        <v>101</v>
      </c>
      <c r="L50" s="2"/>
      <c r="M50" s="2" t="s">
        <v>323</v>
      </c>
    </row>
    <row r="51" customFormat="false" ht="15" hidden="false" customHeight="false" outlineLevel="0" collapsed="false">
      <c r="A51" s="2" t="s">
        <v>324</v>
      </c>
      <c r="B51" s="2" t="s">
        <v>325</v>
      </c>
      <c r="C51" s="2" t="s">
        <v>326</v>
      </c>
      <c r="D51" s="13" t="n">
        <v>45613.5777777778</v>
      </c>
      <c r="E51" s="2" t="s">
        <v>43</v>
      </c>
      <c r="F51" s="2" t="s">
        <v>31</v>
      </c>
      <c r="G51" s="2" t="n">
        <v>7759.24</v>
      </c>
      <c r="H51" s="2" t="n">
        <v>87.19</v>
      </c>
      <c r="I51" s="2" t="s">
        <v>26</v>
      </c>
      <c r="J51" s="2" t="s">
        <v>327</v>
      </c>
      <c r="K51" s="2" t="s">
        <v>89</v>
      </c>
      <c r="L51" s="2"/>
      <c r="M51" s="2" t="s">
        <v>328</v>
      </c>
    </row>
    <row r="52" customFormat="false" ht="15" hidden="false" customHeight="false" outlineLevel="0" collapsed="false">
      <c r="A52" s="2" t="s">
        <v>329</v>
      </c>
      <c r="B52" s="2" t="s">
        <v>330</v>
      </c>
      <c r="C52" s="2" t="s">
        <v>331</v>
      </c>
      <c r="D52" s="13" t="n">
        <v>45491.6770833333</v>
      </c>
      <c r="E52" s="2" t="s">
        <v>39</v>
      </c>
      <c r="F52" s="2" t="s">
        <v>29</v>
      </c>
      <c r="G52" s="2" t="n">
        <v>9550.22</v>
      </c>
      <c r="H52" s="2" t="n">
        <v>97.28</v>
      </c>
      <c r="I52" s="2" t="s">
        <v>26</v>
      </c>
      <c r="J52" s="2" t="s">
        <v>332</v>
      </c>
      <c r="K52" s="2" t="s">
        <v>95</v>
      </c>
      <c r="L52" s="2" t="s">
        <v>333</v>
      </c>
      <c r="M52" s="2"/>
    </row>
    <row r="53" customFormat="false" ht="15" hidden="false" customHeight="false" outlineLevel="0" collapsed="false">
      <c r="A53" s="2" t="s">
        <v>334</v>
      </c>
      <c r="B53" s="2" t="s">
        <v>335</v>
      </c>
      <c r="C53" s="2" t="s">
        <v>336</v>
      </c>
      <c r="D53" s="13" t="n">
        <v>45595.2923611111</v>
      </c>
      <c r="E53" s="2" t="s">
        <v>37</v>
      </c>
      <c r="F53" s="2" t="s">
        <v>32</v>
      </c>
      <c r="G53" s="2" t="n">
        <v>12024.7</v>
      </c>
      <c r="H53" s="2" t="n">
        <v>33.51</v>
      </c>
      <c r="I53" s="2" t="s">
        <v>26</v>
      </c>
      <c r="J53" s="2" t="s">
        <v>337</v>
      </c>
      <c r="K53" s="2" t="s">
        <v>122</v>
      </c>
      <c r="L53" s="2" t="s">
        <v>338</v>
      </c>
      <c r="M53" s="2"/>
    </row>
    <row r="54" customFormat="false" ht="15" hidden="false" customHeight="false" outlineLevel="0" collapsed="false">
      <c r="A54" s="2" t="s">
        <v>339</v>
      </c>
      <c r="B54" s="2" t="s">
        <v>340</v>
      </c>
      <c r="C54" s="2" t="s">
        <v>341</v>
      </c>
      <c r="D54" s="13" t="n">
        <v>45452.9083333333</v>
      </c>
      <c r="E54" s="2" t="s">
        <v>35</v>
      </c>
      <c r="F54" s="2" t="s">
        <v>32</v>
      </c>
      <c r="G54" s="2" t="n">
        <v>3662.08</v>
      </c>
      <c r="H54" s="2" t="n">
        <v>29.54</v>
      </c>
      <c r="I54" s="2" t="s">
        <v>28</v>
      </c>
      <c r="J54" s="2" t="s">
        <v>342</v>
      </c>
      <c r="K54" s="2" t="s">
        <v>95</v>
      </c>
      <c r="L54" s="2" t="s">
        <v>343</v>
      </c>
      <c r="M54" s="2"/>
    </row>
    <row r="55" customFormat="false" ht="15" hidden="false" customHeight="false" outlineLevel="0" collapsed="false">
      <c r="A55" s="2" t="s">
        <v>344</v>
      </c>
      <c r="B55" s="2" t="s">
        <v>345</v>
      </c>
      <c r="C55" s="2" t="s">
        <v>346</v>
      </c>
      <c r="D55" s="13" t="n">
        <v>45309.41875</v>
      </c>
      <c r="E55" s="2" t="s">
        <v>35</v>
      </c>
      <c r="F55" s="2" t="s">
        <v>27</v>
      </c>
      <c r="G55" s="2" t="n">
        <v>16481.42</v>
      </c>
      <c r="H55" s="2" t="n">
        <v>93.75</v>
      </c>
      <c r="I55" s="2" t="s">
        <v>28</v>
      </c>
      <c r="J55" s="2" t="s">
        <v>347</v>
      </c>
      <c r="K55" s="2" t="s">
        <v>89</v>
      </c>
      <c r="L55" s="2"/>
      <c r="M55" s="2" t="s">
        <v>348</v>
      </c>
    </row>
    <row r="56" customFormat="false" ht="15" hidden="false" customHeight="false" outlineLevel="0" collapsed="false">
      <c r="A56" s="2" t="s">
        <v>349</v>
      </c>
      <c r="B56" s="2" t="s">
        <v>350</v>
      </c>
      <c r="C56" s="2" t="s">
        <v>351</v>
      </c>
      <c r="D56" s="13" t="n">
        <v>45736.7256944445</v>
      </c>
      <c r="E56" s="2" t="s">
        <v>35</v>
      </c>
      <c r="F56" s="2" t="s">
        <v>29</v>
      </c>
      <c r="G56" s="2" t="n">
        <v>965.17</v>
      </c>
      <c r="H56" s="2" t="n">
        <v>9.27</v>
      </c>
      <c r="I56" s="2" t="s">
        <v>28</v>
      </c>
      <c r="J56" s="2" t="s">
        <v>352</v>
      </c>
      <c r="K56" s="2" t="s">
        <v>89</v>
      </c>
      <c r="L56" s="2" t="s">
        <v>353</v>
      </c>
      <c r="M56" s="2"/>
    </row>
    <row r="57" customFormat="false" ht="15" hidden="false" customHeight="false" outlineLevel="0" collapsed="false">
      <c r="A57" s="2" t="s">
        <v>354</v>
      </c>
      <c r="B57" s="2" t="s">
        <v>355</v>
      </c>
      <c r="C57" s="2" t="s">
        <v>356</v>
      </c>
      <c r="D57" s="13" t="n">
        <v>45815.3652777778</v>
      </c>
      <c r="E57" s="2" t="s">
        <v>39</v>
      </c>
      <c r="F57" s="2" t="s">
        <v>32</v>
      </c>
      <c r="G57" s="2" t="n">
        <v>6181.71</v>
      </c>
      <c r="H57" s="2" t="n">
        <v>16.31</v>
      </c>
      <c r="I57" s="2" t="s">
        <v>26</v>
      </c>
      <c r="J57" s="2" t="s">
        <v>357</v>
      </c>
      <c r="K57" s="2" t="s">
        <v>89</v>
      </c>
      <c r="L57" s="2" t="s">
        <v>358</v>
      </c>
      <c r="M57" s="2"/>
    </row>
    <row r="58" customFormat="false" ht="15" hidden="false" customHeight="false" outlineLevel="0" collapsed="false">
      <c r="A58" s="2" t="s">
        <v>359</v>
      </c>
      <c r="B58" s="2" t="s">
        <v>360</v>
      </c>
      <c r="C58" s="2" t="s">
        <v>361</v>
      </c>
      <c r="D58" s="13" t="n">
        <v>45459.5868055556</v>
      </c>
      <c r="E58" s="2" t="s">
        <v>37</v>
      </c>
      <c r="F58" s="2" t="s">
        <v>27</v>
      </c>
      <c r="G58" s="2" t="n">
        <v>2508.15</v>
      </c>
      <c r="H58" s="2" t="n">
        <v>23.85</v>
      </c>
      <c r="I58" s="2" t="s">
        <v>28</v>
      </c>
      <c r="J58" s="2" t="s">
        <v>362</v>
      </c>
      <c r="K58" s="2" t="s">
        <v>89</v>
      </c>
      <c r="L58" s="2"/>
      <c r="M58" s="2" t="s">
        <v>363</v>
      </c>
    </row>
    <row r="59" customFormat="false" ht="15" hidden="false" customHeight="false" outlineLevel="0" collapsed="false">
      <c r="A59" s="2" t="s">
        <v>364</v>
      </c>
      <c r="B59" s="2" t="s">
        <v>365</v>
      </c>
      <c r="C59" s="2" t="s">
        <v>366</v>
      </c>
      <c r="D59" s="13" t="n">
        <v>45718.8222222222</v>
      </c>
      <c r="E59" s="2" t="s">
        <v>35</v>
      </c>
      <c r="F59" s="2" t="s">
        <v>32</v>
      </c>
      <c r="G59" s="2" t="n">
        <v>10698.68</v>
      </c>
      <c r="H59" s="2" t="n">
        <v>33.73</v>
      </c>
      <c r="I59" s="2" t="s">
        <v>26</v>
      </c>
      <c r="J59" s="2" t="s">
        <v>367</v>
      </c>
      <c r="K59" s="2" t="s">
        <v>89</v>
      </c>
      <c r="L59" s="2" t="s">
        <v>368</v>
      </c>
      <c r="M59" s="2"/>
    </row>
    <row r="60" customFormat="false" ht="15" hidden="false" customHeight="false" outlineLevel="0" collapsed="false">
      <c r="A60" s="2" t="s">
        <v>369</v>
      </c>
      <c r="B60" s="2" t="s">
        <v>370</v>
      </c>
      <c r="C60" s="2" t="s">
        <v>371</v>
      </c>
      <c r="D60" s="13" t="n">
        <v>45991.29375</v>
      </c>
      <c r="E60" s="2" t="s">
        <v>39</v>
      </c>
      <c r="F60" s="2" t="s">
        <v>32</v>
      </c>
      <c r="G60" s="2" t="n">
        <v>9043.99</v>
      </c>
      <c r="H60" s="2" t="n">
        <v>61.38</v>
      </c>
      <c r="I60" s="2" t="s">
        <v>26</v>
      </c>
      <c r="J60" s="2" t="s">
        <v>372</v>
      </c>
      <c r="K60" s="2" t="s">
        <v>95</v>
      </c>
      <c r="L60" s="2" t="s">
        <v>373</v>
      </c>
      <c r="M60" s="2"/>
    </row>
    <row r="61" customFormat="false" ht="15" hidden="false" customHeight="false" outlineLevel="0" collapsed="false">
      <c r="A61" s="2" t="s">
        <v>374</v>
      </c>
      <c r="B61" s="2" t="s">
        <v>375</v>
      </c>
      <c r="C61" s="2" t="s">
        <v>376</v>
      </c>
      <c r="D61" s="13" t="n">
        <v>45432.7222222222</v>
      </c>
      <c r="E61" s="2" t="s">
        <v>43</v>
      </c>
      <c r="F61" s="2" t="s">
        <v>29</v>
      </c>
      <c r="G61" s="2" t="n">
        <v>2373.99</v>
      </c>
      <c r="H61" s="2" t="n">
        <v>14.14</v>
      </c>
      <c r="I61" s="2" t="s">
        <v>26</v>
      </c>
      <c r="J61" s="2" t="s">
        <v>377</v>
      </c>
      <c r="K61" s="2" t="s">
        <v>89</v>
      </c>
      <c r="L61" s="2"/>
      <c r="M61" s="2" t="s">
        <v>378</v>
      </c>
    </row>
    <row r="62" customFormat="false" ht="15" hidden="false" customHeight="false" outlineLevel="0" collapsed="false">
      <c r="A62" s="2" t="s">
        <v>379</v>
      </c>
      <c r="B62" s="2" t="s">
        <v>380</v>
      </c>
      <c r="C62" s="2" t="s">
        <v>381</v>
      </c>
      <c r="D62" s="13" t="n">
        <v>46005.8576388889</v>
      </c>
      <c r="E62" s="2" t="s">
        <v>41</v>
      </c>
      <c r="F62" s="2" t="s">
        <v>27</v>
      </c>
      <c r="G62" s="2" t="n">
        <v>1593.02</v>
      </c>
      <c r="H62" s="2" t="n">
        <v>5</v>
      </c>
      <c r="I62" s="2" t="s">
        <v>26</v>
      </c>
      <c r="J62" s="2" t="s">
        <v>382</v>
      </c>
      <c r="K62" s="2" t="s">
        <v>101</v>
      </c>
      <c r="L62" s="2"/>
      <c r="M62" s="2" t="s">
        <v>383</v>
      </c>
    </row>
    <row r="63" customFormat="false" ht="15" hidden="false" customHeight="false" outlineLevel="0" collapsed="false">
      <c r="A63" s="2" t="s">
        <v>384</v>
      </c>
      <c r="B63" s="2" t="s">
        <v>385</v>
      </c>
      <c r="C63" s="2" t="s">
        <v>386</v>
      </c>
      <c r="D63" s="13" t="n">
        <v>45374.7722222222</v>
      </c>
      <c r="E63" s="2" t="s">
        <v>43</v>
      </c>
      <c r="F63" s="2" t="s">
        <v>31</v>
      </c>
      <c r="G63" s="2" t="n">
        <v>9118.73</v>
      </c>
      <c r="H63" s="2" t="n">
        <v>37.64</v>
      </c>
      <c r="I63" s="2" t="s">
        <v>30</v>
      </c>
      <c r="J63" s="2" t="s">
        <v>387</v>
      </c>
      <c r="K63" s="2" t="s">
        <v>101</v>
      </c>
      <c r="L63" s="2"/>
      <c r="M63" s="2" t="s">
        <v>388</v>
      </c>
    </row>
    <row r="64" customFormat="false" ht="15" hidden="false" customHeight="false" outlineLevel="0" collapsed="false">
      <c r="A64" s="2" t="s">
        <v>389</v>
      </c>
      <c r="B64" s="2" t="s">
        <v>390</v>
      </c>
      <c r="C64" s="2" t="s">
        <v>391</v>
      </c>
      <c r="D64" s="13" t="n">
        <v>45861.7722222222</v>
      </c>
      <c r="E64" s="2" t="s">
        <v>35</v>
      </c>
      <c r="F64" s="2" t="s">
        <v>29</v>
      </c>
      <c r="G64" s="2" t="n">
        <v>1262.86</v>
      </c>
      <c r="H64" s="2" t="n">
        <v>12.05</v>
      </c>
      <c r="I64" s="2" t="s">
        <v>26</v>
      </c>
      <c r="J64" s="2" t="s">
        <v>392</v>
      </c>
      <c r="K64" s="2" t="s">
        <v>101</v>
      </c>
      <c r="L64" s="2" t="s">
        <v>393</v>
      </c>
      <c r="M64" s="2"/>
    </row>
    <row r="65" customFormat="false" ht="15" hidden="false" customHeight="false" outlineLevel="0" collapsed="false">
      <c r="A65" s="2" t="s">
        <v>394</v>
      </c>
      <c r="B65" s="2" t="s">
        <v>395</v>
      </c>
      <c r="C65" s="2" t="s">
        <v>396</v>
      </c>
      <c r="D65" s="13" t="n">
        <v>45558.7965277778</v>
      </c>
      <c r="E65" s="2" t="s">
        <v>43</v>
      </c>
      <c r="F65" s="2" t="s">
        <v>27</v>
      </c>
      <c r="G65" s="2" t="n">
        <v>6442.85</v>
      </c>
      <c r="H65" s="2" t="n">
        <v>41.59</v>
      </c>
      <c r="I65" s="2" t="s">
        <v>26</v>
      </c>
      <c r="J65" s="2" t="s">
        <v>397</v>
      </c>
      <c r="K65" s="2" t="s">
        <v>95</v>
      </c>
      <c r="L65" s="2"/>
      <c r="M65" s="2" t="s">
        <v>398</v>
      </c>
    </row>
    <row r="66" customFormat="false" ht="15" hidden="false" customHeight="false" outlineLevel="0" collapsed="false">
      <c r="A66" s="2" t="s">
        <v>399</v>
      </c>
      <c r="B66" s="2" t="s">
        <v>400</v>
      </c>
      <c r="C66" s="2" t="s">
        <v>401</v>
      </c>
      <c r="D66" s="13" t="n">
        <v>45334.8270833333</v>
      </c>
      <c r="E66" s="2" t="s">
        <v>35</v>
      </c>
      <c r="F66" s="2" t="s">
        <v>32</v>
      </c>
      <c r="G66" s="2" t="n">
        <v>491.57</v>
      </c>
      <c r="H66" s="2" t="n">
        <v>5</v>
      </c>
      <c r="I66" s="2" t="s">
        <v>28</v>
      </c>
      <c r="J66" s="2" t="s">
        <v>402</v>
      </c>
      <c r="K66" s="2" t="s">
        <v>101</v>
      </c>
      <c r="L66" s="2" t="s">
        <v>403</v>
      </c>
      <c r="M66" s="2"/>
    </row>
    <row r="67" customFormat="false" ht="15" hidden="false" customHeight="false" outlineLevel="0" collapsed="false">
      <c r="A67" s="2" t="s">
        <v>404</v>
      </c>
      <c r="B67" s="2" t="s">
        <v>405</v>
      </c>
      <c r="C67" s="2" t="s">
        <v>406</v>
      </c>
      <c r="D67" s="13" t="n">
        <v>45766.3618055556</v>
      </c>
      <c r="E67" s="2" t="s">
        <v>35</v>
      </c>
      <c r="F67" s="2" t="s">
        <v>32</v>
      </c>
      <c r="G67" s="2" t="n">
        <v>6630.9</v>
      </c>
      <c r="H67" s="2" t="n">
        <v>71.9</v>
      </c>
      <c r="I67" s="2" t="s">
        <v>28</v>
      </c>
      <c r="J67" s="2" t="s">
        <v>407</v>
      </c>
      <c r="K67" s="2" t="s">
        <v>89</v>
      </c>
      <c r="L67" s="2" t="s">
        <v>408</v>
      </c>
      <c r="M67" s="2"/>
    </row>
    <row r="68" customFormat="false" ht="15" hidden="false" customHeight="false" outlineLevel="0" collapsed="false">
      <c r="A68" s="2" t="s">
        <v>409</v>
      </c>
      <c r="B68" s="2" t="s">
        <v>410</v>
      </c>
      <c r="C68" s="2" t="s">
        <v>411</v>
      </c>
      <c r="D68" s="13" t="n">
        <v>45304.5784722222</v>
      </c>
      <c r="E68" s="2" t="s">
        <v>37</v>
      </c>
      <c r="F68" s="2" t="s">
        <v>29</v>
      </c>
      <c r="G68" s="2" t="n">
        <v>1769.01</v>
      </c>
      <c r="H68" s="2" t="n">
        <v>12.38</v>
      </c>
      <c r="I68" s="2" t="s">
        <v>26</v>
      </c>
      <c r="J68" s="2" t="s">
        <v>412</v>
      </c>
      <c r="K68" s="2" t="s">
        <v>122</v>
      </c>
      <c r="L68" s="2" t="s">
        <v>413</v>
      </c>
      <c r="M68" s="2"/>
    </row>
    <row r="69" customFormat="false" ht="15" hidden="false" customHeight="false" outlineLevel="0" collapsed="false">
      <c r="A69" s="2" t="s">
        <v>414</v>
      </c>
      <c r="B69" s="2" t="s">
        <v>415</v>
      </c>
      <c r="C69" s="2" t="s">
        <v>416</v>
      </c>
      <c r="D69" s="13" t="n">
        <v>45461.9375</v>
      </c>
      <c r="E69" s="2" t="s">
        <v>41</v>
      </c>
      <c r="F69" s="2" t="s">
        <v>31</v>
      </c>
      <c r="G69" s="2" t="n">
        <v>4656.51</v>
      </c>
      <c r="H69" s="2" t="n">
        <v>55.26</v>
      </c>
      <c r="I69" s="2" t="s">
        <v>28</v>
      </c>
      <c r="J69" s="2" t="s">
        <v>417</v>
      </c>
      <c r="K69" s="2" t="s">
        <v>89</v>
      </c>
      <c r="L69" s="2" t="s">
        <v>418</v>
      </c>
      <c r="M69" s="2"/>
    </row>
    <row r="70" customFormat="false" ht="15" hidden="false" customHeight="false" outlineLevel="0" collapsed="false">
      <c r="A70" s="2" t="s">
        <v>419</v>
      </c>
      <c r="B70" s="2" t="s">
        <v>420</v>
      </c>
      <c r="C70" s="2" t="s">
        <v>421</v>
      </c>
      <c r="D70" s="13" t="n">
        <v>45292.31875</v>
      </c>
      <c r="E70" s="2" t="s">
        <v>39</v>
      </c>
      <c r="F70" s="2" t="s">
        <v>31</v>
      </c>
      <c r="G70" s="2" t="n">
        <v>2842.78</v>
      </c>
      <c r="H70" s="2" t="n">
        <v>33.01</v>
      </c>
      <c r="I70" s="2" t="s">
        <v>26</v>
      </c>
      <c r="J70" s="2" t="s">
        <v>422</v>
      </c>
      <c r="K70" s="2" t="s">
        <v>95</v>
      </c>
      <c r="L70" s="2" t="s">
        <v>423</v>
      </c>
      <c r="M70" s="2"/>
    </row>
    <row r="71" customFormat="false" ht="15" hidden="false" customHeight="false" outlineLevel="0" collapsed="false">
      <c r="A71" s="2" t="s">
        <v>424</v>
      </c>
      <c r="B71" s="2" t="s">
        <v>425</v>
      </c>
      <c r="C71" s="2" t="s">
        <v>426</v>
      </c>
      <c r="D71" s="13" t="n">
        <v>45487.8659722222</v>
      </c>
      <c r="E71" s="2" t="s">
        <v>39</v>
      </c>
      <c r="F71" s="2" t="s">
        <v>29</v>
      </c>
      <c r="G71" s="2" t="n">
        <v>3481.45</v>
      </c>
      <c r="H71" s="2" t="n">
        <v>33.79</v>
      </c>
      <c r="I71" s="2" t="s">
        <v>26</v>
      </c>
      <c r="J71" s="2" t="s">
        <v>427</v>
      </c>
      <c r="K71" s="2" t="s">
        <v>101</v>
      </c>
      <c r="L71" s="2" t="s">
        <v>428</v>
      </c>
      <c r="M71" s="2"/>
    </row>
    <row r="72" customFormat="false" ht="15" hidden="false" customHeight="false" outlineLevel="0" collapsed="false">
      <c r="A72" s="2" t="s">
        <v>429</v>
      </c>
      <c r="B72" s="2" t="s">
        <v>430</v>
      </c>
      <c r="C72" s="2" t="s">
        <v>431</v>
      </c>
      <c r="D72" s="13" t="n">
        <v>45501.4569444444</v>
      </c>
      <c r="E72" s="2" t="s">
        <v>35</v>
      </c>
      <c r="F72" s="2" t="s">
        <v>29</v>
      </c>
      <c r="G72" s="2" t="n">
        <v>2046.51</v>
      </c>
      <c r="H72" s="2" t="n">
        <v>18.31</v>
      </c>
      <c r="I72" s="2" t="s">
        <v>26</v>
      </c>
      <c r="J72" s="2" t="s">
        <v>432</v>
      </c>
      <c r="K72" s="2" t="s">
        <v>122</v>
      </c>
      <c r="L72" s="2" t="s">
        <v>433</v>
      </c>
      <c r="M72" s="2"/>
    </row>
    <row r="73" customFormat="false" ht="15" hidden="false" customHeight="false" outlineLevel="0" collapsed="false">
      <c r="A73" s="2" t="s">
        <v>434</v>
      </c>
      <c r="B73" s="2" t="s">
        <v>435</v>
      </c>
      <c r="C73" s="2" t="s">
        <v>436</v>
      </c>
      <c r="D73" s="13" t="n">
        <v>46000.4673611111</v>
      </c>
      <c r="E73" s="2" t="s">
        <v>37</v>
      </c>
      <c r="F73" s="2" t="s">
        <v>32</v>
      </c>
      <c r="G73" s="2" t="n">
        <v>808.62</v>
      </c>
      <c r="H73" s="2" t="n">
        <v>8.33</v>
      </c>
      <c r="I73" s="2" t="s">
        <v>26</v>
      </c>
      <c r="J73" s="2" t="s">
        <v>437</v>
      </c>
      <c r="K73" s="2" t="s">
        <v>89</v>
      </c>
      <c r="L73" s="2" t="s">
        <v>438</v>
      </c>
      <c r="M73" s="2"/>
    </row>
    <row r="74" customFormat="false" ht="15" hidden="false" customHeight="false" outlineLevel="0" collapsed="false">
      <c r="A74" s="2" t="s">
        <v>439</v>
      </c>
      <c r="B74" s="2" t="s">
        <v>440</v>
      </c>
      <c r="C74" s="2" t="s">
        <v>441</v>
      </c>
      <c r="D74" s="13" t="n">
        <v>45356.65625</v>
      </c>
      <c r="E74" s="2" t="s">
        <v>39</v>
      </c>
      <c r="F74" s="2" t="s">
        <v>29</v>
      </c>
      <c r="G74" s="2" t="n">
        <v>1959.65</v>
      </c>
      <c r="H74" s="2" t="n">
        <v>19.63</v>
      </c>
      <c r="I74" s="2" t="s">
        <v>26</v>
      </c>
      <c r="J74" s="2" t="s">
        <v>442</v>
      </c>
      <c r="K74" s="2" t="s">
        <v>95</v>
      </c>
      <c r="L74" s="2" t="s">
        <v>443</v>
      </c>
      <c r="M74" s="2"/>
    </row>
    <row r="75" customFormat="false" ht="15" hidden="false" customHeight="false" outlineLevel="0" collapsed="false">
      <c r="A75" s="2" t="s">
        <v>444</v>
      </c>
      <c r="B75" s="2" t="s">
        <v>445</v>
      </c>
      <c r="C75" s="2" t="s">
        <v>446</v>
      </c>
      <c r="D75" s="13" t="n">
        <v>45750.3201388889</v>
      </c>
      <c r="E75" s="2" t="s">
        <v>43</v>
      </c>
      <c r="F75" s="2" t="s">
        <v>27</v>
      </c>
      <c r="G75" s="2" t="n">
        <v>671.49</v>
      </c>
      <c r="H75" s="2" t="n">
        <v>7.1</v>
      </c>
      <c r="I75" s="2" t="s">
        <v>26</v>
      </c>
      <c r="J75" s="2" t="s">
        <v>447</v>
      </c>
      <c r="K75" s="2" t="s">
        <v>89</v>
      </c>
      <c r="L75" s="2"/>
      <c r="M75" s="2" t="s">
        <v>448</v>
      </c>
    </row>
    <row r="76" customFormat="false" ht="15" hidden="false" customHeight="false" outlineLevel="0" collapsed="false">
      <c r="A76" s="2" t="s">
        <v>449</v>
      </c>
      <c r="B76" s="2" t="s">
        <v>450</v>
      </c>
      <c r="C76" s="2" t="s">
        <v>451</v>
      </c>
      <c r="D76" s="13" t="n">
        <v>45664.4013888889</v>
      </c>
      <c r="E76" s="2" t="s">
        <v>35</v>
      </c>
      <c r="F76" s="2" t="s">
        <v>29</v>
      </c>
      <c r="G76" s="2" t="n">
        <v>1130.27</v>
      </c>
      <c r="H76" s="2" t="n">
        <v>8.42</v>
      </c>
      <c r="I76" s="2" t="s">
        <v>30</v>
      </c>
      <c r="J76" s="2" t="s">
        <v>452</v>
      </c>
      <c r="K76" s="2" t="s">
        <v>95</v>
      </c>
      <c r="L76" s="2" t="s">
        <v>453</v>
      </c>
      <c r="M76" s="2"/>
    </row>
    <row r="77" customFormat="false" ht="15" hidden="false" customHeight="false" outlineLevel="0" collapsed="false">
      <c r="A77" s="2" t="s">
        <v>454</v>
      </c>
      <c r="B77" s="2" t="s">
        <v>455</v>
      </c>
      <c r="C77" s="2" t="s">
        <v>456</v>
      </c>
      <c r="D77" s="13" t="n">
        <v>45946.7680555556</v>
      </c>
      <c r="E77" s="2" t="s">
        <v>35</v>
      </c>
      <c r="F77" s="2" t="s">
        <v>29</v>
      </c>
      <c r="G77" s="2" t="n">
        <v>1579.74</v>
      </c>
      <c r="H77" s="2" t="n">
        <v>10.54</v>
      </c>
      <c r="I77" s="2" t="s">
        <v>26</v>
      </c>
      <c r="J77" s="2" t="s">
        <v>457</v>
      </c>
      <c r="K77" s="2" t="s">
        <v>122</v>
      </c>
      <c r="L77" s="2" t="s">
        <v>458</v>
      </c>
      <c r="M77" s="2"/>
    </row>
    <row r="78" customFormat="false" ht="15" hidden="false" customHeight="false" outlineLevel="0" collapsed="false">
      <c r="A78" s="2" t="s">
        <v>459</v>
      </c>
      <c r="B78" s="2" t="s">
        <v>460</v>
      </c>
      <c r="C78" s="2" t="s">
        <v>461</v>
      </c>
      <c r="D78" s="13" t="n">
        <v>45847.8493055556</v>
      </c>
      <c r="E78" s="2" t="s">
        <v>37</v>
      </c>
      <c r="F78" s="2" t="s">
        <v>27</v>
      </c>
      <c r="G78" s="2" t="n">
        <v>2462.74</v>
      </c>
      <c r="H78" s="2" t="n">
        <v>27.7</v>
      </c>
      <c r="I78" s="2" t="s">
        <v>28</v>
      </c>
      <c r="J78" s="2" t="s">
        <v>462</v>
      </c>
      <c r="K78" s="2" t="s">
        <v>95</v>
      </c>
      <c r="L78" s="2"/>
      <c r="M78" s="2" t="s">
        <v>463</v>
      </c>
    </row>
    <row r="79" customFormat="false" ht="15" hidden="false" customHeight="false" outlineLevel="0" collapsed="false">
      <c r="A79" s="2" t="s">
        <v>464</v>
      </c>
      <c r="B79" s="2" t="s">
        <v>465</v>
      </c>
      <c r="C79" s="2" t="s">
        <v>466</v>
      </c>
      <c r="D79" s="13" t="n">
        <v>45335.7305555556</v>
      </c>
      <c r="E79" s="2" t="s">
        <v>41</v>
      </c>
      <c r="F79" s="2" t="s">
        <v>32</v>
      </c>
      <c r="G79" s="2" t="n">
        <v>1595.71</v>
      </c>
      <c r="H79" s="2" t="n">
        <v>13.29</v>
      </c>
      <c r="I79" s="2" t="s">
        <v>26</v>
      </c>
      <c r="J79" s="2" t="s">
        <v>467</v>
      </c>
      <c r="K79" s="2" t="s">
        <v>122</v>
      </c>
      <c r="L79" s="2" t="s">
        <v>468</v>
      </c>
      <c r="M79" s="2"/>
    </row>
    <row r="80" customFormat="false" ht="15" hidden="false" customHeight="false" outlineLevel="0" collapsed="false">
      <c r="A80" s="2" t="s">
        <v>469</v>
      </c>
      <c r="B80" s="2" t="s">
        <v>470</v>
      </c>
      <c r="C80" s="2" t="s">
        <v>471</v>
      </c>
      <c r="D80" s="13" t="n">
        <v>45721.4388888889</v>
      </c>
      <c r="E80" s="2" t="s">
        <v>35</v>
      </c>
      <c r="F80" s="2" t="s">
        <v>32</v>
      </c>
      <c r="G80" s="2" t="n">
        <v>4708.4</v>
      </c>
      <c r="H80" s="2" t="n">
        <v>36.51</v>
      </c>
      <c r="I80" s="2" t="s">
        <v>30</v>
      </c>
      <c r="J80" s="2" t="s">
        <v>472</v>
      </c>
      <c r="K80" s="2" t="s">
        <v>95</v>
      </c>
      <c r="L80" s="2" t="s">
        <v>473</v>
      </c>
      <c r="M80" s="2"/>
    </row>
    <row r="81" customFormat="false" ht="15" hidden="false" customHeight="false" outlineLevel="0" collapsed="false">
      <c r="A81" s="2" t="s">
        <v>474</v>
      </c>
      <c r="B81" s="2" t="s">
        <v>475</v>
      </c>
      <c r="C81" s="2" t="s">
        <v>476</v>
      </c>
      <c r="D81" s="13" t="n">
        <v>46018.7298611111</v>
      </c>
      <c r="E81" s="2" t="s">
        <v>37</v>
      </c>
      <c r="F81" s="2" t="s">
        <v>32</v>
      </c>
      <c r="G81" s="2" t="n">
        <v>12432.05</v>
      </c>
      <c r="H81" s="2" t="n">
        <v>73.97</v>
      </c>
      <c r="I81" s="2" t="s">
        <v>28</v>
      </c>
      <c r="J81" s="2" t="s">
        <v>477</v>
      </c>
      <c r="K81" s="2" t="s">
        <v>101</v>
      </c>
      <c r="L81" s="2" t="s">
        <v>478</v>
      </c>
      <c r="M81" s="2"/>
    </row>
    <row r="82" customFormat="false" ht="15" hidden="false" customHeight="false" outlineLevel="0" collapsed="false">
      <c r="A82" s="2" t="s">
        <v>479</v>
      </c>
      <c r="B82" s="2" t="s">
        <v>480</v>
      </c>
      <c r="C82" s="2" t="s">
        <v>481</v>
      </c>
      <c r="D82" s="13" t="n">
        <v>45709.4263888889</v>
      </c>
      <c r="E82" s="2" t="s">
        <v>41</v>
      </c>
      <c r="F82" s="2" t="s">
        <v>31</v>
      </c>
      <c r="G82" s="2" t="n">
        <v>6254.61</v>
      </c>
      <c r="H82" s="2" t="n">
        <v>64.69</v>
      </c>
      <c r="I82" s="2" t="s">
        <v>28</v>
      </c>
      <c r="J82" s="2" t="s">
        <v>482</v>
      </c>
      <c r="K82" s="2" t="s">
        <v>89</v>
      </c>
      <c r="L82" s="2" t="s">
        <v>483</v>
      </c>
      <c r="M82" s="2"/>
    </row>
    <row r="83" customFormat="false" ht="15" hidden="false" customHeight="false" outlineLevel="0" collapsed="false">
      <c r="A83" s="2" t="s">
        <v>484</v>
      </c>
      <c r="B83" s="2" t="s">
        <v>485</v>
      </c>
      <c r="C83" s="2" t="s">
        <v>486</v>
      </c>
      <c r="D83" s="13" t="n">
        <v>45439.4055555556</v>
      </c>
      <c r="E83" s="2" t="s">
        <v>41</v>
      </c>
      <c r="F83" s="2" t="s">
        <v>31</v>
      </c>
      <c r="G83" s="2" t="n">
        <v>11142.03</v>
      </c>
      <c r="H83" s="2" t="n">
        <v>67.53</v>
      </c>
      <c r="I83" s="2" t="s">
        <v>26</v>
      </c>
      <c r="J83" s="2" t="s">
        <v>487</v>
      </c>
      <c r="K83" s="2" t="s">
        <v>89</v>
      </c>
      <c r="L83" s="2" t="s">
        <v>488</v>
      </c>
      <c r="M83" s="2"/>
    </row>
    <row r="84" customFormat="false" ht="15" hidden="false" customHeight="false" outlineLevel="0" collapsed="false">
      <c r="A84" s="2" t="s">
        <v>489</v>
      </c>
      <c r="B84" s="2" t="s">
        <v>490</v>
      </c>
      <c r="C84" s="2" t="s">
        <v>491</v>
      </c>
      <c r="D84" s="13" t="n">
        <v>45323.6715277778</v>
      </c>
      <c r="E84" s="2" t="s">
        <v>39</v>
      </c>
      <c r="F84" s="2" t="s">
        <v>27</v>
      </c>
      <c r="G84" s="2" t="n">
        <v>5607.52</v>
      </c>
      <c r="H84" s="2" t="n">
        <v>36.59</v>
      </c>
      <c r="I84" s="2" t="s">
        <v>26</v>
      </c>
      <c r="J84" s="2" t="s">
        <v>492</v>
      </c>
      <c r="K84" s="2" t="s">
        <v>122</v>
      </c>
      <c r="L84" s="2"/>
      <c r="M84" s="2" t="s">
        <v>493</v>
      </c>
    </row>
    <row r="85" customFormat="false" ht="15" hidden="false" customHeight="false" outlineLevel="0" collapsed="false">
      <c r="A85" s="2" t="s">
        <v>494</v>
      </c>
      <c r="B85" s="2" t="s">
        <v>495</v>
      </c>
      <c r="C85" s="2" t="s">
        <v>496</v>
      </c>
      <c r="D85" s="13" t="n">
        <v>46006.68125</v>
      </c>
      <c r="E85" s="2" t="s">
        <v>43</v>
      </c>
      <c r="F85" s="2" t="s">
        <v>27</v>
      </c>
      <c r="G85" s="2" t="n">
        <v>3154.91</v>
      </c>
      <c r="H85" s="2" t="n">
        <v>19.83</v>
      </c>
      <c r="I85" s="2" t="s">
        <v>30</v>
      </c>
      <c r="J85" s="2" t="s">
        <v>497</v>
      </c>
      <c r="K85" s="2" t="s">
        <v>89</v>
      </c>
      <c r="L85" s="2"/>
      <c r="M85" s="2" t="s">
        <v>498</v>
      </c>
    </row>
    <row r="86" customFormat="false" ht="15" hidden="false" customHeight="false" outlineLevel="0" collapsed="false">
      <c r="A86" s="2" t="s">
        <v>499</v>
      </c>
      <c r="B86" s="2" t="s">
        <v>500</v>
      </c>
      <c r="C86" s="2" t="s">
        <v>501</v>
      </c>
      <c r="D86" s="13" t="n">
        <v>45795.3548611111</v>
      </c>
      <c r="E86" s="2" t="s">
        <v>37</v>
      </c>
      <c r="F86" s="2" t="s">
        <v>31</v>
      </c>
      <c r="G86" s="2" t="n">
        <v>2923.86</v>
      </c>
      <c r="H86" s="2" t="n">
        <v>26.33</v>
      </c>
      <c r="I86" s="2" t="s">
        <v>26</v>
      </c>
      <c r="J86" s="2" t="s">
        <v>502</v>
      </c>
      <c r="K86" s="2" t="s">
        <v>101</v>
      </c>
      <c r="L86" s="2" t="s">
        <v>503</v>
      </c>
      <c r="M86" s="2"/>
    </row>
    <row r="87" customFormat="false" ht="15" hidden="false" customHeight="false" outlineLevel="0" collapsed="false">
      <c r="A87" s="2" t="s">
        <v>504</v>
      </c>
      <c r="B87" s="2" t="s">
        <v>505</v>
      </c>
      <c r="C87" s="2" t="s">
        <v>506</v>
      </c>
      <c r="D87" s="13" t="n">
        <v>45993.9173611111</v>
      </c>
      <c r="E87" s="2" t="s">
        <v>39</v>
      </c>
      <c r="F87" s="2" t="s">
        <v>31</v>
      </c>
      <c r="G87" s="2" t="n">
        <v>6546.35</v>
      </c>
      <c r="H87" s="2" t="n">
        <v>29.6</v>
      </c>
      <c r="I87" s="2" t="s">
        <v>26</v>
      </c>
      <c r="J87" s="2" t="s">
        <v>507</v>
      </c>
      <c r="K87" s="2" t="s">
        <v>89</v>
      </c>
      <c r="L87" s="2" t="s">
        <v>508</v>
      </c>
      <c r="M87" s="2"/>
    </row>
    <row r="88" customFormat="false" ht="15" hidden="false" customHeight="false" outlineLevel="0" collapsed="false">
      <c r="A88" s="2" t="s">
        <v>509</v>
      </c>
      <c r="B88" s="2" t="s">
        <v>510</v>
      </c>
      <c r="C88" s="2" t="s">
        <v>511</v>
      </c>
      <c r="D88" s="13" t="n">
        <v>45680.71875</v>
      </c>
      <c r="E88" s="2" t="s">
        <v>43</v>
      </c>
      <c r="F88" s="2" t="s">
        <v>27</v>
      </c>
      <c r="G88" s="2" t="n">
        <v>5624.63</v>
      </c>
      <c r="H88" s="2" t="n">
        <v>29.41</v>
      </c>
      <c r="I88" s="2" t="s">
        <v>26</v>
      </c>
      <c r="J88" s="2" t="s">
        <v>512</v>
      </c>
      <c r="K88" s="2" t="s">
        <v>122</v>
      </c>
      <c r="L88" s="2"/>
      <c r="M88" s="2" t="s">
        <v>513</v>
      </c>
    </row>
    <row r="89" customFormat="false" ht="15" hidden="false" customHeight="false" outlineLevel="0" collapsed="false">
      <c r="A89" s="2" t="s">
        <v>514</v>
      </c>
      <c r="B89" s="2" t="s">
        <v>515</v>
      </c>
      <c r="C89" s="2" t="s">
        <v>516</v>
      </c>
      <c r="D89" s="13" t="n">
        <v>45302.4840277778</v>
      </c>
      <c r="E89" s="2" t="s">
        <v>37</v>
      </c>
      <c r="F89" s="2" t="s">
        <v>29</v>
      </c>
      <c r="G89" s="2" t="n">
        <v>15442.6</v>
      </c>
      <c r="H89" s="2" t="n">
        <v>108.42</v>
      </c>
      <c r="I89" s="2" t="s">
        <v>30</v>
      </c>
      <c r="J89" s="2" t="s">
        <v>517</v>
      </c>
      <c r="K89" s="2" t="s">
        <v>122</v>
      </c>
      <c r="L89" s="2" t="s">
        <v>518</v>
      </c>
      <c r="M89" s="2"/>
    </row>
    <row r="90" customFormat="false" ht="15" hidden="false" customHeight="false" outlineLevel="0" collapsed="false">
      <c r="A90" s="2" t="s">
        <v>519</v>
      </c>
      <c r="B90" s="2" t="s">
        <v>520</v>
      </c>
      <c r="C90" s="2" t="s">
        <v>521</v>
      </c>
      <c r="D90" s="13" t="n">
        <v>45840.3444444445</v>
      </c>
      <c r="E90" s="2" t="s">
        <v>37</v>
      </c>
      <c r="F90" s="2" t="s">
        <v>29</v>
      </c>
      <c r="G90" s="2" t="n">
        <v>6548.24</v>
      </c>
      <c r="H90" s="2" t="n">
        <v>45.25</v>
      </c>
      <c r="I90" s="2" t="s">
        <v>26</v>
      </c>
      <c r="J90" s="2" t="s">
        <v>522</v>
      </c>
      <c r="K90" s="2" t="s">
        <v>89</v>
      </c>
      <c r="L90" s="2" t="s">
        <v>523</v>
      </c>
      <c r="M90" s="2"/>
    </row>
    <row r="91" customFormat="false" ht="15" hidden="false" customHeight="false" outlineLevel="0" collapsed="false">
      <c r="A91" s="2" t="s">
        <v>524</v>
      </c>
      <c r="B91" s="2" t="s">
        <v>525</v>
      </c>
      <c r="C91" s="2" t="s">
        <v>526</v>
      </c>
      <c r="D91" s="13" t="n">
        <v>45907.7270833333</v>
      </c>
      <c r="E91" s="2" t="s">
        <v>41</v>
      </c>
      <c r="F91" s="2" t="s">
        <v>27</v>
      </c>
      <c r="G91" s="2" t="n">
        <v>1822.11</v>
      </c>
      <c r="H91" s="2" t="n">
        <v>18.9</v>
      </c>
      <c r="I91" s="2" t="s">
        <v>26</v>
      </c>
      <c r="J91" s="2" t="s">
        <v>527</v>
      </c>
      <c r="K91" s="2" t="s">
        <v>95</v>
      </c>
      <c r="L91" s="2"/>
      <c r="M91" s="2" t="s">
        <v>528</v>
      </c>
    </row>
    <row r="92" customFormat="false" ht="15" hidden="false" customHeight="false" outlineLevel="0" collapsed="false">
      <c r="A92" s="2" t="s">
        <v>529</v>
      </c>
      <c r="B92" s="2" t="s">
        <v>114</v>
      </c>
      <c r="C92" s="2" t="s">
        <v>115</v>
      </c>
      <c r="D92" s="13" t="n">
        <v>45688.5340277778</v>
      </c>
      <c r="E92" s="2" t="s">
        <v>43</v>
      </c>
      <c r="F92" s="2" t="s">
        <v>27</v>
      </c>
      <c r="G92" s="2" t="n">
        <v>2971.68</v>
      </c>
      <c r="H92" s="2" t="n">
        <v>12.58</v>
      </c>
      <c r="I92" s="2" t="s">
        <v>26</v>
      </c>
      <c r="J92" s="2" t="s">
        <v>530</v>
      </c>
      <c r="K92" s="2" t="s">
        <v>122</v>
      </c>
      <c r="L92" s="2"/>
      <c r="M92" s="2" t="s">
        <v>531</v>
      </c>
    </row>
    <row r="93" customFormat="false" ht="15" hidden="false" customHeight="false" outlineLevel="0" collapsed="false">
      <c r="A93" s="2" t="s">
        <v>532</v>
      </c>
      <c r="B93" s="2" t="s">
        <v>533</v>
      </c>
      <c r="C93" s="2" t="s">
        <v>534</v>
      </c>
      <c r="D93" s="13" t="n">
        <v>46009.4208333333</v>
      </c>
      <c r="E93" s="2" t="s">
        <v>43</v>
      </c>
      <c r="F93" s="2" t="s">
        <v>31</v>
      </c>
      <c r="G93" s="2" t="n">
        <v>2073.06</v>
      </c>
      <c r="H93" s="2" t="n">
        <v>24.44</v>
      </c>
      <c r="I93" s="2" t="s">
        <v>26</v>
      </c>
      <c r="J93" s="2" t="s">
        <v>535</v>
      </c>
      <c r="K93" s="2" t="s">
        <v>122</v>
      </c>
      <c r="L93" s="2"/>
      <c r="M93" s="2" t="s">
        <v>536</v>
      </c>
    </row>
    <row r="94" customFormat="false" ht="15" hidden="false" customHeight="false" outlineLevel="0" collapsed="false">
      <c r="A94" s="2" t="s">
        <v>537</v>
      </c>
      <c r="B94" s="2" t="s">
        <v>538</v>
      </c>
      <c r="C94" s="2" t="s">
        <v>539</v>
      </c>
      <c r="D94" s="13" t="n">
        <v>46007.8340277778</v>
      </c>
      <c r="E94" s="2" t="s">
        <v>39</v>
      </c>
      <c r="F94" s="2" t="s">
        <v>29</v>
      </c>
      <c r="G94" s="2" t="n">
        <v>2452.94</v>
      </c>
      <c r="H94" s="2" t="n">
        <v>15.17</v>
      </c>
      <c r="I94" s="2" t="s">
        <v>26</v>
      </c>
      <c r="J94" s="2" t="s">
        <v>540</v>
      </c>
      <c r="K94" s="2" t="s">
        <v>122</v>
      </c>
      <c r="L94" s="2" t="s">
        <v>541</v>
      </c>
      <c r="M94" s="2"/>
    </row>
    <row r="95" customFormat="false" ht="15" hidden="false" customHeight="false" outlineLevel="0" collapsed="false">
      <c r="A95" s="2" t="s">
        <v>542</v>
      </c>
      <c r="B95" s="2" t="s">
        <v>543</v>
      </c>
      <c r="C95" s="2" t="s">
        <v>544</v>
      </c>
      <c r="D95" s="13" t="n">
        <v>45358.3861111111</v>
      </c>
      <c r="E95" s="2" t="s">
        <v>43</v>
      </c>
      <c r="F95" s="2" t="s">
        <v>32</v>
      </c>
      <c r="G95" s="2" t="n">
        <v>27802.77</v>
      </c>
      <c r="H95" s="2" t="n">
        <v>187.56</v>
      </c>
      <c r="I95" s="2" t="s">
        <v>26</v>
      </c>
      <c r="J95" s="2" t="s">
        <v>545</v>
      </c>
      <c r="K95" s="2" t="s">
        <v>89</v>
      </c>
      <c r="L95" s="2"/>
      <c r="M95" s="2" t="s">
        <v>546</v>
      </c>
    </row>
    <row r="96" customFormat="false" ht="15" hidden="false" customHeight="false" outlineLevel="0" collapsed="false">
      <c r="A96" s="2" t="s">
        <v>547</v>
      </c>
      <c r="B96" s="2" t="s">
        <v>548</v>
      </c>
      <c r="C96" s="2" t="s">
        <v>549</v>
      </c>
      <c r="D96" s="13" t="n">
        <v>45457.4</v>
      </c>
      <c r="E96" s="2" t="s">
        <v>43</v>
      </c>
      <c r="F96" s="2" t="s">
        <v>29</v>
      </c>
      <c r="G96" s="2" t="n">
        <v>2061.65</v>
      </c>
      <c r="H96" s="2" t="n">
        <v>17.73</v>
      </c>
      <c r="I96" s="2" t="s">
        <v>28</v>
      </c>
      <c r="J96" s="2" t="s">
        <v>550</v>
      </c>
      <c r="K96" s="2" t="s">
        <v>101</v>
      </c>
      <c r="L96" s="2"/>
      <c r="M96" s="2" t="s">
        <v>551</v>
      </c>
    </row>
    <row r="97" customFormat="false" ht="15" hidden="false" customHeight="false" outlineLevel="0" collapsed="false">
      <c r="A97" s="2" t="s">
        <v>552</v>
      </c>
      <c r="B97" s="2" t="s">
        <v>553</v>
      </c>
      <c r="C97" s="2" t="s">
        <v>554</v>
      </c>
      <c r="D97" s="13" t="n">
        <v>45360.5256944444</v>
      </c>
      <c r="E97" s="2" t="s">
        <v>41</v>
      </c>
      <c r="F97" s="2" t="s">
        <v>29</v>
      </c>
      <c r="G97" s="2" t="n">
        <v>2869.94</v>
      </c>
      <c r="H97" s="2" t="n">
        <v>12.41</v>
      </c>
      <c r="I97" s="2" t="s">
        <v>26</v>
      </c>
      <c r="J97" s="2" t="s">
        <v>555</v>
      </c>
      <c r="K97" s="2" t="s">
        <v>122</v>
      </c>
      <c r="L97" s="2" t="s">
        <v>556</v>
      </c>
      <c r="M97" s="2"/>
    </row>
    <row r="98" customFormat="false" ht="15" hidden="false" customHeight="false" outlineLevel="0" collapsed="false">
      <c r="A98" s="2" t="s">
        <v>557</v>
      </c>
      <c r="B98" s="2" t="s">
        <v>558</v>
      </c>
      <c r="C98" s="2" t="s">
        <v>559</v>
      </c>
      <c r="D98" s="13" t="n">
        <v>45672.3555555556</v>
      </c>
      <c r="E98" s="2" t="s">
        <v>43</v>
      </c>
      <c r="F98" s="2" t="s">
        <v>31</v>
      </c>
      <c r="G98" s="2" t="n">
        <v>7023.58</v>
      </c>
      <c r="H98" s="2" t="n">
        <v>60.82</v>
      </c>
      <c r="I98" s="2" t="s">
        <v>26</v>
      </c>
      <c r="J98" s="2" t="s">
        <v>560</v>
      </c>
      <c r="K98" s="2" t="s">
        <v>95</v>
      </c>
      <c r="L98" s="2"/>
      <c r="M98" s="2" t="s">
        <v>561</v>
      </c>
    </row>
    <row r="99" customFormat="false" ht="15" hidden="false" customHeight="false" outlineLevel="0" collapsed="false">
      <c r="A99" s="2" t="s">
        <v>562</v>
      </c>
      <c r="B99" s="2" t="s">
        <v>563</v>
      </c>
      <c r="C99" s="2" t="s">
        <v>564</v>
      </c>
      <c r="D99" s="13" t="n">
        <v>45541.9520833333</v>
      </c>
      <c r="E99" s="2" t="s">
        <v>41</v>
      </c>
      <c r="F99" s="2" t="s">
        <v>31</v>
      </c>
      <c r="G99" s="2" t="n">
        <v>932.03</v>
      </c>
      <c r="H99" s="2" t="n">
        <v>6.32</v>
      </c>
      <c r="I99" s="2" t="s">
        <v>26</v>
      </c>
      <c r="J99" s="2" t="s">
        <v>565</v>
      </c>
      <c r="K99" s="2" t="s">
        <v>122</v>
      </c>
      <c r="L99" s="2" t="s">
        <v>566</v>
      </c>
      <c r="M99" s="2"/>
    </row>
    <row r="100" customFormat="false" ht="15" hidden="false" customHeight="false" outlineLevel="0" collapsed="false">
      <c r="A100" s="2" t="s">
        <v>567</v>
      </c>
      <c r="B100" s="2" t="s">
        <v>568</v>
      </c>
      <c r="C100" s="2" t="s">
        <v>569</v>
      </c>
      <c r="D100" s="13" t="n">
        <v>45940.38125</v>
      </c>
      <c r="E100" s="2" t="s">
        <v>39</v>
      </c>
      <c r="F100" s="2" t="s">
        <v>27</v>
      </c>
      <c r="G100" s="2" t="n">
        <v>30223.05</v>
      </c>
      <c r="H100" s="2" t="n">
        <v>104.39</v>
      </c>
      <c r="I100" s="2" t="s">
        <v>28</v>
      </c>
      <c r="J100" s="2" t="s">
        <v>570</v>
      </c>
      <c r="K100" s="2" t="s">
        <v>89</v>
      </c>
      <c r="L100" s="2"/>
      <c r="M100" s="2" t="s">
        <v>571</v>
      </c>
    </row>
    <row r="101" customFormat="false" ht="15" hidden="false" customHeight="false" outlineLevel="0" collapsed="false">
      <c r="A101" s="2" t="s">
        <v>572</v>
      </c>
      <c r="B101" s="2" t="s">
        <v>573</v>
      </c>
      <c r="C101" s="2" t="s">
        <v>574</v>
      </c>
      <c r="D101" s="13" t="n">
        <v>45460.6111111111</v>
      </c>
      <c r="E101" s="2" t="s">
        <v>39</v>
      </c>
      <c r="F101" s="2" t="s">
        <v>27</v>
      </c>
      <c r="G101" s="2" t="n">
        <v>2962.46</v>
      </c>
      <c r="H101" s="2" t="n">
        <v>13.7</v>
      </c>
      <c r="I101" s="2" t="s">
        <v>26</v>
      </c>
      <c r="J101" s="2" t="s">
        <v>575</v>
      </c>
      <c r="K101" s="2" t="s">
        <v>101</v>
      </c>
      <c r="L101" s="2"/>
      <c r="M101" s="2" t="s">
        <v>576</v>
      </c>
    </row>
    <row r="102" customFormat="false" ht="15" hidden="false" customHeight="false" outlineLevel="0" collapsed="false">
      <c r="A102" s="2" t="s">
        <v>577</v>
      </c>
      <c r="B102" s="2" t="s">
        <v>578</v>
      </c>
      <c r="C102" s="2" t="s">
        <v>579</v>
      </c>
      <c r="D102" s="13" t="n">
        <v>45696.3</v>
      </c>
      <c r="E102" s="2" t="s">
        <v>41</v>
      </c>
      <c r="F102" s="2" t="s">
        <v>27</v>
      </c>
      <c r="G102" s="2" t="n">
        <v>2499.63</v>
      </c>
      <c r="H102" s="2" t="n">
        <v>26.67</v>
      </c>
      <c r="I102" s="2" t="s">
        <v>28</v>
      </c>
      <c r="J102" s="2" t="s">
        <v>580</v>
      </c>
      <c r="K102" s="2" t="s">
        <v>122</v>
      </c>
      <c r="L102" s="2"/>
      <c r="M102" s="2" t="s">
        <v>581</v>
      </c>
    </row>
    <row r="103" customFormat="false" ht="15" hidden="false" customHeight="false" outlineLevel="0" collapsed="false">
      <c r="A103" s="2" t="s">
        <v>582</v>
      </c>
      <c r="B103" s="2" t="s">
        <v>425</v>
      </c>
      <c r="C103" s="2" t="s">
        <v>426</v>
      </c>
      <c r="D103" s="13" t="n">
        <v>45942.5104166667</v>
      </c>
      <c r="E103" s="2" t="s">
        <v>37</v>
      </c>
      <c r="F103" s="2" t="s">
        <v>31</v>
      </c>
      <c r="G103" s="2" t="n">
        <v>5106.96</v>
      </c>
      <c r="H103" s="2" t="n">
        <v>49.7</v>
      </c>
      <c r="I103" s="2" t="s">
        <v>26</v>
      </c>
      <c r="J103" s="2" t="s">
        <v>583</v>
      </c>
      <c r="K103" s="2" t="s">
        <v>89</v>
      </c>
      <c r="L103" s="2" t="s">
        <v>584</v>
      </c>
      <c r="M103" s="2"/>
    </row>
    <row r="104" customFormat="false" ht="15" hidden="false" customHeight="false" outlineLevel="0" collapsed="false">
      <c r="A104" s="2" t="s">
        <v>585</v>
      </c>
      <c r="B104" s="2" t="s">
        <v>586</v>
      </c>
      <c r="C104" s="2" t="s">
        <v>587</v>
      </c>
      <c r="D104" s="13" t="n">
        <v>45378.4923611111</v>
      </c>
      <c r="E104" s="2" t="s">
        <v>37</v>
      </c>
      <c r="F104" s="2" t="s">
        <v>29</v>
      </c>
      <c r="G104" s="2" t="n">
        <v>5912.05</v>
      </c>
      <c r="H104" s="2" t="n">
        <v>35.07</v>
      </c>
      <c r="I104" s="2" t="s">
        <v>26</v>
      </c>
      <c r="J104" s="2" t="s">
        <v>588</v>
      </c>
      <c r="K104" s="2" t="s">
        <v>101</v>
      </c>
      <c r="L104" s="2" t="s">
        <v>589</v>
      </c>
      <c r="M104" s="2"/>
    </row>
    <row r="105" customFormat="false" ht="15" hidden="false" customHeight="false" outlineLevel="0" collapsed="false">
      <c r="A105" s="2" t="s">
        <v>590</v>
      </c>
      <c r="B105" s="2" t="s">
        <v>591</v>
      </c>
      <c r="C105" s="2" t="s">
        <v>592</v>
      </c>
      <c r="D105" s="13" t="n">
        <v>45607.9388888889</v>
      </c>
      <c r="E105" s="2" t="s">
        <v>43</v>
      </c>
      <c r="F105" s="2" t="s">
        <v>32</v>
      </c>
      <c r="G105" s="2" t="n">
        <v>3690.93</v>
      </c>
      <c r="H105" s="2" t="n">
        <v>38.37</v>
      </c>
      <c r="I105" s="2" t="s">
        <v>26</v>
      </c>
      <c r="J105" s="2" t="s">
        <v>593</v>
      </c>
      <c r="K105" s="2" t="s">
        <v>101</v>
      </c>
      <c r="L105" s="2"/>
      <c r="M105" s="2" t="s">
        <v>594</v>
      </c>
    </row>
    <row r="106" customFormat="false" ht="15" hidden="false" customHeight="false" outlineLevel="0" collapsed="false">
      <c r="A106" s="2" t="s">
        <v>595</v>
      </c>
      <c r="B106" s="2" t="s">
        <v>596</v>
      </c>
      <c r="C106" s="2" t="s">
        <v>597</v>
      </c>
      <c r="D106" s="13" t="n">
        <v>46000.93125</v>
      </c>
      <c r="E106" s="2" t="s">
        <v>35</v>
      </c>
      <c r="F106" s="2" t="s">
        <v>29</v>
      </c>
      <c r="G106" s="2" t="n">
        <v>4658.28</v>
      </c>
      <c r="H106" s="2" t="n">
        <v>12.25</v>
      </c>
      <c r="I106" s="2" t="s">
        <v>26</v>
      </c>
      <c r="J106" s="2" t="s">
        <v>598</v>
      </c>
      <c r="K106" s="2" t="s">
        <v>95</v>
      </c>
      <c r="L106" s="2" t="s">
        <v>599</v>
      </c>
      <c r="M106" s="2"/>
    </row>
    <row r="107" customFormat="false" ht="15" hidden="false" customHeight="false" outlineLevel="0" collapsed="false">
      <c r="A107" s="2" t="s">
        <v>600</v>
      </c>
      <c r="B107" s="2" t="s">
        <v>601</v>
      </c>
      <c r="C107" s="2" t="s">
        <v>602</v>
      </c>
      <c r="D107" s="13" t="n">
        <v>45623.6083333333</v>
      </c>
      <c r="E107" s="2" t="s">
        <v>35</v>
      </c>
      <c r="F107" s="2" t="s">
        <v>29</v>
      </c>
      <c r="G107" s="2" t="n">
        <v>1817.19</v>
      </c>
      <c r="H107" s="2" t="n">
        <v>15.92</v>
      </c>
      <c r="I107" s="2" t="s">
        <v>28</v>
      </c>
      <c r="J107" s="2" t="s">
        <v>603</v>
      </c>
      <c r="K107" s="2" t="s">
        <v>122</v>
      </c>
      <c r="L107" s="2" t="s">
        <v>604</v>
      </c>
      <c r="M107" s="2"/>
    </row>
    <row r="108" customFormat="false" ht="15" hidden="false" customHeight="false" outlineLevel="0" collapsed="false">
      <c r="A108" s="2" t="s">
        <v>605</v>
      </c>
      <c r="B108" s="2" t="s">
        <v>380</v>
      </c>
      <c r="C108" s="2" t="s">
        <v>381</v>
      </c>
      <c r="D108" s="13" t="n">
        <v>45966.5756944444</v>
      </c>
      <c r="E108" s="2" t="s">
        <v>35</v>
      </c>
      <c r="F108" s="2" t="s">
        <v>32</v>
      </c>
      <c r="G108" s="2" t="n">
        <v>9997.53</v>
      </c>
      <c r="H108" s="2" t="n">
        <v>100.2</v>
      </c>
      <c r="I108" s="2" t="s">
        <v>30</v>
      </c>
      <c r="J108" s="2" t="s">
        <v>606</v>
      </c>
      <c r="K108" s="2" t="s">
        <v>101</v>
      </c>
      <c r="L108" s="2" t="s">
        <v>607</v>
      </c>
      <c r="M108" s="2"/>
    </row>
    <row r="109" customFormat="false" ht="15" hidden="false" customHeight="false" outlineLevel="0" collapsed="false">
      <c r="A109" s="2" t="s">
        <v>608</v>
      </c>
      <c r="B109" s="2" t="s">
        <v>609</v>
      </c>
      <c r="C109" s="2" t="s">
        <v>610</v>
      </c>
      <c r="D109" s="13" t="n">
        <v>45847.7173611111</v>
      </c>
      <c r="E109" s="2" t="s">
        <v>35</v>
      </c>
      <c r="F109" s="2" t="s">
        <v>32</v>
      </c>
      <c r="G109" s="2" t="n">
        <v>13662.68</v>
      </c>
      <c r="H109" s="2" t="n">
        <v>51.02</v>
      </c>
      <c r="I109" s="2" t="s">
        <v>26</v>
      </c>
      <c r="J109" s="2" t="s">
        <v>611</v>
      </c>
      <c r="K109" s="2" t="s">
        <v>101</v>
      </c>
      <c r="L109" s="2" t="s">
        <v>612</v>
      </c>
      <c r="M109" s="2"/>
    </row>
    <row r="110" customFormat="false" ht="15" hidden="false" customHeight="false" outlineLevel="0" collapsed="false">
      <c r="A110" s="2" t="s">
        <v>613</v>
      </c>
      <c r="B110" s="2" t="s">
        <v>614</v>
      </c>
      <c r="C110" s="2" t="s">
        <v>615</v>
      </c>
      <c r="D110" s="13" t="n">
        <v>45955.9326388889</v>
      </c>
      <c r="E110" s="2" t="s">
        <v>43</v>
      </c>
      <c r="F110" s="2" t="s">
        <v>27</v>
      </c>
      <c r="G110" s="2" t="n">
        <v>1726.33</v>
      </c>
      <c r="H110" s="2" t="n">
        <v>8.13</v>
      </c>
      <c r="I110" s="2" t="s">
        <v>28</v>
      </c>
      <c r="J110" s="2" t="s">
        <v>616</v>
      </c>
      <c r="K110" s="2" t="s">
        <v>101</v>
      </c>
      <c r="L110" s="2"/>
      <c r="M110" s="2" t="s">
        <v>617</v>
      </c>
    </row>
    <row r="111" customFormat="false" ht="15" hidden="false" customHeight="false" outlineLevel="0" collapsed="false">
      <c r="A111" s="2" t="s">
        <v>618</v>
      </c>
      <c r="B111" s="2" t="s">
        <v>619</v>
      </c>
      <c r="C111" s="2" t="s">
        <v>620</v>
      </c>
      <c r="D111" s="13" t="n">
        <v>45552.3861111111</v>
      </c>
      <c r="E111" s="2" t="s">
        <v>37</v>
      </c>
      <c r="F111" s="2" t="s">
        <v>31</v>
      </c>
      <c r="G111" s="2" t="n">
        <v>1431.58</v>
      </c>
      <c r="H111" s="2" t="n">
        <v>10.75</v>
      </c>
      <c r="I111" s="2" t="s">
        <v>26</v>
      </c>
      <c r="J111" s="2" t="s">
        <v>621</v>
      </c>
      <c r="K111" s="2" t="s">
        <v>95</v>
      </c>
      <c r="L111" s="2" t="s">
        <v>622</v>
      </c>
      <c r="M111" s="2"/>
    </row>
    <row r="112" customFormat="false" ht="15" hidden="false" customHeight="false" outlineLevel="0" collapsed="false">
      <c r="A112" s="2" t="s">
        <v>623</v>
      </c>
      <c r="B112" s="2" t="s">
        <v>624</v>
      </c>
      <c r="C112" s="2" t="s">
        <v>625</v>
      </c>
      <c r="D112" s="13" t="n">
        <v>45552.9368055556</v>
      </c>
      <c r="E112" s="2" t="s">
        <v>43</v>
      </c>
      <c r="F112" s="2" t="s">
        <v>27</v>
      </c>
      <c r="G112" s="2" t="n">
        <v>21157.94</v>
      </c>
      <c r="H112" s="2" t="n">
        <v>216.06</v>
      </c>
      <c r="I112" s="2" t="s">
        <v>26</v>
      </c>
      <c r="J112" s="2" t="s">
        <v>626</v>
      </c>
      <c r="K112" s="2" t="s">
        <v>101</v>
      </c>
      <c r="L112" s="2"/>
      <c r="M112" s="2" t="s">
        <v>627</v>
      </c>
    </row>
    <row r="113" customFormat="false" ht="15" hidden="false" customHeight="false" outlineLevel="0" collapsed="false">
      <c r="A113" s="2" t="s">
        <v>628</v>
      </c>
      <c r="B113" s="2" t="s">
        <v>629</v>
      </c>
      <c r="C113" s="2" t="s">
        <v>630</v>
      </c>
      <c r="D113" s="13" t="n">
        <v>45729.9430555556</v>
      </c>
      <c r="E113" s="2" t="s">
        <v>41</v>
      </c>
      <c r="F113" s="2" t="s">
        <v>32</v>
      </c>
      <c r="G113" s="2" t="n">
        <v>1218.54</v>
      </c>
      <c r="H113" s="2" t="n">
        <v>6.25</v>
      </c>
      <c r="I113" s="2" t="s">
        <v>26</v>
      </c>
      <c r="J113" s="2" t="s">
        <v>631</v>
      </c>
      <c r="K113" s="2" t="s">
        <v>101</v>
      </c>
      <c r="L113" s="2" t="s">
        <v>632</v>
      </c>
      <c r="M113" s="2"/>
    </row>
    <row r="114" customFormat="false" ht="15" hidden="false" customHeight="false" outlineLevel="0" collapsed="false">
      <c r="A114" s="2" t="s">
        <v>633</v>
      </c>
      <c r="B114" s="2" t="s">
        <v>634</v>
      </c>
      <c r="C114" s="2" t="s">
        <v>635</v>
      </c>
      <c r="D114" s="13" t="n">
        <v>45347.3708333333</v>
      </c>
      <c r="E114" s="2" t="s">
        <v>37</v>
      </c>
      <c r="F114" s="2" t="s">
        <v>32</v>
      </c>
      <c r="G114" s="2" t="n">
        <v>4312.4</v>
      </c>
      <c r="H114" s="2" t="n">
        <v>12.76</v>
      </c>
      <c r="I114" s="2" t="s">
        <v>26</v>
      </c>
      <c r="J114" s="2" t="s">
        <v>636</v>
      </c>
      <c r="K114" s="2" t="s">
        <v>89</v>
      </c>
      <c r="L114" s="2" t="s">
        <v>637</v>
      </c>
      <c r="M114" s="2"/>
    </row>
    <row r="115" customFormat="false" ht="15" hidden="false" customHeight="false" outlineLevel="0" collapsed="false">
      <c r="A115" s="2" t="s">
        <v>638</v>
      </c>
      <c r="B115" s="2" t="s">
        <v>495</v>
      </c>
      <c r="C115" s="2" t="s">
        <v>496</v>
      </c>
      <c r="D115" s="13" t="n">
        <v>45406.7354166667</v>
      </c>
      <c r="E115" s="2" t="s">
        <v>41</v>
      </c>
      <c r="F115" s="2" t="s">
        <v>29</v>
      </c>
      <c r="G115" s="2" t="n">
        <v>6810.56</v>
      </c>
      <c r="H115" s="2" t="n">
        <v>30.01</v>
      </c>
      <c r="I115" s="2" t="s">
        <v>28</v>
      </c>
      <c r="J115" s="2" t="s">
        <v>639</v>
      </c>
      <c r="K115" s="2" t="s">
        <v>101</v>
      </c>
      <c r="L115" s="2" t="s">
        <v>640</v>
      </c>
      <c r="M115" s="2"/>
    </row>
    <row r="116" customFormat="false" ht="15" hidden="false" customHeight="false" outlineLevel="0" collapsed="false">
      <c r="A116" s="2" t="s">
        <v>641</v>
      </c>
      <c r="B116" s="2" t="s">
        <v>642</v>
      </c>
      <c r="C116" s="2" t="s">
        <v>643</v>
      </c>
      <c r="D116" s="13" t="n">
        <v>45534.4590277778</v>
      </c>
      <c r="E116" s="2" t="s">
        <v>37</v>
      </c>
      <c r="F116" s="2" t="s">
        <v>32</v>
      </c>
      <c r="G116" s="2" t="n">
        <v>4604.78</v>
      </c>
      <c r="H116" s="2" t="n">
        <v>19.33</v>
      </c>
      <c r="I116" s="2" t="s">
        <v>28</v>
      </c>
      <c r="J116" s="2" t="s">
        <v>644</v>
      </c>
      <c r="K116" s="2" t="s">
        <v>89</v>
      </c>
      <c r="L116" s="2" t="s">
        <v>645</v>
      </c>
      <c r="M116" s="2"/>
    </row>
    <row r="117" customFormat="false" ht="15" hidden="false" customHeight="false" outlineLevel="0" collapsed="false">
      <c r="A117" s="2" t="s">
        <v>646</v>
      </c>
      <c r="B117" s="2" t="s">
        <v>375</v>
      </c>
      <c r="C117" s="2" t="s">
        <v>376</v>
      </c>
      <c r="D117" s="13" t="n">
        <v>45456.4</v>
      </c>
      <c r="E117" s="2" t="s">
        <v>37</v>
      </c>
      <c r="F117" s="2" t="s">
        <v>32</v>
      </c>
      <c r="G117" s="2" t="n">
        <v>1865.09</v>
      </c>
      <c r="H117" s="2" t="n">
        <v>5.51</v>
      </c>
      <c r="I117" s="2" t="s">
        <v>26</v>
      </c>
      <c r="J117" s="2" t="s">
        <v>647</v>
      </c>
      <c r="K117" s="2" t="s">
        <v>122</v>
      </c>
      <c r="L117" s="2" t="s">
        <v>648</v>
      </c>
      <c r="M117" s="2"/>
    </row>
    <row r="118" customFormat="false" ht="15" hidden="false" customHeight="false" outlineLevel="0" collapsed="false">
      <c r="A118" s="2" t="s">
        <v>649</v>
      </c>
      <c r="B118" s="2" t="s">
        <v>650</v>
      </c>
      <c r="C118" s="2" t="s">
        <v>651</v>
      </c>
      <c r="D118" s="13" t="n">
        <v>45461.5402777778</v>
      </c>
      <c r="E118" s="2" t="s">
        <v>35</v>
      </c>
      <c r="F118" s="2" t="s">
        <v>27</v>
      </c>
      <c r="G118" s="2" t="n">
        <v>2350.82</v>
      </c>
      <c r="H118" s="2" t="n">
        <v>10.31</v>
      </c>
      <c r="I118" s="2" t="s">
        <v>28</v>
      </c>
      <c r="J118" s="2" t="s">
        <v>652</v>
      </c>
      <c r="K118" s="2" t="s">
        <v>122</v>
      </c>
      <c r="L118" s="2"/>
      <c r="M118" s="2" t="s">
        <v>163</v>
      </c>
    </row>
    <row r="119" customFormat="false" ht="15" hidden="false" customHeight="false" outlineLevel="0" collapsed="false">
      <c r="A119" s="2" t="s">
        <v>653</v>
      </c>
      <c r="B119" s="2" t="s">
        <v>654</v>
      </c>
      <c r="C119" s="2" t="s">
        <v>655</v>
      </c>
      <c r="D119" s="13" t="n">
        <v>45510.5875</v>
      </c>
      <c r="E119" s="2" t="s">
        <v>41</v>
      </c>
      <c r="F119" s="2" t="s">
        <v>27</v>
      </c>
      <c r="G119" s="2" t="n">
        <v>11017.96</v>
      </c>
      <c r="H119" s="2" t="n">
        <v>70.97</v>
      </c>
      <c r="I119" s="2" t="s">
        <v>28</v>
      </c>
      <c r="J119" s="2" t="s">
        <v>656</v>
      </c>
      <c r="K119" s="2" t="s">
        <v>122</v>
      </c>
      <c r="L119" s="2"/>
      <c r="M119" s="2" t="s">
        <v>657</v>
      </c>
    </row>
    <row r="120" customFormat="false" ht="15" hidden="false" customHeight="false" outlineLevel="0" collapsed="false">
      <c r="A120" s="2" t="s">
        <v>658</v>
      </c>
      <c r="B120" s="2" t="s">
        <v>659</v>
      </c>
      <c r="C120" s="2" t="s">
        <v>660</v>
      </c>
      <c r="D120" s="13" t="n">
        <v>45846.6340277778</v>
      </c>
      <c r="E120" s="2" t="s">
        <v>43</v>
      </c>
      <c r="F120" s="2" t="s">
        <v>29</v>
      </c>
      <c r="G120" s="2" t="n">
        <v>14590.87</v>
      </c>
      <c r="H120" s="2" t="n">
        <v>144.39</v>
      </c>
      <c r="I120" s="2" t="s">
        <v>26</v>
      </c>
      <c r="J120" s="2" t="s">
        <v>661</v>
      </c>
      <c r="K120" s="2" t="s">
        <v>89</v>
      </c>
      <c r="L120" s="2"/>
      <c r="M120" s="2" t="s">
        <v>662</v>
      </c>
    </row>
    <row r="121" customFormat="false" ht="15" hidden="false" customHeight="false" outlineLevel="0" collapsed="false">
      <c r="A121" s="2" t="s">
        <v>663</v>
      </c>
      <c r="B121" s="2" t="s">
        <v>664</v>
      </c>
      <c r="C121" s="2" t="s">
        <v>665</v>
      </c>
      <c r="D121" s="13" t="n">
        <v>45811.8284722222</v>
      </c>
      <c r="E121" s="2" t="s">
        <v>39</v>
      </c>
      <c r="F121" s="2" t="s">
        <v>27</v>
      </c>
      <c r="G121" s="2" t="n">
        <v>3551.68</v>
      </c>
      <c r="H121" s="2" t="n">
        <v>12.24</v>
      </c>
      <c r="I121" s="2" t="s">
        <v>26</v>
      </c>
      <c r="J121" s="2" t="s">
        <v>666</v>
      </c>
      <c r="K121" s="2" t="s">
        <v>122</v>
      </c>
      <c r="L121" s="2"/>
      <c r="M121" s="2" t="s">
        <v>667</v>
      </c>
    </row>
    <row r="122" customFormat="false" ht="15" hidden="false" customHeight="false" outlineLevel="0" collapsed="false">
      <c r="A122" s="2" t="s">
        <v>668</v>
      </c>
      <c r="B122" s="2" t="s">
        <v>669</v>
      </c>
      <c r="C122" s="2" t="s">
        <v>670</v>
      </c>
      <c r="D122" s="13" t="n">
        <v>45515.7236111111</v>
      </c>
      <c r="E122" s="2" t="s">
        <v>41</v>
      </c>
      <c r="F122" s="2" t="s">
        <v>27</v>
      </c>
      <c r="G122" s="2" t="n">
        <v>3239.88</v>
      </c>
      <c r="H122" s="2" t="n">
        <v>15.9</v>
      </c>
      <c r="I122" s="2" t="s">
        <v>28</v>
      </c>
      <c r="J122" s="2" t="s">
        <v>671</v>
      </c>
      <c r="K122" s="2" t="s">
        <v>122</v>
      </c>
      <c r="L122" s="2"/>
      <c r="M122" s="2" t="s">
        <v>183</v>
      </c>
    </row>
    <row r="123" customFormat="false" ht="15" hidden="false" customHeight="false" outlineLevel="0" collapsed="false">
      <c r="A123" s="2" t="s">
        <v>672</v>
      </c>
      <c r="B123" s="2" t="s">
        <v>673</v>
      </c>
      <c r="C123" s="2" t="s">
        <v>674</v>
      </c>
      <c r="D123" s="13" t="n">
        <v>45316.6118055556</v>
      </c>
      <c r="E123" s="2" t="s">
        <v>37</v>
      </c>
      <c r="F123" s="2" t="s">
        <v>29</v>
      </c>
      <c r="G123" s="2" t="n">
        <v>7471.19</v>
      </c>
      <c r="H123" s="2" t="n">
        <v>74.72</v>
      </c>
      <c r="I123" s="2" t="s">
        <v>26</v>
      </c>
      <c r="J123" s="2" t="s">
        <v>675</v>
      </c>
      <c r="K123" s="2" t="s">
        <v>122</v>
      </c>
      <c r="L123" s="2" t="s">
        <v>676</v>
      </c>
      <c r="M123" s="2"/>
    </row>
    <row r="124" customFormat="false" ht="15" hidden="false" customHeight="false" outlineLevel="0" collapsed="false">
      <c r="A124" s="2" t="s">
        <v>677</v>
      </c>
      <c r="B124" s="2" t="s">
        <v>678</v>
      </c>
      <c r="C124" s="2" t="s">
        <v>679</v>
      </c>
      <c r="D124" s="13" t="n">
        <v>45794.8652777778</v>
      </c>
      <c r="E124" s="2" t="s">
        <v>35</v>
      </c>
      <c r="F124" s="2" t="s">
        <v>32</v>
      </c>
      <c r="G124" s="2" t="n">
        <v>3419.08</v>
      </c>
      <c r="H124" s="2" t="n">
        <v>21.79</v>
      </c>
      <c r="I124" s="2" t="s">
        <v>26</v>
      </c>
      <c r="J124" s="2" t="s">
        <v>680</v>
      </c>
      <c r="K124" s="2" t="s">
        <v>101</v>
      </c>
      <c r="L124" s="2" t="s">
        <v>681</v>
      </c>
      <c r="M124" s="2"/>
    </row>
    <row r="125" customFormat="false" ht="15" hidden="false" customHeight="false" outlineLevel="0" collapsed="false">
      <c r="A125" s="2" t="s">
        <v>682</v>
      </c>
      <c r="B125" s="2" t="s">
        <v>683</v>
      </c>
      <c r="C125" s="2" t="s">
        <v>684</v>
      </c>
      <c r="D125" s="13" t="n">
        <v>45558.9236111111</v>
      </c>
      <c r="E125" s="2" t="s">
        <v>39</v>
      </c>
      <c r="F125" s="2" t="s">
        <v>27</v>
      </c>
      <c r="G125" s="2" t="n">
        <v>7484.05</v>
      </c>
      <c r="H125" s="2" t="n">
        <v>75.6</v>
      </c>
      <c r="I125" s="2" t="s">
        <v>26</v>
      </c>
      <c r="J125" s="2" t="s">
        <v>685</v>
      </c>
      <c r="K125" s="2" t="s">
        <v>89</v>
      </c>
      <c r="L125" s="2"/>
      <c r="M125" s="2" t="s">
        <v>198</v>
      </c>
    </row>
    <row r="126" customFormat="false" ht="15" hidden="false" customHeight="false" outlineLevel="0" collapsed="false">
      <c r="A126" s="2" t="s">
        <v>686</v>
      </c>
      <c r="B126" s="2" t="s">
        <v>634</v>
      </c>
      <c r="C126" s="2" t="s">
        <v>635</v>
      </c>
      <c r="D126" s="13" t="n">
        <v>45526.40625</v>
      </c>
      <c r="E126" s="2" t="s">
        <v>35</v>
      </c>
      <c r="F126" s="2" t="s">
        <v>27</v>
      </c>
      <c r="G126" s="2" t="n">
        <v>5725.72</v>
      </c>
      <c r="H126" s="2" t="n">
        <v>15.99</v>
      </c>
      <c r="I126" s="2" t="s">
        <v>26</v>
      </c>
      <c r="J126" s="2" t="s">
        <v>687</v>
      </c>
      <c r="K126" s="2" t="s">
        <v>101</v>
      </c>
      <c r="L126" s="2"/>
      <c r="M126" s="2" t="s">
        <v>203</v>
      </c>
    </row>
    <row r="127" customFormat="false" ht="15" hidden="false" customHeight="false" outlineLevel="0" collapsed="false">
      <c r="A127" s="2" t="s">
        <v>688</v>
      </c>
      <c r="B127" s="2" t="s">
        <v>689</v>
      </c>
      <c r="C127" s="2" t="s">
        <v>690</v>
      </c>
      <c r="D127" s="13" t="n">
        <v>45738.6631944445</v>
      </c>
      <c r="E127" s="2" t="s">
        <v>43</v>
      </c>
      <c r="F127" s="2" t="s">
        <v>31</v>
      </c>
      <c r="G127" s="2" t="n">
        <v>10154.3</v>
      </c>
      <c r="H127" s="2" t="n">
        <v>51.95</v>
      </c>
      <c r="I127" s="2" t="s">
        <v>26</v>
      </c>
      <c r="J127" s="2" t="s">
        <v>691</v>
      </c>
      <c r="K127" s="2" t="s">
        <v>89</v>
      </c>
      <c r="L127" s="2"/>
      <c r="M127" s="2" t="s">
        <v>692</v>
      </c>
    </row>
    <row r="128" customFormat="false" ht="15" hidden="false" customHeight="false" outlineLevel="0" collapsed="false">
      <c r="A128" s="2" t="s">
        <v>693</v>
      </c>
      <c r="B128" s="2" t="s">
        <v>694</v>
      </c>
      <c r="C128" s="2" t="s">
        <v>695</v>
      </c>
      <c r="D128" s="13" t="n">
        <v>45345.5125</v>
      </c>
      <c r="E128" s="2" t="s">
        <v>41</v>
      </c>
      <c r="F128" s="2" t="s">
        <v>31</v>
      </c>
      <c r="G128" s="2" t="n">
        <v>16619.36</v>
      </c>
      <c r="H128" s="2" t="n">
        <v>181.97</v>
      </c>
      <c r="I128" s="2" t="s">
        <v>26</v>
      </c>
      <c r="J128" s="2" t="s">
        <v>696</v>
      </c>
      <c r="K128" s="2" t="s">
        <v>89</v>
      </c>
      <c r="L128" s="2" t="s">
        <v>697</v>
      </c>
      <c r="M128" s="2"/>
    </row>
    <row r="129" customFormat="false" ht="15" hidden="false" customHeight="false" outlineLevel="0" collapsed="false">
      <c r="A129" s="2" t="s">
        <v>698</v>
      </c>
      <c r="B129" s="2" t="s">
        <v>543</v>
      </c>
      <c r="C129" s="2" t="s">
        <v>544</v>
      </c>
      <c r="D129" s="13" t="n">
        <v>45395.6611111111</v>
      </c>
      <c r="E129" s="2" t="s">
        <v>43</v>
      </c>
      <c r="F129" s="2" t="s">
        <v>29</v>
      </c>
      <c r="G129" s="2" t="n">
        <v>11410.14</v>
      </c>
      <c r="H129" s="2" t="n">
        <v>111.71</v>
      </c>
      <c r="I129" s="2" t="s">
        <v>30</v>
      </c>
      <c r="J129" s="2" t="s">
        <v>699</v>
      </c>
      <c r="K129" s="2" t="s">
        <v>95</v>
      </c>
      <c r="L129" s="2"/>
      <c r="M129" s="2" t="s">
        <v>700</v>
      </c>
    </row>
    <row r="130" customFormat="false" ht="15" hidden="false" customHeight="false" outlineLevel="0" collapsed="false">
      <c r="A130" s="2" t="s">
        <v>701</v>
      </c>
      <c r="B130" s="2" t="s">
        <v>265</v>
      </c>
      <c r="C130" s="2" t="s">
        <v>266</v>
      </c>
      <c r="D130" s="13" t="n">
        <v>45838.5104166667</v>
      </c>
      <c r="E130" s="2" t="s">
        <v>35</v>
      </c>
      <c r="F130" s="2" t="s">
        <v>31</v>
      </c>
      <c r="G130" s="2" t="n">
        <v>8347.36</v>
      </c>
      <c r="H130" s="2" t="n">
        <v>31.04</v>
      </c>
      <c r="I130" s="2" t="s">
        <v>28</v>
      </c>
      <c r="J130" s="2" t="s">
        <v>702</v>
      </c>
      <c r="K130" s="2" t="s">
        <v>89</v>
      </c>
      <c r="L130" s="2" t="s">
        <v>703</v>
      </c>
      <c r="M130" s="2"/>
    </row>
    <row r="131" customFormat="false" ht="15" hidden="false" customHeight="false" outlineLevel="0" collapsed="false">
      <c r="A131" s="2" t="s">
        <v>704</v>
      </c>
      <c r="B131" s="2" t="s">
        <v>705</v>
      </c>
      <c r="C131" s="2" t="s">
        <v>706</v>
      </c>
      <c r="D131" s="13" t="n">
        <v>45430.5020833333</v>
      </c>
      <c r="E131" s="2" t="s">
        <v>43</v>
      </c>
      <c r="F131" s="2" t="s">
        <v>29</v>
      </c>
      <c r="G131" s="2" t="n">
        <v>2847.53</v>
      </c>
      <c r="H131" s="2" t="n">
        <v>12.58</v>
      </c>
      <c r="I131" s="2" t="s">
        <v>28</v>
      </c>
      <c r="J131" s="2" t="s">
        <v>707</v>
      </c>
      <c r="K131" s="2" t="s">
        <v>101</v>
      </c>
      <c r="L131" s="2"/>
      <c r="M131" s="2" t="s">
        <v>228</v>
      </c>
    </row>
    <row r="132" customFormat="false" ht="15" hidden="false" customHeight="false" outlineLevel="0" collapsed="false">
      <c r="A132" s="2" t="s">
        <v>708</v>
      </c>
      <c r="B132" s="2" t="s">
        <v>315</v>
      </c>
      <c r="C132" s="2" t="s">
        <v>316</v>
      </c>
      <c r="D132" s="13" t="n">
        <v>45543.8826388889</v>
      </c>
      <c r="E132" s="2" t="s">
        <v>43</v>
      </c>
      <c r="F132" s="2" t="s">
        <v>31</v>
      </c>
      <c r="G132" s="2" t="n">
        <v>14163.15</v>
      </c>
      <c r="H132" s="2" t="n">
        <v>51.28</v>
      </c>
      <c r="I132" s="2" t="s">
        <v>26</v>
      </c>
      <c r="J132" s="2" t="s">
        <v>709</v>
      </c>
      <c r="K132" s="2" t="s">
        <v>122</v>
      </c>
      <c r="L132" s="2"/>
      <c r="M132" s="2" t="s">
        <v>233</v>
      </c>
    </row>
    <row r="133" customFormat="false" ht="15" hidden="false" customHeight="false" outlineLevel="0" collapsed="false">
      <c r="A133" s="2" t="s">
        <v>710</v>
      </c>
      <c r="B133" s="2" t="s">
        <v>711</v>
      </c>
      <c r="C133" s="2" t="s">
        <v>712</v>
      </c>
      <c r="D133" s="13" t="n">
        <v>45292.6868055556</v>
      </c>
      <c r="E133" s="2" t="s">
        <v>43</v>
      </c>
      <c r="F133" s="2" t="s">
        <v>27</v>
      </c>
      <c r="G133" s="2" t="n">
        <v>4434.55</v>
      </c>
      <c r="H133" s="2" t="n">
        <v>42.32</v>
      </c>
      <c r="I133" s="2" t="s">
        <v>28</v>
      </c>
      <c r="J133" s="2" t="s">
        <v>713</v>
      </c>
      <c r="K133" s="2" t="s">
        <v>122</v>
      </c>
      <c r="L133" s="2"/>
      <c r="M133" s="2" t="s">
        <v>238</v>
      </c>
    </row>
    <row r="134" customFormat="false" ht="15" hidden="false" customHeight="false" outlineLevel="0" collapsed="false">
      <c r="A134" s="2" t="s">
        <v>714</v>
      </c>
      <c r="B134" s="2" t="s">
        <v>715</v>
      </c>
      <c r="C134" s="2" t="s">
        <v>716</v>
      </c>
      <c r="D134" s="13" t="n">
        <v>45954.7847222222</v>
      </c>
      <c r="E134" s="2" t="s">
        <v>35</v>
      </c>
      <c r="F134" s="2" t="s">
        <v>27</v>
      </c>
      <c r="G134" s="2" t="n">
        <v>7651.96</v>
      </c>
      <c r="H134" s="2" t="n">
        <v>72.64</v>
      </c>
      <c r="I134" s="2" t="s">
        <v>26</v>
      </c>
      <c r="J134" s="2" t="s">
        <v>717</v>
      </c>
      <c r="K134" s="2" t="s">
        <v>122</v>
      </c>
      <c r="L134" s="2"/>
      <c r="M134" s="2" t="s">
        <v>718</v>
      </c>
    </row>
    <row r="135" customFormat="false" ht="15" hidden="false" customHeight="false" outlineLevel="0" collapsed="false">
      <c r="A135" s="2" t="s">
        <v>719</v>
      </c>
      <c r="B135" s="2" t="s">
        <v>720</v>
      </c>
      <c r="C135" s="2" t="s">
        <v>721</v>
      </c>
      <c r="D135" s="13" t="n">
        <v>45329.5444444444</v>
      </c>
      <c r="E135" s="2" t="s">
        <v>43</v>
      </c>
      <c r="F135" s="2" t="s">
        <v>27</v>
      </c>
      <c r="G135" s="2" t="n">
        <v>5274.73</v>
      </c>
      <c r="H135" s="2" t="n">
        <v>26.29</v>
      </c>
      <c r="I135" s="2" t="s">
        <v>26</v>
      </c>
      <c r="J135" s="2" t="s">
        <v>722</v>
      </c>
      <c r="K135" s="2" t="s">
        <v>122</v>
      </c>
      <c r="L135" s="2"/>
      <c r="M135" s="2" t="s">
        <v>723</v>
      </c>
    </row>
    <row r="136" customFormat="false" ht="15" hidden="false" customHeight="false" outlineLevel="0" collapsed="false">
      <c r="A136" s="2" t="s">
        <v>724</v>
      </c>
      <c r="B136" s="2" t="s">
        <v>725</v>
      </c>
      <c r="C136" s="2" t="s">
        <v>726</v>
      </c>
      <c r="D136" s="13" t="n">
        <v>45674.3055555556</v>
      </c>
      <c r="E136" s="2" t="s">
        <v>41</v>
      </c>
      <c r="F136" s="2" t="s">
        <v>27</v>
      </c>
      <c r="G136" s="2" t="n">
        <v>3685.66</v>
      </c>
      <c r="H136" s="2" t="n">
        <v>15.32</v>
      </c>
      <c r="I136" s="2" t="s">
        <v>28</v>
      </c>
      <c r="J136" s="2" t="s">
        <v>727</v>
      </c>
      <c r="K136" s="2" t="s">
        <v>95</v>
      </c>
      <c r="L136" s="2"/>
      <c r="M136" s="2" t="s">
        <v>728</v>
      </c>
    </row>
    <row r="137" customFormat="false" ht="15" hidden="false" customHeight="false" outlineLevel="0" collapsed="false">
      <c r="A137" s="2" t="s">
        <v>729</v>
      </c>
      <c r="B137" s="2" t="s">
        <v>190</v>
      </c>
      <c r="C137" s="2" t="s">
        <v>191</v>
      </c>
      <c r="D137" s="13" t="n">
        <v>45601.8020833333</v>
      </c>
      <c r="E137" s="2" t="s">
        <v>37</v>
      </c>
      <c r="F137" s="2" t="s">
        <v>29</v>
      </c>
      <c r="G137" s="2" t="n">
        <v>10167.35</v>
      </c>
      <c r="H137" s="2" t="n">
        <v>60.93</v>
      </c>
      <c r="I137" s="2" t="s">
        <v>26</v>
      </c>
      <c r="J137" s="2" t="s">
        <v>730</v>
      </c>
      <c r="K137" s="2" t="s">
        <v>122</v>
      </c>
      <c r="L137" s="2" t="s">
        <v>731</v>
      </c>
      <c r="M137" s="2"/>
    </row>
    <row r="138" customFormat="false" ht="15" hidden="false" customHeight="false" outlineLevel="0" collapsed="false">
      <c r="A138" s="2" t="s">
        <v>732</v>
      </c>
      <c r="B138" s="2" t="s">
        <v>195</v>
      </c>
      <c r="C138" s="2" t="s">
        <v>196</v>
      </c>
      <c r="D138" s="13" t="n">
        <v>45717.34375</v>
      </c>
      <c r="E138" s="2" t="s">
        <v>37</v>
      </c>
      <c r="F138" s="2" t="s">
        <v>27</v>
      </c>
      <c r="G138" s="2" t="n">
        <v>11263.37</v>
      </c>
      <c r="H138" s="2" t="n">
        <v>28.51</v>
      </c>
      <c r="I138" s="2" t="s">
        <v>30</v>
      </c>
      <c r="J138" s="2" t="s">
        <v>733</v>
      </c>
      <c r="K138" s="2" t="s">
        <v>122</v>
      </c>
      <c r="L138" s="2"/>
      <c r="M138" s="2" t="s">
        <v>263</v>
      </c>
    </row>
    <row r="139" customFormat="false" ht="15" hidden="false" customHeight="false" outlineLevel="0" collapsed="false">
      <c r="A139" s="2" t="s">
        <v>734</v>
      </c>
      <c r="B139" s="2" t="s">
        <v>735</v>
      </c>
      <c r="C139" s="2" t="s">
        <v>736</v>
      </c>
      <c r="D139" s="13" t="n">
        <v>45904.6819444444</v>
      </c>
      <c r="E139" s="2" t="s">
        <v>37</v>
      </c>
      <c r="F139" s="2" t="s">
        <v>31</v>
      </c>
      <c r="G139" s="2" t="n">
        <v>13745.8</v>
      </c>
      <c r="H139" s="2" t="n">
        <v>33.06</v>
      </c>
      <c r="I139" s="2" t="s">
        <v>26</v>
      </c>
      <c r="J139" s="2" t="s">
        <v>737</v>
      </c>
      <c r="K139" s="2" t="s">
        <v>101</v>
      </c>
      <c r="L139" s="2" t="s">
        <v>738</v>
      </c>
      <c r="M139" s="2"/>
    </row>
    <row r="140" customFormat="false" ht="15" hidden="false" customHeight="false" outlineLevel="0" collapsed="false">
      <c r="A140" s="2" t="s">
        <v>739</v>
      </c>
      <c r="B140" s="2" t="s">
        <v>740</v>
      </c>
      <c r="C140" s="2" t="s">
        <v>741</v>
      </c>
      <c r="D140" s="13" t="n">
        <v>45609.5</v>
      </c>
      <c r="E140" s="2" t="s">
        <v>41</v>
      </c>
      <c r="F140" s="2" t="s">
        <v>29</v>
      </c>
      <c r="G140" s="2" t="n">
        <v>6606.7</v>
      </c>
      <c r="H140" s="2" t="n">
        <v>14.84</v>
      </c>
      <c r="I140" s="2" t="s">
        <v>26</v>
      </c>
      <c r="J140" s="2" t="s">
        <v>742</v>
      </c>
      <c r="K140" s="2" t="s">
        <v>122</v>
      </c>
      <c r="L140" s="2" t="s">
        <v>743</v>
      </c>
      <c r="M140" s="2"/>
    </row>
    <row r="141" customFormat="false" ht="15" hidden="false" customHeight="false" outlineLevel="0" collapsed="false">
      <c r="A141" s="2" t="s">
        <v>744</v>
      </c>
      <c r="B141" s="2" t="s">
        <v>745</v>
      </c>
      <c r="C141" s="2" t="s">
        <v>746</v>
      </c>
      <c r="D141" s="13" t="n">
        <v>45634.8902777778</v>
      </c>
      <c r="E141" s="2" t="s">
        <v>43</v>
      </c>
      <c r="F141" s="2" t="s">
        <v>31</v>
      </c>
      <c r="G141" s="2" t="n">
        <v>5389.16</v>
      </c>
      <c r="H141" s="2" t="n">
        <v>13.52</v>
      </c>
      <c r="I141" s="2" t="s">
        <v>26</v>
      </c>
      <c r="J141" s="2" t="s">
        <v>747</v>
      </c>
      <c r="K141" s="2" t="s">
        <v>122</v>
      </c>
      <c r="L141" s="2"/>
      <c r="M141" s="2" t="s">
        <v>278</v>
      </c>
    </row>
    <row r="142" customFormat="false" ht="15" hidden="false" customHeight="false" outlineLevel="0" collapsed="false">
      <c r="A142" s="2" t="s">
        <v>748</v>
      </c>
      <c r="B142" s="2" t="s">
        <v>749</v>
      </c>
      <c r="C142" s="2" t="s">
        <v>750</v>
      </c>
      <c r="D142" s="13" t="n">
        <v>45818.3625</v>
      </c>
      <c r="E142" s="2" t="s">
        <v>39</v>
      </c>
      <c r="F142" s="2" t="s">
        <v>32</v>
      </c>
      <c r="G142" s="2" t="n">
        <v>23527.68</v>
      </c>
      <c r="H142" s="2" t="n">
        <v>180.3</v>
      </c>
      <c r="I142" s="2" t="s">
        <v>26</v>
      </c>
      <c r="J142" s="2" t="s">
        <v>751</v>
      </c>
      <c r="K142" s="2" t="s">
        <v>101</v>
      </c>
      <c r="L142" s="2" t="s">
        <v>752</v>
      </c>
      <c r="M142" s="2"/>
    </row>
    <row r="143" customFormat="false" ht="15" hidden="false" customHeight="false" outlineLevel="0" collapsed="false">
      <c r="A143" s="2" t="s">
        <v>753</v>
      </c>
      <c r="B143" s="2" t="s">
        <v>754</v>
      </c>
      <c r="C143" s="2" t="s">
        <v>755</v>
      </c>
      <c r="D143" s="13" t="n">
        <v>45742.63125</v>
      </c>
      <c r="E143" s="2" t="s">
        <v>39</v>
      </c>
      <c r="F143" s="2" t="s">
        <v>31</v>
      </c>
      <c r="G143" s="2" t="n">
        <v>1296.28</v>
      </c>
      <c r="H143" s="2" t="n">
        <v>7.71</v>
      </c>
      <c r="I143" s="2" t="s">
        <v>26</v>
      </c>
      <c r="J143" s="2" t="s">
        <v>756</v>
      </c>
      <c r="K143" s="2" t="s">
        <v>89</v>
      </c>
      <c r="L143" s="2" t="s">
        <v>757</v>
      </c>
      <c r="M143" s="2"/>
    </row>
    <row r="144" customFormat="false" ht="15" hidden="false" customHeight="false" outlineLevel="0" collapsed="false">
      <c r="A144" s="2" t="s">
        <v>758</v>
      </c>
      <c r="B144" s="2" t="s">
        <v>759</v>
      </c>
      <c r="C144" s="2" t="s">
        <v>760</v>
      </c>
      <c r="D144" s="13" t="n">
        <v>45428.5597222222</v>
      </c>
      <c r="E144" s="2" t="s">
        <v>41</v>
      </c>
      <c r="F144" s="2" t="s">
        <v>27</v>
      </c>
      <c r="G144" s="2" t="n">
        <v>4935.02</v>
      </c>
      <c r="H144" s="2" t="n">
        <v>50.63</v>
      </c>
      <c r="I144" s="2" t="s">
        <v>28</v>
      </c>
      <c r="J144" s="2" t="s">
        <v>761</v>
      </c>
      <c r="K144" s="2" t="s">
        <v>101</v>
      </c>
      <c r="L144" s="2"/>
      <c r="M144" s="2" t="s">
        <v>762</v>
      </c>
    </row>
    <row r="145" customFormat="false" ht="15" hidden="false" customHeight="false" outlineLevel="0" collapsed="false">
      <c r="A145" s="2" t="s">
        <v>763</v>
      </c>
      <c r="B145" s="2" t="s">
        <v>764</v>
      </c>
      <c r="C145" s="2" t="s">
        <v>765</v>
      </c>
      <c r="D145" s="13" t="n">
        <v>45507.2944444444</v>
      </c>
      <c r="E145" s="2" t="s">
        <v>41</v>
      </c>
      <c r="F145" s="2" t="s">
        <v>27</v>
      </c>
      <c r="G145" s="2" t="n">
        <v>25092.05</v>
      </c>
      <c r="H145" s="2" t="n">
        <v>105.16</v>
      </c>
      <c r="I145" s="2" t="s">
        <v>26</v>
      </c>
      <c r="J145" s="2" t="s">
        <v>766</v>
      </c>
      <c r="K145" s="2" t="s">
        <v>89</v>
      </c>
      <c r="L145" s="2"/>
      <c r="M145" s="2" t="s">
        <v>298</v>
      </c>
    </row>
    <row r="146" customFormat="false" ht="15" hidden="false" customHeight="false" outlineLevel="0" collapsed="false">
      <c r="A146" s="2" t="s">
        <v>767</v>
      </c>
      <c r="B146" s="2" t="s">
        <v>380</v>
      </c>
      <c r="C146" s="2" t="s">
        <v>381</v>
      </c>
      <c r="D146" s="13" t="n">
        <v>45762.7354166667</v>
      </c>
      <c r="E146" s="2" t="s">
        <v>35</v>
      </c>
      <c r="F146" s="2" t="s">
        <v>29</v>
      </c>
      <c r="G146" s="2" t="n">
        <v>7500.59</v>
      </c>
      <c r="H146" s="2" t="n">
        <v>50.17</v>
      </c>
      <c r="I146" s="2" t="s">
        <v>30</v>
      </c>
      <c r="J146" s="2" t="s">
        <v>768</v>
      </c>
      <c r="K146" s="2" t="s">
        <v>101</v>
      </c>
      <c r="L146" s="2" t="s">
        <v>769</v>
      </c>
      <c r="M146" s="2"/>
    </row>
    <row r="147" customFormat="false" ht="15" hidden="false" customHeight="false" outlineLevel="0" collapsed="false">
      <c r="A147" s="2" t="s">
        <v>770</v>
      </c>
      <c r="B147" s="2" t="s">
        <v>771</v>
      </c>
      <c r="C147" s="2" t="s">
        <v>772</v>
      </c>
      <c r="D147" s="13" t="n">
        <v>45451.6604166667</v>
      </c>
      <c r="E147" s="2" t="s">
        <v>39</v>
      </c>
      <c r="F147" s="2" t="s">
        <v>27</v>
      </c>
      <c r="G147" s="2" t="n">
        <v>19090.36</v>
      </c>
      <c r="H147" s="2" t="n">
        <v>81.36</v>
      </c>
      <c r="I147" s="2" t="s">
        <v>26</v>
      </c>
      <c r="J147" s="2" t="s">
        <v>773</v>
      </c>
      <c r="K147" s="2" t="s">
        <v>101</v>
      </c>
      <c r="L147" s="2"/>
      <c r="M147" s="2" t="s">
        <v>774</v>
      </c>
    </row>
    <row r="148" customFormat="false" ht="15" hidden="false" customHeight="false" outlineLevel="0" collapsed="false">
      <c r="A148" s="2" t="s">
        <v>775</v>
      </c>
      <c r="B148" s="2" t="s">
        <v>776</v>
      </c>
      <c r="C148" s="2" t="s">
        <v>777</v>
      </c>
      <c r="D148" s="13" t="n">
        <v>45813.6881944445</v>
      </c>
      <c r="E148" s="2" t="s">
        <v>35</v>
      </c>
      <c r="F148" s="2" t="s">
        <v>31</v>
      </c>
      <c r="G148" s="2" t="n">
        <v>610.76</v>
      </c>
      <c r="H148" s="2" t="n">
        <v>6.12</v>
      </c>
      <c r="I148" s="2" t="s">
        <v>26</v>
      </c>
      <c r="J148" s="2" t="s">
        <v>778</v>
      </c>
      <c r="K148" s="2" t="s">
        <v>95</v>
      </c>
      <c r="L148" s="2" t="s">
        <v>779</v>
      </c>
      <c r="M148" s="2"/>
    </row>
    <row r="149" customFormat="false" ht="15" hidden="false" customHeight="false" outlineLevel="0" collapsed="false">
      <c r="A149" s="2" t="s">
        <v>780</v>
      </c>
      <c r="B149" s="2" t="s">
        <v>781</v>
      </c>
      <c r="C149" s="2" t="s">
        <v>782</v>
      </c>
      <c r="D149" s="13" t="n">
        <v>45516.6034722222</v>
      </c>
      <c r="E149" s="2" t="s">
        <v>37</v>
      </c>
      <c r="F149" s="2" t="s">
        <v>27</v>
      </c>
      <c r="G149" s="2" t="n">
        <v>7984.33</v>
      </c>
      <c r="H149" s="2" t="n">
        <v>48.92</v>
      </c>
      <c r="I149" s="2" t="s">
        <v>28</v>
      </c>
      <c r="J149" s="2" t="s">
        <v>783</v>
      </c>
      <c r="K149" s="2" t="s">
        <v>101</v>
      </c>
      <c r="L149" s="2"/>
      <c r="M149" s="2" t="s">
        <v>784</v>
      </c>
    </row>
    <row r="150" customFormat="false" ht="15" hidden="false" customHeight="false" outlineLevel="0" collapsed="false">
      <c r="A150" s="2" t="s">
        <v>785</v>
      </c>
      <c r="B150" s="2" t="s">
        <v>725</v>
      </c>
      <c r="C150" s="2" t="s">
        <v>726</v>
      </c>
      <c r="D150" s="13" t="n">
        <v>45375.5902777778</v>
      </c>
      <c r="E150" s="2" t="s">
        <v>39</v>
      </c>
      <c r="F150" s="2" t="s">
        <v>27</v>
      </c>
      <c r="G150" s="2" t="n">
        <v>13928.88</v>
      </c>
      <c r="H150" s="2" t="n">
        <v>156.86</v>
      </c>
      <c r="I150" s="2" t="s">
        <v>26</v>
      </c>
      <c r="J150" s="2" t="s">
        <v>786</v>
      </c>
      <c r="K150" s="2" t="s">
        <v>122</v>
      </c>
      <c r="L150" s="2"/>
      <c r="M150" s="2" t="s">
        <v>323</v>
      </c>
    </row>
    <row r="151" customFormat="false" ht="15" hidden="false" customHeight="false" outlineLevel="0" collapsed="false">
      <c r="A151" s="2" t="s">
        <v>787</v>
      </c>
      <c r="B151" s="2" t="s">
        <v>788</v>
      </c>
      <c r="C151" s="2" t="s">
        <v>789</v>
      </c>
      <c r="D151" s="13" t="n">
        <v>45716.9173611111</v>
      </c>
      <c r="E151" s="2" t="s">
        <v>37</v>
      </c>
      <c r="F151" s="2" t="s">
        <v>27</v>
      </c>
      <c r="G151" s="2" t="n">
        <v>2558.34</v>
      </c>
      <c r="H151" s="2" t="n">
        <v>13</v>
      </c>
      <c r="I151" s="2" t="s">
        <v>26</v>
      </c>
      <c r="J151" s="2" t="s">
        <v>790</v>
      </c>
      <c r="K151" s="2" t="s">
        <v>95</v>
      </c>
      <c r="L151" s="2"/>
      <c r="M151" s="2" t="s">
        <v>328</v>
      </c>
    </row>
    <row r="152" customFormat="false" ht="15" hidden="false" customHeight="false" outlineLevel="0" collapsed="false">
      <c r="A152" s="2" t="s">
        <v>791</v>
      </c>
      <c r="B152" s="2" t="s">
        <v>792</v>
      </c>
      <c r="C152" s="2" t="s">
        <v>793</v>
      </c>
      <c r="D152" s="13" t="n">
        <v>45732.5958333333</v>
      </c>
      <c r="E152" s="2" t="s">
        <v>43</v>
      </c>
      <c r="F152" s="2" t="s">
        <v>29</v>
      </c>
      <c r="G152" s="2" t="n">
        <v>422.65</v>
      </c>
      <c r="H152" s="2" t="n">
        <v>5</v>
      </c>
      <c r="I152" s="2" t="s">
        <v>28</v>
      </c>
      <c r="J152" s="2" t="s">
        <v>794</v>
      </c>
      <c r="K152" s="2" t="s">
        <v>122</v>
      </c>
      <c r="L152" s="2"/>
      <c r="M152" s="2" t="s">
        <v>795</v>
      </c>
    </row>
    <row r="153" customFormat="false" ht="15" hidden="false" customHeight="false" outlineLevel="0" collapsed="false">
      <c r="A153" s="2" t="s">
        <v>796</v>
      </c>
      <c r="B153" s="2" t="s">
        <v>797</v>
      </c>
      <c r="C153" s="2" t="s">
        <v>798</v>
      </c>
      <c r="D153" s="13" t="n">
        <v>45376.4201388889</v>
      </c>
      <c r="E153" s="2" t="s">
        <v>41</v>
      </c>
      <c r="F153" s="2" t="s">
        <v>31</v>
      </c>
      <c r="G153" s="2" t="n">
        <v>1407.3</v>
      </c>
      <c r="H153" s="2" t="n">
        <v>15.43</v>
      </c>
      <c r="I153" s="2" t="s">
        <v>26</v>
      </c>
      <c r="J153" s="2" t="s">
        <v>799</v>
      </c>
      <c r="K153" s="2" t="s">
        <v>122</v>
      </c>
      <c r="L153" s="2" t="s">
        <v>96</v>
      </c>
      <c r="M153" s="2"/>
    </row>
    <row r="154" customFormat="false" ht="15" hidden="false" customHeight="false" outlineLevel="0" collapsed="false">
      <c r="A154" s="2" t="s">
        <v>800</v>
      </c>
      <c r="B154" s="2" t="s">
        <v>801</v>
      </c>
      <c r="C154" s="2" t="s">
        <v>802</v>
      </c>
      <c r="D154" s="13" t="n">
        <v>45325.4708333333</v>
      </c>
      <c r="E154" s="2" t="s">
        <v>35</v>
      </c>
      <c r="F154" s="2" t="s">
        <v>31</v>
      </c>
      <c r="G154" s="2" t="n">
        <v>14919.47</v>
      </c>
      <c r="H154" s="2" t="n">
        <v>132.14</v>
      </c>
      <c r="I154" s="2" t="s">
        <v>26</v>
      </c>
      <c r="J154" s="2" t="s">
        <v>803</v>
      </c>
      <c r="K154" s="2" t="s">
        <v>95</v>
      </c>
      <c r="L154" s="2" t="s">
        <v>102</v>
      </c>
      <c r="M154" s="2"/>
    </row>
    <row r="155" customFormat="false" ht="15" hidden="false" customHeight="false" outlineLevel="0" collapsed="false">
      <c r="A155" s="2" t="s">
        <v>804</v>
      </c>
      <c r="B155" s="2" t="s">
        <v>805</v>
      </c>
      <c r="C155" s="2" t="s">
        <v>806</v>
      </c>
      <c r="D155" s="13" t="n">
        <v>45609.7125</v>
      </c>
      <c r="E155" s="2" t="s">
        <v>37</v>
      </c>
      <c r="F155" s="2" t="s">
        <v>27</v>
      </c>
      <c r="G155" s="2" t="n">
        <v>7963.81</v>
      </c>
      <c r="H155" s="2" t="n">
        <v>29.46</v>
      </c>
      <c r="I155" s="2" t="s">
        <v>26</v>
      </c>
      <c r="J155" s="2" t="s">
        <v>807</v>
      </c>
      <c r="K155" s="2" t="s">
        <v>101</v>
      </c>
      <c r="L155" s="2"/>
      <c r="M155" s="2" t="s">
        <v>348</v>
      </c>
    </row>
    <row r="156" customFormat="false" ht="15" hidden="false" customHeight="false" outlineLevel="0" collapsed="false">
      <c r="A156" s="2" t="s">
        <v>808</v>
      </c>
      <c r="B156" s="2" t="s">
        <v>809</v>
      </c>
      <c r="C156" s="2" t="s">
        <v>810</v>
      </c>
      <c r="D156" s="13" t="n">
        <v>45590.4118055556</v>
      </c>
      <c r="E156" s="2" t="s">
        <v>35</v>
      </c>
      <c r="F156" s="2" t="s">
        <v>32</v>
      </c>
      <c r="G156" s="2" t="n">
        <v>5036.8</v>
      </c>
      <c r="H156" s="2" t="n">
        <v>33.36</v>
      </c>
      <c r="I156" s="2" t="s">
        <v>30</v>
      </c>
      <c r="J156" s="2" t="s">
        <v>811</v>
      </c>
      <c r="K156" s="2" t="s">
        <v>89</v>
      </c>
      <c r="L156" s="2" t="s">
        <v>812</v>
      </c>
      <c r="M156" s="2"/>
    </row>
    <row r="157" customFormat="false" ht="15" hidden="false" customHeight="false" outlineLevel="0" collapsed="false">
      <c r="A157" s="2" t="s">
        <v>813</v>
      </c>
      <c r="B157" s="2" t="s">
        <v>814</v>
      </c>
      <c r="C157" s="2" t="s">
        <v>815</v>
      </c>
      <c r="D157" s="13" t="n">
        <v>45913.6138888889</v>
      </c>
      <c r="E157" s="2" t="s">
        <v>41</v>
      </c>
      <c r="F157" s="2" t="s">
        <v>27</v>
      </c>
      <c r="G157" s="2" t="n">
        <v>2182.62</v>
      </c>
      <c r="H157" s="2" t="n">
        <v>11.76</v>
      </c>
      <c r="I157" s="2" t="s">
        <v>26</v>
      </c>
      <c r="J157" s="2" t="s">
        <v>816</v>
      </c>
      <c r="K157" s="2" t="s">
        <v>101</v>
      </c>
      <c r="L157" s="2"/>
      <c r="M157" s="2" t="s">
        <v>817</v>
      </c>
    </row>
    <row r="158" customFormat="false" ht="15" hidden="false" customHeight="false" outlineLevel="0" collapsed="false">
      <c r="A158" s="2" t="s">
        <v>818</v>
      </c>
      <c r="B158" s="2" t="s">
        <v>819</v>
      </c>
      <c r="C158" s="2" t="s">
        <v>820</v>
      </c>
      <c r="D158" s="13" t="n">
        <v>45813.6791666667</v>
      </c>
      <c r="E158" s="2" t="s">
        <v>41</v>
      </c>
      <c r="F158" s="2" t="s">
        <v>29</v>
      </c>
      <c r="G158" s="2" t="n">
        <v>16656.35</v>
      </c>
      <c r="H158" s="2" t="n">
        <v>102.93</v>
      </c>
      <c r="I158" s="2" t="s">
        <v>30</v>
      </c>
      <c r="J158" s="2" t="s">
        <v>821</v>
      </c>
      <c r="K158" s="2" t="s">
        <v>101</v>
      </c>
      <c r="L158" s="2" t="s">
        <v>123</v>
      </c>
      <c r="M158" s="2"/>
    </row>
    <row r="159" customFormat="false" ht="15" hidden="false" customHeight="false" outlineLevel="0" collapsed="false">
      <c r="A159" s="2" t="s">
        <v>822</v>
      </c>
      <c r="B159" s="2" t="s">
        <v>823</v>
      </c>
      <c r="C159" s="2" t="s">
        <v>824</v>
      </c>
      <c r="D159" s="13" t="n">
        <v>45538.88125</v>
      </c>
      <c r="E159" s="2" t="s">
        <v>39</v>
      </c>
      <c r="F159" s="2" t="s">
        <v>32</v>
      </c>
      <c r="G159" s="2" t="n">
        <v>5778.93</v>
      </c>
      <c r="H159" s="2" t="n">
        <v>14.95</v>
      </c>
      <c r="I159" s="2" t="s">
        <v>26</v>
      </c>
      <c r="J159" s="2" t="s">
        <v>825</v>
      </c>
      <c r="K159" s="2" t="s">
        <v>122</v>
      </c>
      <c r="L159" s="2" t="s">
        <v>128</v>
      </c>
      <c r="M159" s="2"/>
    </row>
    <row r="160" customFormat="false" ht="15" hidden="false" customHeight="false" outlineLevel="0" collapsed="false">
      <c r="A160" s="2" t="s">
        <v>826</v>
      </c>
      <c r="B160" s="2" t="s">
        <v>720</v>
      </c>
      <c r="C160" s="2" t="s">
        <v>721</v>
      </c>
      <c r="D160" s="13" t="n">
        <v>45444.3875</v>
      </c>
      <c r="E160" s="2" t="s">
        <v>37</v>
      </c>
      <c r="F160" s="2" t="s">
        <v>27</v>
      </c>
      <c r="G160" s="2" t="n">
        <v>17770.63</v>
      </c>
      <c r="H160" s="2" t="n">
        <v>138.48</v>
      </c>
      <c r="I160" s="2" t="s">
        <v>26</v>
      </c>
      <c r="J160" s="2" t="s">
        <v>827</v>
      </c>
      <c r="K160" s="2" t="s">
        <v>89</v>
      </c>
      <c r="L160" s="2"/>
      <c r="M160" s="2" t="s">
        <v>828</v>
      </c>
    </row>
    <row r="161" customFormat="false" ht="15" hidden="false" customHeight="false" outlineLevel="0" collapsed="false">
      <c r="A161" s="2" t="s">
        <v>829</v>
      </c>
      <c r="B161" s="2" t="s">
        <v>830</v>
      </c>
      <c r="C161" s="2" t="s">
        <v>831</v>
      </c>
      <c r="D161" s="13" t="n">
        <v>45951.7076388889</v>
      </c>
      <c r="E161" s="2" t="s">
        <v>35</v>
      </c>
      <c r="F161" s="2" t="s">
        <v>31</v>
      </c>
      <c r="G161" s="2" t="n">
        <v>6132.87</v>
      </c>
      <c r="H161" s="2" t="n">
        <v>36.23</v>
      </c>
      <c r="I161" s="2" t="s">
        <v>26</v>
      </c>
      <c r="J161" s="2" t="s">
        <v>832</v>
      </c>
      <c r="K161" s="2" t="s">
        <v>89</v>
      </c>
      <c r="L161" s="2" t="s">
        <v>138</v>
      </c>
      <c r="M161" s="2"/>
    </row>
    <row r="162" customFormat="false" ht="15" hidden="false" customHeight="false" outlineLevel="0" collapsed="false">
      <c r="A162" s="2" t="s">
        <v>833</v>
      </c>
      <c r="B162" s="2" t="s">
        <v>834</v>
      </c>
      <c r="C162" s="2" t="s">
        <v>835</v>
      </c>
      <c r="D162" s="13" t="n">
        <v>45550.7993055556</v>
      </c>
      <c r="E162" s="2" t="s">
        <v>35</v>
      </c>
      <c r="F162" s="2" t="s">
        <v>27</v>
      </c>
      <c r="G162" s="2" t="n">
        <v>10930.65</v>
      </c>
      <c r="H162" s="2" t="n">
        <v>127.51</v>
      </c>
      <c r="I162" s="2" t="s">
        <v>26</v>
      </c>
      <c r="J162" s="2" t="s">
        <v>836</v>
      </c>
      <c r="K162" s="2" t="s">
        <v>101</v>
      </c>
      <c r="L162" s="2"/>
      <c r="M162" s="2" t="s">
        <v>383</v>
      </c>
    </row>
    <row r="163" customFormat="false" ht="15" hidden="false" customHeight="false" outlineLevel="0" collapsed="false">
      <c r="A163" s="2" t="s">
        <v>837</v>
      </c>
      <c r="B163" s="2" t="s">
        <v>838</v>
      </c>
      <c r="C163" s="2" t="s">
        <v>839</v>
      </c>
      <c r="D163" s="13" t="n">
        <v>46016.8625</v>
      </c>
      <c r="E163" s="2" t="s">
        <v>41</v>
      </c>
      <c r="F163" s="2" t="s">
        <v>29</v>
      </c>
      <c r="G163" s="2" t="n">
        <v>5886.9</v>
      </c>
      <c r="H163" s="2" t="n">
        <v>12.21</v>
      </c>
      <c r="I163" s="2" t="s">
        <v>26</v>
      </c>
      <c r="J163" s="2" t="s">
        <v>840</v>
      </c>
      <c r="K163" s="2" t="s">
        <v>89</v>
      </c>
      <c r="L163" s="2" t="s">
        <v>841</v>
      </c>
      <c r="M163" s="2"/>
    </row>
    <row r="164" customFormat="false" ht="15" hidden="false" customHeight="false" outlineLevel="0" collapsed="false">
      <c r="A164" s="2" t="s">
        <v>842</v>
      </c>
      <c r="B164" s="2" t="s">
        <v>280</v>
      </c>
      <c r="C164" s="2" t="s">
        <v>281</v>
      </c>
      <c r="D164" s="13" t="n">
        <v>45634.4597222222</v>
      </c>
      <c r="E164" s="2" t="s">
        <v>35</v>
      </c>
      <c r="F164" s="2" t="s">
        <v>32</v>
      </c>
      <c r="G164" s="2" t="n">
        <v>9578.86</v>
      </c>
      <c r="H164" s="2" t="n">
        <v>77.01</v>
      </c>
      <c r="I164" s="2" t="s">
        <v>30</v>
      </c>
      <c r="J164" s="2" t="s">
        <v>843</v>
      </c>
      <c r="K164" s="2" t="s">
        <v>95</v>
      </c>
      <c r="L164" s="2" t="s">
        <v>147</v>
      </c>
      <c r="M164" s="2"/>
    </row>
    <row r="165" customFormat="false" ht="15" hidden="false" customHeight="false" outlineLevel="0" collapsed="false">
      <c r="A165" s="2" t="s">
        <v>844</v>
      </c>
      <c r="B165" s="2" t="s">
        <v>845</v>
      </c>
      <c r="C165" s="2" t="s">
        <v>846</v>
      </c>
      <c r="D165" s="13" t="n">
        <v>45331.3194444445</v>
      </c>
      <c r="E165" s="2" t="s">
        <v>35</v>
      </c>
      <c r="F165" s="2" t="s">
        <v>31</v>
      </c>
      <c r="G165" s="2" t="n">
        <v>2797.16</v>
      </c>
      <c r="H165" s="2" t="n">
        <v>22.79</v>
      </c>
      <c r="I165" s="2" t="s">
        <v>26</v>
      </c>
      <c r="J165" s="2" t="s">
        <v>847</v>
      </c>
      <c r="K165" s="2" t="s">
        <v>122</v>
      </c>
      <c r="L165" s="2" t="s">
        <v>150</v>
      </c>
      <c r="M165" s="2"/>
    </row>
    <row r="166" customFormat="false" ht="15" hidden="false" customHeight="false" outlineLevel="0" collapsed="false">
      <c r="A166" s="2" t="s">
        <v>848</v>
      </c>
      <c r="B166" s="2" t="s">
        <v>849</v>
      </c>
      <c r="C166" s="2" t="s">
        <v>850</v>
      </c>
      <c r="D166" s="13" t="n">
        <v>45805.5506944444</v>
      </c>
      <c r="E166" s="2" t="s">
        <v>43</v>
      </c>
      <c r="F166" s="2" t="s">
        <v>29</v>
      </c>
      <c r="G166" s="2" t="n">
        <v>607.76</v>
      </c>
      <c r="H166" s="2" t="n">
        <v>6.43</v>
      </c>
      <c r="I166" s="2" t="s">
        <v>28</v>
      </c>
      <c r="J166" s="2" t="s">
        <v>851</v>
      </c>
      <c r="K166" s="2" t="s">
        <v>122</v>
      </c>
      <c r="L166" s="2"/>
      <c r="M166" s="2" t="s">
        <v>852</v>
      </c>
    </row>
    <row r="167" customFormat="false" ht="15" hidden="false" customHeight="false" outlineLevel="0" collapsed="false">
      <c r="A167" s="2" t="s">
        <v>853</v>
      </c>
      <c r="B167" s="2" t="s">
        <v>854</v>
      </c>
      <c r="C167" s="2" t="s">
        <v>855</v>
      </c>
      <c r="D167" s="13" t="n">
        <v>45833.5604166667</v>
      </c>
      <c r="E167" s="2" t="s">
        <v>43</v>
      </c>
      <c r="F167" s="2" t="s">
        <v>29</v>
      </c>
      <c r="G167" s="2" t="n">
        <v>22511.97</v>
      </c>
      <c r="H167" s="2" t="n">
        <v>53.9</v>
      </c>
      <c r="I167" s="2" t="s">
        <v>28</v>
      </c>
      <c r="J167" s="2" t="s">
        <v>856</v>
      </c>
      <c r="K167" s="2" t="s">
        <v>122</v>
      </c>
      <c r="L167" s="2"/>
      <c r="M167" s="2" t="s">
        <v>857</v>
      </c>
    </row>
    <row r="168" customFormat="false" ht="15" hidden="false" customHeight="false" outlineLevel="0" collapsed="false">
      <c r="A168" s="2" t="s">
        <v>858</v>
      </c>
      <c r="B168" s="2" t="s">
        <v>859</v>
      </c>
      <c r="C168" s="2" t="s">
        <v>860</v>
      </c>
      <c r="D168" s="13" t="n">
        <v>45583.7090277778</v>
      </c>
      <c r="E168" s="2" t="s">
        <v>37</v>
      </c>
      <c r="F168" s="2" t="s">
        <v>27</v>
      </c>
      <c r="G168" s="2" t="n">
        <v>2627.44</v>
      </c>
      <c r="H168" s="2" t="n">
        <v>26.06</v>
      </c>
      <c r="I168" s="2" t="s">
        <v>26</v>
      </c>
      <c r="J168" s="2" t="s">
        <v>861</v>
      </c>
      <c r="K168" s="2" t="s">
        <v>95</v>
      </c>
      <c r="L168" s="2"/>
      <c r="M168" s="2" t="s">
        <v>862</v>
      </c>
    </row>
    <row r="169" customFormat="false" ht="15" hidden="false" customHeight="false" outlineLevel="0" collapsed="false">
      <c r="A169" s="2" t="s">
        <v>863</v>
      </c>
      <c r="B169" s="2" t="s">
        <v>864</v>
      </c>
      <c r="C169" s="2" t="s">
        <v>865</v>
      </c>
      <c r="D169" s="13" t="n">
        <v>45614.6027777778</v>
      </c>
      <c r="E169" s="2" t="s">
        <v>39</v>
      </c>
      <c r="F169" s="2" t="s">
        <v>32</v>
      </c>
      <c r="G169" s="2" t="n">
        <v>8000.53</v>
      </c>
      <c r="H169" s="2" t="n">
        <v>47.59</v>
      </c>
      <c r="I169" s="2" t="s">
        <v>26</v>
      </c>
      <c r="J169" s="2" t="s">
        <v>866</v>
      </c>
      <c r="K169" s="2" t="s">
        <v>95</v>
      </c>
      <c r="L169" s="2" t="s">
        <v>168</v>
      </c>
      <c r="M169" s="2"/>
    </row>
    <row r="170" customFormat="false" ht="15" hidden="false" customHeight="false" outlineLevel="0" collapsed="false">
      <c r="A170" s="2" t="s">
        <v>867</v>
      </c>
      <c r="B170" s="2" t="s">
        <v>819</v>
      </c>
      <c r="C170" s="2" t="s">
        <v>820</v>
      </c>
      <c r="D170" s="13" t="n">
        <v>45752.6006944445</v>
      </c>
      <c r="E170" s="2" t="s">
        <v>39</v>
      </c>
      <c r="F170" s="2" t="s">
        <v>29</v>
      </c>
      <c r="G170" s="2" t="n">
        <v>7345.25</v>
      </c>
      <c r="H170" s="2" t="n">
        <v>83.73</v>
      </c>
      <c r="I170" s="2" t="s">
        <v>28</v>
      </c>
      <c r="J170" s="2" t="s">
        <v>868</v>
      </c>
      <c r="K170" s="2" t="s">
        <v>89</v>
      </c>
      <c r="L170" s="2" t="s">
        <v>173</v>
      </c>
      <c r="M170" s="2"/>
    </row>
    <row r="171" customFormat="false" ht="15" hidden="false" customHeight="false" outlineLevel="0" collapsed="false">
      <c r="A171" s="2" t="s">
        <v>869</v>
      </c>
      <c r="B171" s="2" t="s">
        <v>814</v>
      </c>
      <c r="C171" s="2" t="s">
        <v>815</v>
      </c>
      <c r="D171" s="13" t="n">
        <v>45886.5652777778</v>
      </c>
      <c r="E171" s="2" t="s">
        <v>41</v>
      </c>
      <c r="F171" s="2" t="s">
        <v>27</v>
      </c>
      <c r="G171" s="2" t="n">
        <v>5933.53</v>
      </c>
      <c r="H171" s="2" t="n">
        <v>18.74</v>
      </c>
      <c r="I171" s="2" t="s">
        <v>28</v>
      </c>
      <c r="J171" s="2" t="s">
        <v>870</v>
      </c>
      <c r="K171" s="2" t="s">
        <v>101</v>
      </c>
      <c r="L171" s="2"/>
      <c r="M171" s="2" t="s">
        <v>871</v>
      </c>
    </row>
    <row r="172" customFormat="false" ht="15" hidden="false" customHeight="false" outlineLevel="0" collapsed="false">
      <c r="A172" s="2" t="s">
        <v>872</v>
      </c>
      <c r="B172" s="2" t="s">
        <v>801</v>
      </c>
      <c r="C172" s="2" t="s">
        <v>802</v>
      </c>
      <c r="D172" s="13" t="n">
        <v>45850.5416666667</v>
      </c>
      <c r="E172" s="2" t="s">
        <v>37</v>
      </c>
      <c r="F172" s="2" t="s">
        <v>31</v>
      </c>
      <c r="G172" s="2" t="n">
        <v>5681.7</v>
      </c>
      <c r="H172" s="2" t="n">
        <v>48.12</v>
      </c>
      <c r="I172" s="2" t="s">
        <v>26</v>
      </c>
      <c r="J172" s="2" t="s">
        <v>873</v>
      </c>
      <c r="K172" s="2" t="s">
        <v>95</v>
      </c>
      <c r="L172" s="2" t="s">
        <v>874</v>
      </c>
      <c r="M172" s="2"/>
    </row>
    <row r="173" customFormat="false" ht="15" hidden="false" customHeight="false" outlineLevel="0" collapsed="false">
      <c r="A173" s="2" t="s">
        <v>875</v>
      </c>
      <c r="B173" s="2" t="s">
        <v>876</v>
      </c>
      <c r="C173" s="2" t="s">
        <v>877</v>
      </c>
      <c r="D173" s="13" t="n">
        <v>45556.5291666667</v>
      </c>
      <c r="E173" s="2" t="s">
        <v>37</v>
      </c>
      <c r="F173" s="2" t="s">
        <v>32</v>
      </c>
      <c r="G173" s="2" t="n">
        <v>2490.94</v>
      </c>
      <c r="H173" s="2" t="n">
        <v>9.01</v>
      </c>
      <c r="I173" s="2" t="s">
        <v>30</v>
      </c>
      <c r="J173" s="2" t="s">
        <v>878</v>
      </c>
      <c r="K173" s="2" t="s">
        <v>95</v>
      </c>
      <c r="L173" s="2" t="s">
        <v>188</v>
      </c>
      <c r="M173" s="2"/>
    </row>
    <row r="174" customFormat="false" ht="15" hidden="false" customHeight="false" outlineLevel="0" collapsed="false">
      <c r="A174" s="2" t="s">
        <v>879</v>
      </c>
      <c r="B174" s="2" t="s">
        <v>880</v>
      </c>
      <c r="C174" s="2" t="s">
        <v>881</v>
      </c>
      <c r="D174" s="13" t="n">
        <v>45391.6798611111</v>
      </c>
      <c r="E174" s="2" t="s">
        <v>39</v>
      </c>
      <c r="F174" s="2" t="s">
        <v>31</v>
      </c>
      <c r="G174" s="2" t="n">
        <v>5209.18</v>
      </c>
      <c r="H174" s="2" t="n">
        <v>18.52</v>
      </c>
      <c r="I174" s="2" t="s">
        <v>26</v>
      </c>
      <c r="J174" s="2" t="s">
        <v>882</v>
      </c>
      <c r="K174" s="2" t="s">
        <v>89</v>
      </c>
      <c r="L174" s="2" t="s">
        <v>193</v>
      </c>
      <c r="M174" s="2"/>
    </row>
    <row r="175" customFormat="false" ht="15" hidden="false" customHeight="false" outlineLevel="0" collapsed="false">
      <c r="A175" s="2" t="s">
        <v>883</v>
      </c>
      <c r="B175" s="2" t="s">
        <v>884</v>
      </c>
      <c r="C175" s="2" t="s">
        <v>885</v>
      </c>
      <c r="D175" s="13" t="n">
        <v>45568.5048611111</v>
      </c>
      <c r="E175" s="2" t="s">
        <v>43</v>
      </c>
      <c r="F175" s="2" t="s">
        <v>27</v>
      </c>
      <c r="G175" s="2" t="n">
        <v>7990.3</v>
      </c>
      <c r="H175" s="2" t="n">
        <v>55.97</v>
      </c>
      <c r="I175" s="2" t="s">
        <v>28</v>
      </c>
      <c r="J175" s="2" t="s">
        <v>886</v>
      </c>
      <c r="K175" s="2" t="s">
        <v>89</v>
      </c>
      <c r="L175" s="2"/>
      <c r="M175" s="2" t="s">
        <v>448</v>
      </c>
    </row>
    <row r="176" customFormat="false" ht="15" hidden="false" customHeight="false" outlineLevel="0" collapsed="false">
      <c r="A176" s="2" t="s">
        <v>887</v>
      </c>
      <c r="B176" s="2" t="s">
        <v>888</v>
      </c>
      <c r="C176" s="2" t="s">
        <v>889</v>
      </c>
      <c r="D176" s="13" t="n">
        <v>45976.6597222222</v>
      </c>
      <c r="E176" s="2" t="s">
        <v>35</v>
      </c>
      <c r="F176" s="2" t="s">
        <v>31</v>
      </c>
      <c r="G176" s="2" t="n">
        <v>2666.95</v>
      </c>
      <c r="H176" s="2" t="n">
        <v>10.38</v>
      </c>
      <c r="I176" s="2" t="s">
        <v>28</v>
      </c>
      <c r="J176" s="2" t="s">
        <v>890</v>
      </c>
      <c r="K176" s="2" t="s">
        <v>89</v>
      </c>
      <c r="L176" s="2" t="s">
        <v>891</v>
      </c>
      <c r="M176" s="2"/>
    </row>
    <row r="177" customFormat="false" ht="15" hidden="false" customHeight="false" outlineLevel="0" collapsed="false">
      <c r="A177" s="2" t="s">
        <v>892</v>
      </c>
      <c r="B177" s="2" t="s">
        <v>435</v>
      </c>
      <c r="C177" s="2" t="s">
        <v>436</v>
      </c>
      <c r="D177" s="13" t="n">
        <v>45458.4729166667</v>
      </c>
      <c r="E177" s="2" t="s">
        <v>35</v>
      </c>
      <c r="F177" s="2" t="s">
        <v>31</v>
      </c>
      <c r="G177" s="2" t="n">
        <v>4512.25</v>
      </c>
      <c r="H177" s="2" t="n">
        <v>50.75</v>
      </c>
      <c r="I177" s="2" t="s">
        <v>26</v>
      </c>
      <c r="J177" s="2" t="s">
        <v>893</v>
      </c>
      <c r="K177" s="2" t="s">
        <v>122</v>
      </c>
      <c r="L177" s="2" t="s">
        <v>208</v>
      </c>
      <c r="M177" s="2"/>
    </row>
    <row r="178" customFormat="false" ht="15" hidden="false" customHeight="false" outlineLevel="0" collapsed="false">
      <c r="A178" s="2" t="s">
        <v>894</v>
      </c>
      <c r="B178" s="2" t="s">
        <v>895</v>
      </c>
      <c r="C178" s="2" t="s">
        <v>896</v>
      </c>
      <c r="D178" s="13" t="n">
        <v>45734.4520833333</v>
      </c>
      <c r="E178" s="2" t="s">
        <v>41</v>
      </c>
      <c r="F178" s="2" t="s">
        <v>27</v>
      </c>
      <c r="G178" s="2" t="n">
        <v>4506.24</v>
      </c>
      <c r="H178" s="2" t="n">
        <v>18.58</v>
      </c>
      <c r="I178" s="2" t="s">
        <v>28</v>
      </c>
      <c r="J178" s="2" t="s">
        <v>897</v>
      </c>
      <c r="K178" s="2" t="s">
        <v>89</v>
      </c>
      <c r="L178" s="2"/>
      <c r="M178" s="2" t="s">
        <v>463</v>
      </c>
    </row>
    <row r="179" customFormat="false" ht="15" hidden="false" customHeight="false" outlineLevel="0" collapsed="false">
      <c r="A179" s="2" t="s">
        <v>898</v>
      </c>
      <c r="B179" s="2" t="s">
        <v>899</v>
      </c>
      <c r="C179" s="2" t="s">
        <v>900</v>
      </c>
      <c r="D179" s="13" t="n">
        <v>45524.9409722222</v>
      </c>
      <c r="E179" s="2" t="s">
        <v>41</v>
      </c>
      <c r="F179" s="2" t="s">
        <v>31</v>
      </c>
      <c r="G179" s="2" t="n">
        <v>8589.58</v>
      </c>
      <c r="H179" s="2" t="n">
        <v>72.37</v>
      </c>
      <c r="I179" s="2" t="s">
        <v>26</v>
      </c>
      <c r="J179" s="2" t="s">
        <v>901</v>
      </c>
      <c r="K179" s="2" t="s">
        <v>122</v>
      </c>
      <c r="L179" s="2" t="s">
        <v>218</v>
      </c>
      <c r="M179" s="2"/>
    </row>
    <row r="180" customFormat="false" ht="15" hidden="false" customHeight="false" outlineLevel="0" collapsed="false">
      <c r="A180" s="2" t="s">
        <v>902</v>
      </c>
      <c r="B180" s="2" t="s">
        <v>903</v>
      </c>
      <c r="C180" s="2" t="s">
        <v>904</v>
      </c>
      <c r="D180" s="13" t="n">
        <v>45295.7506944445</v>
      </c>
      <c r="E180" s="2" t="s">
        <v>35</v>
      </c>
      <c r="F180" s="2" t="s">
        <v>27</v>
      </c>
      <c r="G180" s="2" t="n">
        <v>6226.15</v>
      </c>
      <c r="H180" s="2" t="n">
        <v>64.6</v>
      </c>
      <c r="I180" s="2" t="s">
        <v>26</v>
      </c>
      <c r="J180" s="2" t="s">
        <v>905</v>
      </c>
      <c r="K180" s="2" t="s">
        <v>95</v>
      </c>
      <c r="L180" s="2"/>
      <c r="M180" s="2" t="s">
        <v>906</v>
      </c>
    </row>
    <row r="181" customFormat="false" ht="15" hidden="false" customHeight="false" outlineLevel="0" collapsed="false">
      <c r="A181" s="2" t="s">
        <v>907</v>
      </c>
      <c r="B181" s="2" t="s">
        <v>908</v>
      </c>
      <c r="C181" s="2" t="s">
        <v>909</v>
      </c>
      <c r="D181" s="13" t="n">
        <v>45390.4423611111</v>
      </c>
      <c r="E181" s="2" t="s">
        <v>35</v>
      </c>
      <c r="F181" s="2" t="s">
        <v>31</v>
      </c>
      <c r="G181" s="2" t="n">
        <v>1169.44</v>
      </c>
      <c r="H181" s="2" t="n">
        <v>13.99</v>
      </c>
      <c r="I181" s="2" t="s">
        <v>28</v>
      </c>
      <c r="J181" s="2" t="s">
        <v>910</v>
      </c>
      <c r="K181" s="2" t="s">
        <v>89</v>
      </c>
      <c r="L181" s="2" t="s">
        <v>911</v>
      </c>
      <c r="M181" s="2"/>
    </row>
    <row r="182" customFormat="false" ht="15" hidden="false" customHeight="false" outlineLevel="0" collapsed="false">
      <c r="A182" s="2" t="s">
        <v>912</v>
      </c>
      <c r="B182" s="2" t="s">
        <v>913</v>
      </c>
      <c r="C182" s="2" t="s">
        <v>914</v>
      </c>
      <c r="D182" s="13" t="n">
        <v>45945.71875</v>
      </c>
      <c r="E182" s="2" t="s">
        <v>39</v>
      </c>
      <c r="F182" s="2" t="s">
        <v>31</v>
      </c>
      <c r="G182" s="2" t="n">
        <v>656.54</v>
      </c>
      <c r="H182" s="2" t="n">
        <v>5</v>
      </c>
      <c r="I182" s="2" t="s">
        <v>26</v>
      </c>
      <c r="J182" s="2" t="s">
        <v>915</v>
      </c>
      <c r="K182" s="2" t="s">
        <v>95</v>
      </c>
      <c r="L182" s="2" t="s">
        <v>916</v>
      </c>
      <c r="M182" s="2"/>
    </row>
    <row r="183" customFormat="false" ht="15" hidden="false" customHeight="false" outlineLevel="0" collapsed="false">
      <c r="A183" s="2" t="s">
        <v>917</v>
      </c>
      <c r="B183" s="2" t="s">
        <v>918</v>
      </c>
      <c r="C183" s="2" t="s">
        <v>919</v>
      </c>
      <c r="D183" s="13" t="n">
        <v>45556.7979166667</v>
      </c>
      <c r="E183" s="2" t="s">
        <v>43</v>
      </c>
      <c r="F183" s="2" t="s">
        <v>29</v>
      </c>
      <c r="G183" s="2" t="n">
        <v>328.96</v>
      </c>
      <c r="H183" s="2" t="n">
        <v>5</v>
      </c>
      <c r="I183" s="2" t="s">
        <v>26</v>
      </c>
      <c r="J183" s="2" t="s">
        <v>920</v>
      </c>
      <c r="K183" s="2" t="s">
        <v>122</v>
      </c>
      <c r="L183" s="2"/>
      <c r="M183" s="2" t="s">
        <v>921</v>
      </c>
    </row>
    <row r="184" customFormat="false" ht="15" hidden="false" customHeight="false" outlineLevel="0" collapsed="false">
      <c r="A184" s="2" t="s">
        <v>922</v>
      </c>
      <c r="B184" s="2" t="s">
        <v>923</v>
      </c>
      <c r="C184" s="2" t="s">
        <v>924</v>
      </c>
      <c r="D184" s="13" t="n">
        <v>45599.8340277778</v>
      </c>
      <c r="E184" s="2" t="s">
        <v>39</v>
      </c>
      <c r="F184" s="2" t="s">
        <v>32</v>
      </c>
      <c r="G184" s="2" t="n">
        <v>1290.55</v>
      </c>
      <c r="H184" s="2" t="n">
        <v>5</v>
      </c>
      <c r="I184" s="2" t="s">
        <v>28</v>
      </c>
      <c r="J184" s="2" t="s">
        <v>925</v>
      </c>
      <c r="K184" s="2" t="s">
        <v>89</v>
      </c>
      <c r="L184" s="2" t="s">
        <v>243</v>
      </c>
      <c r="M184" s="2"/>
    </row>
    <row r="185" customFormat="false" ht="15" hidden="false" customHeight="false" outlineLevel="0" collapsed="false">
      <c r="A185" s="2" t="s">
        <v>926</v>
      </c>
      <c r="B185" s="2" t="s">
        <v>155</v>
      </c>
      <c r="C185" s="2" t="s">
        <v>156</v>
      </c>
      <c r="D185" s="13" t="n">
        <v>45408.4277777778</v>
      </c>
      <c r="E185" s="2" t="s">
        <v>43</v>
      </c>
      <c r="F185" s="2" t="s">
        <v>32</v>
      </c>
      <c r="G185" s="2" t="n">
        <v>7898.61</v>
      </c>
      <c r="H185" s="2" t="n">
        <v>25.57</v>
      </c>
      <c r="I185" s="2" t="s">
        <v>28</v>
      </c>
      <c r="J185" s="2" t="s">
        <v>927</v>
      </c>
      <c r="K185" s="2" t="s">
        <v>89</v>
      </c>
      <c r="L185" s="2"/>
      <c r="M185" s="2" t="s">
        <v>498</v>
      </c>
    </row>
    <row r="186" customFormat="false" ht="15" hidden="false" customHeight="false" outlineLevel="0" collapsed="false">
      <c r="A186" s="2" t="s">
        <v>928</v>
      </c>
      <c r="B186" s="2" t="s">
        <v>929</v>
      </c>
      <c r="C186" s="2" t="s">
        <v>930</v>
      </c>
      <c r="D186" s="13" t="n">
        <v>45342.6381944444</v>
      </c>
      <c r="E186" s="2" t="s">
        <v>39</v>
      </c>
      <c r="F186" s="2" t="s">
        <v>29</v>
      </c>
      <c r="G186" s="2" t="n">
        <v>14799.86</v>
      </c>
      <c r="H186" s="2" t="n">
        <v>109.71</v>
      </c>
      <c r="I186" s="2" t="s">
        <v>28</v>
      </c>
      <c r="J186" s="2" t="s">
        <v>931</v>
      </c>
      <c r="K186" s="2" t="s">
        <v>101</v>
      </c>
      <c r="L186" s="2" t="s">
        <v>253</v>
      </c>
      <c r="M186" s="2"/>
    </row>
    <row r="187" customFormat="false" ht="15" hidden="false" customHeight="false" outlineLevel="0" collapsed="false">
      <c r="A187" s="2" t="s">
        <v>932</v>
      </c>
      <c r="B187" s="2" t="s">
        <v>933</v>
      </c>
      <c r="C187" s="2" t="s">
        <v>934</v>
      </c>
      <c r="D187" s="13" t="n">
        <v>45705.3465277778</v>
      </c>
      <c r="E187" s="2" t="s">
        <v>35</v>
      </c>
      <c r="F187" s="2" t="s">
        <v>31</v>
      </c>
      <c r="G187" s="2" t="n">
        <v>13893.94</v>
      </c>
      <c r="H187" s="2" t="n">
        <v>119.2</v>
      </c>
      <c r="I187" s="2" t="s">
        <v>26</v>
      </c>
      <c r="J187" s="2" t="s">
        <v>935</v>
      </c>
      <c r="K187" s="2" t="s">
        <v>89</v>
      </c>
      <c r="L187" s="2" t="s">
        <v>258</v>
      </c>
      <c r="M187" s="2"/>
    </row>
    <row r="188" customFormat="false" ht="15" hidden="false" customHeight="false" outlineLevel="0" collapsed="false">
      <c r="A188" s="2" t="s">
        <v>936</v>
      </c>
      <c r="B188" s="2" t="s">
        <v>937</v>
      </c>
      <c r="C188" s="2" t="s">
        <v>938</v>
      </c>
      <c r="D188" s="13" t="n">
        <v>45894.2958333333</v>
      </c>
      <c r="E188" s="2" t="s">
        <v>41</v>
      </c>
      <c r="F188" s="2" t="s">
        <v>32</v>
      </c>
      <c r="G188" s="2" t="n">
        <v>9836.45</v>
      </c>
      <c r="H188" s="2" t="n">
        <v>30.19</v>
      </c>
      <c r="I188" s="2" t="s">
        <v>26</v>
      </c>
      <c r="J188" s="2" t="s">
        <v>939</v>
      </c>
      <c r="K188" s="2" t="s">
        <v>101</v>
      </c>
      <c r="L188" s="2" t="s">
        <v>940</v>
      </c>
      <c r="M188" s="2"/>
    </row>
    <row r="189" customFormat="false" ht="15" hidden="false" customHeight="false" outlineLevel="0" collapsed="false">
      <c r="A189" s="2" t="s">
        <v>941</v>
      </c>
      <c r="B189" s="2" t="s">
        <v>942</v>
      </c>
      <c r="C189" s="2" t="s">
        <v>943</v>
      </c>
      <c r="D189" s="13" t="n">
        <v>45481.4444444445</v>
      </c>
      <c r="E189" s="2" t="s">
        <v>41</v>
      </c>
      <c r="F189" s="2" t="s">
        <v>32</v>
      </c>
      <c r="G189" s="2" t="n">
        <v>11062.33</v>
      </c>
      <c r="H189" s="2" t="n">
        <v>102.74</v>
      </c>
      <c r="I189" s="2" t="s">
        <v>30</v>
      </c>
      <c r="J189" s="2" t="s">
        <v>944</v>
      </c>
      <c r="K189" s="2" t="s">
        <v>95</v>
      </c>
      <c r="L189" s="2" t="s">
        <v>945</v>
      </c>
      <c r="M189" s="2"/>
    </row>
    <row r="190" customFormat="false" ht="15" hidden="false" customHeight="false" outlineLevel="0" collapsed="false">
      <c r="A190" s="2" t="s">
        <v>946</v>
      </c>
      <c r="B190" s="2" t="s">
        <v>947</v>
      </c>
      <c r="C190" s="2" t="s">
        <v>948</v>
      </c>
      <c r="D190" s="13" t="n">
        <v>45297.65</v>
      </c>
      <c r="E190" s="2" t="s">
        <v>43</v>
      </c>
      <c r="F190" s="2" t="s">
        <v>32</v>
      </c>
      <c r="G190" s="2" t="n">
        <v>38535.62</v>
      </c>
      <c r="H190" s="2" t="n">
        <v>149.34</v>
      </c>
      <c r="I190" s="2" t="s">
        <v>26</v>
      </c>
      <c r="J190" s="2" t="s">
        <v>949</v>
      </c>
      <c r="K190" s="2" t="s">
        <v>122</v>
      </c>
      <c r="L190" s="2"/>
      <c r="M190" s="2" t="s">
        <v>950</v>
      </c>
    </row>
    <row r="191" customFormat="false" ht="15" hidden="false" customHeight="false" outlineLevel="0" collapsed="false">
      <c r="A191" s="2" t="s">
        <v>951</v>
      </c>
      <c r="B191" s="2" t="s">
        <v>952</v>
      </c>
      <c r="C191" s="2" t="s">
        <v>953</v>
      </c>
      <c r="D191" s="13" t="n">
        <v>45919.8</v>
      </c>
      <c r="E191" s="2" t="s">
        <v>43</v>
      </c>
      <c r="F191" s="2" t="s">
        <v>27</v>
      </c>
      <c r="G191" s="2" t="n">
        <v>8851.51</v>
      </c>
      <c r="H191" s="2" t="n">
        <v>29.76</v>
      </c>
      <c r="I191" s="2" t="s">
        <v>28</v>
      </c>
      <c r="J191" s="2" t="s">
        <v>954</v>
      </c>
      <c r="K191" s="2" t="s">
        <v>101</v>
      </c>
      <c r="L191" s="2"/>
      <c r="M191" s="2" t="s">
        <v>528</v>
      </c>
    </row>
    <row r="192" customFormat="false" ht="15" hidden="false" customHeight="false" outlineLevel="0" collapsed="false">
      <c r="A192" s="2" t="s">
        <v>955</v>
      </c>
      <c r="B192" s="2" t="s">
        <v>956</v>
      </c>
      <c r="C192" s="2" t="s">
        <v>957</v>
      </c>
      <c r="D192" s="13" t="n">
        <v>45547.4479166667</v>
      </c>
      <c r="E192" s="2" t="s">
        <v>39</v>
      </c>
      <c r="F192" s="2" t="s">
        <v>27</v>
      </c>
      <c r="G192" s="2" t="n">
        <v>2726.64</v>
      </c>
      <c r="H192" s="2" t="n">
        <v>19.02</v>
      </c>
      <c r="I192" s="2" t="s">
        <v>28</v>
      </c>
      <c r="J192" s="2" t="s">
        <v>958</v>
      </c>
      <c r="K192" s="2" t="s">
        <v>95</v>
      </c>
      <c r="L192" s="2"/>
      <c r="M192" s="2" t="s">
        <v>531</v>
      </c>
    </row>
    <row r="193" customFormat="false" ht="15" hidden="false" customHeight="false" outlineLevel="0" collapsed="false">
      <c r="A193" s="2" t="s">
        <v>959</v>
      </c>
      <c r="B193" s="2" t="s">
        <v>960</v>
      </c>
      <c r="C193" s="2" t="s">
        <v>961</v>
      </c>
      <c r="D193" s="13" t="n">
        <v>45551.4833333333</v>
      </c>
      <c r="E193" s="2" t="s">
        <v>41</v>
      </c>
      <c r="F193" s="2" t="s">
        <v>32</v>
      </c>
      <c r="G193" s="2" t="n">
        <v>891.06</v>
      </c>
      <c r="H193" s="2" t="n">
        <v>5</v>
      </c>
      <c r="I193" s="2" t="s">
        <v>30</v>
      </c>
      <c r="J193" s="2" t="s">
        <v>962</v>
      </c>
      <c r="K193" s="2" t="s">
        <v>89</v>
      </c>
      <c r="L193" s="2" t="s">
        <v>963</v>
      </c>
      <c r="M193" s="2"/>
    </row>
    <row r="194" customFormat="false" ht="15" hidden="false" customHeight="false" outlineLevel="0" collapsed="false">
      <c r="A194" s="2" t="s">
        <v>964</v>
      </c>
      <c r="B194" s="2" t="s">
        <v>965</v>
      </c>
      <c r="C194" s="2" t="s">
        <v>966</v>
      </c>
      <c r="D194" s="13" t="n">
        <v>45547.3652777778</v>
      </c>
      <c r="E194" s="2" t="s">
        <v>35</v>
      </c>
      <c r="F194" s="2" t="s">
        <v>31</v>
      </c>
      <c r="G194" s="2" t="n">
        <v>1196.91</v>
      </c>
      <c r="H194" s="2" t="n">
        <v>13.95</v>
      </c>
      <c r="I194" s="2" t="s">
        <v>28</v>
      </c>
      <c r="J194" s="2" t="s">
        <v>967</v>
      </c>
      <c r="K194" s="2" t="s">
        <v>89</v>
      </c>
      <c r="L194" s="2" t="s">
        <v>293</v>
      </c>
      <c r="M194" s="2"/>
    </row>
    <row r="195" customFormat="false" ht="15" hidden="false" customHeight="false" outlineLevel="0" collapsed="false">
      <c r="A195" s="2" t="s">
        <v>968</v>
      </c>
      <c r="B195" s="2" t="s">
        <v>969</v>
      </c>
      <c r="C195" s="2" t="s">
        <v>970</v>
      </c>
      <c r="D195" s="13" t="n">
        <v>45507.4534722222</v>
      </c>
      <c r="E195" s="2" t="s">
        <v>37</v>
      </c>
      <c r="F195" s="2" t="s">
        <v>32</v>
      </c>
      <c r="G195" s="2" t="n">
        <v>7142.51</v>
      </c>
      <c r="H195" s="2" t="n">
        <v>38.67</v>
      </c>
      <c r="I195" s="2" t="s">
        <v>26</v>
      </c>
      <c r="J195" s="2" t="s">
        <v>971</v>
      </c>
      <c r="K195" s="2" t="s">
        <v>89</v>
      </c>
      <c r="L195" s="2" t="s">
        <v>972</v>
      </c>
      <c r="M195" s="2"/>
    </row>
    <row r="196" customFormat="false" ht="15" hidden="false" customHeight="false" outlineLevel="0" collapsed="false">
      <c r="A196" s="2" t="s">
        <v>973</v>
      </c>
      <c r="B196" s="2" t="s">
        <v>974</v>
      </c>
      <c r="C196" s="2" t="s">
        <v>975</v>
      </c>
      <c r="D196" s="13" t="n">
        <v>45669.7263888889</v>
      </c>
      <c r="E196" s="2" t="s">
        <v>41</v>
      </c>
      <c r="F196" s="2" t="s">
        <v>32</v>
      </c>
      <c r="G196" s="2" t="n">
        <v>2611.24</v>
      </c>
      <c r="H196" s="2" t="n">
        <v>12.41</v>
      </c>
      <c r="I196" s="2" t="s">
        <v>26</v>
      </c>
      <c r="J196" s="2" t="s">
        <v>976</v>
      </c>
      <c r="K196" s="2" t="s">
        <v>122</v>
      </c>
      <c r="L196" s="2" t="s">
        <v>303</v>
      </c>
      <c r="M196" s="2"/>
    </row>
    <row r="197" customFormat="false" ht="15" hidden="false" customHeight="false" outlineLevel="0" collapsed="false">
      <c r="A197" s="2" t="s">
        <v>977</v>
      </c>
      <c r="B197" s="2" t="s">
        <v>978</v>
      </c>
      <c r="C197" s="2" t="s">
        <v>979</v>
      </c>
      <c r="D197" s="13" t="n">
        <v>45484.6048611111</v>
      </c>
      <c r="E197" s="2" t="s">
        <v>39</v>
      </c>
      <c r="F197" s="2" t="s">
        <v>27</v>
      </c>
      <c r="G197" s="2" t="n">
        <v>3919.84</v>
      </c>
      <c r="H197" s="2" t="n">
        <v>9.76</v>
      </c>
      <c r="I197" s="2" t="s">
        <v>26</v>
      </c>
      <c r="J197" s="2" t="s">
        <v>980</v>
      </c>
      <c r="K197" s="2" t="s">
        <v>95</v>
      </c>
      <c r="L197" s="2"/>
      <c r="M197" s="2" t="s">
        <v>981</v>
      </c>
    </row>
    <row r="198" customFormat="false" ht="15" hidden="false" customHeight="false" outlineLevel="0" collapsed="false">
      <c r="A198" s="2" t="s">
        <v>982</v>
      </c>
      <c r="B198" s="2" t="s">
        <v>983</v>
      </c>
      <c r="C198" s="2" t="s">
        <v>984</v>
      </c>
      <c r="D198" s="13" t="n">
        <v>45353.8979166667</v>
      </c>
      <c r="E198" s="2" t="s">
        <v>41</v>
      </c>
      <c r="F198" s="2" t="s">
        <v>29</v>
      </c>
      <c r="G198" s="2" t="n">
        <v>2171.41</v>
      </c>
      <c r="H198" s="2" t="n">
        <v>23.48</v>
      </c>
      <c r="I198" s="2" t="s">
        <v>26</v>
      </c>
      <c r="J198" s="2" t="s">
        <v>985</v>
      </c>
      <c r="K198" s="2" t="s">
        <v>95</v>
      </c>
      <c r="L198" s="2" t="s">
        <v>986</v>
      </c>
      <c r="M198" s="2"/>
    </row>
    <row r="199" customFormat="false" ht="15" hidden="false" customHeight="false" outlineLevel="0" collapsed="false">
      <c r="A199" s="2" t="s">
        <v>987</v>
      </c>
      <c r="B199" s="2" t="s">
        <v>988</v>
      </c>
      <c r="C199" s="2" t="s">
        <v>989</v>
      </c>
      <c r="D199" s="13" t="n">
        <v>45306.9513888889</v>
      </c>
      <c r="E199" s="2" t="s">
        <v>35</v>
      </c>
      <c r="F199" s="2" t="s">
        <v>32</v>
      </c>
      <c r="G199" s="2" t="n">
        <v>6516.08</v>
      </c>
      <c r="H199" s="2" t="n">
        <v>42.64</v>
      </c>
      <c r="I199" s="2" t="s">
        <v>26</v>
      </c>
      <c r="J199" s="2" t="s">
        <v>990</v>
      </c>
      <c r="K199" s="2" t="s">
        <v>95</v>
      </c>
      <c r="L199" s="2" t="s">
        <v>318</v>
      </c>
      <c r="M199" s="2"/>
    </row>
    <row r="200" customFormat="false" ht="15" hidden="false" customHeight="false" outlineLevel="0" collapsed="false">
      <c r="A200" s="2" t="s">
        <v>991</v>
      </c>
      <c r="B200" s="2" t="s">
        <v>992</v>
      </c>
      <c r="C200" s="2" t="s">
        <v>993</v>
      </c>
      <c r="D200" s="13" t="n">
        <v>45574.9333333333</v>
      </c>
      <c r="E200" s="2" t="s">
        <v>41</v>
      </c>
      <c r="F200" s="2" t="s">
        <v>31</v>
      </c>
      <c r="G200" s="2" t="n">
        <v>1880.9</v>
      </c>
      <c r="H200" s="2" t="n">
        <v>12</v>
      </c>
      <c r="I200" s="2" t="s">
        <v>26</v>
      </c>
      <c r="J200" s="2" t="s">
        <v>994</v>
      </c>
      <c r="K200" s="2" t="s">
        <v>122</v>
      </c>
      <c r="L200" s="2" t="s">
        <v>995</v>
      </c>
      <c r="M200" s="2"/>
    </row>
    <row r="201" customFormat="false" ht="15" hidden="false" customHeight="false" outlineLevel="0" collapsed="false">
      <c r="A201" s="2" t="s">
        <v>996</v>
      </c>
      <c r="B201" s="2" t="s">
        <v>997</v>
      </c>
      <c r="C201" s="2" t="s">
        <v>998</v>
      </c>
      <c r="D201" s="13" t="n">
        <v>45516.4631944444</v>
      </c>
      <c r="E201" s="2" t="s">
        <v>39</v>
      </c>
      <c r="F201" s="2" t="s">
        <v>29</v>
      </c>
      <c r="G201" s="2" t="n">
        <v>2135.65</v>
      </c>
      <c r="H201" s="2" t="n">
        <v>9.71</v>
      </c>
      <c r="I201" s="2" t="s">
        <v>30</v>
      </c>
      <c r="J201" s="2" t="s">
        <v>999</v>
      </c>
      <c r="K201" s="2" t="s">
        <v>101</v>
      </c>
      <c r="L201" s="2" t="s">
        <v>1000</v>
      </c>
      <c r="M201" s="2"/>
    </row>
    <row r="202" customFormat="false" ht="15" hidden="false" customHeight="false" outlineLevel="0" collapsed="false">
      <c r="A202" s="2" t="s">
        <v>1001</v>
      </c>
      <c r="B202" s="2" t="s">
        <v>960</v>
      </c>
      <c r="C202" s="2" t="s">
        <v>961</v>
      </c>
      <c r="D202" s="13" t="n">
        <v>45705.2944444444</v>
      </c>
      <c r="E202" s="2" t="s">
        <v>35</v>
      </c>
      <c r="F202" s="2" t="s">
        <v>29</v>
      </c>
      <c r="G202" s="2" t="n">
        <v>10939.57</v>
      </c>
      <c r="H202" s="2" t="n">
        <v>48.27</v>
      </c>
      <c r="I202" s="2" t="s">
        <v>26</v>
      </c>
      <c r="J202" s="2" t="s">
        <v>1002</v>
      </c>
      <c r="K202" s="2" t="s">
        <v>95</v>
      </c>
      <c r="L202" s="2" t="s">
        <v>333</v>
      </c>
      <c r="M202" s="2"/>
    </row>
    <row r="203" customFormat="false" ht="15" hidden="false" customHeight="false" outlineLevel="0" collapsed="false">
      <c r="A203" s="2" t="s">
        <v>1003</v>
      </c>
      <c r="B203" s="2" t="s">
        <v>1004</v>
      </c>
      <c r="C203" s="2" t="s">
        <v>1005</v>
      </c>
      <c r="D203" s="13" t="n">
        <v>45800.2979166667</v>
      </c>
      <c r="E203" s="2" t="s">
        <v>43</v>
      </c>
      <c r="F203" s="2" t="s">
        <v>27</v>
      </c>
      <c r="G203" s="2" t="n">
        <v>12961.2</v>
      </c>
      <c r="H203" s="2" t="n">
        <v>115.31</v>
      </c>
      <c r="I203" s="2" t="s">
        <v>28</v>
      </c>
      <c r="J203" s="2" t="s">
        <v>1006</v>
      </c>
      <c r="K203" s="2" t="s">
        <v>101</v>
      </c>
      <c r="L203" s="2"/>
      <c r="M203" s="2" t="s">
        <v>1007</v>
      </c>
    </row>
    <row r="204" customFormat="false" ht="15" hidden="false" customHeight="false" outlineLevel="0" collapsed="false">
      <c r="A204" s="2" t="s">
        <v>1008</v>
      </c>
      <c r="B204" s="2" t="s">
        <v>92</v>
      </c>
      <c r="C204" s="2" t="s">
        <v>93</v>
      </c>
      <c r="D204" s="13" t="n">
        <v>45784.5493055556</v>
      </c>
      <c r="E204" s="2" t="s">
        <v>35</v>
      </c>
      <c r="F204" s="2" t="s">
        <v>29</v>
      </c>
      <c r="G204" s="2" t="n">
        <v>1527.95</v>
      </c>
      <c r="H204" s="2" t="n">
        <v>14.73</v>
      </c>
      <c r="I204" s="2" t="s">
        <v>28</v>
      </c>
      <c r="J204" s="2" t="s">
        <v>1009</v>
      </c>
      <c r="K204" s="2" t="s">
        <v>95</v>
      </c>
      <c r="L204" s="2" t="s">
        <v>343</v>
      </c>
      <c r="M204" s="2"/>
    </row>
    <row r="205" customFormat="false" ht="15" hidden="false" customHeight="false" outlineLevel="0" collapsed="false">
      <c r="A205" s="2" t="s">
        <v>1010</v>
      </c>
      <c r="B205" s="2" t="s">
        <v>350</v>
      </c>
      <c r="C205" s="2" t="s">
        <v>351</v>
      </c>
      <c r="D205" s="13" t="n">
        <v>45703.7541666667</v>
      </c>
      <c r="E205" s="2" t="s">
        <v>35</v>
      </c>
      <c r="F205" s="2" t="s">
        <v>31</v>
      </c>
      <c r="G205" s="2" t="n">
        <v>2324.43</v>
      </c>
      <c r="H205" s="2" t="n">
        <v>25.34</v>
      </c>
      <c r="I205" s="2" t="s">
        <v>26</v>
      </c>
      <c r="J205" s="2" t="s">
        <v>1011</v>
      </c>
      <c r="K205" s="2" t="s">
        <v>101</v>
      </c>
      <c r="L205" s="2" t="s">
        <v>1012</v>
      </c>
      <c r="M205" s="2"/>
    </row>
    <row r="206" customFormat="false" ht="15" hidden="false" customHeight="false" outlineLevel="0" collapsed="false">
      <c r="A206" s="2" t="s">
        <v>1013</v>
      </c>
      <c r="B206" s="2" t="s">
        <v>1014</v>
      </c>
      <c r="C206" s="2" t="s">
        <v>1015</v>
      </c>
      <c r="D206" s="13" t="n">
        <v>45538.7298611111</v>
      </c>
      <c r="E206" s="2" t="s">
        <v>39</v>
      </c>
      <c r="F206" s="2" t="s">
        <v>32</v>
      </c>
      <c r="G206" s="2" t="n">
        <v>4580.33</v>
      </c>
      <c r="H206" s="2" t="n">
        <v>27.97</v>
      </c>
      <c r="I206" s="2" t="s">
        <v>26</v>
      </c>
      <c r="J206" s="2" t="s">
        <v>1016</v>
      </c>
      <c r="K206" s="2" t="s">
        <v>122</v>
      </c>
      <c r="L206" s="2" t="s">
        <v>353</v>
      </c>
      <c r="M206" s="2"/>
    </row>
    <row r="207" customFormat="false" ht="15" hidden="false" customHeight="false" outlineLevel="0" collapsed="false">
      <c r="A207" s="2" t="s">
        <v>1017</v>
      </c>
      <c r="B207" s="2" t="s">
        <v>1018</v>
      </c>
      <c r="C207" s="2" t="s">
        <v>1019</v>
      </c>
      <c r="D207" s="13" t="n">
        <v>45366.4465277778</v>
      </c>
      <c r="E207" s="2" t="s">
        <v>35</v>
      </c>
      <c r="F207" s="2" t="s">
        <v>31</v>
      </c>
      <c r="G207" s="2" t="n">
        <v>6508.52</v>
      </c>
      <c r="H207" s="2" t="n">
        <v>26.98</v>
      </c>
      <c r="I207" s="2" t="s">
        <v>26</v>
      </c>
      <c r="J207" s="2" t="s">
        <v>1020</v>
      </c>
      <c r="K207" s="2" t="s">
        <v>101</v>
      </c>
      <c r="L207" s="2" t="s">
        <v>358</v>
      </c>
      <c r="M207" s="2"/>
    </row>
    <row r="208" customFormat="false" ht="15" hidden="false" customHeight="false" outlineLevel="0" collapsed="false">
      <c r="A208" s="2" t="s">
        <v>1021</v>
      </c>
      <c r="B208" s="2" t="s">
        <v>558</v>
      </c>
      <c r="C208" s="2" t="s">
        <v>559</v>
      </c>
      <c r="D208" s="13" t="n">
        <v>45893.8381944444</v>
      </c>
      <c r="E208" s="2" t="s">
        <v>43</v>
      </c>
      <c r="F208" s="2" t="s">
        <v>32</v>
      </c>
      <c r="G208" s="2" t="n">
        <v>4971.77</v>
      </c>
      <c r="H208" s="2" t="n">
        <v>22.39</v>
      </c>
      <c r="I208" s="2" t="s">
        <v>26</v>
      </c>
      <c r="J208" s="2" t="s">
        <v>1022</v>
      </c>
      <c r="K208" s="2" t="s">
        <v>122</v>
      </c>
      <c r="L208" s="2"/>
      <c r="M208" s="2" t="s">
        <v>1023</v>
      </c>
    </row>
    <row r="209" customFormat="false" ht="15" hidden="false" customHeight="false" outlineLevel="0" collapsed="false">
      <c r="A209" s="2" t="s">
        <v>1024</v>
      </c>
      <c r="B209" s="2" t="s">
        <v>1025</v>
      </c>
      <c r="C209" s="2" t="s">
        <v>1026</v>
      </c>
      <c r="D209" s="13" t="n">
        <v>45575.5291666667</v>
      </c>
      <c r="E209" s="2" t="s">
        <v>37</v>
      </c>
      <c r="F209" s="2" t="s">
        <v>32</v>
      </c>
      <c r="G209" s="2" t="n">
        <v>20474.91</v>
      </c>
      <c r="H209" s="2" t="n">
        <v>230.59</v>
      </c>
      <c r="I209" s="2" t="s">
        <v>26</v>
      </c>
      <c r="J209" s="2" t="s">
        <v>1027</v>
      </c>
      <c r="K209" s="2" t="s">
        <v>101</v>
      </c>
      <c r="L209" s="2" t="s">
        <v>368</v>
      </c>
      <c r="M209" s="2"/>
    </row>
    <row r="210" customFormat="false" ht="15" hidden="false" customHeight="false" outlineLevel="0" collapsed="false">
      <c r="A210" s="2" t="s">
        <v>1028</v>
      </c>
      <c r="B210" s="2" t="s">
        <v>933</v>
      </c>
      <c r="C210" s="2" t="s">
        <v>934</v>
      </c>
      <c r="D210" s="13" t="n">
        <v>45382.6243055556</v>
      </c>
      <c r="E210" s="2" t="s">
        <v>39</v>
      </c>
      <c r="F210" s="2" t="s">
        <v>31</v>
      </c>
      <c r="G210" s="2" t="n">
        <v>10715.42</v>
      </c>
      <c r="H210" s="2" t="n">
        <v>39.04</v>
      </c>
      <c r="I210" s="2" t="s">
        <v>30</v>
      </c>
      <c r="J210" s="2" t="s">
        <v>1029</v>
      </c>
      <c r="K210" s="2" t="s">
        <v>101</v>
      </c>
      <c r="L210" s="2" t="s">
        <v>373</v>
      </c>
      <c r="M210" s="2"/>
    </row>
    <row r="211" customFormat="false" ht="15" hidden="false" customHeight="false" outlineLevel="0" collapsed="false">
      <c r="A211" s="2" t="s">
        <v>1030</v>
      </c>
      <c r="B211" s="2" t="s">
        <v>1031</v>
      </c>
      <c r="C211" s="2" t="s">
        <v>1032</v>
      </c>
      <c r="D211" s="13" t="n">
        <v>45468.5097222222</v>
      </c>
      <c r="E211" s="2" t="s">
        <v>41</v>
      </c>
      <c r="F211" s="2" t="s">
        <v>32</v>
      </c>
      <c r="G211" s="2" t="n">
        <v>18446.53</v>
      </c>
      <c r="H211" s="2" t="n">
        <v>73.02</v>
      </c>
      <c r="I211" s="2" t="s">
        <v>26</v>
      </c>
      <c r="J211" s="2" t="s">
        <v>1033</v>
      </c>
      <c r="K211" s="2" t="s">
        <v>101</v>
      </c>
      <c r="L211" s="2" t="s">
        <v>1034</v>
      </c>
      <c r="M211" s="2"/>
    </row>
    <row r="212" customFormat="false" ht="15" hidden="false" customHeight="false" outlineLevel="0" collapsed="false">
      <c r="A212" s="2" t="s">
        <v>1035</v>
      </c>
      <c r="B212" s="2" t="s">
        <v>1036</v>
      </c>
      <c r="C212" s="2" t="s">
        <v>1037</v>
      </c>
      <c r="D212" s="13" t="n">
        <v>45354.8847222222</v>
      </c>
      <c r="E212" s="2" t="s">
        <v>41</v>
      </c>
      <c r="F212" s="2" t="s">
        <v>29</v>
      </c>
      <c r="G212" s="2" t="n">
        <v>4964.95</v>
      </c>
      <c r="H212" s="2" t="n">
        <v>45.96</v>
      </c>
      <c r="I212" s="2" t="s">
        <v>30</v>
      </c>
      <c r="J212" s="2" t="s">
        <v>1038</v>
      </c>
      <c r="K212" s="2" t="s">
        <v>101</v>
      </c>
      <c r="L212" s="2" t="s">
        <v>1039</v>
      </c>
      <c r="M212" s="2"/>
    </row>
    <row r="213" customFormat="false" ht="15" hidden="false" customHeight="false" outlineLevel="0" collapsed="false">
      <c r="A213" s="2" t="s">
        <v>1040</v>
      </c>
      <c r="B213" s="2" t="s">
        <v>1041</v>
      </c>
      <c r="C213" s="2" t="s">
        <v>1042</v>
      </c>
      <c r="D213" s="13" t="n">
        <v>45995.8395833333</v>
      </c>
      <c r="E213" s="2" t="s">
        <v>37</v>
      </c>
      <c r="F213" s="2" t="s">
        <v>31</v>
      </c>
      <c r="G213" s="2" t="n">
        <v>27933.76</v>
      </c>
      <c r="H213" s="2" t="n">
        <v>100.3</v>
      </c>
      <c r="I213" s="2" t="s">
        <v>26</v>
      </c>
      <c r="J213" s="2" t="s">
        <v>1043</v>
      </c>
      <c r="K213" s="2" t="s">
        <v>101</v>
      </c>
      <c r="L213" s="2" t="s">
        <v>1044</v>
      </c>
      <c r="M213" s="2"/>
    </row>
    <row r="214" customFormat="false" ht="15" hidden="false" customHeight="false" outlineLevel="0" collapsed="false">
      <c r="A214" s="2" t="s">
        <v>1045</v>
      </c>
      <c r="B214" s="2" t="s">
        <v>1046</v>
      </c>
      <c r="C214" s="2" t="s">
        <v>1047</v>
      </c>
      <c r="D214" s="13" t="n">
        <v>45837.5298611111</v>
      </c>
      <c r="E214" s="2" t="s">
        <v>41</v>
      </c>
      <c r="F214" s="2" t="s">
        <v>32</v>
      </c>
      <c r="G214" s="2" t="n">
        <v>11101.98</v>
      </c>
      <c r="H214" s="2" t="n">
        <v>31.62</v>
      </c>
      <c r="I214" s="2" t="s">
        <v>26</v>
      </c>
      <c r="J214" s="2" t="s">
        <v>1048</v>
      </c>
      <c r="K214" s="2" t="s">
        <v>95</v>
      </c>
      <c r="L214" s="2" t="s">
        <v>393</v>
      </c>
      <c r="M214" s="2"/>
    </row>
    <row r="215" customFormat="false" ht="15" hidden="false" customHeight="false" outlineLevel="0" collapsed="false">
      <c r="A215" s="2" t="s">
        <v>1049</v>
      </c>
      <c r="B215" s="2" t="s">
        <v>1050</v>
      </c>
      <c r="C215" s="2" t="s">
        <v>1051</v>
      </c>
      <c r="D215" s="13" t="n">
        <v>45403.8430555556</v>
      </c>
      <c r="E215" s="2" t="s">
        <v>43</v>
      </c>
      <c r="F215" s="2" t="s">
        <v>29</v>
      </c>
      <c r="G215" s="2" t="n">
        <v>6068.39</v>
      </c>
      <c r="H215" s="2" t="n">
        <v>55.45</v>
      </c>
      <c r="I215" s="2" t="s">
        <v>26</v>
      </c>
      <c r="J215" s="2" t="s">
        <v>1052</v>
      </c>
      <c r="K215" s="2" t="s">
        <v>95</v>
      </c>
      <c r="L215" s="2"/>
      <c r="M215" s="2" t="s">
        <v>1053</v>
      </c>
    </row>
    <row r="216" customFormat="false" ht="15" hidden="false" customHeight="false" outlineLevel="0" collapsed="false">
      <c r="A216" s="2" t="s">
        <v>1054</v>
      </c>
      <c r="B216" s="2" t="s">
        <v>1055</v>
      </c>
      <c r="C216" s="2" t="s">
        <v>1056</v>
      </c>
      <c r="D216" s="13" t="n">
        <v>45900.5611111111</v>
      </c>
      <c r="E216" s="2" t="s">
        <v>35</v>
      </c>
      <c r="F216" s="2" t="s">
        <v>29</v>
      </c>
      <c r="G216" s="2" t="n">
        <v>2889.34</v>
      </c>
      <c r="H216" s="2" t="n">
        <v>28.74</v>
      </c>
      <c r="I216" s="2" t="s">
        <v>26</v>
      </c>
      <c r="J216" s="2" t="s">
        <v>1057</v>
      </c>
      <c r="K216" s="2" t="s">
        <v>95</v>
      </c>
      <c r="L216" s="2" t="s">
        <v>403</v>
      </c>
      <c r="M216" s="2"/>
    </row>
    <row r="217" customFormat="false" ht="15" hidden="false" customHeight="false" outlineLevel="0" collapsed="false">
      <c r="A217" s="2" t="s">
        <v>1058</v>
      </c>
      <c r="B217" s="2" t="s">
        <v>1059</v>
      </c>
      <c r="C217" s="2" t="s">
        <v>1060</v>
      </c>
      <c r="D217" s="13" t="n">
        <v>45312.5590277778</v>
      </c>
      <c r="E217" s="2" t="s">
        <v>39</v>
      </c>
      <c r="F217" s="2" t="s">
        <v>31</v>
      </c>
      <c r="G217" s="2" t="n">
        <v>860.72</v>
      </c>
      <c r="H217" s="2" t="n">
        <v>5.72</v>
      </c>
      <c r="I217" s="2" t="s">
        <v>30</v>
      </c>
      <c r="J217" s="2" t="s">
        <v>1061</v>
      </c>
      <c r="K217" s="2" t="s">
        <v>95</v>
      </c>
      <c r="L217" s="2" t="s">
        <v>408</v>
      </c>
      <c r="M217" s="2"/>
    </row>
    <row r="218" customFormat="false" ht="15" hidden="false" customHeight="false" outlineLevel="0" collapsed="false">
      <c r="A218" s="2" t="s">
        <v>1062</v>
      </c>
      <c r="B218" s="2" t="s">
        <v>1063</v>
      </c>
      <c r="C218" s="2" t="s">
        <v>1064</v>
      </c>
      <c r="D218" s="13" t="n">
        <v>45347.6159722222</v>
      </c>
      <c r="E218" s="2" t="s">
        <v>43</v>
      </c>
      <c r="F218" s="2" t="s">
        <v>32</v>
      </c>
      <c r="G218" s="2" t="n">
        <v>1124.91</v>
      </c>
      <c r="H218" s="2" t="n">
        <v>12.48</v>
      </c>
      <c r="I218" s="2" t="s">
        <v>26</v>
      </c>
      <c r="J218" s="2" t="s">
        <v>1065</v>
      </c>
      <c r="K218" s="2" t="s">
        <v>95</v>
      </c>
      <c r="L218" s="2"/>
      <c r="M218" s="2" t="s">
        <v>163</v>
      </c>
    </row>
    <row r="219" customFormat="false" ht="15" hidden="false" customHeight="false" outlineLevel="0" collapsed="false">
      <c r="A219" s="2" t="s">
        <v>1066</v>
      </c>
      <c r="B219" s="2" t="s">
        <v>1067</v>
      </c>
      <c r="C219" s="2" t="s">
        <v>1068</v>
      </c>
      <c r="D219" s="13" t="n">
        <v>45529.46875</v>
      </c>
      <c r="E219" s="2" t="s">
        <v>39</v>
      </c>
      <c r="F219" s="2" t="s">
        <v>32</v>
      </c>
      <c r="G219" s="2" t="n">
        <v>16711.31</v>
      </c>
      <c r="H219" s="2" t="n">
        <v>134.84</v>
      </c>
      <c r="I219" s="2" t="s">
        <v>28</v>
      </c>
      <c r="J219" s="2" t="s">
        <v>1069</v>
      </c>
      <c r="K219" s="2" t="s">
        <v>89</v>
      </c>
      <c r="L219" s="2" t="s">
        <v>418</v>
      </c>
      <c r="M219" s="2"/>
    </row>
    <row r="220" customFormat="false" ht="15" hidden="false" customHeight="false" outlineLevel="0" collapsed="false">
      <c r="A220" s="2" t="s">
        <v>1070</v>
      </c>
      <c r="B220" s="2" t="s">
        <v>1071</v>
      </c>
      <c r="C220" s="2" t="s">
        <v>1072</v>
      </c>
      <c r="D220" s="13" t="n">
        <v>45829.3861111111</v>
      </c>
      <c r="E220" s="2" t="s">
        <v>39</v>
      </c>
      <c r="F220" s="2" t="s">
        <v>27</v>
      </c>
      <c r="G220" s="2" t="n">
        <v>1622.31</v>
      </c>
      <c r="H220" s="2" t="n">
        <v>16.68</v>
      </c>
      <c r="I220" s="2" t="s">
        <v>26</v>
      </c>
      <c r="J220" s="2" t="s">
        <v>1073</v>
      </c>
      <c r="K220" s="2" t="s">
        <v>95</v>
      </c>
      <c r="L220" s="2"/>
      <c r="M220" s="2" t="s">
        <v>662</v>
      </c>
    </row>
    <row r="221" customFormat="false" ht="15" hidden="false" customHeight="false" outlineLevel="0" collapsed="false">
      <c r="A221" s="2" t="s">
        <v>1074</v>
      </c>
      <c r="B221" s="2" t="s">
        <v>1075</v>
      </c>
      <c r="C221" s="2" t="s">
        <v>1076</v>
      </c>
      <c r="D221" s="13" t="n">
        <v>45517.3979166667</v>
      </c>
      <c r="E221" s="2" t="s">
        <v>43</v>
      </c>
      <c r="F221" s="2" t="s">
        <v>31</v>
      </c>
      <c r="G221" s="2" t="n">
        <v>1361.83</v>
      </c>
      <c r="H221" s="2" t="n">
        <v>8.47</v>
      </c>
      <c r="I221" s="2" t="s">
        <v>30</v>
      </c>
      <c r="J221" s="2" t="s">
        <v>1077</v>
      </c>
      <c r="K221" s="2" t="s">
        <v>101</v>
      </c>
      <c r="L221" s="2"/>
      <c r="M221" s="2" t="s">
        <v>667</v>
      </c>
    </row>
    <row r="222" customFormat="false" ht="15" hidden="false" customHeight="false" outlineLevel="0" collapsed="false">
      <c r="A222" s="2" t="s">
        <v>1078</v>
      </c>
      <c r="B222" s="2" t="s">
        <v>1036</v>
      </c>
      <c r="C222" s="2" t="s">
        <v>1037</v>
      </c>
      <c r="D222" s="13" t="n">
        <v>45460.6625</v>
      </c>
      <c r="E222" s="2" t="s">
        <v>39</v>
      </c>
      <c r="F222" s="2" t="s">
        <v>31</v>
      </c>
      <c r="G222" s="2" t="n">
        <v>3016.96</v>
      </c>
      <c r="H222" s="2" t="n">
        <v>6.38</v>
      </c>
      <c r="I222" s="2" t="s">
        <v>30</v>
      </c>
      <c r="J222" s="2" t="s">
        <v>1079</v>
      </c>
      <c r="K222" s="2" t="s">
        <v>89</v>
      </c>
      <c r="L222" s="2" t="s">
        <v>433</v>
      </c>
      <c r="M222" s="2"/>
    </row>
    <row r="223" customFormat="false" ht="15" hidden="false" customHeight="false" outlineLevel="0" collapsed="false">
      <c r="A223" s="2" t="s">
        <v>1080</v>
      </c>
      <c r="B223" s="2" t="s">
        <v>1081</v>
      </c>
      <c r="C223" s="2" t="s">
        <v>1082</v>
      </c>
      <c r="D223" s="13" t="n">
        <v>45622.5333333333</v>
      </c>
      <c r="E223" s="2" t="s">
        <v>41</v>
      </c>
      <c r="F223" s="2" t="s">
        <v>27</v>
      </c>
      <c r="G223" s="2" t="n">
        <v>12641.56</v>
      </c>
      <c r="H223" s="2" t="n">
        <v>35.53</v>
      </c>
      <c r="I223" s="2" t="s">
        <v>26</v>
      </c>
      <c r="J223" s="2" t="s">
        <v>1083</v>
      </c>
      <c r="K223" s="2" t="s">
        <v>122</v>
      </c>
      <c r="L223" s="2"/>
      <c r="M223" s="2" t="s">
        <v>1084</v>
      </c>
    </row>
    <row r="224" customFormat="false" ht="15" hidden="false" customHeight="false" outlineLevel="0" collapsed="false">
      <c r="A224" s="2" t="s">
        <v>1085</v>
      </c>
      <c r="B224" s="2" t="s">
        <v>1086</v>
      </c>
      <c r="C224" s="2" t="s">
        <v>1087</v>
      </c>
      <c r="D224" s="13" t="n">
        <v>45843.7520833333</v>
      </c>
      <c r="E224" s="2" t="s">
        <v>41</v>
      </c>
      <c r="F224" s="2" t="s">
        <v>29</v>
      </c>
      <c r="G224" s="2" t="n">
        <v>28584.98</v>
      </c>
      <c r="H224" s="2" t="n">
        <v>230.07</v>
      </c>
      <c r="I224" s="2" t="s">
        <v>26</v>
      </c>
      <c r="J224" s="2" t="s">
        <v>1088</v>
      </c>
      <c r="K224" s="2" t="s">
        <v>122</v>
      </c>
      <c r="L224" s="2" t="s">
        <v>443</v>
      </c>
      <c r="M224" s="2"/>
    </row>
    <row r="225" customFormat="false" ht="15" hidden="false" customHeight="false" outlineLevel="0" collapsed="false">
      <c r="A225" s="2" t="s">
        <v>1089</v>
      </c>
      <c r="B225" s="2" t="s">
        <v>1090</v>
      </c>
      <c r="C225" s="2" t="s">
        <v>1091</v>
      </c>
      <c r="D225" s="13" t="n">
        <v>45409.7</v>
      </c>
      <c r="E225" s="2" t="s">
        <v>41</v>
      </c>
      <c r="F225" s="2" t="s">
        <v>27</v>
      </c>
      <c r="G225" s="2" t="n">
        <v>2632.93</v>
      </c>
      <c r="H225" s="2" t="n">
        <v>19.64</v>
      </c>
      <c r="I225" s="2" t="s">
        <v>26</v>
      </c>
      <c r="J225" s="2" t="s">
        <v>1092</v>
      </c>
      <c r="K225" s="2" t="s">
        <v>122</v>
      </c>
      <c r="L225" s="2"/>
      <c r="M225" s="2" t="s">
        <v>198</v>
      </c>
    </row>
    <row r="226" customFormat="false" ht="15" hidden="false" customHeight="false" outlineLevel="0" collapsed="false">
      <c r="A226" s="2" t="s">
        <v>1093</v>
      </c>
      <c r="B226" s="2" t="s">
        <v>1094</v>
      </c>
      <c r="C226" s="2" t="s">
        <v>1095</v>
      </c>
      <c r="D226" s="13" t="n">
        <v>45370.4659722222</v>
      </c>
      <c r="E226" s="2" t="s">
        <v>39</v>
      </c>
      <c r="F226" s="2" t="s">
        <v>29</v>
      </c>
      <c r="G226" s="2" t="n">
        <v>8800.78</v>
      </c>
      <c r="H226" s="2" t="n">
        <v>72.31</v>
      </c>
      <c r="I226" s="2" t="s">
        <v>26</v>
      </c>
      <c r="J226" s="2" t="s">
        <v>1096</v>
      </c>
      <c r="K226" s="2" t="s">
        <v>122</v>
      </c>
      <c r="L226" s="2" t="s">
        <v>453</v>
      </c>
      <c r="M226" s="2"/>
    </row>
    <row r="227" customFormat="false" ht="15" hidden="false" customHeight="false" outlineLevel="0" collapsed="false">
      <c r="A227" s="2" t="s">
        <v>1097</v>
      </c>
      <c r="B227" s="2" t="s">
        <v>1098</v>
      </c>
      <c r="C227" s="2" t="s">
        <v>1099</v>
      </c>
      <c r="D227" s="13" t="n">
        <v>45811.8534722222</v>
      </c>
      <c r="E227" s="2" t="s">
        <v>35</v>
      </c>
      <c r="F227" s="2" t="s">
        <v>29</v>
      </c>
      <c r="G227" s="2" t="n">
        <v>2066</v>
      </c>
      <c r="H227" s="2" t="n">
        <v>11.19</v>
      </c>
      <c r="I227" s="2" t="s">
        <v>28</v>
      </c>
      <c r="J227" s="2" t="s">
        <v>1100</v>
      </c>
      <c r="K227" s="2" t="s">
        <v>95</v>
      </c>
      <c r="L227" s="2" t="s">
        <v>458</v>
      </c>
      <c r="M227" s="2"/>
    </row>
    <row r="228" customFormat="false" ht="15" hidden="false" customHeight="false" outlineLevel="0" collapsed="false">
      <c r="A228" s="2" t="s">
        <v>1101</v>
      </c>
      <c r="B228" s="2" t="s">
        <v>1102</v>
      </c>
      <c r="C228" s="2" t="s">
        <v>1103</v>
      </c>
      <c r="D228" s="13" t="n">
        <v>45678.4270833333</v>
      </c>
      <c r="E228" s="2" t="s">
        <v>35</v>
      </c>
      <c r="F228" s="2" t="s">
        <v>29</v>
      </c>
      <c r="G228" s="2" t="n">
        <v>1923.68</v>
      </c>
      <c r="H228" s="2" t="n">
        <v>13.69</v>
      </c>
      <c r="I228" s="2" t="s">
        <v>30</v>
      </c>
      <c r="J228" s="2" t="s">
        <v>1104</v>
      </c>
      <c r="K228" s="2" t="s">
        <v>89</v>
      </c>
      <c r="L228" s="2" t="s">
        <v>1105</v>
      </c>
      <c r="M228" s="2"/>
    </row>
    <row r="229" customFormat="false" ht="15" hidden="false" customHeight="false" outlineLevel="0" collapsed="false">
      <c r="A229" s="2" t="s">
        <v>1106</v>
      </c>
      <c r="B229" s="2" t="s">
        <v>1107</v>
      </c>
      <c r="C229" s="2" t="s">
        <v>1108</v>
      </c>
      <c r="D229" s="13" t="n">
        <v>45609.5347222222</v>
      </c>
      <c r="E229" s="2" t="s">
        <v>39</v>
      </c>
      <c r="F229" s="2" t="s">
        <v>27</v>
      </c>
      <c r="G229" s="2" t="n">
        <v>6551.24</v>
      </c>
      <c r="H229" s="2" t="n">
        <v>49.3</v>
      </c>
      <c r="I229" s="2" t="s">
        <v>26</v>
      </c>
      <c r="J229" s="2" t="s">
        <v>1109</v>
      </c>
      <c r="K229" s="2" t="s">
        <v>122</v>
      </c>
      <c r="L229" s="2"/>
      <c r="M229" s="2" t="s">
        <v>700</v>
      </c>
    </row>
    <row r="230" customFormat="false" ht="15" hidden="false" customHeight="false" outlineLevel="0" collapsed="false">
      <c r="A230" s="2" t="s">
        <v>1110</v>
      </c>
      <c r="B230" s="2" t="s">
        <v>669</v>
      </c>
      <c r="C230" s="2" t="s">
        <v>670</v>
      </c>
      <c r="D230" s="13" t="n">
        <v>45538.8597222222</v>
      </c>
      <c r="E230" s="2" t="s">
        <v>39</v>
      </c>
      <c r="F230" s="2" t="s">
        <v>32</v>
      </c>
      <c r="G230" s="2" t="n">
        <v>16037.06</v>
      </c>
      <c r="H230" s="2" t="n">
        <v>131.2</v>
      </c>
      <c r="I230" s="2" t="s">
        <v>26</v>
      </c>
      <c r="J230" s="2" t="s">
        <v>1111</v>
      </c>
      <c r="K230" s="2" t="s">
        <v>89</v>
      </c>
      <c r="L230" s="2" t="s">
        <v>473</v>
      </c>
      <c r="M230" s="2"/>
    </row>
    <row r="231" customFormat="false" ht="15" hidden="false" customHeight="false" outlineLevel="0" collapsed="false">
      <c r="A231" s="2" t="s">
        <v>1112</v>
      </c>
      <c r="B231" s="2" t="s">
        <v>983</v>
      </c>
      <c r="C231" s="2" t="s">
        <v>984</v>
      </c>
      <c r="D231" s="13" t="n">
        <v>45566.3743055556</v>
      </c>
      <c r="E231" s="2" t="s">
        <v>39</v>
      </c>
      <c r="F231" s="2" t="s">
        <v>31</v>
      </c>
      <c r="G231" s="2" t="n">
        <v>1387.37</v>
      </c>
      <c r="H231" s="2" t="n">
        <v>14.36</v>
      </c>
      <c r="I231" s="2" t="s">
        <v>26</v>
      </c>
      <c r="J231" s="2" t="s">
        <v>1113</v>
      </c>
      <c r="K231" s="2" t="s">
        <v>101</v>
      </c>
      <c r="L231" s="2" t="s">
        <v>478</v>
      </c>
      <c r="M231" s="2"/>
    </row>
    <row r="232" customFormat="false" ht="15" hidden="false" customHeight="false" outlineLevel="0" collapsed="false">
      <c r="A232" s="2" t="s">
        <v>1114</v>
      </c>
      <c r="B232" s="2" t="s">
        <v>715</v>
      </c>
      <c r="C232" s="2" t="s">
        <v>716</v>
      </c>
      <c r="D232" s="13" t="n">
        <v>45951.5243055556</v>
      </c>
      <c r="E232" s="2" t="s">
        <v>43</v>
      </c>
      <c r="F232" s="2" t="s">
        <v>32</v>
      </c>
      <c r="G232" s="2" t="n">
        <v>18655.14</v>
      </c>
      <c r="H232" s="2" t="n">
        <v>210.97</v>
      </c>
      <c r="I232" s="2" t="s">
        <v>26</v>
      </c>
      <c r="J232" s="2" t="s">
        <v>1115</v>
      </c>
      <c r="K232" s="2" t="s">
        <v>95</v>
      </c>
      <c r="L232" s="2"/>
      <c r="M232" s="2" t="s">
        <v>233</v>
      </c>
    </row>
    <row r="233" customFormat="false" ht="15" hidden="false" customHeight="false" outlineLevel="0" collapsed="false">
      <c r="A233" s="2" t="s">
        <v>1116</v>
      </c>
      <c r="B233" s="2" t="s">
        <v>1117</v>
      </c>
      <c r="C233" s="2" t="s">
        <v>1118</v>
      </c>
      <c r="D233" s="13" t="n">
        <v>45955.3923611111</v>
      </c>
      <c r="E233" s="2" t="s">
        <v>37</v>
      </c>
      <c r="F233" s="2" t="s">
        <v>29</v>
      </c>
      <c r="G233" s="2" t="n">
        <v>2511.57</v>
      </c>
      <c r="H233" s="2" t="n">
        <v>6.67</v>
      </c>
      <c r="I233" s="2" t="s">
        <v>30</v>
      </c>
      <c r="J233" s="2" t="s">
        <v>1119</v>
      </c>
      <c r="K233" s="2" t="s">
        <v>95</v>
      </c>
      <c r="L233" s="2" t="s">
        <v>488</v>
      </c>
      <c r="M233" s="2"/>
    </row>
    <row r="234" customFormat="false" ht="15" hidden="false" customHeight="false" outlineLevel="0" collapsed="false">
      <c r="A234" s="2" t="s">
        <v>1120</v>
      </c>
      <c r="B234" s="2" t="s">
        <v>1094</v>
      </c>
      <c r="C234" s="2" t="s">
        <v>1095</v>
      </c>
      <c r="D234" s="13" t="n">
        <v>45877.6847222222</v>
      </c>
      <c r="E234" s="2" t="s">
        <v>35</v>
      </c>
      <c r="F234" s="2" t="s">
        <v>31</v>
      </c>
      <c r="G234" s="2" t="n">
        <v>11385.4</v>
      </c>
      <c r="H234" s="2" t="n">
        <v>34.62</v>
      </c>
      <c r="I234" s="2" t="s">
        <v>26</v>
      </c>
      <c r="J234" s="2" t="s">
        <v>1121</v>
      </c>
      <c r="K234" s="2" t="s">
        <v>89</v>
      </c>
      <c r="L234" s="2" t="s">
        <v>1122</v>
      </c>
      <c r="M234" s="2"/>
    </row>
    <row r="235" customFormat="false" ht="15" hidden="false" customHeight="false" outlineLevel="0" collapsed="false">
      <c r="A235" s="2" t="s">
        <v>1123</v>
      </c>
      <c r="B235" s="2" t="s">
        <v>1124</v>
      </c>
      <c r="C235" s="2" t="s">
        <v>1125</v>
      </c>
      <c r="D235" s="13" t="n">
        <v>45691.6944444445</v>
      </c>
      <c r="E235" s="2" t="s">
        <v>35</v>
      </c>
      <c r="F235" s="2" t="s">
        <v>31</v>
      </c>
      <c r="G235" s="2" t="n">
        <v>3002.68</v>
      </c>
      <c r="H235" s="2" t="n">
        <v>28.53</v>
      </c>
      <c r="I235" s="2" t="s">
        <v>26</v>
      </c>
      <c r="J235" s="2" t="s">
        <v>1126</v>
      </c>
      <c r="K235" s="2" t="s">
        <v>122</v>
      </c>
      <c r="L235" s="2" t="s">
        <v>1127</v>
      </c>
      <c r="M235" s="2"/>
    </row>
    <row r="236" customFormat="false" ht="15" hidden="false" customHeight="false" outlineLevel="0" collapsed="false">
      <c r="A236" s="2" t="s">
        <v>1128</v>
      </c>
      <c r="B236" s="2" t="s">
        <v>1129</v>
      </c>
      <c r="C236" s="2" t="s">
        <v>1130</v>
      </c>
      <c r="D236" s="13" t="n">
        <v>45526.7645833333</v>
      </c>
      <c r="E236" s="2" t="s">
        <v>39</v>
      </c>
      <c r="F236" s="2" t="s">
        <v>31</v>
      </c>
      <c r="G236" s="2" t="n">
        <v>4410.4</v>
      </c>
      <c r="H236" s="2" t="n">
        <v>17.27</v>
      </c>
      <c r="I236" s="2" t="s">
        <v>26</v>
      </c>
      <c r="J236" s="2" t="s">
        <v>1131</v>
      </c>
      <c r="K236" s="2" t="s">
        <v>122</v>
      </c>
      <c r="L236" s="2" t="s">
        <v>503</v>
      </c>
      <c r="M236" s="2"/>
    </row>
    <row r="237" customFormat="false" ht="15" hidden="false" customHeight="false" outlineLevel="0" collapsed="false">
      <c r="A237" s="2" t="s">
        <v>1132</v>
      </c>
      <c r="B237" s="2" t="s">
        <v>923</v>
      </c>
      <c r="C237" s="2" t="s">
        <v>924</v>
      </c>
      <c r="D237" s="13" t="n">
        <v>45713.6631944445</v>
      </c>
      <c r="E237" s="2" t="s">
        <v>43</v>
      </c>
      <c r="F237" s="2" t="s">
        <v>31</v>
      </c>
      <c r="G237" s="2" t="n">
        <v>1725.62</v>
      </c>
      <c r="H237" s="2" t="n">
        <v>17.51</v>
      </c>
      <c r="I237" s="2" t="s">
        <v>26</v>
      </c>
      <c r="J237" s="2" t="s">
        <v>1133</v>
      </c>
      <c r="K237" s="2" t="s">
        <v>89</v>
      </c>
      <c r="L237" s="2"/>
      <c r="M237" s="2" t="s">
        <v>1134</v>
      </c>
    </row>
    <row r="238" customFormat="false" ht="15" hidden="false" customHeight="false" outlineLevel="0" collapsed="false">
      <c r="A238" s="2" t="s">
        <v>1135</v>
      </c>
      <c r="B238" s="2" t="s">
        <v>1136</v>
      </c>
      <c r="C238" s="2" t="s">
        <v>1137</v>
      </c>
      <c r="D238" s="13" t="n">
        <v>45539.5368055556</v>
      </c>
      <c r="E238" s="2" t="s">
        <v>37</v>
      </c>
      <c r="F238" s="2" t="s">
        <v>31</v>
      </c>
      <c r="G238" s="2" t="n">
        <v>13874.25</v>
      </c>
      <c r="H238" s="2" t="n">
        <v>162.67</v>
      </c>
      <c r="I238" s="2" t="s">
        <v>30</v>
      </c>
      <c r="J238" s="2" t="s">
        <v>1138</v>
      </c>
      <c r="K238" s="2" t="s">
        <v>101</v>
      </c>
      <c r="L238" s="2" t="s">
        <v>1139</v>
      </c>
      <c r="M238" s="2"/>
    </row>
    <row r="239" customFormat="false" ht="15" hidden="false" customHeight="false" outlineLevel="0" collapsed="false">
      <c r="A239" s="2" t="s">
        <v>1140</v>
      </c>
      <c r="B239" s="2" t="s">
        <v>1141</v>
      </c>
      <c r="C239" s="2" t="s">
        <v>1142</v>
      </c>
      <c r="D239" s="13" t="n">
        <v>45588.3708333333</v>
      </c>
      <c r="E239" s="2" t="s">
        <v>35</v>
      </c>
      <c r="F239" s="2" t="s">
        <v>32</v>
      </c>
      <c r="G239" s="2" t="n">
        <v>2565.77</v>
      </c>
      <c r="H239" s="2" t="n">
        <v>10.68</v>
      </c>
      <c r="I239" s="2" t="s">
        <v>28</v>
      </c>
      <c r="J239" s="2" t="s">
        <v>1143</v>
      </c>
      <c r="K239" s="2" t="s">
        <v>101</v>
      </c>
      <c r="L239" s="2" t="s">
        <v>518</v>
      </c>
      <c r="M239" s="2"/>
    </row>
    <row r="240" customFormat="false" ht="15" hidden="false" customHeight="false" outlineLevel="0" collapsed="false">
      <c r="A240" s="2" t="s">
        <v>1144</v>
      </c>
      <c r="B240" s="2" t="s">
        <v>1145</v>
      </c>
      <c r="C240" s="2" t="s">
        <v>1146</v>
      </c>
      <c r="D240" s="13" t="n">
        <v>45614.4340277778</v>
      </c>
      <c r="E240" s="2" t="s">
        <v>39</v>
      </c>
      <c r="F240" s="2" t="s">
        <v>31</v>
      </c>
      <c r="G240" s="2" t="n">
        <v>30562.95</v>
      </c>
      <c r="H240" s="2" t="n">
        <v>307.45</v>
      </c>
      <c r="I240" s="2" t="s">
        <v>30</v>
      </c>
      <c r="J240" s="2" t="s">
        <v>1147</v>
      </c>
      <c r="K240" s="2" t="s">
        <v>122</v>
      </c>
      <c r="L240" s="2" t="s">
        <v>523</v>
      </c>
      <c r="M240" s="2"/>
    </row>
    <row r="241" customFormat="false" ht="15" hidden="false" customHeight="false" outlineLevel="0" collapsed="false">
      <c r="A241" s="2" t="s">
        <v>1148</v>
      </c>
      <c r="B241" s="2" t="s">
        <v>1149</v>
      </c>
      <c r="C241" s="2" t="s">
        <v>1150</v>
      </c>
      <c r="D241" s="13" t="n">
        <v>45769.4402777778</v>
      </c>
      <c r="E241" s="2" t="s">
        <v>37</v>
      </c>
      <c r="F241" s="2" t="s">
        <v>32</v>
      </c>
      <c r="G241" s="2" t="n">
        <v>2467.98</v>
      </c>
      <c r="H241" s="2" t="n">
        <v>21.69</v>
      </c>
      <c r="I241" s="2" t="s">
        <v>26</v>
      </c>
      <c r="J241" s="2" t="s">
        <v>1151</v>
      </c>
      <c r="K241" s="2" t="s">
        <v>122</v>
      </c>
      <c r="L241" s="2" t="s">
        <v>1152</v>
      </c>
      <c r="M241" s="2"/>
    </row>
    <row r="242" customFormat="false" ht="15" hidden="false" customHeight="false" outlineLevel="0" collapsed="false">
      <c r="A242" s="2" t="s">
        <v>1153</v>
      </c>
      <c r="B242" s="2" t="s">
        <v>1154</v>
      </c>
      <c r="C242" s="2" t="s">
        <v>1155</v>
      </c>
      <c r="D242" s="13" t="n">
        <v>45622.5847222222</v>
      </c>
      <c r="E242" s="2" t="s">
        <v>35</v>
      </c>
      <c r="F242" s="2" t="s">
        <v>27</v>
      </c>
      <c r="G242" s="2" t="n">
        <v>25543.89</v>
      </c>
      <c r="H242" s="2" t="n">
        <v>180.06</v>
      </c>
      <c r="I242" s="2" t="s">
        <v>26</v>
      </c>
      <c r="J242" s="2" t="s">
        <v>1156</v>
      </c>
      <c r="K242" s="2" t="s">
        <v>122</v>
      </c>
      <c r="L242" s="2"/>
      <c r="M242" s="2" t="s">
        <v>1157</v>
      </c>
    </row>
    <row r="243" customFormat="false" ht="15" hidden="false" customHeight="false" outlineLevel="0" collapsed="false">
      <c r="A243" s="2" t="s">
        <v>1158</v>
      </c>
      <c r="B243" s="2" t="s">
        <v>673</v>
      </c>
      <c r="C243" s="2" t="s">
        <v>674</v>
      </c>
      <c r="D243" s="13" t="n">
        <v>45804.8673611111</v>
      </c>
      <c r="E243" s="2" t="s">
        <v>39</v>
      </c>
      <c r="F243" s="2" t="s">
        <v>32</v>
      </c>
      <c r="G243" s="2" t="n">
        <v>7808.36</v>
      </c>
      <c r="H243" s="2" t="n">
        <v>85.25</v>
      </c>
      <c r="I243" s="2" t="s">
        <v>26</v>
      </c>
      <c r="J243" s="2" t="s">
        <v>1159</v>
      </c>
      <c r="K243" s="2" t="s">
        <v>89</v>
      </c>
      <c r="L243" s="2" t="s">
        <v>1160</v>
      </c>
      <c r="M243" s="2"/>
    </row>
    <row r="244" customFormat="false" ht="15" hidden="false" customHeight="false" outlineLevel="0" collapsed="false">
      <c r="A244" s="2" t="s">
        <v>1161</v>
      </c>
      <c r="B244" s="2" t="s">
        <v>1162</v>
      </c>
      <c r="C244" s="2" t="s">
        <v>1163</v>
      </c>
      <c r="D244" s="13" t="n">
        <v>45322.43125</v>
      </c>
      <c r="E244" s="2" t="s">
        <v>43</v>
      </c>
      <c r="F244" s="2" t="s">
        <v>31</v>
      </c>
      <c r="G244" s="2" t="n">
        <v>6893.27</v>
      </c>
      <c r="H244" s="2" t="n">
        <v>22.6</v>
      </c>
      <c r="I244" s="2" t="s">
        <v>26</v>
      </c>
      <c r="J244" s="2" t="s">
        <v>1164</v>
      </c>
      <c r="K244" s="2" t="s">
        <v>122</v>
      </c>
      <c r="L244" s="2"/>
      <c r="M244" s="2" t="s">
        <v>762</v>
      </c>
    </row>
    <row r="245" customFormat="false" ht="15" hidden="false" customHeight="false" outlineLevel="0" collapsed="false">
      <c r="A245" s="2" t="s">
        <v>1165</v>
      </c>
      <c r="B245" s="2" t="s">
        <v>1166</v>
      </c>
      <c r="C245" s="2" t="s">
        <v>1167</v>
      </c>
      <c r="D245" s="13" t="n">
        <v>45775.9277777778</v>
      </c>
      <c r="E245" s="2" t="s">
        <v>37</v>
      </c>
      <c r="F245" s="2" t="s">
        <v>31</v>
      </c>
      <c r="G245" s="2" t="n">
        <v>37144.45</v>
      </c>
      <c r="H245" s="2" t="n">
        <v>295.7</v>
      </c>
      <c r="I245" s="2" t="s">
        <v>28</v>
      </c>
      <c r="J245" s="2" t="s">
        <v>1168</v>
      </c>
      <c r="K245" s="2" t="s">
        <v>95</v>
      </c>
      <c r="L245" s="2" t="s">
        <v>1169</v>
      </c>
      <c r="M245" s="2"/>
    </row>
    <row r="246" customFormat="false" ht="15" hidden="false" customHeight="false" outlineLevel="0" collapsed="false">
      <c r="A246" s="2" t="s">
        <v>1170</v>
      </c>
      <c r="B246" s="2" t="s">
        <v>1171</v>
      </c>
      <c r="C246" s="2" t="s">
        <v>1172</v>
      </c>
      <c r="D246" s="13" t="n">
        <v>45668.7555555556</v>
      </c>
      <c r="E246" s="2" t="s">
        <v>43</v>
      </c>
      <c r="F246" s="2" t="s">
        <v>29</v>
      </c>
      <c r="G246" s="2" t="n">
        <v>10188.06</v>
      </c>
      <c r="H246" s="2" t="n">
        <v>109.1</v>
      </c>
      <c r="I246" s="2" t="s">
        <v>26</v>
      </c>
      <c r="J246" s="2" t="s">
        <v>1173</v>
      </c>
      <c r="K246" s="2" t="s">
        <v>101</v>
      </c>
      <c r="L246" s="2"/>
      <c r="M246" s="2" t="s">
        <v>1174</v>
      </c>
    </row>
    <row r="247" customFormat="false" ht="15" hidden="false" customHeight="false" outlineLevel="0" collapsed="false">
      <c r="A247" s="2" t="s">
        <v>1175</v>
      </c>
      <c r="B247" s="2" t="s">
        <v>1176</v>
      </c>
      <c r="C247" s="2" t="s">
        <v>1177</v>
      </c>
      <c r="D247" s="13" t="n">
        <v>45528.8145833333</v>
      </c>
      <c r="E247" s="2" t="s">
        <v>37</v>
      </c>
      <c r="F247" s="2" t="s">
        <v>32</v>
      </c>
      <c r="G247" s="2" t="n">
        <v>3165.34</v>
      </c>
      <c r="H247" s="2" t="n">
        <v>24.9</v>
      </c>
      <c r="I247" s="2" t="s">
        <v>26</v>
      </c>
      <c r="J247" s="2" t="s">
        <v>1178</v>
      </c>
      <c r="K247" s="2" t="s">
        <v>95</v>
      </c>
      <c r="L247" s="2" t="s">
        <v>556</v>
      </c>
      <c r="M247" s="2"/>
    </row>
    <row r="248" customFormat="false" ht="15" hidden="false" customHeight="false" outlineLevel="0" collapsed="false">
      <c r="A248" s="2" t="s">
        <v>1179</v>
      </c>
      <c r="B248" s="2" t="s">
        <v>1180</v>
      </c>
      <c r="C248" s="2" t="s">
        <v>1181</v>
      </c>
      <c r="D248" s="13" t="n">
        <v>45512.4611111111</v>
      </c>
      <c r="E248" s="2" t="s">
        <v>39</v>
      </c>
      <c r="F248" s="2" t="s">
        <v>31</v>
      </c>
      <c r="G248" s="2" t="n">
        <v>2175.68</v>
      </c>
      <c r="H248" s="2" t="n">
        <v>11.7</v>
      </c>
      <c r="I248" s="2" t="s">
        <v>26</v>
      </c>
      <c r="J248" s="2" t="s">
        <v>1182</v>
      </c>
      <c r="K248" s="2" t="s">
        <v>89</v>
      </c>
      <c r="L248" s="2" t="s">
        <v>1183</v>
      </c>
      <c r="M248" s="2"/>
    </row>
    <row r="249" customFormat="false" ht="15" hidden="false" customHeight="false" outlineLevel="0" collapsed="false">
      <c r="A249" s="2" t="s">
        <v>1184</v>
      </c>
      <c r="B249" s="2" t="s">
        <v>918</v>
      </c>
      <c r="C249" s="2" t="s">
        <v>919</v>
      </c>
      <c r="D249" s="13" t="n">
        <v>45593.48125</v>
      </c>
      <c r="E249" s="2" t="s">
        <v>35</v>
      </c>
      <c r="F249" s="2" t="s">
        <v>31</v>
      </c>
      <c r="G249" s="2" t="n">
        <v>11429.32</v>
      </c>
      <c r="H249" s="2" t="n">
        <v>27.76</v>
      </c>
      <c r="I249" s="2" t="s">
        <v>26</v>
      </c>
      <c r="J249" s="2" t="s">
        <v>1185</v>
      </c>
      <c r="K249" s="2" t="s">
        <v>95</v>
      </c>
      <c r="L249" s="2" t="s">
        <v>566</v>
      </c>
      <c r="M249" s="2"/>
    </row>
    <row r="250" customFormat="false" ht="15" hidden="false" customHeight="false" outlineLevel="0" collapsed="false">
      <c r="A250" s="2" t="s">
        <v>1186</v>
      </c>
      <c r="B250" s="2" t="s">
        <v>1187</v>
      </c>
      <c r="C250" s="2" t="s">
        <v>1188</v>
      </c>
      <c r="D250" s="13" t="n">
        <v>45696.8520833333</v>
      </c>
      <c r="E250" s="2" t="s">
        <v>37</v>
      </c>
      <c r="F250" s="2" t="s">
        <v>31</v>
      </c>
      <c r="G250" s="2" t="n">
        <v>4174.29</v>
      </c>
      <c r="H250" s="2" t="n">
        <v>39.5</v>
      </c>
      <c r="I250" s="2" t="s">
        <v>26</v>
      </c>
      <c r="J250" s="2" t="s">
        <v>1189</v>
      </c>
      <c r="K250" s="2" t="s">
        <v>95</v>
      </c>
      <c r="L250" s="2" t="s">
        <v>1190</v>
      </c>
      <c r="M250" s="2"/>
    </row>
    <row r="251" customFormat="false" ht="15" hidden="false" customHeight="false" outlineLevel="0" collapsed="false">
      <c r="A251" s="2" t="s">
        <v>1191</v>
      </c>
      <c r="B251" s="2" t="s">
        <v>1192</v>
      </c>
      <c r="C251" s="2" t="s">
        <v>1193</v>
      </c>
      <c r="D251" s="13" t="n">
        <v>45348.5576388889</v>
      </c>
      <c r="E251" s="2" t="s">
        <v>39</v>
      </c>
      <c r="F251" s="2" t="s">
        <v>27</v>
      </c>
      <c r="G251" s="2" t="n">
        <v>791.85</v>
      </c>
      <c r="H251" s="2" t="n">
        <v>5</v>
      </c>
      <c r="I251" s="2" t="s">
        <v>26</v>
      </c>
      <c r="J251" s="2" t="s">
        <v>1194</v>
      </c>
      <c r="K251" s="2" t="s">
        <v>122</v>
      </c>
      <c r="L251" s="2"/>
      <c r="M251" s="2" t="s">
        <v>328</v>
      </c>
    </row>
    <row r="252" customFormat="false" ht="15" hidden="false" customHeight="false" outlineLevel="0" collapsed="false">
      <c r="A252" s="2" t="s">
        <v>1195</v>
      </c>
      <c r="B252" s="2" t="s">
        <v>1196</v>
      </c>
      <c r="C252" s="2" t="s">
        <v>1197</v>
      </c>
      <c r="D252" s="13" t="n">
        <v>45620.5458333333</v>
      </c>
      <c r="E252" s="2" t="s">
        <v>37</v>
      </c>
      <c r="F252" s="2" t="s">
        <v>32</v>
      </c>
      <c r="G252" s="2" t="n">
        <v>2122.03</v>
      </c>
      <c r="H252" s="2" t="n">
        <v>5.35</v>
      </c>
      <c r="I252" s="2" t="s">
        <v>26</v>
      </c>
      <c r="J252" s="2" t="s">
        <v>1198</v>
      </c>
      <c r="K252" s="2" t="s">
        <v>89</v>
      </c>
      <c r="L252" s="2" t="s">
        <v>1199</v>
      </c>
      <c r="M252" s="2"/>
    </row>
    <row r="253" customFormat="false" ht="15" hidden="false" customHeight="false" outlineLevel="0" collapsed="false">
      <c r="A253" s="2" t="s">
        <v>1200</v>
      </c>
      <c r="B253" s="2" t="s">
        <v>1201</v>
      </c>
      <c r="C253" s="2" t="s">
        <v>1202</v>
      </c>
      <c r="D253" s="13" t="n">
        <v>45933.9354166667</v>
      </c>
      <c r="E253" s="2" t="s">
        <v>41</v>
      </c>
      <c r="F253" s="2" t="s">
        <v>29</v>
      </c>
      <c r="G253" s="2" t="n">
        <v>14302.05</v>
      </c>
      <c r="H253" s="2" t="n">
        <v>49</v>
      </c>
      <c r="I253" s="2" t="s">
        <v>26</v>
      </c>
      <c r="J253" s="2" t="s">
        <v>1203</v>
      </c>
      <c r="K253" s="2" t="s">
        <v>89</v>
      </c>
      <c r="L253" s="2" t="s">
        <v>584</v>
      </c>
      <c r="M253" s="2"/>
    </row>
    <row r="254" customFormat="false" ht="15" hidden="false" customHeight="false" outlineLevel="0" collapsed="false">
      <c r="A254" s="2" t="s">
        <v>1204</v>
      </c>
      <c r="B254" s="2" t="s">
        <v>1205</v>
      </c>
      <c r="C254" s="2" t="s">
        <v>1206</v>
      </c>
      <c r="D254" s="13" t="n">
        <v>45539.70625</v>
      </c>
      <c r="E254" s="2" t="s">
        <v>41</v>
      </c>
      <c r="F254" s="2" t="s">
        <v>29</v>
      </c>
      <c r="G254" s="2" t="n">
        <v>6334.12</v>
      </c>
      <c r="H254" s="2" t="n">
        <v>75.07</v>
      </c>
      <c r="I254" s="2" t="s">
        <v>26</v>
      </c>
      <c r="J254" s="2" t="s">
        <v>1207</v>
      </c>
      <c r="K254" s="2" t="s">
        <v>95</v>
      </c>
      <c r="L254" s="2" t="s">
        <v>589</v>
      </c>
      <c r="M254" s="2"/>
    </row>
    <row r="255" customFormat="false" ht="15" hidden="false" customHeight="false" outlineLevel="0" collapsed="false">
      <c r="A255" s="2" t="s">
        <v>1208</v>
      </c>
      <c r="B255" s="2" t="s">
        <v>1209</v>
      </c>
      <c r="C255" s="2" t="s">
        <v>1210</v>
      </c>
      <c r="D255" s="13" t="n">
        <v>45975.4763888889</v>
      </c>
      <c r="E255" s="2" t="s">
        <v>39</v>
      </c>
      <c r="F255" s="2" t="s">
        <v>31</v>
      </c>
      <c r="G255" s="2" t="n">
        <v>1456.56</v>
      </c>
      <c r="H255" s="2" t="n">
        <v>8.37</v>
      </c>
      <c r="I255" s="2" t="s">
        <v>26</v>
      </c>
      <c r="J255" s="2" t="s">
        <v>1211</v>
      </c>
      <c r="K255" s="2" t="s">
        <v>101</v>
      </c>
      <c r="L255" s="2" t="s">
        <v>1212</v>
      </c>
      <c r="M255" s="2"/>
    </row>
    <row r="256" customFormat="false" ht="15" hidden="false" customHeight="false" outlineLevel="0" collapsed="false">
      <c r="A256" s="2" t="s">
        <v>1213</v>
      </c>
      <c r="B256" s="2" t="s">
        <v>1214</v>
      </c>
      <c r="C256" s="2" t="s">
        <v>1215</v>
      </c>
      <c r="D256" s="13" t="n">
        <v>45999.3180555556</v>
      </c>
      <c r="E256" s="2" t="s">
        <v>43</v>
      </c>
      <c r="F256" s="2" t="s">
        <v>31</v>
      </c>
      <c r="G256" s="2" t="n">
        <v>12360.85</v>
      </c>
      <c r="H256" s="2" t="n">
        <v>147.49</v>
      </c>
      <c r="I256" s="2" t="s">
        <v>26</v>
      </c>
      <c r="J256" s="2" t="s">
        <v>1216</v>
      </c>
      <c r="K256" s="2" t="s">
        <v>101</v>
      </c>
      <c r="L256" s="2"/>
      <c r="M256" s="2" t="s">
        <v>1217</v>
      </c>
    </row>
    <row r="257" customFormat="false" ht="15" hidden="false" customHeight="false" outlineLevel="0" collapsed="false">
      <c r="A257" s="2" t="s">
        <v>1218</v>
      </c>
      <c r="B257" s="2" t="s">
        <v>1219</v>
      </c>
      <c r="C257" s="2" t="s">
        <v>1220</v>
      </c>
      <c r="D257" s="13" t="n">
        <v>45478.3229166667</v>
      </c>
      <c r="E257" s="2" t="s">
        <v>43</v>
      </c>
      <c r="F257" s="2" t="s">
        <v>27</v>
      </c>
      <c r="G257" s="2" t="n">
        <v>4771.62</v>
      </c>
      <c r="H257" s="2" t="n">
        <v>45.63</v>
      </c>
      <c r="I257" s="2" t="s">
        <v>28</v>
      </c>
      <c r="J257" s="2" t="s">
        <v>1221</v>
      </c>
      <c r="K257" s="2" t="s">
        <v>122</v>
      </c>
      <c r="L257" s="2"/>
      <c r="M257" s="2" t="s">
        <v>817</v>
      </c>
    </row>
    <row r="258" customFormat="false" ht="15" hidden="false" customHeight="false" outlineLevel="0" collapsed="false">
      <c r="A258" s="2" t="s">
        <v>1222</v>
      </c>
      <c r="B258" s="2" t="s">
        <v>1223</v>
      </c>
      <c r="C258" s="2" t="s">
        <v>1224</v>
      </c>
      <c r="D258" s="13" t="n">
        <v>45964.7034722222</v>
      </c>
      <c r="E258" s="2" t="s">
        <v>37</v>
      </c>
      <c r="F258" s="2" t="s">
        <v>31</v>
      </c>
      <c r="G258" s="2" t="n">
        <v>5057.76</v>
      </c>
      <c r="H258" s="2" t="n">
        <v>40.48</v>
      </c>
      <c r="I258" s="2" t="s">
        <v>28</v>
      </c>
      <c r="J258" s="2" t="s">
        <v>1225</v>
      </c>
      <c r="K258" s="2" t="s">
        <v>101</v>
      </c>
      <c r="L258" s="2" t="s">
        <v>607</v>
      </c>
      <c r="M258" s="2"/>
    </row>
    <row r="259" customFormat="false" ht="15" hidden="false" customHeight="false" outlineLevel="0" collapsed="false">
      <c r="A259" s="2" t="s">
        <v>1226</v>
      </c>
      <c r="B259" s="2" t="s">
        <v>1227</v>
      </c>
      <c r="C259" s="2" t="s">
        <v>1228</v>
      </c>
      <c r="D259" s="13" t="n">
        <v>45840.7756944444</v>
      </c>
      <c r="E259" s="2" t="s">
        <v>39</v>
      </c>
      <c r="F259" s="2" t="s">
        <v>29</v>
      </c>
      <c r="G259" s="2" t="n">
        <v>2111.03</v>
      </c>
      <c r="H259" s="2" t="n">
        <v>6.4</v>
      </c>
      <c r="I259" s="2" t="s">
        <v>28</v>
      </c>
      <c r="J259" s="2" t="s">
        <v>1229</v>
      </c>
      <c r="K259" s="2" t="s">
        <v>95</v>
      </c>
      <c r="L259" s="2" t="s">
        <v>612</v>
      </c>
      <c r="M259" s="2"/>
    </row>
    <row r="260" customFormat="false" ht="15" hidden="false" customHeight="false" outlineLevel="0" collapsed="false">
      <c r="A260" s="2" t="s">
        <v>1230</v>
      </c>
      <c r="B260" s="2" t="s">
        <v>759</v>
      </c>
      <c r="C260" s="2" t="s">
        <v>760</v>
      </c>
      <c r="D260" s="13" t="n">
        <v>45471.5458333333</v>
      </c>
      <c r="E260" s="2" t="s">
        <v>35</v>
      </c>
      <c r="F260" s="2" t="s">
        <v>32</v>
      </c>
      <c r="G260" s="2" t="n">
        <v>343.63</v>
      </c>
      <c r="H260" s="2" t="n">
        <v>5</v>
      </c>
      <c r="I260" s="2" t="s">
        <v>26</v>
      </c>
      <c r="J260" s="2" t="s">
        <v>1231</v>
      </c>
      <c r="K260" s="2" t="s">
        <v>122</v>
      </c>
      <c r="L260" s="2" t="s">
        <v>1232</v>
      </c>
      <c r="M260" s="2"/>
    </row>
    <row r="261" customFormat="false" ht="15" hidden="false" customHeight="false" outlineLevel="0" collapsed="false">
      <c r="A261" s="2" t="s">
        <v>1233</v>
      </c>
      <c r="B261" s="2" t="s">
        <v>1234</v>
      </c>
      <c r="C261" s="2" t="s">
        <v>1235</v>
      </c>
      <c r="D261" s="13" t="n">
        <v>45865.3513888889</v>
      </c>
      <c r="E261" s="2" t="s">
        <v>41</v>
      </c>
      <c r="F261" s="2" t="s">
        <v>27</v>
      </c>
      <c r="G261" s="2" t="n">
        <v>4987.03</v>
      </c>
      <c r="H261" s="2" t="n">
        <v>37.8</v>
      </c>
      <c r="I261" s="2" t="s">
        <v>30</v>
      </c>
      <c r="J261" s="2" t="s">
        <v>1236</v>
      </c>
      <c r="K261" s="2" t="s">
        <v>89</v>
      </c>
      <c r="L261" s="2"/>
      <c r="M261" s="2" t="s">
        <v>378</v>
      </c>
    </row>
    <row r="262" customFormat="false" ht="15" hidden="false" customHeight="false" outlineLevel="0" collapsed="false">
      <c r="A262" s="2" t="s">
        <v>1237</v>
      </c>
      <c r="B262" s="2" t="s">
        <v>1238</v>
      </c>
      <c r="C262" s="2" t="s">
        <v>1239</v>
      </c>
      <c r="D262" s="13" t="n">
        <v>45719.3201388889</v>
      </c>
      <c r="E262" s="2" t="s">
        <v>41</v>
      </c>
      <c r="F262" s="2" t="s">
        <v>32</v>
      </c>
      <c r="G262" s="2" t="n">
        <v>2705.58</v>
      </c>
      <c r="H262" s="2" t="n">
        <v>13.78</v>
      </c>
      <c r="I262" s="2" t="s">
        <v>26</v>
      </c>
      <c r="J262" s="2" t="s">
        <v>1240</v>
      </c>
      <c r="K262" s="2" t="s">
        <v>101</v>
      </c>
      <c r="L262" s="2" t="s">
        <v>1241</v>
      </c>
      <c r="M262" s="2"/>
    </row>
    <row r="263" customFormat="false" ht="15" hidden="false" customHeight="false" outlineLevel="0" collapsed="false">
      <c r="A263" s="2" t="s">
        <v>1242</v>
      </c>
      <c r="B263" s="2" t="s">
        <v>1243</v>
      </c>
      <c r="C263" s="2" t="s">
        <v>1244</v>
      </c>
      <c r="D263" s="13" t="n">
        <v>45541.4875</v>
      </c>
      <c r="E263" s="2" t="s">
        <v>43</v>
      </c>
      <c r="F263" s="2" t="s">
        <v>27</v>
      </c>
      <c r="G263" s="2" t="n">
        <v>1873.22</v>
      </c>
      <c r="H263" s="2" t="n">
        <v>16.77</v>
      </c>
      <c r="I263" s="2" t="s">
        <v>26</v>
      </c>
      <c r="J263" s="2" t="s">
        <v>1245</v>
      </c>
      <c r="K263" s="2" t="s">
        <v>89</v>
      </c>
      <c r="L263" s="2"/>
      <c r="M263" s="2" t="s">
        <v>388</v>
      </c>
    </row>
    <row r="264" customFormat="false" ht="15" hidden="false" customHeight="false" outlineLevel="0" collapsed="false">
      <c r="A264" s="2" t="s">
        <v>1246</v>
      </c>
      <c r="B264" s="2" t="s">
        <v>1247</v>
      </c>
      <c r="C264" s="2" t="s">
        <v>1248</v>
      </c>
      <c r="D264" s="13" t="n">
        <v>45442.8173611111</v>
      </c>
      <c r="E264" s="2" t="s">
        <v>35</v>
      </c>
      <c r="F264" s="2" t="s">
        <v>31</v>
      </c>
      <c r="G264" s="2" t="n">
        <v>10839.17</v>
      </c>
      <c r="H264" s="2" t="n">
        <v>37.57</v>
      </c>
      <c r="I264" s="2" t="s">
        <v>28</v>
      </c>
      <c r="J264" s="2" t="s">
        <v>1249</v>
      </c>
      <c r="K264" s="2" t="s">
        <v>122</v>
      </c>
      <c r="L264" s="2" t="s">
        <v>637</v>
      </c>
      <c r="M264" s="2"/>
    </row>
    <row r="265" customFormat="false" ht="15" hidden="false" customHeight="false" outlineLevel="0" collapsed="false">
      <c r="A265" s="2" t="s">
        <v>1250</v>
      </c>
      <c r="B265" s="2" t="s">
        <v>1251</v>
      </c>
      <c r="C265" s="2" t="s">
        <v>1252</v>
      </c>
      <c r="D265" s="13" t="n">
        <v>45679.7680555556</v>
      </c>
      <c r="E265" s="2" t="s">
        <v>43</v>
      </c>
      <c r="F265" s="2" t="s">
        <v>27</v>
      </c>
      <c r="G265" s="2" t="n">
        <v>74735.83</v>
      </c>
      <c r="H265" s="2" t="n">
        <v>311.37</v>
      </c>
      <c r="I265" s="2" t="s">
        <v>26</v>
      </c>
      <c r="J265" s="2" t="s">
        <v>1253</v>
      </c>
      <c r="K265" s="2" t="s">
        <v>89</v>
      </c>
      <c r="L265" s="2"/>
      <c r="M265" s="2" t="s">
        <v>398</v>
      </c>
    </row>
    <row r="266" customFormat="false" ht="15" hidden="false" customHeight="false" outlineLevel="0" collapsed="false">
      <c r="A266" s="2" t="s">
        <v>1254</v>
      </c>
      <c r="B266" s="2" t="s">
        <v>1090</v>
      </c>
      <c r="C266" s="2" t="s">
        <v>1091</v>
      </c>
      <c r="D266" s="13" t="n">
        <v>45994.4923611111</v>
      </c>
      <c r="E266" s="2" t="s">
        <v>39</v>
      </c>
      <c r="F266" s="2" t="s">
        <v>29</v>
      </c>
      <c r="G266" s="2" t="n">
        <v>1303.9</v>
      </c>
      <c r="H266" s="2" t="n">
        <v>10.06</v>
      </c>
      <c r="I266" s="2" t="s">
        <v>26</v>
      </c>
      <c r="J266" s="2" t="s">
        <v>1255</v>
      </c>
      <c r="K266" s="2" t="s">
        <v>101</v>
      </c>
      <c r="L266" s="2" t="s">
        <v>645</v>
      </c>
      <c r="M266" s="2"/>
    </row>
    <row r="267" customFormat="false" ht="15" hidden="false" customHeight="false" outlineLevel="0" collapsed="false">
      <c r="A267" s="2" t="s">
        <v>1256</v>
      </c>
      <c r="B267" s="2" t="s">
        <v>1257</v>
      </c>
      <c r="C267" s="2" t="s">
        <v>1258</v>
      </c>
      <c r="D267" s="13" t="n">
        <v>45846.46875</v>
      </c>
      <c r="E267" s="2" t="s">
        <v>35</v>
      </c>
      <c r="F267" s="2" t="s">
        <v>31</v>
      </c>
      <c r="G267" s="2" t="n">
        <v>7805.12</v>
      </c>
      <c r="H267" s="2" t="n">
        <v>81.94</v>
      </c>
      <c r="I267" s="2" t="s">
        <v>26</v>
      </c>
      <c r="J267" s="2" t="s">
        <v>1259</v>
      </c>
      <c r="K267" s="2" t="s">
        <v>95</v>
      </c>
      <c r="L267" s="2" t="s">
        <v>648</v>
      </c>
      <c r="M267" s="2"/>
    </row>
    <row r="268" customFormat="false" ht="15" hidden="false" customHeight="false" outlineLevel="0" collapsed="false">
      <c r="A268" s="2" t="s">
        <v>1260</v>
      </c>
      <c r="B268" s="2" t="s">
        <v>553</v>
      </c>
      <c r="C268" s="2" t="s">
        <v>554</v>
      </c>
      <c r="D268" s="13" t="n">
        <v>45521.2916666667</v>
      </c>
      <c r="E268" s="2" t="s">
        <v>37</v>
      </c>
      <c r="F268" s="2" t="s">
        <v>31</v>
      </c>
      <c r="G268" s="2" t="n">
        <v>7272.8</v>
      </c>
      <c r="H268" s="2" t="n">
        <v>58.21</v>
      </c>
      <c r="I268" s="2" t="s">
        <v>26</v>
      </c>
      <c r="J268" s="2" t="s">
        <v>1261</v>
      </c>
      <c r="K268" s="2" t="s">
        <v>89</v>
      </c>
      <c r="L268" s="2" t="s">
        <v>1262</v>
      </c>
      <c r="M268" s="2"/>
    </row>
    <row r="269" customFormat="false" ht="15" hidden="false" customHeight="false" outlineLevel="0" collapsed="false">
      <c r="A269" s="2" t="s">
        <v>1263</v>
      </c>
      <c r="B269" s="2" t="s">
        <v>1264</v>
      </c>
      <c r="C269" s="2" t="s">
        <v>1265</v>
      </c>
      <c r="D269" s="13" t="n">
        <v>45688.5444444444</v>
      </c>
      <c r="E269" s="2" t="s">
        <v>39</v>
      </c>
      <c r="F269" s="2" t="s">
        <v>31</v>
      </c>
      <c r="G269" s="2" t="n">
        <v>1651.39</v>
      </c>
      <c r="H269" s="2" t="n">
        <v>13.41</v>
      </c>
      <c r="I269" s="2" t="s">
        <v>26</v>
      </c>
      <c r="J269" s="2" t="s">
        <v>1266</v>
      </c>
      <c r="K269" s="2" t="s">
        <v>122</v>
      </c>
      <c r="L269" s="2" t="s">
        <v>1267</v>
      </c>
      <c r="M269" s="2"/>
    </row>
    <row r="270" customFormat="false" ht="15" hidden="false" customHeight="false" outlineLevel="0" collapsed="false">
      <c r="A270" s="2" t="s">
        <v>1268</v>
      </c>
      <c r="B270" s="2" t="s">
        <v>1269</v>
      </c>
      <c r="C270" s="2" t="s">
        <v>1270</v>
      </c>
      <c r="D270" s="13" t="n">
        <v>45349.6284722222</v>
      </c>
      <c r="E270" s="2" t="s">
        <v>35</v>
      </c>
      <c r="F270" s="2" t="s">
        <v>31</v>
      </c>
      <c r="G270" s="2" t="n">
        <v>1632.1</v>
      </c>
      <c r="H270" s="2" t="n">
        <v>17.26</v>
      </c>
      <c r="I270" s="2" t="s">
        <v>26</v>
      </c>
      <c r="J270" s="2" t="s">
        <v>1271</v>
      </c>
      <c r="K270" s="2" t="s">
        <v>122</v>
      </c>
      <c r="L270" s="2" t="s">
        <v>1272</v>
      </c>
      <c r="M270" s="2"/>
    </row>
    <row r="271" customFormat="false" ht="15" hidden="false" customHeight="false" outlineLevel="0" collapsed="false">
      <c r="A271" s="2" t="s">
        <v>1273</v>
      </c>
      <c r="B271" s="2" t="s">
        <v>1274</v>
      </c>
      <c r="C271" s="2" t="s">
        <v>1275</v>
      </c>
      <c r="D271" s="13" t="n">
        <v>45473.5798611111</v>
      </c>
      <c r="E271" s="2" t="s">
        <v>41</v>
      </c>
      <c r="F271" s="2" t="s">
        <v>31</v>
      </c>
      <c r="G271" s="2" t="n">
        <v>5188.1</v>
      </c>
      <c r="H271" s="2" t="n">
        <v>31.71</v>
      </c>
      <c r="I271" s="2" t="s">
        <v>30</v>
      </c>
      <c r="J271" s="2" t="s">
        <v>1276</v>
      </c>
      <c r="K271" s="2" t="s">
        <v>101</v>
      </c>
      <c r="L271" s="2" t="s">
        <v>1277</v>
      </c>
      <c r="M271" s="2"/>
    </row>
    <row r="272" customFormat="false" ht="15" hidden="false" customHeight="false" outlineLevel="0" collapsed="false">
      <c r="A272" s="2" t="s">
        <v>1278</v>
      </c>
      <c r="B272" s="2" t="s">
        <v>1279</v>
      </c>
      <c r="C272" s="2" t="s">
        <v>1280</v>
      </c>
      <c r="D272" s="13" t="n">
        <v>45944.6368055556</v>
      </c>
      <c r="E272" s="2" t="s">
        <v>35</v>
      </c>
      <c r="F272" s="2" t="s">
        <v>27</v>
      </c>
      <c r="G272" s="2" t="n">
        <v>778.77</v>
      </c>
      <c r="H272" s="2" t="n">
        <v>5.01</v>
      </c>
      <c r="I272" s="2" t="s">
        <v>26</v>
      </c>
      <c r="J272" s="2" t="s">
        <v>1281</v>
      </c>
      <c r="K272" s="2" t="s">
        <v>89</v>
      </c>
      <c r="L272" s="2"/>
      <c r="M272" s="2" t="s">
        <v>1282</v>
      </c>
    </row>
    <row r="273" customFormat="false" ht="15" hidden="false" customHeight="false" outlineLevel="0" collapsed="false">
      <c r="A273" s="2" t="s">
        <v>1283</v>
      </c>
      <c r="B273" s="2" t="s">
        <v>1284</v>
      </c>
      <c r="C273" s="2" t="s">
        <v>1285</v>
      </c>
      <c r="D273" s="13" t="n">
        <v>45751.4902777778</v>
      </c>
      <c r="E273" s="2" t="s">
        <v>43</v>
      </c>
      <c r="F273" s="2" t="s">
        <v>32</v>
      </c>
      <c r="G273" s="2" t="n">
        <v>1197.46</v>
      </c>
      <c r="H273" s="2" t="n">
        <v>10.43</v>
      </c>
      <c r="I273" s="2" t="s">
        <v>26</v>
      </c>
      <c r="J273" s="2" t="s">
        <v>1286</v>
      </c>
      <c r="K273" s="2" t="s">
        <v>89</v>
      </c>
      <c r="L273" s="2"/>
      <c r="M273" s="2" t="s">
        <v>1287</v>
      </c>
    </row>
    <row r="274" customFormat="false" ht="15" hidden="false" customHeight="false" outlineLevel="0" collapsed="false">
      <c r="A274" s="2" t="s">
        <v>1288</v>
      </c>
      <c r="B274" s="2" t="s">
        <v>340</v>
      </c>
      <c r="C274" s="2" t="s">
        <v>341</v>
      </c>
      <c r="D274" s="13" t="n">
        <v>45386.9486111111</v>
      </c>
      <c r="E274" s="2" t="s">
        <v>39</v>
      </c>
      <c r="F274" s="2" t="s">
        <v>32</v>
      </c>
      <c r="G274" s="2" t="n">
        <v>6057.56</v>
      </c>
      <c r="H274" s="2" t="n">
        <v>35.4</v>
      </c>
      <c r="I274" s="2" t="s">
        <v>28</v>
      </c>
      <c r="J274" s="2" t="s">
        <v>1289</v>
      </c>
      <c r="K274" s="2" t="s">
        <v>89</v>
      </c>
      <c r="L274" s="2" t="s">
        <v>681</v>
      </c>
      <c r="M274" s="2"/>
    </row>
    <row r="275" customFormat="false" ht="15" hidden="false" customHeight="false" outlineLevel="0" collapsed="false">
      <c r="A275" s="2" t="s">
        <v>1290</v>
      </c>
      <c r="B275" s="2" t="s">
        <v>1291</v>
      </c>
      <c r="C275" s="2" t="s">
        <v>1292</v>
      </c>
      <c r="D275" s="13" t="n">
        <v>45561.3090277778</v>
      </c>
      <c r="E275" s="2" t="s">
        <v>41</v>
      </c>
      <c r="F275" s="2" t="s">
        <v>29</v>
      </c>
      <c r="G275" s="2" t="n">
        <v>1560.45</v>
      </c>
      <c r="H275" s="2" t="n">
        <v>5</v>
      </c>
      <c r="I275" s="2" t="s">
        <v>26</v>
      </c>
      <c r="J275" s="2" t="s">
        <v>1293</v>
      </c>
      <c r="K275" s="2" t="s">
        <v>95</v>
      </c>
      <c r="L275" s="2" t="s">
        <v>1294</v>
      </c>
      <c r="M275" s="2"/>
    </row>
    <row r="276" customFormat="false" ht="15" hidden="false" customHeight="false" outlineLevel="0" collapsed="false">
      <c r="A276" s="2" t="s">
        <v>1295</v>
      </c>
      <c r="B276" s="2" t="s">
        <v>1296</v>
      </c>
      <c r="C276" s="2" t="s">
        <v>1297</v>
      </c>
      <c r="D276" s="13" t="n">
        <v>45645.7958333333</v>
      </c>
      <c r="E276" s="2" t="s">
        <v>41</v>
      </c>
      <c r="F276" s="2" t="s">
        <v>32</v>
      </c>
      <c r="G276" s="2" t="n">
        <v>1857.99</v>
      </c>
      <c r="H276" s="2" t="n">
        <v>12.34</v>
      </c>
      <c r="I276" s="2" t="s">
        <v>30</v>
      </c>
      <c r="J276" s="2" t="s">
        <v>1298</v>
      </c>
      <c r="K276" s="2" t="s">
        <v>89</v>
      </c>
      <c r="L276" s="2" t="s">
        <v>1299</v>
      </c>
      <c r="M276" s="2"/>
    </row>
    <row r="277" customFormat="false" ht="15" hidden="false" customHeight="false" outlineLevel="0" collapsed="false">
      <c r="A277" s="2" t="s">
        <v>1300</v>
      </c>
      <c r="B277" s="2" t="s">
        <v>1301</v>
      </c>
      <c r="C277" s="2" t="s">
        <v>1302</v>
      </c>
      <c r="D277" s="13" t="n">
        <v>45909.5</v>
      </c>
      <c r="E277" s="2" t="s">
        <v>43</v>
      </c>
      <c r="F277" s="2" t="s">
        <v>29</v>
      </c>
      <c r="G277" s="2" t="n">
        <v>3090.47</v>
      </c>
      <c r="H277" s="2" t="n">
        <v>19.22</v>
      </c>
      <c r="I277" s="2" t="s">
        <v>26</v>
      </c>
      <c r="J277" s="2" t="s">
        <v>1303</v>
      </c>
      <c r="K277" s="2" t="s">
        <v>122</v>
      </c>
      <c r="L277" s="2"/>
      <c r="M277" s="2" t="s">
        <v>1304</v>
      </c>
    </row>
    <row r="278" customFormat="false" ht="15" hidden="false" customHeight="false" outlineLevel="0" collapsed="false">
      <c r="A278" s="2" t="s">
        <v>1305</v>
      </c>
      <c r="B278" s="2" t="s">
        <v>485</v>
      </c>
      <c r="C278" s="2" t="s">
        <v>486</v>
      </c>
      <c r="D278" s="13" t="n">
        <v>45851.7666666667</v>
      </c>
      <c r="E278" s="2" t="s">
        <v>43</v>
      </c>
      <c r="F278" s="2" t="s">
        <v>29</v>
      </c>
      <c r="G278" s="2" t="n">
        <v>1752.63</v>
      </c>
      <c r="H278" s="2" t="n">
        <v>5</v>
      </c>
      <c r="I278" s="2" t="s">
        <v>26</v>
      </c>
      <c r="J278" s="2" t="s">
        <v>1306</v>
      </c>
      <c r="K278" s="2" t="s">
        <v>101</v>
      </c>
      <c r="L278" s="2"/>
      <c r="M278" s="2" t="s">
        <v>463</v>
      </c>
    </row>
    <row r="279" customFormat="false" ht="15" hidden="false" customHeight="false" outlineLevel="0" collapsed="false">
      <c r="A279" s="2" t="s">
        <v>1307</v>
      </c>
      <c r="B279" s="2" t="s">
        <v>1308</v>
      </c>
      <c r="C279" s="2" t="s">
        <v>1309</v>
      </c>
      <c r="D279" s="13" t="n">
        <v>45342.5381944445</v>
      </c>
      <c r="E279" s="2" t="s">
        <v>35</v>
      </c>
      <c r="F279" s="2" t="s">
        <v>31</v>
      </c>
      <c r="G279" s="2" t="n">
        <v>4637.73</v>
      </c>
      <c r="H279" s="2" t="n">
        <v>49.35</v>
      </c>
      <c r="I279" s="2" t="s">
        <v>26</v>
      </c>
      <c r="J279" s="2" t="s">
        <v>1310</v>
      </c>
      <c r="K279" s="2" t="s">
        <v>122</v>
      </c>
      <c r="L279" s="2" t="s">
        <v>1311</v>
      </c>
      <c r="M279" s="2"/>
    </row>
    <row r="280" customFormat="false" ht="15" hidden="false" customHeight="false" outlineLevel="0" collapsed="false">
      <c r="A280" s="2" t="s">
        <v>1312</v>
      </c>
      <c r="B280" s="2" t="s">
        <v>1313</v>
      </c>
      <c r="C280" s="2" t="s">
        <v>1314</v>
      </c>
      <c r="D280" s="13" t="n">
        <v>45583.34375</v>
      </c>
      <c r="E280" s="2" t="s">
        <v>37</v>
      </c>
      <c r="F280" s="2" t="s">
        <v>27</v>
      </c>
      <c r="G280" s="2" t="n">
        <v>3101.38</v>
      </c>
      <c r="H280" s="2" t="n">
        <v>32.01</v>
      </c>
      <c r="I280" s="2" t="s">
        <v>28</v>
      </c>
      <c r="J280" s="2" t="s">
        <v>1315</v>
      </c>
      <c r="K280" s="2" t="s">
        <v>89</v>
      </c>
      <c r="L280" s="2"/>
      <c r="M280" s="2" t="s">
        <v>906</v>
      </c>
    </row>
    <row r="281" customFormat="false" ht="15" hidden="false" customHeight="false" outlineLevel="0" collapsed="false">
      <c r="A281" s="2" t="s">
        <v>1316</v>
      </c>
      <c r="B281" s="2" t="s">
        <v>1317</v>
      </c>
      <c r="C281" s="2" t="s">
        <v>1318</v>
      </c>
      <c r="D281" s="13" t="n">
        <v>45437.9076388889</v>
      </c>
      <c r="E281" s="2" t="s">
        <v>41</v>
      </c>
      <c r="F281" s="2" t="s">
        <v>31</v>
      </c>
      <c r="G281" s="2" t="n">
        <v>18035.09</v>
      </c>
      <c r="H281" s="2" t="n">
        <v>66.79</v>
      </c>
      <c r="I281" s="2" t="s">
        <v>26</v>
      </c>
      <c r="J281" s="2" t="s">
        <v>1319</v>
      </c>
      <c r="K281" s="2" t="s">
        <v>95</v>
      </c>
      <c r="L281" s="2" t="s">
        <v>1320</v>
      </c>
      <c r="M281" s="2"/>
    </row>
    <row r="282" customFormat="false" ht="15" hidden="false" customHeight="false" outlineLevel="0" collapsed="false">
      <c r="A282" s="2" t="s">
        <v>1321</v>
      </c>
      <c r="B282" s="2" t="s">
        <v>1322</v>
      </c>
      <c r="C282" s="2" t="s">
        <v>1323</v>
      </c>
      <c r="D282" s="13" t="n">
        <v>45386.95625</v>
      </c>
      <c r="E282" s="2" t="s">
        <v>41</v>
      </c>
      <c r="F282" s="2" t="s">
        <v>29</v>
      </c>
      <c r="G282" s="2" t="n">
        <v>13175.23</v>
      </c>
      <c r="H282" s="2" t="n">
        <v>50.38</v>
      </c>
      <c r="I282" s="2" t="s">
        <v>28</v>
      </c>
      <c r="J282" s="2" t="s">
        <v>1324</v>
      </c>
      <c r="K282" s="2" t="s">
        <v>122</v>
      </c>
      <c r="L282" s="2" t="s">
        <v>1325</v>
      </c>
      <c r="M282" s="2"/>
    </row>
    <row r="283" customFormat="false" ht="15" hidden="false" customHeight="false" outlineLevel="0" collapsed="false">
      <c r="A283" s="2" t="s">
        <v>1326</v>
      </c>
      <c r="B283" s="2" t="s">
        <v>1327</v>
      </c>
      <c r="C283" s="2" t="s">
        <v>1328</v>
      </c>
      <c r="D283" s="13" t="n">
        <v>45878.7409722222</v>
      </c>
      <c r="E283" s="2" t="s">
        <v>41</v>
      </c>
      <c r="F283" s="2" t="s">
        <v>32</v>
      </c>
      <c r="G283" s="2" t="n">
        <v>7115.86</v>
      </c>
      <c r="H283" s="2" t="n">
        <v>68.16</v>
      </c>
      <c r="I283" s="2" t="s">
        <v>26</v>
      </c>
      <c r="J283" s="2" t="s">
        <v>1329</v>
      </c>
      <c r="K283" s="2" t="s">
        <v>95</v>
      </c>
      <c r="L283" s="2" t="s">
        <v>1330</v>
      </c>
      <c r="M283" s="2"/>
    </row>
    <row r="284" customFormat="false" ht="15" hidden="false" customHeight="false" outlineLevel="0" collapsed="false">
      <c r="A284" s="2" t="s">
        <v>1331</v>
      </c>
      <c r="B284" s="2" t="s">
        <v>1332</v>
      </c>
      <c r="C284" s="2" t="s">
        <v>1333</v>
      </c>
      <c r="D284" s="13" t="n">
        <v>45989.7263888889</v>
      </c>
      <c r="E284" s="2" t="s">
        <v>39</v>
      </c>
      <c r="F284" s="2" t="s">
        <v>27</v>
      </c>
      <c r="G284" s="2" t="n">
        <v>6914.21</v>
      </c>
      <c r="H284" s="2" t="n">
        <v>43.47</v>
      </c>
      <c r="I284" s="2" t="s">
        <v>26</v>
      </c>
      <c r="J284" s="2" t="s">
        <v>1334</v>
      </c>
      <c r="K284" s="2" t="s">
        <v>89</v>
      </c>
      <c r="L284" s="2"/>
      <c r="M284" s="2" t="s">
        <v>493</v>
      </c>
    </row>
    <row r="285" customFormat="false" ht="15" hidden="false" customHeight="false" outlineLevel="0" collapsed="false">
      <c r="A285" s="2" t="s">
        <v>1335</v>
      </c>
      <c r="B285" s="2" t="s">
        <v>1336</v>
      </c>
      <c r="C285" s="2" t="s">
        <v>1337</v>
      </c>
      <c r="D285" s="13" t="n">
        <v>45800.6229166667</v>
      </c>
      <c r="E285" s="2" t="s">
        <v>39</v>
      </c>
      <c r="F285" s="2" t="s">
        <v>29</v>
      </c>
      <c r="G285" s="2" t="n">
        <v>1920.32</v>
      </c>
      <c r="H285" s="2" t="n">
        <v>6.65</v>
      </c>
      <c r="I285" s="2" t="s">
        <v>26</v>
      </c>
      <c r="J285" s="2" t="s">
        <v>1338</v>
      </c>
      <c r="K285" s="2" t="s">
        <v>122</v>
      </c>
      <c r="L285" s="2" t="s">
        <v>1339</v>
      </c>
      <c r="M285" s="2"/>
    </row>
    <row r="286" customFormat="false" ht="15" hidden="false" customHeight="false" outlineLevel="0" collapsed="false">
      <c r="A286" s="2" t="s">
        <v>1340</v>
      </c>
      <c r="B286" s="2" t="s">
        <v>1341</v>
      </c>
      <c r="C286" s="2" t="s">
        <v>1342</v>
      </c>
      <c r="D286" s="13" t="n">
        <v>45439.4041666667</v>
      </c>
      <c r="E286" s="2" t="s">
        <v>35</v>
      </c>
      <c r="F286" s="2" t="s">
        <v>32</v>
      </c>
      <c r="G286" s="2" t="n">
        <v>8210.19</v>
      </c>
      <c r="H286" s="2" t="n">
        <v>68.08</v>
      </c>
      <c r="I286" s="2" t="s">
        <v>26</v>
      </c>
      <c r="J286" s="2" t="s">
        <v>1343</v>
      </c>
      <c r="K286" s="2" t="s">
        <v>122</v>
      </c>
      <c r="L286" s="2" t="s">
        <v>1344</v>
      </c>
      <c r="M286" s="2"/>
    </row>
    <row r="287" customFormat="false" ht="15" hidden="false" customHeight="false" outlineLevel="0" collapsed="false">
      <c r="A287" s="2" t="s">
        <v>1345</v>
      </c>
      <c r="B287" s="2" t="s">
        <v>500</v>
      </c>
      <c r="C287" s="2" t="s">
        <v>501</v>
      </c>
      <c r="D287" s="13" t="n">
        <v>45967.75</v>
      </c>
      <c r="E287" s="2" t="s">
        <v>39</v>
      </c>
      <c r="F287" s="2" t="s">
        <v>29</v>
      </c>
      <c r="G287" s="2" t="n">
        <v>11294.13</v>
      </c>
      <c r="H287" s="2" t="n">
        <v>73.1</v>
      </c>
      <c r="I287" s="2" t="s">
        <v>26</v>
      </c>
      <c r="J287" s="2" t="s">
        <v>1346</v>
      </c>
      <c r="K287" s="2" t="s">
        <v>95</v>
      </c>
      <c r="L287" s="2" t="s">
        <v>731</v>
      </c>
      <c r="M287" s="2"/>
    </row>
    <row r="288" customFormat="false" ht="15" hidden="false" customHeight="false" outlineLevel="0" collapsed="false">
      <c r="A288" s="2" t="s">
        <v>1347</v>
      </c>
      <c r="B288" s="2" t="s">
        <v>1348</v>
      </c>
      <c r="C288" s="2" t="s">
        <v>1349</v>
      </c>
      <c r="D288" s="13" t="n">
        <v>45366.5027777778</v>
      </c>
      <c r="E288" s="2" t="s">
        <v>41</v>
      </c>
      <c r="F288" s="2" t="s">
        <v>27</v>
      </c>
      <c r="G288" s="2" t="n">
        <v>4973.58</v>
      </c>
      <c r="H288" s="2" t="n">
        <v>43.86</v>
      </c>
      <c r="I288" s="2" t="s">
        <v>28</v>
      </c>
      <c r="J288" s="2" t="s">
        <v>1350</v>
      </c>
      <c r="K288" s="2" t="s">
        <v>101</v>
      </c>
      <c r="L288" s="2"/>
      <c r="M288" s="2" t="s">
        <v>513</v>
      </c>
    </row>
    <row r="289" customFormat="false" ht="15" hidden="false" customHeight="false" outlineLevel="0" collapsed="false">
      <c r="A289" s="2" t="s">
        <v>1351</v>
      </c>
      <c r="B289" s="2" t="s">
        <v>1086</v>
      </c>
      <c r="C289" s="2" t="s">
        <v>1087</v>
      </c>
      <c r="D289" s="13" t="n">
        <v>45851.2986111111</v>
      </c>
      <c r="E289" s="2" t="s">
        <v>35</v>
      </c>
      <c r="F289" s="2" t="s">
        <v>29</v>
      </c>
      <c r="G289" s="2" t="n">
        <v>2674.74</v>
      </c>
      <c r="H289" s="2" t="n">
        <v>24.52</v>
      </c>
      <c r="I289" s="2" t="s">
        <v>30</v>
      </c>
      <c r="J289" s="2" t="s">
        <v>1352</v>
      </c>
      <c r="K289" s="2" t="s">
        <v>95</v>
      </c>
      <c r="L289" s="2" t="s">
        <v>738</v>
      </c>
      <c r="M289" s="2"/>
    </row>
    <row r="290" customFormat="false" ht="15" hidden="false" customHeight="false" outlineLevel="0" collapsed="false">
      <c r="A290" s="2" t="s">
        <v>1353</v>
      </c>
      <c r="B290" s="2" t="s">
        <v>1354</v>
      </c>
      <c r="C290" s="2" t="s">
        <v>1355</v>
      </c>
      <c r="D290" s="13" t="n">
        <v>45912.7458333333</v>
      </c>
      <c r="E290" s="2" t="s">
        <v>39</v>
      </c>
      <c r="F290" s="2" t="s">
        <v>29</v>
      </c>
      <c r="G290" s="2" t="n">
        <v>9209.28</v>
      </c>
      <c r="H290" s="2" t="n">
        <v>76.39</v>
      </c>
      <c r="I290" s="2" t="s">
        <v>26</v>
      </c>
      <c r="J290" s="2" t="s">
        <v>1356</v>
      </c>
      <c r="K290" s="2" t="s">
        <v>122</v>
      </c>
      <c r="L290" s="2" t="s">
        <v>743</v>
      </c>
      <c r="M290" s="2"/>
    </row>
    <row r="291" customFormat="false" ht="15" hidden="false" customHeight="false" outlineLevel="0" collapsed="false">
      <c r="A291" s="2" t="s">
        <v>1357</v>
      </c>
      <c r="B291" s="2" t="s">
        <v>1358</v>
      </c>
      <c r="C291" s="2" t="s">
        <v>1359</v>
      </c>
      <c r="D291" s="13" t="n">
        <v>45850.9104166667</v>
      </c>
      <c r="E291" s="2" t="s">
        <v>41</v>
      </c>
      <c r="F291" s="2" t="s">
        <v>27</v>
      </c>
      <c r="G291" s="2" t="n">
        <v>5390.67</v>
      </c>
      <c r="H291" s="2" t="n">
        <v>60.57</v>
      </c>
      <c r="I291" s="2" t="s">
        <v>26</v>
      </c>
      <c r="J291" s="2" t="s">
        <v>1360</v>
      </c>
      <c r="K291" s="2" t="s">
        <v>122</v>
      </c>
      <c r="L291" s="2"/>
      <c r="M291" s="2" t="s">
        <v>528</v>
      </c>
    </row>
    <row r="292" customFormat="false" ht="15" hidden="false" customHeight="false" outlineLevel="0" collapsed="false">
      <c r="A292" s="2" t="s">
        <v>1361</v>
      </c>
      <c r="B292" s="2" t="s">
        <v>553</v>
      </c>
      <c r="C292" s="2" t="s">
        <v>554</v>
      </c>
      <c r="D292" s="13" t="n">
        <v>45492.5006944445</v>
      </c>
      <c r="E292" s="2" t="s">
        <v>39</v>
      </c>
      <c r="F292" s="2" t="s">
        <v>31</v>
      </c>
      <c r="G292" s="2" t="n">
        <v>15652.16</v>
      </c>
      <c r="H292" s="2" t="n">
        <v>90.85</v>
      </c>
      <c r="I292" s="2" t="s">
        <v>30</v>
      </c>
      <c r="J292" s="2" t="s">
        <v>1362</v>
      </c>
      <c r="K292" s="2" t="s">
        <v>122</v>
      </c>
      <c r="L292" s="2" t="s">
        <v>752</v>
      </c>
      <c r="M292" s="2"/>
    </row>
    <row r="293" customFormat="false" ht="15" hidden="false" customHeight="false" outlineLevel="0" collapsed="false">
      <c r="A293" s="2" t="s">
        <v>1363</v>
      </c>
      <c r="B293" s="2" t="s">
        <v>1364</v>
      </c>
      <c r="C293" s="2" t="s">
        <v>1365</v>
      </c>
      <c r="D293" s="13" t="n">
        <v>45917.9333333333</v>
      </c>
      <c r="E293" s="2" t="s">
        <v>37</v>
      </c>
      <c r="F293" s="2" t="s">
        <v>27</v>
      </c>
      <c r="G293" s="2" t="n">
        <v>6658.61</v>
      </c>
      <c r="H293" s="2" t="n">
        <v>51.58</v>
      </c>
      <c r="I293" s="2" t="s">
        <v>30</v>
      </c>
      <c r="J293" s="2" t="s">
        <v>1366</v>
      </c>
      <c r="K293" s="2" t="s">
        <v>95</v>
      </c>
      <c r="L293" s="2"/>
      <c r="M293" s="2" t="s">
        <v>536</v>
      </c>
    </row>
    <row r="294" customFormat="false" ht="15" hidden="false" customHeight="false" outlineLevel="0" collapsed="false">
      <c r="A294" s="2" t="s">
        <v>1367</v>
      </c>
      <c r="B294" s="2" t="s">
        <v>1368</v>
      </c>
      <c r="C294" s="2" t="s">
        <v>1369</v>
      </c>
      <c r="D294" s="13" t="n">
        <v>45424.73125</v>
      </c>
      <c r="E294" s="2" t="s">
        <v>43</v>
      </c>
      <c r="F294" s="2" t="s">
        <v>29</v>
      </c>
      <c r="G294" s="2" t="n">
        <v>5220.49</v>
      </c>
      <c r="H294" s="2" t="n">
        <v>49.58</v>
      </c>
      <c r="I294" s="2" t="s">
        <v>30</v>
      </c>
      <c r="J294" s="2" t="s">
        <v>1370</v>
      </c>
      <c r="K294" s="2" t="s">
        <v>89</v>
      </c>
      <c r="L294" s="2"/>
      <c r="M294" s="2" t="s">
        <v>1371</v>
      </c>
    </row>
    <row r="295" customFormat="false" ht="15" hidden="false" customHeight="false" outlineLevel="0" collapsed="false">
      <c r="A295" s="2" t="s">
        <v>1372</v>
      </c>
      <c r="B295" s="2" t="s">
        <v>1257</v>
      </c>
      <c r="C295" s="2" t="s">
        <v>1258</v>
      </c>
      <c r="D295" s="13" t="n">
        <v>45950.5298611111</v>
      </c>
      <c r="E295" s="2" t="s">
        <v>35</v>
      </c>
      <c r="F295" s="2" t="s">
        <v>31</v>
      </c>
      <c r="G295" s="2" t="n">
        <v>5333.04</v>
      </c>
      <c r="H295" s="2" t="n">
        <v>13.43</v>
      </c>
      <c r="I295" s="2" t="s">
        <v>30</v>
      </c>
      <c r="J295" s="2" t="s">
        <v>1373</v>
      </c>
      <c r="K295" s="2" t="s">
        <v>101</v>
      </c>
      <c r="L295" s="2" t="s">
        <v>1374</v>
      </c>
      <c r="M295" s="2"/>
    </row>
    <row r="296" customFormat="false" ht="15" hidden="false" customHeight="false" outlineLevel="0" collapsed="false">
      <c r="A296" s="2" t="s">
        <v>1375</v>
      </c>
      <c r="B296" s="2" t="s">
        <v>1376</v>
      </c>
      <c r="C296" s="2" t="s">
        <v>1377</v>
      </c>
      <c r="D296" s="13" t="n">
        <v>45691.8236111111</v>
      </c>
      <c r="E296" s="2" t="s">
        <v>39</v>
      </c>
      <c r="F296" s="2" t="s">
        <v>31</v>
      </c>
      <c r="G296" s="2" t="n">
        <v>7725.58</v>
      </c>
      <c r="H296" s="2" t="n">
        <v>59.42</v>
      </c>
      <c r="I296" s="2" t="s">
        <v>26</v>
      </c>
      <c r="J296" s="2" t="s">
        <v>1378</v>
      </c>
      <c r="K296" s="2" t="s">
        <v>101</v>
      </c>
      <c r="L296" s="2" t="s">
        <v>769</v>
      </c>
      <c r="M296" s="2"/>
    </row>
    <row r="297" customFormat="false" ht="15" hidden="false" customHeight="false" outlineLevel="0" collapsed="false">
      <c r="A297" s="2" t="s">
        <v>1379</v>
      </c>
      <c r="B297" s="2" t="s">
        <v>1380</v>
      </c>
      <c r="C297" s="2" t="s">
        <v>1381</v>
      </c>
      <c r="D297" s="13" t="n">
        <v>45846.5340277778</v>
      </c>
      <c r="E297" s="2" t="s">
        <v>37</v>
      </c>
      <c r="F297" s="2" t="s">
        <v>27</v>
      </c>
      <c r="G297" s="2" t="n">
        <v>2474.49</v>
      </c>
      <c r="H297" s="2" t="n">
        <v>17.91</v>
      </c>
      <c r="I297" s="2" t="s">
        <v>26</v>
      </c>
      <c r="J297" s="2" t="s">
        <v>1382</v>
      </c>
      <c r="K297" s="2" t="s">
        <v>95</v>
      </c>
      <c r="L297" s="2"/>
      <c r="M297" s="2" t="s">
        <v>981</v>
      </c>
    </row>
    <row r="298" customFormat="false" ht="15" hidden="false" customHeight="false" outlineLevel="0" collapsed="false">
      <c r="A298" s="2" t="s">
        <v>1383</v>
      </c>
      <c r="B298" s="2" t="s">
        <v>978</v>
      </c>
      <c r="C298" s="2" t="s">
        <v>979</v>
      </c>
      <c r="D298" s="13" t="n">
        <v>45918.6743055556</v>
      </c>
      <c r="E298" s="2" t="s">
        <v>43</v>
      </c>
      <c r="F298" s="2" t="s">
        <v>29</v>
      </c>
      <c r="G298" s="2" t="n">
        <v>7693.72</v>
      </c>
      <c r="H298" s="2" t="n">
        <v>25.63</v>
      </c>
      <c r="I298" s="2" t="s">
        <v>26</v>
      </c>
      <c r="J298" s="2" t="s">
        <v>1384</v>
      </c>
      <c r="K298" s="2" t="s">
        <v>95</v>
      </c>
      <c r="L298" s="2"/>
      <c r="M298" s="2" t="s">
        <v>561</v>
      </c>
    </row>
    <row r="299" customFormat="false" ht="15" hidden="false" customHeight="false" outlineLevel="0" collapsed="false">
      <c r="A299" s="2" t="s">
        <v>1385</v>
      </c>
      <c r="B299" s="2" t="s">
        <v>1386</v>
      </c>
      <c r="C299" s="2" t="s">
        <v>1387</v>
      </c>
      <c r="D299" s="13" t="n">
        <v>45491.43125</v>
      </c>
      <c r="E299" s="2" t="s">
        <v>35</v>
      </c>
      <c r="F299" s="2" t="s">
        <v>32</v>
      </c>
      <c r="G299" s="2" t="n">
        <v>3227.03</v>
      </c>
      <c r="H299" s="2" t="n">
        <v>28.54</v>
      </c>
      <c r="I299" s="2" t="s">
        <v>28</v>
      </c>
      <c r="J299" s="2" t="s">
        <v>1388</v>
      </c>
      <c r="K299" s="2" t="s">
        <v>101</v>
      </c>
      <c r="L299" s="2" t="s">
        <v>1389</v>
      </c>
      <c r="M299" s="2"/>
    </row>
    <row r="300" customFormat="false" ht="15" hidden="false" customHeight="false" outlineLevel="0" collapsed="false">
      <c r="A300" s="2" t="s">
        <v>1390</v>
      </c>
      <c r="B300" s="2" t="s">
        <v>1391</v>
      </c>
      <c r="C300" s="2" t="s">
        <v>1392</v>
      </c>
      <c r="D300" s="13" t="n">
        <v>45786.5402777778</v>
      </c>
      <c r="E300" s="2" t="s">
        <v>41</v>
      </c>
      <c r="F300" s="2" t="s">
        <v>27</v>
      </c>
      <c r="G300" s="2" t="n">
        <v>14040.04</v>
      </c>
      <c r="H300" s="2" t="n">
        <v>164.08</v>
      </c>
      <c r="I300" s="2" t="s">
        <v>28</v>
      </c>
      <c r="J300" s="2" t="s">
        <v>1393</v>
      </c>
      <c r="K300" s="2" t="s">
        <v>95</v>
      </c>
      <c r="L300" s="2"/>
      <c r="M300" s="2" t="s">
        <v>571</v>
      </c>
    </row>
    <row r="301" customFormat="false" ht="15" hidden="false" customHeight="false" outlineLevel="0" collapsed="false">
      <c r="A301" s="2" t="s">
        <v>1394</v>
      </c>
      <c r="B301" s="2" t="s">
        <v>974</v>
      </c>
      <c r="C301" s="2" t="s">
        <v>975</v>
      </c>
      <c r="D301" s="13" t="n">
        <v>46003.5979166667</v>
      </c>
      <c r="E301" s="2" t="s">
        <v>41</v>
      </c>
      <c r="F301" s="2" t="s">
        <v>31</v>
      </c>
      <c r="G301" s="2" t="n">
        <v>5083.23</v>
      </c>
      <c r="H301" s="2" t="n">
        <v>28.98</v>
      </c>
      <c r="I301" s="2" t="s">
        <v>28</v>
      </c>
      <c r="J301" s="2" t="s">
        <v>1395</v>
      </c>
      <c r="K301" s="2" t="s">
        <v>122</v>
      </c>
      <c r="L301" s="2" t="s">
        <v>1396</v>
      </c>
      <c r="M301" s="2"/>
    </row>
    <row r="302" customFormat="false" ht="15" hidden="false" customHeight="false" outlineLevel="0" collapsed="false">
      <c r="A302" s="2" t="s">
        <v>1397</v>
      </c>
      <c r="B302" s="2" t="s">
        <v>1398</v>
      </c>
      <c r="C302" s="2" t="s">
        <v>1399</v>
      </c>
      <c r="D302" s="13" t="n">
        <v>45666.3201388889</v>
      </c>
      <c r="E302" s="2" t="s">
        <v>43</v>
      </c>
      <c r="F302" s="2" t="s">
        <v>29</v>
      </c>
      <c r="G302" s="2" t="n">
        <v>3927.94</v>
      </c>
      <c r="H302" s="2" t="n">
        <v>23.03</v>
      </c>
      <c r="I302" s="2" t="s">
        <v>26</v>
      </c>
      <c r="J302" s="2" t="s">
        <v>1400</v>
      </c>
      <c r="K302" s="2" t="s">
        <v>101</v>
      </c>
      <c r="L302" s="2"/>
      <c r="M302" s="2" t="s">
        <v>581</v>
      </c>
    </row>
    <row r="303" customFormat="false" ht="15" hidden="false" customHeight="false" outlineLevel="0" collapsed="false">
      <c r="A303" s="2" t="s">
        <v>1401</v>
      </c>
      <c r="B303" s="2" t="s">
        <v>1402</v>
      </c>
      <c r="C303" s="2" t="s">
        <v>1403</v>
      </c>
      <c r="D303" s="13" t="n">
        <v>45791.7027777778</v>
      </c>
      <c r="E303" s="2" t="s">
        <v>43</v>
      </c>
      <c r="F303" s="2" t="s">
        <v>31</v>
      </c>
      <c r="G303" s="2" t="n">
        <v>1668.38</v>
      </c>
      <c r="H303" s="2" t="n">
        <v>17.98</v>
      </c>
      <c r="I303" s="2" t="s">
        <v>26</v>
      </c>
      <c r="J303" s="2" t="s">
        <v>1404</v>
      </c>
      <c r="K303" s="2" t="s">
        <v>122</v>
      </c>
      <c r="L303" s="2"/>
      <c r="M303" s="2" t="s">
        <v>1007</v>
      </c>
    </row>
    <row r="304" customFormat="false" ht="15" hidden="false" customHeight="false" outlineLevel="0" collapsed="false">
      <c r="A304" s="2" t="s">
        <v>1405</v>
      </c>
      <c r="B304" s="2" t="s">
        <v>1406</v>
      </c>
      <c r="C304" s="2" t="s">
        <v>1407</v>
      </c>
      <c r="D304" s="13" t="n">
        <v>45787.5020833333</v>
      </c>
      <c r="E304" s="2" t="s">
        <v>39</v>
      </c>
      <c r="F304" s="2" t="s">
        <v>29</v>
      </c>
      <c r="G304" s="2" t="n">
        <v>2769.39</v>
      </c>
      <c r="H304" s="2" t="n">
        <v>27.51</v>
      </c>
      <c r="I304" s="2" t="s">
        <v>26</v>
      </c>
      <c r="J304" s="2" t="s">
        <v>1408</v>
      </c>
      <c r="K304" s="2" t="s">
        <v>122</v>
      </c>
      <c r="L304" s="2" t="s">
        <v>102</v>
      </c>
      <c r="M304" s="2"/>
    </row>
    <row r="305" customFormat="false" ht="15" hidden="false" customHeight="false" outlineLevel="0" collapsed="false">
      <c r="A305" s="2" t="s">
        <v>1409</v>
      </c>
      <c r="B305" s="2" t="s">
        <v>1410</v>
      </c>
      <c r="C305" s="2" t="s">
        <v>1411</v>
      </c>
      <c r="D305" s="13" t="n">
        <v>45382.7208333333</v>
      </c>
      <c r="E305" s="2" t="s">
        <v>39</v>
      </c>
      <c r="F305" s="2" t="s">
        <v>32</v>
      </c>
      <c r="G305" s="2" t="n">
        <v>3575.85</v>
      </c>
      <c r="H305" s="2" t="n">
        <v>18.87</v>
      </c>
      <c r="I305" s="2" t="s">
        <v>30</v>
      </c>
      <c r="J305" s="2" t="s">
        <v>1412</v>
      </c>
      <c r="K305" s="2" t="s">
        <v>95</v>
      </c>
      <c r="L305" s="2" t="s">
        <v>107</v>
      </c>
      <c r="M305" s="2"/>
    </row>
    <row r="306" customFormat="false" ht="15" hidden="false" customHeight="false" outlineLevel="0" collapsed="false">
      <c r="A306" s="2" t="s">
        <v>1413</v>
      </c>
      <c r="B306" s="2" t="s">
        <v>1107</v>
      </c>
      <c r="C306" s="2" t="s">
        <v>1108</v>
      </c>
      <c r="D306" s="13" t="n">
        <v>45926.5777777778</v>
      </c>
      <c r="E306" s="2" t="s">
        <v>39</v>
      </c>
      <c r="F306" s="2" t="s">
        <v>32</v>
      </c>
      <c r="G306" s="2" t="n">
        <v>2422.3</v>
      </c>
      <c r="H306" s="2" t="n">
        <v>27.87</v>
      </c>
      <c r="I306" s="2" t="s">
        <v>26</v>
      </c>
      <c r="J306" s="2" t="s">
        <v>1414</v>
      </c>
      <c r="K306" s="2" t="s">
        <v>122</v>
      </c>
      <c r="L306" s="2" t="s">
        <v>812</v>
      </c>
      <c r="M306" s="2"/>
    </row>
    <row r="307" customFormat="false" ht="15" hidden="false" customHeight="false" outlineLevel="0" collapsed="false">
      <c r="A307" s="2" t="s">
        <v>1415</v>
      </c>
      <c r="B307" s="2" t="s">
        <v>185</v>
      </c>
      <c r="C307" s="2" t="s">
        <v>186</v>
      </c>
      <c r="D307" s="13" t="n">
        <v>45616.3340277778</v>
      </c>
      <c r="E307" s="2" t="s">
        <v>39</v>
      </c>
      <c r="F307" s="2" t="s">
        <v>29</v>
      </c>
      <c r="G307" s="2" t="n">
        <v>11781.67</v>
      </c>
      <c r="H307" s="2" t="n">
        <v>123.31</v>
      </c>
      <c r="I307" s="2" t="s">
        <v>26</v>
      </c>
      <c r="J307" s="2" t="s">
        <v>1416</v>
      </c>
      <c r="K307" s="2" t="s">
        <v>89</v>
      </c>
      <c r="L307" s="2" t="s">
        <v>117</v>
      </c>
      <c r="M307" s="2"/>
    </row>
    <row r="308" customFormat="false" ht="15" hidden="false" customHeight="false" outlineLevel="0" collapsed="false">
      <c r="A308" s="2" t="s">
        <v>1417</v>
      </c>
      <c r="B308" s="2" t="s">
        <v>1418</v>
      </c>
      <c r="C308" s="2" t="s">
        <v>1419</v>
      </c>
      <c r="D308" s="13" t="n">
        <v>45654.5201388889</v>
      </c>
      <c r="E308" s="2" t="s">
        <v>43</v>
      </c>
      <c r="F308" s="2" t="s">
        <v>27</v>
      </c>
      <c r="G308" s="2" t="n">
        <v>2626.51</v>
      </c>
      <c r="H308" s="2" t="n">
        <v>31.45</v>
      </c>
      <c r="I308" s="2" t="s">
        <v>28</v>
      </c>
      <c r="J308" s="2" t="s">
        <v>1420</v>
      </c>
      <c r="K308" s="2" t="s">
        <v>89</v>
      </c>
      <c r="L308" s="2"/>
      <c r="M308" s="2" t="s">
        <v>1023</v>
      </c>
    </row>
    <row r="309" customFormat="false" ht="15" hidden="false" customHeight="false" outlineLevel="0" collapsed="false">
      <c r="A309" s="2" t="s">
        <v>1421</v>
      </c>
      <c r="B309" s="2" t="s">
        <v>1422</v>
      </c>
      <c r="C309" s="2" t="s">
        <v>1423</v>
      </c>
      <c r="D309" s="13" t="n">
        <v>45426.9166666667</v>
      </c>
      <c r="E309" s="2" t="s">
        <v>43</v>
      </c>
      <c r="F309" s="2" t="s">
        <v>29</v>
      </c>
      <c r="G309" s="2" t="n">
        <v>2565.48</v>
      </c>
      <c r="H309" s="2" t="n">
        <v>26.8</v>
      </c>
      <c r="I309" s="2" t="s">
        <v>26</v>
      </c>
      <c r="J309" s="2" t="s">
        <v>1424</v>
      </c>
      <c r="K309" s="2" t="s">
        <v>95</v>
      </c>
      <c r="L309" s="2"/>
      <c r="M309" s="2" t="s">
        <v>1425</v>
      </c>
    </row>
    <row r="310" customFormat="false" ht="15" hidden="false" customHeight="false" outlineLevel="0" collapsed="false">
      <c r="A310" s="2" t="s">
        <v>1426</v>
      </c>
      <c r="B310" s="2" t="s">
        <v>465</v>
      </c>
      <c r="C310" s="2" t="s">
        <v>466</v>
      </c>
      <c r="D310" s="13" t="n">
        <v>45432.7326388889</v>
      </c>
      <c r="E310" s="2" t="s">
        <v>43</v>
      </c>
      <c r="F310" s="2" t="s">
        <v>27</v>
      </c>
      <c r="G310" s="2" t="n">
        <v>3530.17</v>
      </c>
      <c r="H310" s="2" t="n">
        <v>18.51</v>
      </c>
      <c r="I310" s="2" t="s">
        <v>26</v>
      </c>
      <c r="J310" s="2" t="s">
        <v>1427</v>
      </c>
      <c r="K310" s="2" t="s">
        <v>122</v>
      </c>
      <c r="L310" s="2"/>
      <c r="M310" s="2" t="s">
        <v>617</v>
      </c>
    </row>
    <row r="311" customFormat="false" ht="15" hidden="false" customHeight="false" outlineLevel="0" collapsed="false">
      <c r="A311" s="2" t="s">
        <v>1428</v>
      </c>
      <c r="B311" s="2" t="s">
        <v>1429</v>
      </c>
      <c r="C311" s="2" t="s">
        <v>1430</v>
      </c>
      <c r="D311" s="13" t="n">
        <v>45597.5055555556</v>
      </c>
      <c r="E311" s="2" t="s">
        <v>35</v>
      </c>
      <c r="F311" s="2" t="s">
        <v>29</v>
      </c>
      <c r="G311" s="2" t="n">
        <v>3948.6</v>
      </c>
      <c r="H311" s="2" t="n">
        <v>21.22</v>
      </c>
      <c r="I311" s="2" t="s">
        <v>30</v>
      </c>
      <c r="J311" s="2" t="s">
        <v>1431</v>
      </c>
      <c r="K311" s="2" t="s">
        <v>122</v>
      </c>
      <c r="L311" s="2" t="s">
        <v>138</v>
      </c>
      <c r="M311" s="2"/>
    </row>
    <row r="312" customFormat="false" ht="15" hidden="false" customHeight="false" outlineLevel="0" collapsed="false">
      <c r="A312" s="2" t="s">
        <v>1432</v>
      </c>
      <c r="B312" s="2" t="s">
        <v>1433</v>
      </c>
      <c r="C312" s="2" t="s">
        <v>1434</v>
      </c>
      <c r="D312" s="13" t="n">
        <v>45664.7430555556</v>
      </c>
      <c r="E312" s="2" t="s">
        <v>41</v>
      </c>
      <c r="F312" s="2" t="s">
        <v>29</v>
      </c>
      <c r="G312" s="2" t="n">
        <v>10345.95</v>
      </c>
      <c r="H312" s="2" t="n">
        <v>39.08</v>
      </c>
      <c r="I312" s="2" t="s">
        <v>28</v>
      </c>
      <c r="J312" s="2" t="s">
        <v>1435</v>
      </c>
      <c r="K312" s="2" t="s">
        <v>89</v>
      </c>
      <c r="L312" s="2" t="s">
        <v>141</v>
      </c>
      <c r="M312" s="2"/>
    </row>
    <row r="313" customFormat="false" ht="15" hidden="false" customHeight="false" outlineLevel="0" collapsed="false">
      <c r="A313" s="2" t="s">
        <v>1436</v>
      </c>
      <c r="B313" s="2" t="s">
        <v>1437</v>
      </c>
      <c r="C313" s="2" t="s">
        <v>1438</v>
      </c>
      <c r="D313" s="13" t="n">
        <v>45376.8479166667</v>
      </c>
      <c r="E313" s="2" t="s">
        <v>43</v>
      </c>
      <c r="F313" s="2" t="s">
        <v>32</v>
      </c>
      <c r="G313" s="2" t="n">
        <v>1717.25</v>
      </c>
      <c r="H313" s="2" t="n">
        <v>14.41</v>
      </c>
      <c r="I313" s="2" t="s">
        <v>26</v>
      </c>
      <c r="J313" s="2" t="s">
        <v>1439</v>
      </c>
      <c r="K313" s="2" t="s">
        <v>95</v>
      </c>
      <c r="L313" s="2"/>
      <c r="M313" s="2" t="s">
        <v>144</v>
      </c>
    </row>
    <row r="314" customFormat="false" ht="15" hidden="false" customHeight="false" outlineLevel="0" collapsed="false">
      <c r="A314" s="2" t="s">
        <v>1440</v>
      </c>
      <c r="B314" s="2" t="s">
        <v>1441</v>
      </c>
      <c r="C314" s="2" t="s">
        <v>1442</v>
      </c>
      <c r="D314" s="13" t="n">
        <v>45950.4520833333</v>
      </c>
      <c r="E314" s="2" t="s">
        <v>35</v>
      </c>
      <c r="F314" s="2" t="s">
        <v>29</v>
      </c>
      <c r="G314" s="2" t="n">
        <v>2598.42</v>
      </c>
      <c r="H314" s="2" t="n">
        <v>10.61</v>
      </c>
      <c r="I314" s="2" t="s">
        <v>26</v>
      </c>
      <c r="J314" s="2" t="s">
        <v>1443</v>
      </c>
      <c r="K314" s="2" t="s">
        <v>89</v>
      </c>
      <c r="L314" s="2" t="s">
        <v>147</v>
      </c>
      <c r="M314" s="2"/>
    </row>
    <row r="315" customFormat="false" ht="15" hidden="false" customHeight="false" outlineLevel="0" collapsed="false">
      <c r="A315" s="2" t="s">
        <v>1444</v>
      </c>
      <c r="B315" s="2" t="s">
        <v>1094</v>
      </c>
      <c r="C315" s="2" t="s">
        <v>1095</v>
      </c>
      <c r="D315" s="13" t="n">
        <v>45500.8576388889</v>
      </c>
      <c r="E315" s="2" t="s">
        <v>35</v>
      </c>
      <c r="F315" s="2" t="s">
        <v>27</v>
      </c>
      <c r="G315" s="2" t="n">
        <v>14541.54</v>
      </c>
      <c r="H315" s="2" t="n">
        <v>70.37</v>
      </c>
      <c r="I315" s="2" t="s">
        <v>26</v>
      </c>
      <c r="J315" s="2" t="s">
        <v>1445</v>
      </c>
      <c r="K315" s="2" t="s">
        <v>122</v>
      </c>
      <c r="L315" s="2"/>
      <c r="M315" s="2" t="s">
        <v>1053</v>
      </c>
    </row>
    <row r="316" customFormat="false" ht="15" hidden="false" customHeight="false" outlineLevel="0" collapsed="false">
      <c r="A316" s="2" t="s">
        <v>1446</v>
      </c>
      <c r="B316" s="2" t="s">
        <v>335</v>
      </c>
      <c r="C316" s="2" t="s">
        <v>336</v>
      </c>
      <c r="D316" s="13" t="n">
        <v>45803.6020833333</v>
      </c>
      <c r="E316" s="2" t="s">
        <v>35</v>
      </c>
      <c r="F316" s="2" t="s">
        <v>27</v>
      </c>
      <c r="G316" s="2" t="n">
        <v>3161.44</v>
      </c>
      <c r="H316" s="2" t="n">
        <v>20.27</v>
      </c>
      <c r="I316" s="2" t="s">
        <v>26</v>
      </c>
      <c r="J316" s="2" t="s">
        <v>1447</v>
      </c>
      <c r="K316" s="2" t="s">
        <v>89</v>
      </c>
      <c r="L316" s="2"/>
      <c r="M316" s="2" t="s">
        <v>1448</v>
      </c>
    </row>
    <row r="317" customFormat="false" ht="15" hidden="false" customHeight="false" outlineLevel="0" collapsed="false">
      <c r="A317" s="2" t="s">
        <v>1449</v>
      </c>
      <c r="B317" s="2" t="s">
        <v>1450</v>
      </c>
      <c r="C317" s="2" t="s">
        <v>1451</v>
      </c>
      <c r="D317" s="13" t="n">
        <v>45667.5402777778</v>
      </c>
      <c r="E317" s="2" t="s">
        <v>43</v>
      </c>
      <c r="F317" s="2" t="s">
        <v>32</v>
      </c>
      <c r="G317" s="2" t="n">
        <v>3027.44</v>
      </c>
      <c r="H317" s="2" t="n">
        <v>35.08</v>
      </c>
      <c r="I317" s="2" t="s">
        <v>26</v>
      </c>
      <c r="J317" s="2" t="s">
        <v>1452</v>
      </c>
      <c r="K317" s="2" t="s">
        <v>89</v>
      </c>
      <c r="L317" s="2"/>
      <c r="M317" s="2" t="s">
        <v>1453</v>
      </c>
    </row>
    <row r="318" customFormat="false" ht="15" hidden="false" customHeight="false" outlineLevel="0" collapsed="false">
      <c r="A318" s="2" t="s">
        <v>1454</v>
      </c>
      <c r="B318" s="2" t="s">
        <v>215</v>
      </c>
      <c r="C318" s="2" t="s">
        <v>216</v>
      </c>
      <c r="D318" s="13" t="n">
        <v>45428.5784722222</v>
      </c>
      <c r="E318" s="2" t="s">
        <v>39</v>
      </c>
      <c r="F318" s="2" t="s">
        <v>29</v>
      </c>
      <c r="G318" s="2" t="n">
        <v>1575.77</v>
      </c>
      <c r="H318" s="2" t="n">
        <v>5.41</v>
      </c>
      <c r="I318" s="2" t="s">
        <v>28</v>
      </c>
      <c r="J318" s="2" t="s">
        <v>1455</v>
      </c>
      <c r="K318" s="2" t="s">
        <v>89</v>
      </c>
      <c r="L318" s="2" t="s">
        <v>1456</v>
      </c>
      <c r="M318" s="2"/>
    </row>
    <row r="319" customFormat="false" ht="15" hidden="false" customHeight="false" outlineLevel="0" collapsed="false">
      <c r="A319" s="2" t="s">
        <v>1457</v>
      </c>
      <c r="B319" s="2" t="s">
        <v>1458</v>
      </c>
      <c r="C319" s="2" t="s">
        <v>1459</v>
      </c>
      <c r="D319" s="13" t="n">
        <v>45678.3305555556</v>
      </c>
      <c r="E319" s="2" t="s">
        <v>41</v>
      </c>
      <c r="F319" s="2" t="s">
        <v>32</v>
      </c>
      <c r="G319" s="2" t="n">
        <v>1585.03</v>
      </c>
      <c r="H319" s="2" t="n">
        <v>7.33</v>
      </c>
      <c r="I319" s="2" t="s">
        <v>30</v>
      </c>
      <c r="J319" s="2" t="s">
        <v>1460</v>
      </c>
      <c r="K319" s="2" t="s">
        <v>122</v>
      </c>
      <c r="L319" s="2" t="s">
        <v>168</v>
      </c>
      <c r="M319" s="2"/>
    </row>
    <row r="320" customFormat="false" ht="15" hidden="false" customHeight="false" outlineLevel="0" collapsed="false">
      <c r="A320" s="2" t="s">
        <v>1461</v>
      </c>
      <c r="B320" s="2" t="s">
        <v>1462</v>
      </c>
      <c r="C320" s="2" t="s">
        <v>1463</v>
      </c>
      <c r="D320" s="13" t="n">
        <v>45316.5340277778</v>
      </c>
      <c r="E320" s="2" t="s">
        <v>37</v>
      </c>
      <c r="F320" s="2" t="s">
        <v>32</v>
      </c>
      <c r="G320" s="2" t="n">
        <v>3637.28</v>
      </c>
      <c r="H320" s="2" t="n">
        <v>10.44</v>
      </c>
      <c r="I320" s="2" t="s">
        <v>26</v>
      </c>
      <c r="J320" s="2" t="s">
        <v>1464</v>
      </c>
      <c r="K320" s="2" t="s">
        <v>101</v>
      </c>
      <c r="L320" s="2" t="s">
        <v>173</v>
      </c>
      <c r="M320" s="2"/>
    </row>
    <row r="321" customFormat="false" ht="15" hidden="false" customHeight="false" outlineLevel="0" collapsed="false">
      <c r="A321" s="2" t="s">
        <v>1465</v>
      </c>
      <c r="B321" s="2" t="s">
        <v>1466</v>
      </c>
      <c r="C321" s="2" t="s">
        <v>1467</v>
      </c>
      <c r="D321" s="13" t="n">
        <v>45767.7194444445</v>
      </c>
      <c r="E321" s="2" t="s">
        <v>37</v>
      </c>
      <c r="F321" s="2" t="s">
        <v>32</v>
      </c>
      <c r="G321" s="2" t="n">
        <v>7823.86</v>
      </c>
      <c r="H321" s="2" t="n">
        <v>64.76</v>
      </c>
      <c r="I321" s="2" t="s">
        <v>26</v>
      </c>
      <c r="J321" s="2" t="s">
        <v>1468</v>
      </c>
      <c r="K321" s="2" t="s">
        <v>95</v>
      </c>
      <c r="L321" s="2" t="s">
        <v>178</v>
      </c>
      <c r="M321" s="2"/>
    </row>
    <row r="322" customFormat="false" ht="15" hidden="false" customHeight="false" outlineLevel="0" collapsed="false">
      <c r="A322" s="2" t="s">
        <v>1469</v>
      </c>
      <c r="B322" s="2" t="s">
        <v>1470</v>
      </c>
      <c r="C322" s="2" t="s">
        <v>1471</v>
      </c>
      <c r="D322" s="13" t="n">
        <v>45876.3472222222</v>
      </c>
      <c r="E322" s="2" t="s">
        <v>41</v>
      </c>
      <c r="F322" s="2" t="s">
        <v>31</v>
      </c>
      <c r="G322" s="2" t="n">
        <v>7878.96</v>
      </c>
      <c r="H322" s="2" t="n">
        <v>67.58</v>
      </c>
      <c r="I322" s="2" t="s">
        <v>26</v>
      </c>
      <c r="J322" s="2" t="s">
        <v>1472</v>
      </c>
      <c r="K322" s="2" t="s">
        <v>89</v>
      </c>
      <c r="L322" s="2" t="s">
        <v>874</v>
      </c>
      <c r="M322" s="2"/>
    </row>
    <row r="323" customFormat="false" ht="15" hidden="false" customHeight="false" outlineLevel="0" collapsed="false">
      <c r="A323" s="2" t="s">
        <v>1473</v>
      </c>
      <c r="B323" s="2" t="s">
        <v>1247</v>
      </c>
      <c r="C323" s="2" t="s">
        <v>1248</v>
      </c>
      <c r="D323" s="13" t="n">
        <v>45478.8798611111</v>
      </c>
      <c r="E323" s="2" t="s">
        <v>41</v>
      </c>
      <c r="F323" s="2" t="s">
        <v>32</v>
      </c>
      <c r="G323" s="2" t="n">
        <v>5445.76</v>
      </c>
      <c r="H323" s="2" t="n">
        <v>35.79</v>
      </c>
      <c r="I323" s="2" t="s">
        <v>26</v>
      </c>
      <c r="J323" s="2" t="s">
        <v>1474</v>
      </c>
      <c r="K323" s="2" t="s">
        <v>95</v>
      </c>
      <c r="L323" s="2" t="s">
        <v>188</v>
      </c>
      <c r="M323" s="2"/>
    </row>
    <row r="324" customFormat="false" ht="15" hidden="false" customHeight="false" outlineLevel="0" collapsed="false">
      <c r="A324" s="2" t="s">
        <v>1475</v>
      </c>
      <c r="B324" s="2" t="s">
        <v>1059</v>
      </c>
      <c r="C324" s="2" t="s">
        <v>1060</v>
      </c>
      <c r="D324" s="13" t="n">
        <v>45870.5368055556</v>
      </c>
      <c r="E324" s="2" t="s">
        <v>43</v>
      </c>
      <c r="F324" s="2" t="s">
        <v>32</v>
      </c>
      <c r="G324" s="2" t="n">
        <v>11899.26</v>
      </c>
      <c r="H324" s="2" t="n">
        <v>44.33</v>
      </c>
      <c r="I324" s="2" t="s">
        <v>30</v>
      </c>
      <c r="J324" s="2" t="s">
        <v>1476</v>
      </c>
      <c r="K324" s="2" t="s">
        <v>122</v>
      </c>
      <c r="L324" s="2"/>
      <c r="M324" s="2" t="s">
        <v>1477</v>
      </c>
    </row>
    <row r="325" customFormat="false" ht="15" hidden="false" customHeight="false" outlineLevel="0" collapsed="false">
      <c r="A325" s="2" t="s">
        <v>1478</v>
      </c>
      <c r="B325" s="2" t="s">
        <v>1479</v>
      </c>
      <c r="C325" s="2" t="s">
        <v>1480</v>
      </c>
      <c r="D325" s="13" t="n">
        <v>45467.4486111111</v>
      </c>
      <c r="E325" s="2" t="s">
        <v>39</v>
      </c>
      <c r="F325" s="2" t="s">
        <v>29</v>
      </c>
      <c r="G325" s="2" t="n">
        <v>3341.53</v>
      </c>
      <c r="H325" s="2" t="n">
        <v>35.22</v>
      </c>
      <c r="I325" s="2" t="s">
        <v>26</v>
      </c>
      <c r="J325" s="2" t="s">
        <v>1481</v>
      </c>
      <c r="K325" s="2" t="s">
        <v>95</v>
      </c>
      <c r="L325" s="2" t="s">
        <v>1482</v>
      </c>
      <c r="M325" s="2"/>
    </row>
    <row r="326" customFormat="false" ht="15" hidden="false" customHeight="false" outlineLevel="0" collapsed="false">
      <c r="A326" s="2" t="s">
        <v>1483</v>
      </c>
      <c r="B326" s="2" t="s">
        <v>1484</v>
      </c>
      <c r="C326" s="2" t="s">
        <v>1485</v>
      </c>
      <c r="D326" s="13" t="n">
        <v>45462.7368055556</v>
      </c>
      <c r="E326" s="2" t="s">
        <v>35</v>
      </c>
      <c r="F326" s="2" t="s">
        <v>27</v>
      </c>
      <c r="G326" s="2" t="n">
        <v>4453.1</v>
      </c>
      <c r="H326" s="2" t="n">
        <v>50.75</v>
      </c>
      <c r="I326" s="2" t="s">
        <v>26</v>
      </c>
      <c r="J326" s="2" t="s">
        <v>1486</v>
      </c>
      <c r="K326" s="2" t="s">
        <v>122</v>
      </c>
      <c r="L326" s="2"/>
      <c r="M326" s="2" t="s">
        <v>203</v>
      </c>
    </row>
    <row r="327" customFormat="false" ht="15" hidden="false" customHeight="false" outlineLevel="0" collapsed="false">
      <c r="A327" s="2" t="s">
        <v>1487</v>
      </c>
      <c r="B327" s="2" t="s">
        <v>1488</v>
      </c>
      <c r="C327" s="2" t="s">
        <v>1489</v>
      </c>
      <c r="D327" s="13" t="n">
        <v>45952.9076388889</v>
      </c>
      <c r="E327" s="2" t="s">
        <v>37</v>
      </c>
      <c r="F327" s="2" t="s">
        <v>29</v>
      </c>
      <c r="G327" s="2" t="n">
        <v>9178.64</v>
      </c>
      <c r="H327" s="2" t="n">
        <v>33.19</v>
      </c>
      <c r="I327" s="2" t="s">
        <v>26</v>
      </c>
      <c r="J327" s="2" t="s">
        <v>1490</v>
      </c>
      <c r="K327" s="2" t="s">
        <v>89</v>
      </c>
      <c r="L327" s="2" t="s">
        <v>208</v>
      </c>
      <c r="M327" s="2"/>
    </row>
    <row r="328" customFormat="false" ht="15" hidden="false" customHeight="false" outlineLevel="0" collapsed="false">
      <c r="A328" s="2" t="s">
        <v>1491</v>
      </c>
      <c r="B328" s="2" t="s">
        <v>1492</v>
      </c>
      <c r="C328" s="2" t="s">
        <v>1493</v>
      </c>
      <c r="D328" s="13" t="n">
        <v>45632.6631944445</v>
      </c>
      <c r="E328" s="2" t="s">
        <v>43</v>
      </c>
      <c r="F328" s="2" t="s">
        <v>31</v>
      </c>
      <c r="G328" s="2" t="n">
        <v>432.22</v>
      </c>
      <c r="H328" s="2" t="n">
        <v>5</v>
      </c>
      <c r="I328" s="2" t="s">
        <v>26</v>
      </c>
      <c r="J328" s="2" t="s">
        <v>1494</v>
      </c>
      <c r="K328" s="2" t="s">
        <v>122</v>
      </c>
      <c r="L328" s="2"/>
      <c r="M328" s="2" t="s">
        <v>1495</v>
      </c>
    </row>
    <row r="329" customFormat="false" ht="15" hidden="false" customHeight="false" outlineLevel="0" collapsed="false">
      <c r="A329" s="2" t="s">
        <v>1496</v>
      </c>
      <c r="B329" s="2" t="s">
        <v>1497</v>
      </c>
      <c r="C329" s="2" t="s">
        <v>1498</v>
      </c>
      <c r="D329" s="13" t="n">
        <v>45888.875</v>
      </c>
      <c r="E329" s="2" t="s">
        <v>39</v>
      </c>
      <c r="F329" s="2" t="s">
        <v>29</v>
      </c>
      <c r="G329" s="2" t="n">
        <v>2099.05</v>
      </c>
      <c r="H329" s="2" t="n">
        <v>5.66</v>
      </c>
      <c r="I329" s="2" t="s">
        <v>26</v>
      </c>
      <c r="J329" s="2" t="s">
        <v>1499</v>
      </c>
      <c r="K329" s="2" t="s">
        <v>122</v>
      </c>
      <c r="L329" s="2" t="s">
        <v>218</v>
      </c>
      <c r="M329" s="2"/>
    </row>
    <row r="330" customFormat="false" ht="15" hidden="false" customHeight="false" outlineLevel="0" collapsed="false">
      <c r="A330" s="2" t="s">
        <v>1500</v>
      </c>
      <c r="B330" s="2" t="s">
        <v>1501</v>
      </c>
      <c r="C330" s="2" t="s">
        <v>1502</v>
      </c>
      <c r="D330" s="13" t="n">
        <v>45831.9486111111</v>
      </c>
      <c r="E330" s="2" t="s">
        <v>35</v>
      </c>
      <c r="F330" s="2" t="s">
        <v>32</v>
      </c>
      <c r="G330" s="2" t="n">
        <v>1091.97</v>
      </c>
      <c r="H330" s="2" t="n">
        <v>11.96</v>
      </c>
      <c r="I330" s="2" t="s">
        <v>28</v>
      </c>
      <c r="J330" s="2" t="s">
        <v>1503</v>
      </c>
      <c r="K330" s="2" t="s">
        <v>95</v>
      </c>
      <c r="L330" s="2" t="s">
        <v>1504</v>
      </c>
      <c r="M330" s="2"/>
    </row>
    <row r="331" customFormat="false" ht="15" hidden="false" customHeight="false" outlineLevel="0" collapsed="false">
      <c r="A331" s="2" t="s">
        <v>1505</v>
      </c>
      <c r="B331" s="2" t="s">
        <v>195</v>
      </c>
      <c r="C331" s="2" t="s">
        <v>196</v>
      </c>
      <c r="D331" s="13" t="n">
        <v>45444.3270833333</v>
      </c>
      <c r="E331" s="2" t="s">
        <v>39</v>
      </c>
      <c r="F331" s="2" t="s">
        <v>32</v>
      </c>
      <c r="G331" s="2" t="n">
        <v>1501.5</v>
      </c>
      <c r="H331" s="2" t="n">
        <v>13.95</v>
      </c>
      <c r="I331" s="2" t="s">
        <v>26</v>
      </c>
      <c r="J331" s="2" t="s">
        <v>1506</v>
      </c>
      <c r="K331" s="2" t="s">
        <v>89</v>
      </c>
      <c r="L331" s="2" t="s">
        <v>911</v>
      </c>
      <c r="M331" s="2"/>
    </row>
    <row r="332" customFormat="false" ht="15" hidden="false" customHeight="false" outlineLevel="0" collapsed="false">
      <c r="A332" s="2" t="s">
        <v>1507</v>
      </c>
      <c r="B332" s="2" t="s">
        <v>355</v>
      </c>
      <c r="C332" s="2" t="s">
        <v>356</v>
      </c>
      <c r="D332" s="13" t="n">
        <v>45337.6583333333</v>
      </c>
      <c r="E332" s="2" t="s">
        <v>37</v>
      </c>
      <c r="F332" s="2" t="s">
        <v>27</v>
      </c>
      <c r="G332" s="2" t="n">
        <v>5096.89</v>
      </c>
      <c r="H332" s="2" t="n">
        <v>58.09</v>
      </c>
      <c r="I332" s="2" t="s">
        <v>26</v>
      </c>
      <c r="J332" s="2" t="s">
        <v>1508</v>
      </c>
      <c r="K332" s="2" t="s">
        <v>95</v>
      </c>
      <c r="L332" s="2"/>
      <c r="M332" s="2" t="s">
        <v>233</v>
      </c>
    </row>
    <row r="333" customFormat="false" ht="15" hidden="false" customHeight="false" outlineLevel="0" collapsed="false">
      <c r="A333" s="2" t="s">
        <v>1509</v>
      </c>
      <c r="B333" s="2" t="s">
        <v>1510</v>
      </c>
      <c r="C333" s="2" t="s">
        <v>1511</v>
      </c>
      <c r="D333" s="13" t="n">
        <v>46013.7791666667</v>
      </c>
      <c r="E333" s="2" t="s">
        <v>37</v>
      </c>
      <c r="F333" s="2" t="s">
        <v>31</v>
      </c>
      <c r="G333" s="2" t="n">
        <v>4147.08</v>
      </c>
      <c r="H333" s="2" t="n">
        <v>34.73</v>
      </c>
      <c r="I333" s="2" t="s">
        <v>26</v>
      </c>
      <c r="J333" s="2" t="s">
        <v>1512</v>
      </c>
      <c r="K333" s="2" t="s">
        <v>95</v>
      </c>
      <c r="L333" s="2" t="s">
        <v>1513</v>
      </c>
      <c r="M333" s="2"/>
    </row>
    <row r="334" customFormat="false" ht="15" hidden="false" customHeight="false" outlineLevel="0" collapsed="false">
      <c r="A334" s="2" t="s">
        <v>1514</v>
      </c>
      <c r="B334" s="2" t="s">
        <v>1515</v>
      </c>
      <c r="C334" s="2" t="s">
        <v>1516</v>
      </c>
      <c r="D334" s="13" t="n">
        <v>45576.6770833333</v>
      </c>
      <c r="E334" s="2" t="s">
        <v>41</v>
      </c>
      <c r="F334" s="2" t="s">
        <v>32</v>
      </c>
      <c r="G334" s="2" t="n">
        <v>4639.08</v>
      </c>
      <c r="H334" s="2" t="n">
        <v>12.36</v>
      </c>
      <c r="I334" s="2" t="s">
        <v>30</v>
      </c>
      <c r="J334" s="2" t="s">
        <v>1517</v>
      </c>
      <c r="K334" s="2" t="s">
        <v>89</v>
      </c>
      <c r="L334" s="2" t="s">
        <v>243</v>
      </c>
      <c r="M334" s="2"/>
    </row>
    <row r="335" customFormat="false" ht="15" hidden="false" customHeight="false" outlineLevel="0" collapsed="false">
      <c r="A335" s="2" t="s">
        <v>1518</v>
      </c>
      <c r="B335" s="2" t="s">
        <v>659</v>
      </c>
      <c r="C335" s="2" t="s">
        <v>660</v>
      </c>
      <c r="D335" s="13" t="n">
        <v>45444.5340277778</v>
      </c>
      <c r="E335" s="2" t="s">
        <v>41</v>
      </c>
      <c r="F335" s="2" t="s">
        <v>27</v>
      </c>
      <c r="G335" s="2" t="n">
        <v>14368.32</v>
      </c>
      <c r="H335" s="2" t="n">
        <v>42.02</v>
      </c>
      <c r="I335" s="2" t="s">
        <v>26</v>
      </c>
      <c r="J335" s="2" t="s">
        <v>1519</v>
      </c>
      <c r="K335" s="2" t="s">
        <v>95</v>
      </c>
      <c r="L335" s="2"/>
      <c r="M335" s="2" t="s">
        <v>723</v>
      </c>
    </row>
    <row r="336" customFormat="false" ht="15" hidden="false" customHeight="false" outlineLevel="0" collapsed="false">
      <c r="A336" s="2" t="s">
        <v>1520</v>
      </c>
      <c r="B336" s="2" t="s">
        <v>1521</v>
      </c>
      <c r="C336" s="2" t="s">
        <v>1522</v>
      </c>
      <c r="D336" s="13" t="n">
        <v>45918.5819444444</v>
      </c>
      <c r="E336" s="2" t="s">
        <v>41</v>
      </c>
      <c r="F336" s="2" t="s">
        <v>27</v>
      </c>
      <c r="G336" s="2" t="n">
        <v>940.76</v>
      </c>
      <c r="H336" s="2" t="n">
        <v>6.3</v>
      </c>
      <c r="I336" s="2" t="s">
        <v>26</v>
      </c>
      <c r="J336" s="2" t="s">
        <v>1523</v>
      </c>
      <c r="K336" s="2" t="s">
        <v>89</v>
      </c>
      <c r="L336" s="2"/>
      <c r="M336" s="2" t="s">
        <v>728</v>
      </c>
    </row>
    <row r="337" customFormat="false" ht="15" hidden="false" customHeight="false" outlineLevel="0" collapsed="false">
      <c r="A337" s="2" t="s">
        <v>1524</v>
      </c>
      <c r="B337" s="2" t="s">
        <v>1227</v>
      </c>
      <c r="C337" s="2" t="s">
        <v>1228</v>
      </c>
      <c r="D337" s="13" t="n">
        <v>45699.3611111111</v>
      </c>
      <c r="E337" s="2" t="s">
        <v>39</v>
      </c>
      <c r="F337" s="2" t="s">
        <v>27</v>
      </c>
      <c r="G337" s="2" t="n">
        <v>1986.25</v>
      </c>
      <c r="H337" s="2" t="n">
        <v>8.09</v>
      </c>
      <c r="I337" s="2" t="s">
        <v>26</v>
      </c>
      <c r="J337" s="2" t="s">
        <v>1525</v>
      </c>
      <c r="K337" s="2" t="s">
        <v>122</v>
      </c>
      <c r="L337" s="2"/>
      <c r="M337" s="2" t="s">
        <v>1134</v>
      </c>
    </row>
    <row r="338" customFormat="false" ht="15" hidden="false" customHeight="false" outlineLevel="0" collapsed="false">
      <c r="A338" s="2" t="s">
        <v>1526</v>
      </c>
      <c r="B338" s="2" t="s">
        <v>1527</v>
      </c>
      <c r="C338" s="2" t="s">
        <v>1528</v>
      </c>
      <c r="D338" s="13" t="n">
        <v>45968.4604166667</v>
      </c>
      <c r="E338" s="2" t="s">
        <v>39</v>
      </c>
      <c r="F338" s="2" t="s">
        <v>32</v>
      </c>
      <c r="G338" s="2" t="n">
        <v>5633.89</v>
      </c>
      <c r="H338" s="2" t="n">
        <v>32.82</v>
      </c>
      <c r="I338" s="2" t="s">
        <v>26</v>
      </c>
      <c r="J338" s="2" t="s">
        <v>1529</v>
      </c>
      <c r="K338" s="2" t="s">
        <v>89</v>
      </c>
      <c r="L338" s="2" t="s">
        <v>940</v>
      </c>
      <c r="M338" s="2"/>
    </row>
    <row r="339" customFormat="false" ht="15" hidden="false" customHeight="false" outlineLevel="0" collapsed="false">
      <c r="A339" s="2" t="s">
        <v>1530</v>
      </c>
      <c r="B339" s="2" t="s">
        <v>1531</v>
      </c>
      <c r="C339" s="2" t="s">
        <v>1532</v>
      </c>
      <c r="D339" s="13" t="n">
        <v>45924.3527777778</v>
      </c>
      <c r="E339" s="2" t="s">
        <v>43</v>
      </c>
      <c r="F339" s="2" t="s">
        <v>27</v>
      </c>
      <c r="G339" s="2" t="n">
        <v>1555.56</v>
      </c>
      <c r="H339" s="2" t="n">
        <v>14.66</v>
      </c>
      <c r="I339" s="2" t="s">
        <v>26</v>
      </c>
      <c r="J339" s="2" t="s">
        <v>1533</v>
      </c>
      <c r="K339" s="2" t="s">
        <v>95</v>
      </c>
      <c r="L339" s="2"/>
      <c r="M339" s="2" t="s">
        <v>268</v>
      </c>
    </row>
    <row r="340" customFormat="false" ht="15" hidden="false" customHeight="false" outlineLevel="0" collapsed="false">
      <c r="A340" s="2" t="s">
        <v>1534</v>
      </c>
      <c r="B340" s="2" t="s">
        <v>1535</v>
      </c>
      <c r="C340" s="2" t="s">
        <v>1536</v>
      </c>
      <c r="D340" s="13" t="n">
        <v>45929.5430555556</v>
      </c>
      <c r="E340" s="2" t="s">
        <v>41</v>
      </c>
      <c r="F340" s="2" t="s">
        <v>31</v>
      </c>
      <c r="G340" s="2" t="n">
        <v>2595.57</v>
      </c>
      <c r="H340" s="2" t="n">
        <v>15.06</v>
      </c>
      <c r="I340" s="2" t="s">
        <v>30</v>
      </c>
      <c r="J340" s="2" t="s">
        <v>1537</v>
      </c>
      <c r="K340" s="2" t="s">
        <v>95</v>
      </c>
      <c r="L340" s="2" t="s">
        <v>1538</v>
      </c>
      <c r="M340" s="2"/>
    </row>
    <row r="341" customFormat="false" ht="15" hidden="false" customHeight="false" outlineLevel="0" collapsed="false">
      <c r="A341" s="2" t="s">
        <v>1539</v>
      </c>
      <c r="B341" s="2" t="s">
        <v>1540</v>
      </c>
      <c r="C341" s="2" t="s">
        <v>1541</v>
      </c>
      <c r="D341" s="13" t="n">
        <v>45958.7006944444</v>
      </c>
      <c r="E341" s="2" t="s">
        <v>41</v>
      </c>
      <c r="F341" s="2" t="s">
        <v>31</v>
      </c>
      <c r="G341" s="2" t="n">
        <v>4197.95</v>
      </c>
      <c r="H341" s="2" t="n">
        <v>41.35</v>
      </c>
      <c r="I341" s="2" t="s">
        <v>26</v>
      </c>
      <c r="J341" s="2" t="s">
        <v>1542</v>
      </c>
      <c r="K341" s="2" t="s">
        <v>101</v>
      </c>
      <c r="L341" s="2" t="s">
        <v>1543</v>
      </c>
      <c r="M341" s="2"/>
    </row>
    <row r="342" customFormat="false" ht="15" hidden="false" customHeight="false" outlineLevel="0" collapsed="false">
      <c r="A342" s="2" t="s">
        <v>1544</v>
      </c>
      <c r="B342" s="2" t="s">
        <v>659</v>
      </c>
      <c r="C342" s="2" t="s">
        <v>660</v>
      </c>
      <c r="D342" s="13" t="n">
        <v>45863.8194444445</v>
      </c>
      <c r="E342" s="2" t="s">
        <v>43</v>
      </c>
      <c r="F342" s="2" t="s">
        <v>29</v>
      </c>
      <c r="G342" s="2" t="n">
        <v>6941.78</v>
      </c>
      <c r="H342" s="2" t="n">
        <v>73.57</v>
      </c>
      <c r="I342" s="2" t="s">
        <v>26</v>
      </c>
      <c r="J342" s="2" t="s">
        <v>1545</v>
      </c>
      <c r="K342" s="2" t="s">
        <v>95</v>
      </c>
      <c r="L342" s="2"/>
      <c r="M342" s="2" t="s">
        <v>1157</v>
      </c>
    </row>
    <row r="343" customFormat="false" ht="15" hidden="false" customHeight="false" outlineLevel="0" collapsed="false">
      <c r="A343" s="2" t="s">
        <v>1546</v>
      </c>
      <c r="B343" s="2" t="s">
        <v>1547</v>
      </c>
      <c r="C343" s="2" t="s">
        <v>1548</v>
      </c>
      <c r="D343" s="13" t="n">
        <v>45585.7972222222</v>
      </c>
      <c r="E343" s="2" t="s">
        <v>39</v>
      </c>
      <c r="F343" s="2" t="s">
        <v>31</v>
      </c>
      <c r="G343" s="2" t="n">
        <v>14842.47</v>
      </c>
      <c r="H343" s="2" t="n">
        <v>86.16</v>
      </c>
      <c r="I343" s="2" t="s">
        <v>26</v>
      </c>
      <c r="J343" s="2" t="s">
        <v>1549</v>
      </c>
      <c r="K343" s="2" t="s">
        <v>101</v>
      </c>
      <c r="L343" s="2" t="s">
        <v>963</v>
      </c>
      <c r="M343" s="2"/>
    </row>
    <row r="344" customFormat="false" ht="15" hidden="false" customHeight="false" outlineLevel="0" collapsed="false">
      <c r="A344" s="2" t="s">
        <v>1550</v>
      </c>
      <c r="B344" s="2" t="s">
        <v>1551</v>
      </c>
      <c r="C344" s="2" t="s">
        <v>1552</v>
      </c>
      <c r="D344" s="13" t="n">
        <v>46003.9527777778</v>
      </c>
      <c r="E344" s="2" t="s">
        <v>35</v>
      </c>
      <c r="F344" s="2" t="s">
        <v>29</v>
      </c>
      <c r="G344" s="2" t="n">
        <v>2061.95</v>
      </c>
      <c r="H344" s="2" t="n">
        <v>11.53</v>
      </c>
      <c r="I344" s="2" t="s">
        <v>26</v>
      </c>
      <c r="J344" s="2" t="s">
        <v>1553</v>
      </c>
      <c r="K344" s="2" t="s">
        <v>101</v>
      </c>
      <c r="L344" s="2" t="s">
        <v>293</v>
      </c>
      <c r="M344" s="2"/>
    </row>
    <row r="345" customFormat="false" ht="15" hidden="false" customHeight="false" outlineLevel="0" collapsed="false">
      <c r="A345" s="2" t="s">
        <v>1554</v>
      </c>
      <c r="B345" s="2" t="s">
        <v>1555</v>
      </c>
      <c r="C345" s="2" t="s">
        <v>1556</v>
      </c>
      <c r="D345" s="13" t="n">
        <v>45425.5791666667</v>
      </c>
      <c r="E345" s="2" t="s">
        <v>41</v>
      </c>
      <c r="F345" s="2" t="s">
        <v>27</v>
      </c>
      <c r="G345" s="2" t="n">
        <v>14440.96</v>
      </c>
      <c r="H345" s="2" t="n">
        <v>81.13</v>
      </c>
      <c r="I345" s="2" t="s">
        <v>26</v>
      </c>
      <c r="J345" s="2" t="s">
        <v>1557</v>
      </c>
      <c r="K345" s="2" t="s">
        <v>122</v>
      </c>
      <c r="L345" s="2"/>
      <c r="M345" s="2" t="s">
        <v>298</v>
      </c>
    </row>
    <row r="346" customFormat="false" ht="15" hidden="false" customHeight="false" outlineLevel="0" collapsed="false">
      <c r="A346" s="2" t="s">
        <v>1558</v>
      </c>
      <c r="B346" s="2" t="s">
        <v>1559</v>
      </c>
      <c r="C346" s="2" t="s">
        <v>1560</v>
      </c>
      <c r="D346" s="13" t="n">
        <v>45353.5263888889</v>
      </c>
      <c r="E346" s="2" t="s">
        <v>39</v>
      </c>
      <c r="F346" s="2" t="s">
        <v>27</v>
      </c>
      <c r="G346" s="2" t="n">
        <v>5813.26</v>
      </c>
      <c r="H346" s="2" t="n">
        <v>53.57</v>
      </c>
      <c r="I346" s="2" t="s">
        <v>26</v>
      </c>
      <c r="J346" s="2" t="s">
        <v>1561</v>
      </c>
      <c r="K346" s="2" t="s">
        <v>89</v>
      </c>
      <c r="L346" s="2"/>
      <c r="M346" s="2" t="s">
        <v>1174</v>
      </c>
    </row>
    <row r="347" customFormat="false" ht="15" hidden="false" customHeight="false" outlineLevel="0" collapsed="false">
      <c r="A347" s="2" t="s">
        <v>1562</v>
      </c>
      <c r="B347" s="2" t="s">
        <v>1563</v>
      </c>
      <c r="C347" s="2" t="s">
        <v>1564</v>
      </c>
      <c r="D347" s="13" t="n">
        <v>45525.4638888889</v>
      </c>
      <c r="E347" s="2" t="s">
        <v>39</v>
      </c>
      <c r="F347" s="2" t="s">
        <v>29</v>
      </c>
      <c r="G347" s="2" t="n">
        <v>15017.86</v>
      </c>
      <c r="H347" s="2" t="n">
        <v>171.98</v>
      </c>
      <c r="I347" s="2" t="s">
        <v>26</v>
      </c>
      <c r="J347" s="2" t="s">
        <v>1565</v>
      </c>
      <c r="K347" s="2" t="s">
        <v>101</v>
      </c>
      <c r="L347" s="2" t="s">
        <v>308</v>
      </c>
      <c r="M347" s="2"/>
    </row>
    <row r="348" customFormat="false" ht="15" hidden="false" customHeight="false" outlineLevel="0" collapsed="false">
      <c r="A348" s="2" t="s">
        <v>1566</v>
      </c>
      <c r="B348" s="2" t="s">
        <v>285</v>
      </c>
      <c r="C348" s="2" t="s">
        <v>286</v>
      </c>
      <c r="D348" s="13" t="n">
        <v>45454.3013888889</v>
      </c>
      <c r="E348" s="2" t="s">
        <v>39</v>
      </c>
      <c r="F348" s="2" t="s">
        <v>31</v>
      </c>
      <c r="G348" s="2" t="n">
        <v>53349.94</v>
      </c>
      <c r="H348" s="2" t="n">
        <v>123.98</v>
      </c>
      <c r="I348" s="2" t="s">
        <v>26</v>
      </c>
      <c r="J348" s="2" t="s">
        <v>1567</v>
      </c>
      <c r="K348" s="2" t="s">
        <v>101</v>
      </c>
      <c r="L348" s="2" t="s">
        <v>986</v>
      </c>
      <c r="M348" s="2"/>
    </row>
    <row r="349" customFormat="false" ht="15" hidden="false" customHeight="false" outlineLevel="0" collapsed="false">
      <c r="A349" s="2" t="s">
        <v>1568</v>
      </c>
      <c r="B349" s="2" t="s">
        <v>1569</v>
      </c>
      <c r="C349" s="2" t="s">
        <v>1570</v>
      </c>
      <c r="D349" s="13" t="n">
        <v>45707.9416666667</v>
      </c>
      <c r="E349" s="2" t="s">
        <v>35</v>
      </c>
      <c r="F349" s="2" t="s">
        <v>31</v>
      </c>
      <c r="G349" s="2" t="n">
        <v>28939.34</v>
      </c>
      <c r="H349" s="2" t="n">
        <v>164.54</v>
      </c>
      <c r="I349" s="2" t="s">
        <v>26</v>
      </c>
      <c r="J349" s="2" t="s">
        <v>1571</v>
      </c>
      <c r="K349" s="2" t="s">
        <v>122</v>
      </c>
      <c r="L349" s="2" t="s">
        <v>318</v>
      </c>
      <c r="M349" s="2"/>
    </row>
    <row r="350" customFormat="false" ht="15" hidden="false" customHeight="false" outlineLevel="0" collapsed="false">
      <c r="A350" s="2" t="s">
        <v>1572</v>
      </c>
      <c r="B350" s="2" t="s">
        <v>1573</v>
      </c>
      <c r="C350" s="2" t="s">
        <v>1574</v>
      </c>
      <c r="D350" s="13" t="n">
        <v>45985.7659722222</v>
      </c>
      <c r="E350" s="2" t="s">
        <v>35</v>
      </c>
      <c r="F350" s="2" t="s">
        <v>27</v>
      </c>
      <c r="G350" s="2" t="n">
        <v>381.31</v>
      </c>
      <c r="H350" s="2" t="n">
        <v>5</v>
      </c>
      <c r="I350" s="2" t="s">
        <v>26</v>
      </c>
      <c r="J350" s="2" t="s">
        <v>1575</v>
      </c>
      <c r="K350" s="2" t="s">
        <v>95</v>
      </c>
      <c r="L350" s="2"/>
      <c r="M350" s="2" t="s">
        <v>323</v>
      </c>
    </row>
    <row r="351" customFormat="false" ht="15" hidden="false" customHeight="false" outlineLevel="0" collapsed="false">
      <c r="A351" s="2" t="s">
        <v>1576</v>
      </c>
      <c r="B351" s="2" t="s">
        <v>1577</v>
      </c>
      <c r="C351" s="2" t="s">
        <v>1578</v>
      </c>
      <c r="D351" s="13" t="n">
        <v>45549.89375</v>
      </c>
      <c r="E351" s="2" t="s">
        <v>37</v>
      </c>
      <c r="F351" s="2" t="s">
        <v>32</v>
      </c>
      <c r="G351" s="2" t="n">
        <v>7006.06</v>
      </c>
      <c r="H351" s="2" t="n">
        <v>28.53</v>
      </c>
      <c r="I351" s="2" t="s">
        <v>26</v>
      </c>
      <c r="J351" s="2" t="s">
        <v>1579</v>
      </c>
      <c r="K351" s="2" t="s">
        <v>122</v>
      </c>
      <c r="L351" s="2" t="s">
        <v>1000</v>
      </c>
      <c r="M351" s="2"/>
    </row>
    <row r="352" customFormat="false" ht="15" hidden="false" customHeight="false" outlineLevel="0" collapsed="false">
      <c r="A352" s="2" t="s">
        <v>1580</v>
      </c>
      <c r="B352" s="2" t="s">
        <v>1257</v>
      </c>
      <c r="C352" s="2" t="s">
        <v>1258</v>
      </c>
      <c r="D352" s="13" t="n">
        <v>45574.3965277778</v>
      </c>
      <c r="E352" s="2" t="s">
        <v>43</v>
      </c>
      <c r="F352" s="2" t="s">
        <v>31</v>
      </c>
      <c r="G352" s="2" t="n">
        <v>1212.97</v>
      </c>
      <c r="H352" s="2" t="n">
        <v>9.03</v>
      </c>
      <c r="I352" s="2" t="s">
        <v>30</v>
      </c>
      <c r="J352" s="2" t="s">
        <v>1581</v>
      </c>
      <c r="K352" s="2" t="s">
        <v>101</v>
      </c>
      <c r="L352" s="2"/>
      <c r="M352" s="2" t="s">
        <v>795</v>
      </c>
    </row>
    <row r="353" customFormat="false" ht="15" hidden="false" customHeight="false" outlineLevel="0" collapsed="false">
      <c r="A353" s="2" t="s">
        <v>1582</v>
      </c>
      <c r="B353" s="2" t="s">
        <v>1583</v>
      </c>
      <c r="C353" s="2" t="s">
        <v>1584</v>
      </c>
      <c r="D353" s="13" t="n">
        <v>45401.4840277778</v>
      </c>
      <c r="E353" s="2" t="s">
        <v>37</v>
      </c>
      <c r="F353" s="2" t="s">
        <v>31</v>
      </c>
      <c r="G353" s="2" t="n">
        <v>3722.21</v>
      </c>
      <c r="H353" s="2" t="n">
        <v>9.02</v>
      </c>
      <c r="I353" s="2" t="s">
        <v>26</v>
      </c>
      <c r="J353" s="2" t="s">
        <v>1585</v>
      </c>
      <c r="K353" s="2" t="s">
        <v>89</v>
      </c>
      <c r="L353" s="2" t="s">
        <v>338</v>
      </c>
      <c r="M353" s="2"/>
    </row>
    <row r="354" customFormat="false" ht="15" hidden="false" customHeight="false" outlineLevel="0" collapsed="false">
      <c r="A354" s="2" t="s">
        <v>1586</v>
      </c>
      <c r="B354" s="2" t="s">
        <v>315</v>
      </c>
      <c r="C354" s="2" t="s">
        <v>316</v>
      </c>
      <c r="D354" s="13" t="n">
        <v>46021.5979166667</v>
      </c>
      <c r="E354" s="2" t="s">
        <v>35</v>
      </c>
      <c r="F354" s="2" t="s">
        <v>27</v>
      </c>
      <c r="G354" s="2" t="n">
        <v>10874.17</v>
      </c>
      <c r="H354" s="2" t="n">
        <v>79.46</v>
      </c>
      <c r="I354" s="2" t="s">
        <v>26</v>
      </c>
      <c r="J354" s="2" t="s">
        <v>1587</v>
      </c>
      <c r="K354" s="2" t="s">
        <v>95</v>
      </c>
      <c r="L354" s="2"/>
      <c r="M354" s="2" t="s">
        <v>1588</v>
      </c>
    </row>
    <row r="355" customFormat="false" ht="15" hidden="false" customHeight="false" outlineLevel="0" collapsed="false">
      <c r="A355" s="2" t="s">
        <v>1589</v>
      </c>
      <c r="B355" s="2" t="s">
        <v>520</v>
      </c>
      <c r="C355" s="2" t="s">
        <v>521</v>
      </c>
      <c r="D355" s="13" t="n">
        <v>45702.5048611111</v>
      </c>
      <c r="E355" s="2" t="s">
        <v>43</v>
      </c>
      <c r="F355" s="2" t="s">
        <v>29</v>
      </c>
      <c r="G355" s="2" t="n">
        <v>4612.61</v>
      </c>
      <c r="H355" s="2" t="n">
        <v>33.75</v>
      </c>
      <c r="I355" s="2" t="s">
        <v>26</v>
      </c>
      <c r="J355" s="2" t="s">
        <v>1590</v>
      </c>
      <c r="K355" s="2" t="s">
        <v>122</v>
      </c>
      <c r="L355" s="2"/>
      <c r="M355" s="2" t="s">
        <v>348</v>
      </c>
    </row>
    <row r="356" customFormat="false" ht="15" hidden="false" customHeight="false" outlineLevel="0" collapsed="false">
      <c r="A356" s="2" t="s">
        <v>1591</v>
      </c>
      <c r="B356" s="2" t="s">
        <v>1592</v>
      </c>
      <c r="C356" s="2" t="s">
        <v>1593</v>
      </c>
      <c r="D356" s="13" t="n">
        <v>45731.6465277778</v>
      </c>
      <c r="E356" s="2" t="s">
        <v>37</v>
      </c>
      <c r="F356" s="2" t="s">
        <v>32</v>
      </c>
      <c r="G356" s="2" t="n">
        <v>39955.96</v>
      </c>
      <c r="H356" s="2" t="n">
        <v>159.97</v>
      </c>
      <c r="I356" s="2" t="s">
        <v>26</v>
      </c>
      <c r="J356" s="2" t="s">
        <v>1594</v>
      </c>
      <c r="K356" s="2" t="s">
        <v>101</v>
      </c>
      <c r="L356" s="2" t="s">
        <v>353</v>
      </c>
      <c r="M356" s="2"/>
    </row>
    <row r="357" customFormat="false" ht="15" hidden="false" customHeight="false" outlineLevel="0" collapsed="false">
      <c r="A357" s="2" t="s">
        <v>1595</v>
      </c>
      <c r="B357" s="2" t="s">
        <v>1596</v>
      </c>
      <c r="C357" s="2" t="s">
        <v>1597</v>
      </c>
      <c r="D357" s="13" t="n">
        <v>45739.8104166667</v>
      </c>
      <c r="E357" s="2" t="s">
        <v>37</v>
      </c>
      <c r="F357" s="2" t="s">
        <v>31</v>
      </c>
      <c r="G357" s="2" t="n">
        <v>5471.3</v>
      </c>
      <c r="H357" s="2" t="n">
        <v>56.39</v>
      </c>
      <c r="I357" s="2" t="s">
        <v>26</v>
      </c>
      <c r="J357" s="2" t="s">
        <v>1598</v>
      </c>
      <c r="K357" s="2" t="s">
        <v>89</v>
      </c>
      <c r="L357" s="2" t="s">
        <v>358</v>
      </c>
      <c r="M357" s="2"/>
    </row>
    <row r="358" customFormat="false" ht="15" hidden="false" customHeight="false" outlineLevel="0" collapsed="false">
      <c r="A358" s="2" t="s">
        <v>1599</v>
      </c>
      <c r="B358" s="2" t="s">
        <v>390</v>
      </c>
      <c r="C358" s="2" t="s">
        <v>391</v>
      </c>
      <c r="D358" s="13" t="n">
        <v>45704.8520833333</v>
      </c>
      <c r="E358" s="2" t="s">
        <v>39</v>
      </c>
      <c r="F358" s="2" t="s">
        <v>31</v>
      </c>
      <c r="G358" s="2" t="n">
        <v>5029.91</v>
      </c>
      <c r="H358" s="2" t="n">
        <v>13.47</v>
      </c>
      <c r="I358" s="2" t="s">
        <v>26</v>
      </c>
      <c r="J358" s="2" t="s">
        <v>1600</v>
      </c>
      <c r="K358" s="2" t="s">
        <v>122</v>
      </c>
      <c r="L358" s="2" t="s">
        <v>1601</v>
      </c>
      <c r="M358" s="2"/>
    </row>
    <row r="359" customFormat="false" ht="15" hidden="false" customHeight="false" outlineLevel="0" collapsed="false">
      <c r="A359" s="2" t="s">
        <v>1602</v>
      </c>
      <c r="B359" s="2" t="s">
        <v>1603</v>
      </c>
      <c r="C359" s="2" t="s">
        <v>1604</v>
      </c>
      <c r="D359" s="13" t="n">
        <v>45770.4569444444</v>
      </c>
      <c r="E359" s="2" t="s">
        <v>43</v>
      </c>
      <c r="F359" s="2" t="s">
        <v>31</v>
      </c>
      <c r="G359" s="2" t="n">
        <v>7646.78</v>
      </c>
      <c r="H359" s="2" t="n">
        <v>56.88</v>
      </c>
      <c r="I359" s="2" t="s">
        <v>30</v>
      </c>
      <c r="J359" s="2" t="s">
        <v>1605</v>
      </c>
      <c r="K359" s="2" t="s">
        <v>101</v>
      </c>
      <c r="L359" s="2"/>
      <c r="M359" s="2" t="s">
        <v>1606</v>
      </c>
    </row>
    <row r="360" customFormat="false" ht="15" hidden="false" customHeight="false" outlineLevel="0" collapsed="false">
      <c r="A360" s="2" t="s">
        <v>1607</v>
      </c>
      <c r="B360" s="2" t="s">
        <v>1219</v>
      </c>
      <c r="C360" s="2" t="s">
        <v>1220</v>
      </c>
      <c r="D360" s="13" t="n">
        <v>45295.71875</v>
      </c>
      <c r="E360" s="2" t="s">
        <v>41</v>
      </c>
      <c r="F360" s="2" t="s">
        <v>31</v>
      </c>
      <c r="G360" s="2" t="n">
        <v>10768.67</v>
      </c>
      <c r="H360" s="2" t="n">
        <v>55.64</v>
      </c>
      <c r="I360" s="2" t="s">
        <v>26</v>
      </c>
      <c r="J360" s="2" t="s">
        <v>1608</v>
      </c>
      <c r="K360" s="2" t="s">
        <v>89</v>
      </c>
      <c r="L360" s="2" t="s">
        <v>373</v>
      </c>
      <c r="M360" s="2"/>
    </row>
    <row r="361" customFormat="false" ht="15" hidden="false" customHeight="false" outlineLevel="0" collapsed="false">
      <c r="A361" s="2" t="s">
        <v>1609</v>
      </c>
      <c r="B361" s="2" t="s">
        <v>533</v>
      </c>
      <c r="C361" s="2" t="s">
        <v>534</v>
      </c>
      <c r="D361" s="13" t="n">
        <v>45895.6951388889</v>
      </c>
      <c r="E361" s="2" t="s">
        <v>37</v>
      </c>
      <c r="F361" s="2" t="s">
        <v>32</v>
      </c>
      <c r="G361" s="2" t="n">
        <v>13591.58</v>
      </c>
      <c r="H361" s="2" t="n">
        <v>109.56</v>
      </c>
      <c r="I361" s="2" t="s">
        <v>30</v>
      </c>
      <c r="J361" s="2" t="s">
        <v>1610</v>
      </c>
      <c r="K361" s="2" t="s">
        <v>89</v>
      </c>
      <c r="L361" s="2" t="s">
        <v>1034</v>
      </c>
      <c r="M361" s="2"/>
    </row>
    <row r="362" customFormat="false" ht="15" hidden="false" customHeight="false" outlineLevel="0" collapsed="false">
      <c r="A362" s="2" t="s">
        <v>1611</v>
      </c>
      <c r="B362" s="2" t="s">
        <v>1612</v>
      </c>
      <c r="C362" s="2" t="s">
        <v>1613</v>
      </c>
      <c r="D362" s="13" t="n">
        <v>45766.9048611111</v>
      </c>
      <c r="E362" s="2" t="s">
        <v>35</v>
      </c>
      <c r="F362" s="2" t="s">
        <v>31</v>
      </c>
      <c r="G362" s="2" t="n">
        <v>1322.48</v>
      </c>
      <c r="H362" s="2" t="n">
        <v>10.62</v>
      </c>
      <c r="I362" s="2" t="s">
        <v>26</v>
      </c>
      <c r="J362" s="2" t="s">
        <v>1614</v>
      </c>
      <c r="K362" s="2" t="s">
        <v>122</v>
      </c>
      <c r="L362" s="2" t="s">
        <v>1039</v>
      </c>
      <c r="M362" s="2"/>
    </row>
    <row r="363" customFormat="false" ht="15" hidden="false" customHeight="false" outlineLevel="0" collapsed="false">
      <c r="A363" s="2" t="s">
        <v>1615</v>
      </c>
      <c r="B363" s="2" t="s">
        <v>1616</v>
      </c>
      <c r="C363" s="2" t="s">
        <v>1617</v>
      </c>
      <c r="D363" s="13" t="n">
        <v>45393.4673611111</v>
      </c>
      <c r="E363" s="2" t="s">
        <v>43</v>
      </c>
      <c r="F363" s="2" t="s">
        <v>29</v>
      </c>
      <c r="G363" s="2" t="n">
        <v>2335.81</v>
      </c>
      <c r="H363" s="2" t="n">
        <v>16</v>
      </c>
      <c r="I363" s="2" t="s">
        <v>26</v>
      </c>
      <c r="J363" s="2" t="s">
        <v>1618</v>
      </c>
      <c r="K363" s="2" t="s">
        <v>95</v>
      </c>
      <c r="L363" s="2"/>
      <c r="M363" s="2" t="s">
        <v>388</v>
      </c>
    </row>
    <row r="364" customFormat="false" ht="15" hidden="false" customHeight="false" outlineLevel="0" collapsed="false">
      <c r="A364" s="2" t="s">
        <v>1619</v>
      </c>
      <c r="B364" s="2" t="s">
        <v>1620</v>
      </c>
      <c r="C364" s="2" t="s">
        <v>1621</v>
      </c>
      <c r="D364" s="13" t="n">
        <v>45470.7270833333</v>
      </c>
      <c r="E364" s="2" t="s">
        <v>43</v>
      </c>
      <c r="F364" s="2" t="s">
        <v>29</v>
      </c>
      <c r="G364" s="2" t="n">
        <v>509.07</v>
      </c>
      <c r="H364" s="2" t="n">
        <v>5.94</v>
      </c>
      <c r="I364" s="2" t="s">
        <v>28</v>
      </c>
      <c r="J364" s="2" t="s">
        <v>1622</v>
      </c>
      <c r="K364" s="2" t="s">
        <v>89</v>
      </c>
      <c r="L364" s="2"/>
      <c r="M364" s="2" t="s">
        <v>1623</v>
      </c>
    </row>
    <row r="365" customFormat="false" ht="15" hidden="false" customHeight="false" outlineLevel="0" collapsed="false">
      <c r="A365" s="2" t="s">
        <v>1624</v>
      </c>
      <c r="B365" s="2" t="s">
        <v>1625</v>
      </c>
      <c r="C365" s="2" t="s">
        <v>1626</v>
      </c>
      <c r="D365" s="13" t="n">
        <v>45748.2944444444</v>
      </c>
      <c r="E365" s="2" t="s">
        <v>41</v>
      </c>
      <c r="F365" s="2" t="s">
        <v>31</v>
      </c>
      <c r="G365" s="2" t="n">
        <v>1466.73</v>
      </c>
      <c r="H365" s="2" t="n">
        <v>17.43</v>
      </c>
      <c r="I365" s="2" t="s">
        <v>26</v>
      </c>
      <c r="J365" s="2" t="s">
        <v>1627</v>
      </c>
      <c r="K365" s="2" t="s">
        <v>122</v>
      </c>
      <c r="L365" s="2" t="s">
        <v>1628</v>
      </c>
      <c r="M365" s="2"/>
    </row>
    <row r="366" customFormat="false" ht="15" hidden="false" customHeight="false" outlineLevel="0" collapsed="false">
      <c r="A366" s="2" t="s">
        <v>1629</v>
      </c>
      <c r="B366" s="2" t="s">
        <v>629</v>
      </c>
      <c r="C366" s="2" t="s">
        <v>630</v>
      </c>
      <c r="D366" s="13" t="n">
        <v>45819.9111111111</v>
      </c>
      <c r="E366" s="2" t="s">
        <v>39</v>
      </c>
      <c r="F366" s="2" t="s">
        <v>29</v>
      </c>
      <c r="G366" s="2" t="n">
        <v>1276.7</v>
      </c>
      <c r="H366" s="2" t="n">
        <v>13.29</v>
      </c>
      <c r="I366" s="2" t="s">
        <v>26</v>
      </c>
      <c r="J366" s="2" t="s">
        <v>1630</v>
      </c>
      <c r="K366" s="2" t="s">
        <v>89</v>
      </c>
      <c r="L366" s="2" t="s">
        <v>403</v>
      </c>
      <c r="M366" s="2"/>
    </row>
    <row r="367" customFormat="false" ht="15" hidden="false" customHeight="false" outlineLevel="0" collapsed="false">
      <c r="A367" s="2" t="s">
        <v>1631</v>
      </c>
      <c r="B367" s="2" t="s">
        <v>1632</v>
      </c>
      <c r="C367" s="2" t="s">
        <v>1633</v>
      </c>
      <c r="D367" s="13" t="n">
        <v>45670.9145833333</v>
      </c>
      <c r="E367" s="2" t="s">
        <v>39</v>
      </c>
      <c r="F367" s="2" t="s">
        <v>29</v>
      </c>
      <c r="G367" s="2" t="n">
        <v>2033.09</v>
      </c>
      <c r="H367" s="2" t="n">
        <v>23.91</v>
      </c>
      <c r="I367" s="2" t="s">
        <v>30</v>
      </c>
      <c r="J367" s="2" t="s">
        <v>1634</v>
      </c>
      <c r="K367" s="2" t="s">
        <v>89</v>
      </c>
      <c r="L367" s="2" t="s">
        <v>408</v>
      </c>
      <c r="M367" s="2"/>
    </row>
    <row r="368" customFormat="false" ht="15" hidden="false" customHeight="false" outlineLevel="0" collapsed="false">
      <c r="A368" s="2" t="s">
        <v>1635</v>
      </c>
      <c r="B368" s="2" t="s">
        <v>1636</v>
      </c>
      <c r="C368" s="2" t="s">
        <v>1637</v>
      </c>
      <c r="D368" s="13" t="n">
        <v>45364.83125</v>
      </c>
      <c r="E368" s="2" t="s">
        <v>39</v>
      </c>
      <c r="F368" s="2" t="s">
        <v>27</v>
      </c>
      <c r="G368" s="2" t="n">
        <v>1659.88</v>
      </c>
      <c r="H368" s="2" t="n">
        <v>5.99</v>
      </c>
      <c r="I368" s="2" t="s">
        <v>26</v>
      </c>
      <c r="J368" s="2" t="s">
        <v>1638</v>
      </c>
      <c r="K368" s="2" t="s">
        <v>95</v>
      </c>
      <c r="L368" s="2"/>
      <c r="M368" s="2" t="s">
        <v>862</v>
      </c>
    </row>
    <row r="369" customFormat="false" ht="15" hidden="false" customHeight="false" outlineLevel="0" collapsed="false">
      <c r="A369" s="2" t="s">
        <v>1639</v>
      </c>
      <c r="B369" s="2" t="s">
        <v>1492</v>
      </c>
      <c r="C369" s="2" t="s">
        <v>1493</v>
      </c>
      <c r="D369" s="13" t="n">
        <v>45742.7694444444</v>
      </c>
      <c r="E369" s="2" t="s">
        <v>39</v>
      </c>
      <c r="F369" s="2" t="s">
        <v>29</v>
      </c>
      <c r="G369" s="2" t="n">
        <v>20127.54</v>
      </c>
      <c r="H369" s="2" t="n">
        <v>52.68</v>
      </c>
      <c r="I369" s="2" t="s">
        <v>28</v>
      </c>
      <c r="J369" s="2" t="s">
        <v>1640</v>
      </c>
      <c r="K369" s="2" t="s">
        <v>89</v>
      </c>
      <c r="L369" s="2" t="s">
        <v>418</v>
      </c>
      <c r="M369" s="2"/>
    </row>
    <row r="370" customFormat="false" ht="15" hidden="false" customHeight="false" outlineLevel="0" collapsed="false">
      <c r="A370" s="2" t="s">
        <v>1641</v>
      </c>
      <c r="B370" s="2" t="s">
        <v>1642</v>
      </c>
      <c r="C370" s="2" t="s">
        <v>1643</v>
      </c>
      <c r="D370" s="13" t="n">
        <v>45777.7291666667</v>
      </c>
      <c r="E370" s="2" t="s">
        <v>41</v>
      </c>
      <c r="F370" s="2" t="s">
        <v>27</v>
      </c>
      <c r="G370" s="2" t="n">
        <v>21362.17</v>
      </c>
      <c r="H370" s="2" t="n">
        <v>81.14</v>
      </c>
      <c r="I370" s="2" t="s">
        <v>28</v>
      </c>
      <c r="J370" s="2" t="s">
        <v>1644</v>
      </c>
      <c r="K370" s="2" t="s">
        <v>89</v>
      </c>
      <c r="L370" s="2"/>
      <c r="M370" s="2" t="s">
        <v>1645</v>
      </c>
    </row>
    <row r="371" customFormat="false" ht="15" hidden="false" customHeight="false" outlineLevel="0" collapsed="false">
      <c r="A371" s="2" t="s">
        <v>1646</v>
      </c>
      <c r="B371" s="2" t="s">
        <v>725</v>
      </c>
      <c r="C371" s="2" t="s">
        <v>726</v>
      </c>
      <c r="D371" s="13" t="n">
        <v>45901.7951388889</v>
      </c>
      <c r="E371" s="2" t="s">
        <v>43</v>
      </c>
      <c r="F371" s="2" t="s">
        <v>27</v>
      </c>
      <c r="G371" s="2" t="n">
        <v>15791.66</v>
      </c>
      <c r="H371" s="2" t="n">
        <v>179.1</v>
      </c>
      <c r="I371" s="2" t="s">
        <v>30</v>
      </c>
      <c r="J371" s="2" t="s">
        <v>1647</v>
      </c>
      <c r="K371" s="2" t="s">
        <v>101</v>
      </c>
      <c r="L371" s="2"/>
      <c r="M371" s="2" t="s">
        <v>871</v>
      </c>
    </row>
    <row r="372" customFormat="false" ht="15" hidden="false" customHeight="false" outlineLevel="0" collapsed="false">
      <c r="A372" s="2" t="s">
        <v>1648</v>
      </c>
      <c r="B372" s="2" t="s">
        <v>1649</v>
      </c>
      <c r="C372" s="2" t="s">
        <v>1650</v>
      </c>
      <c r="D372" s="13" t="n">
        <v>45461.8576388889</v>
      </c>
      <c r="E372" s="2" t="s">
        <v>37</v>
      </c>
      <c r="F372" s="2" t="s">
        <v>31</v>
      </c>
      <c r="G372" s="2" t="n">
        <v>7618.76</v>
      </c>
      <c r="H372" s="2" t="n">
        <v>87.1</v>
      </c>
      <c r="I372" s="2" t="s">
        <v>26</v>
      </c>
      <c r="J372" s="2" t="s">
        <v>1651</v>
      </c>
      <c r="K372" s="2" t="s">
        <v>89</v>
      </c>
      <c r="L372" s="2" t="s">
        <v>433</v>
      </c>
      <c r="M372" s="2"/>
    </row>
    <row r="373" customFormat="false" ht="15" hidden="false" customHeight="false" outlineLevel="0" collapsed="false">
      <c r="A373" s="2" t="s">
        <v>1652</v>
      </c>
      <c r="B373" s="2" t="s">
        <v>1653</v>
      </c>
      <c r="C373" s="2" t="s">
        <v>1654</v>
      </c>
      <c r="D373" s="13" t="n">
        <v>45655.6145833333</v>
      </c>
      <c r="E373" s="2" t="s">
        <v>37</v>
      </c>
      <c r="F373" s="2" t="s">
        <v>31</v>
      </c>
      <c r="G373" s="2" t="n">
        <v>746.22</v>
      </c>
      <c r="H373" s="2" t="n">
        <v>5</v>
      </c>
      <c r="I373" s="2" t="s">
        <v>26</v>
      </c>
      <c r="J373" s="2" t="s">
        <v>1655</v>
      </c>
      <c r="K373" s="2" t="s">
        <v>95</v>
      </c>
      <c r="L373" s="2" t="s">
        <v>438</v>
      </c>
      <c r="M373" s="2"/>
    </row>
    <row r="374" customFormat="false" ht="15" hidden="false" customHeight="false" outlineLevel="0" collapsed="false">
      <c r="A374" s="2" t="s">
        <v>1656</v>
      </c>
      <c r="B374" s="2" t="s">
        <v>801</v>
      </c>
      <c r="C374" s="2" t="s">
        <v>802</v>
      </c>
      <c r="D374" s="13" t="n">
        <v>45791.6965277778</v>
      </c>
      <c r="E374" s="2" t="s">
        <v>39</v>
      </c>
      <c r="F374" s="2" t="s">
        <v>27</v>
      </c>
      <c r="G374" s="2" t="n">
        <v>4673.8</v>
      </c>
      <c r="H374" s="2" t="n">
        <v>26.99</v>
      </c>
      <c r="I374" s="2" t="s">
        <v>28</v>
      </c>
      <c r="J374" s="2" t="s">
        <v>1657</v>
      </c>
      <c r="K374" s="2" t="s">
        <v>122</v>
      </c>
      <c r="L374" s="2"/>
      <c r="M374" s="2" t="s">
        <v>1658</v>
      </c>
    </row>
    <row r="375" customFormat="false" ht="15" hidden="false" customHeight="false" outlineLevel="0" collapsed="false">
      <c r="A375" s="2" t="s">
        <v>1659</v>
      </c>
      <c r="B375" s="2" t="s">
        <v>1660</v>
      </c>
      <c r="C375" s="2" t="s">
        <v>1661</v>
      </c>
      <c r="D375" s="13" t="n">
        <v>45591.3722222222</v>
      </c>
      <c r="E375" s="2" t="s">
        <v>43</v>
      </c>
      <c r="F375" s="2" t="s">
        <v>27</v>
      </c>
      <c r="G375" s="2" t="n">
        <v>5490.06</v>
      </c>
      <c r="H375" s="2" t="n">
        <v>46.1</v>
      </c>
      <c r="I375" s="2" t="s">
        <v>26</v>
      </c>
      <c r="J375" s="2" t="s">
        <v>1662</v>
      </c>
      <c r="K375" s="2" t="s">
        <v>95</v>
      </c>
      <c r="L375" s="2"/>
      <c r="M375" s="2" t="s">
        <v>448</v>
      </c>
    </row>
    <row r="376" customFormat="false" ht="15" hidden="false" customHeight="false" outlineLevel="0" collapsed="false">
      <c r="A376" s="2" t="s">
        <v>1663</v>
      </c>
      <c r="B376" s="2" t="s">
        <v>1664</v>
      </c>
      <c r="C376" s="2" t="s">
        <v>1665</v>
      </c>
      <c r="D376" s="13" t="n">
        <v>45563.8340277778</v>
      </c>
      <c r="E376" s="2" t="s">
        <v>37</v>
      </c>
      <c r="F376" s="2" t="s">
        <v>31</v>
      </c>
      <c r="G376" s="2" t="n">
        <v>1766.31</v>
      </c>
      <c r="H376" s="2" t="n">
        <v>6.21</v>
      </c>
      <c r="I376" s="2" t="s">
        <v>26</v>
      </c>
      <c r="J376" s="2" t="s">
        <v>1666</v>
      </c>
      <c r="K376" s="2" t="s">
        <v>101</v>
      </c>
      <c r="L376" s="2" t="s">
        <v>453</v>
      </c>
      <c r="M376" s="2"/>
    </row>
    <row r="377" customFormat="false" ht="15" hidden="false" customHeight="false" outlineLevel="0" collapsed="false">
      <c r="A377" s="2" t="s">
        <v>1667</v>
      </c>
      <c r="B377" s="2" t="s">
        <v>1668</v>
      </c>
      <c r="C377" s="2" t="s">
        <v>1669</v>
      </c>
      <c r="D377" s="13" t="n">
        <v>45687.4652777778</v>
      </c>
      <c r="E377" s="2" t="s">
        <v>37</v>
      </c>
      <c r="F377" s="2" t="s">
        <v>29</v>
      </c>
      <c r="G377" s="2" t="n">
        <v>14487.89</v>
      </c>
      <c r="H377" s="2" t="n">
        <v>139.09</v>
      </c>
      <c r="I377" s="2" t="s">
        <v>28</v>
      </c>
      <c r="J377" s="2" t="s">
        <v>1670</v>
      </c>
      <c r="K377" s="2" t="s">
        <v>95</v>
      </c>
      <c r="L377" s="2" t="s">
        <v>458</v>
      </c>
      <c r="M377" s="2"/>
    </row>
    <row r="378" customFormat="false" ht="15" hidden="false" customHeight="false" outlineLevel="0" collapsed="false">
      <c r="A378" s="2" t="s">
        <v>1671</v>
      </c>
      <c r="B378" s="2" t="s">
        <v>86</v>
      </c>
      <c r="C378" s="2" t="s">
        <v>87</v>
      </c>
      <c r="D378" s="13" t="n">
        <v>45806.5951388889</v>
      </c>
      <c r="E378" s="2" t="s">
        <v>43</v>
      </c>
      <c r="F378" s="2" t="s">
        <v>31</v>
      </c>
      <c r="G378" s="2" t="n">
        <v>4569.25</v>
      </c>
      <c r="H378" s="2" t="n">
        <v>32.07</v>
      </c>
      <c r="I378" s="2" t="s">
        <v>26</v>
      </c>
      <c r="J378" s="2" t="s">
        <v>1672</v>
      </c>
      <c r="K378" s="2" t="s">
        <v>95</v>
      </c>
      <c r="L378" s="2"/>
      <c r="M378" s="2" t="s">
        <v>463</v>
      </c>
    </row>
    <row r="379" customFormat="false" ht="15" hidden="false" customHeight="false" outlineLevel="0" collapsed="false">
      <c r="A379" s="2" t="s">
        <v>1673</v>
      </c>
      <c r="B379" s="2" t="s">
        <v>1674</v>
      </c>
      <c r="C379" s="2" t="s">
        <v>1675</v>
      </c>
      <c r="D379" s="13" t="n">
        <v>45696.9229166667</v>
      </c>
      <c r="E379" s="2" t="s">
        <v>43</v>
      </c>
      <c r="F379" s="2" t="s">
        <v>31</v>
      </c>
      <c r="G379" s="2" t="n">
        <v>3223.76</v>
      </c>
      <c r="H379" s="2" t="n">
        <v>20.15</v>
      </c>
      <c r="I379" s="2" t="s">
        <v>26</v>
      </c>
      <c r="J379" s="2" t="s">
        <v>1676</v>
      </c>
      <c r="K379" s="2" t="s">
        <v>101</v>
      </c>
      <c r="L379" s="2"/>
      <c r="M379" s="2" t="s">
        <v>1677</v>
      </c>
    </row>
    <row r="380" customFormat="false" ht="15" hidden="false" customHeight="false" outlineLevel="0" collapsed="false">
      <c r="A380" s="2" t="s">
        <v>1678</v>
      </c>
      <c r="B380" s="2" t="s">
        <v>1679</v>
      </c>
      <c r="C380" s="2" t="s">
        <v>1680</v>
      </c>
      <c r="D380" s="13" t="n">
        <v>45511.4423611111</v>
      </c>
      <c r="E380" s="2" t="s">
        <v>41</v>
      </c>
      <c r="F380" s="2" t="s">
        <v>32</v>
      </c>
      <c r="G380" s="2" t="n">
        <v>1124.96</v>
      </c>
      <c r="H380" s="2" t="n">
        <v>13.35</v>
      </c>
      <c r="I380" s="2" t="s">
        <v>30</v>
      </c>
      <c r="J380" s="2" t="s">
        <v>1681</v>
      </c>
      <c r="K380" s="2" t="s">
        <v>122</v>
      </c>
      <c r="L380" s="2" t="s">
        <v>473</v>
      </c>
      <c r="M380" s="2"/>
    </row>
    <row r="381" customFormat="false" ht="15" hidden="false" customHeight="false" outlineLevel="0" collapsed="false">
      <c r="A381" s="2" t="s">
        <v>1682</v>
      </c>
      <c r="B381" s="2" t="s">
        <v>1683</v>
      </c>
      <c r="C381" s="2" t="s">
        <v>1684</v>
      </c>
      <c r="D381" s="13" t="n">
        <v>45530.5625</v>
      </c>
      <c r="E381" s="2" t="s">
        <v>39</v>
      </c>
      <c r="F381" s="2" t="s">
        <v>27</v>
      </c>
      <c r="G381" s="2" t="n">
        <v>1408.34</v>
      </c>
      <c r="H381" s="2" t="n">
        <v>10.65</v>
      </c>
      <c r="I381" s="2" t="s">
        <v>26</v>
      </c>
      <c r="J381" s="2" t="s">
        <v>1685</v>
      </c>
      <c r="K381" s="2" t="s">
        <v>89</v>
      </c>
      <c r="L381" s="2"/>
      <c r="M381" s="2" t="s">
        <v>1686</v>
      </c>
    </row>
    <row r="382" customFormat="false" ht="15" hidden="false" customHeight="false" outlineLevel="0" collapsed="false">
      <c r="A382" s="2" t="s">
        <v>1687</v>
      </c>
      <c r="B382" s="2" t="s">
        <v>1688</v>
      </c>
      <c r="C382" s="2" t="s">
        <v>1689</v>
      </c>
      <c r="D382" s="13" t="n">
        <v>45461.7902777778</v>
      </c>
      <c r="E382" s="2" t="s">
        <v>37</v>
      </c>
      <c r="F382" s="2" t="s">
        <v>29</v>
      </c>
      <c r="G382" s="2" t="n">
        <v>3982.84</v>
      </c>
      <c r="H382" s="2" t="n">
        <v>32.51</v>
      </c>
      <c r="I382" s="2" t="s">
        <v>30</v>
      </c>
      <c r="J382" s="2" t="s">
        <v>1690</v>
      </c>
      <c r="K382" s="2" t="s">
        <v>89</v>
      </c>
      <c r="L382" s="2" t="s">
        <v>483</v>
      </c>
      <c r="M382" s="2"/>
    </row>
    <row r="383" customFormat="false" ht="15" hidden="false" customHeight="false" outlineLevel="0" collapsed="false">
      <c r="A383" s="2" t="s">
        <v>1691</v>
      </c>
      <c r="B383" s="2" t="s">
        <v>1692</v>
      </c>
      <c r="C383" s="2" t="s">
        <v>1693</v>
      </c>
      <c r="D383" s="13" t="n">
        <v>45489.6784722222</v>
      </c>
      <c r="E383" s="2" t="s">
        <v>37</v>
      </c>
      <c r="F383" s="2" t="s">
        <v>31</v>
      </c>
      <c r="G383" s="2" t="n">
        <v>3363.24</v>
      </c>
      <c r="H383" s="2" t="n">
        <v>32.14</v>
      </c>
      <c r="I383" s="2" t="s">
        <v>28</v>
      </c>
      <c r="J383" s="2" t="s">
        <v>1694</v>
      </c>
      <c r="K383" s="2" t="s">
        <v>95</v>
      </c>
      <c r="L383" s="2" t="s">
        <v>488</v>
      </c>
      <c r="M383" s="2"/>
    </row>
    <row r="384" customFormat="false" ht="15" hidden="false" customHeight="false" outlineLevel="0" collapsed="false">
      <c r="A384" s="2" t="s">
        <v>1695</v>
      </c>
      <c r="B384" s="2" t="s">
        <v>165</v>
      </c>
      <c r="C384" s="2" t="s">
        <v>166</v>
      </c>
      <c r="D384" s="13" t="n">
        <v>45556.3569444444</v>
      </c>
      <c r="E384" s="2" t="s">
        <v>37</v>
      </c>
      <c r="F384" s="2" t="s">
        <v>27</v>
      </c>
      <c r="G384" s="2" t="n">
        <v>8618.01</v>
      </c>
      <c r="H384" s="2" t="n">
        <v>17.48</v>
      </c>
      <c r="I384" s="2" t="s">
        <v>28</v>
      </c>
      <c r="J384" s="2" t="s">
        <v>1696</v>
      </c>
      <c r="K384" s="2" t="s">
        <v>95</v>
      </c>
      <c r="L384" s="2"/>
      <c r="M384" s="2" t="s">
        <v>493</v>
      </c>
    </row>
    <row r="385" customFormat="false" ht="15" hidden="false" customHeight="false" outlineLevel="0" collapsed="false">
      <c r="A385" s="2" t="s">
        <v>1697</v>
      </c>
      <c r="B385" s="2" t="s">
        <v>1698</v>
      </c>
      <c r="C385" s="2" t="s">
        <v>1699</v>
      </c>
      <c r="D385" s="13" t="n">
        <v>45570.3944444444</v>
      </c>
      <c r="E385" s="2" t="s">
        <v>41</v>
      </c>
      <c r="F385" s="2" t="s">
        <v>29</v>
      </c>
      <c r="G385" s="2" t="n">
        <v>1783.3</v>
      </c>
      <c r="H385" s="2" t="n">
        <v>21.32</v>
      </c>
      <c r="I385" s="2" t="s">
        <v>28</v>
      </c>
      <c r="J385" s="2" t="s">
        <v>1700</v>
      </c>
      <c r="K385" s="2" t="s">
        <v>95</v>
      </c>
      <c r="L385" s="2" t="s">
        <v>1127</v>
      </c>
      <c r="M385" s="2"/>
    </row>
    <row r="386" customFormat="false" ht="15" hidden="false" customHeight="false" outlineLevel="0" collapsed="false">
      <c r="A386" s="2" t="s">
        <v>1701</v>
      </c>
      <c r="B386" s="2" t="s">
        <v>591</v>
      </c>
      <c r="C386" s="2" t="s">
        <v>592</v>
      </c>
      <c r="D386" s="13" t="n">
        <v>45695.8027777778</v>
      </c>
      <c r="E386" s="2" t="s">
        <v>41</v>
      </c>
      <c r="F386" s="2" t="s">
        <v>27</v>
      </c>
      <c r="G386" s="2" t="n">
        <v>4941.27</v>
      </c>
      <c r="H386" s="2" t="n">
        <v>36.49</v>
      </c>
      <c r="I386" s="2" t="s">
        <v>30</v>
      </c>
      <c r="J386" s="2" t="s">
        <v>1702</v>
      </c>
      <c r="K386" s="2" t="s">
        <v>122</v>
      </c>
      <c r="L386" s="2"/>
      <c r="M386" s="2" t="s">
        <v>1703</v>
      </c>
    </row>
    <row r="387" customFormat="false" ht="15" hidden="false" customHeight="false" outlineLevel="0" collapsed="false">
      <c r="A387" s="2" t="s">
        <v>1704</v>
      </c>
      <c r="B387" s="2" t="s">
        <v>1705</v>
      </c>
      <c r="C387" s="2" t="s">
        <v>1706</v>
      </c>
      <c r="D387" s="13" t="n">
        <v>45810.8166666667</v>
      </c>
      <c r="E387" s="2" t="s">
        <v>35</v>
      </c>
      <c r="F387" s="2" t="s">
        <v>31</v>
      </c>
      <c r="G387" s="2" t="n">
        <v>1386.59</v>
      </c>
      <c r="H387" s="2" t="n">
        <v>6.4</v>
      </c>
      <c r="I387" s="2" t="s">
        <v>26</v>
      </c>
      <c r="J387" s="2" t="s">
        <v>1707</v>
      </c>
      <c r="K387" s="2" t="s">
        <v>89</v>
      </c>
      <c r="L387" s="2" t="s">
        <v>508</v>
      </c>
      <c r="M387" s="2"/>
    </row>
    <row r="388" customFormat="false" ht="15" hidden="false" customHeight="false" outlineLevel="0" collapsed="false">
      <c r="A388" s="2" t="s">
        <v>1708</v>
      </c>
      <c r="B388" s="2" t="s">
        <v>1709</v>
      </c>
      <c r="C388" s="2" t="s">
        <v>1710</v>
      </c>
      <c r="D388" s="13" t="n">
        <v>45430.5020833333</v>
      </c>
      <c r="E388" s="2" t="s">
        <v>41</v>
      </c>
      <c r="F388" s="2" t="s">
        <v>27</v>
      </c>
      <c r="G388" s="2" t="n">
        <v>3730.12</v>
      </c>
      <c r="H388" s="2" t="n">
        <v>34.62</v>
      </c>
      <c r="I388" s="2" t="s">
        <v>26</v>
      </c>
      <c r="J388" s="2" t="s">
        <v>1711</v>
      </c>
      <c r="K388" s="2" t="s">
        <v>122</v>
      </c>
      <c r="L388" s="2"/>
      <c r="M388" s="2" t="s">
        <v>513</v>
      </c>
    </row>
    <row r="389" customFormat="false" ht="15" hidden="false" customHeight="false" outlineLevel="0" collapsed="false">
      <c r="A389" s="2" t="s">
        <v>1712</v>
      </c>
      <c r="B389" s="2" t="s">
        <v>1713</v>
      </c>
      <c r="C389" s="2" t="s">
        <v>1714</v>
      </c>
      <c r="D389" s="13" t="n">
        <v>45546.8645833333</v>
      </c>
      <c r="E389" s="2" t="s">
        <v>35</v>
      </c>
      <c r="F389" s="2" t="s">
        <v>29</v>
      </c>
      <c r="G389" s="2" t="n">
        <v>5331.48</v>
      </c>
      <c r="H389" s="2" t="n">
        <v>41.55</v>
      </c>
      <c r="I389" s="2" t="s">
        <v>28</v>
      </c>
      <c r="J389" s="2" t="s">
        <v>1715</v>
      </c>
      <c r="K389" s="2" t="s">
        <v>89</v>
      </c>
      <c r="L389" s="2" t="s">
        <v>518</v>
      </c>
      <c r="M389" s="2"/>
    </row>
    <row r="390" customFormat="false" ht="15" hidden="false" customHeight="false" outlineLevel="0" collapsed="false">
      <c r="A390" s="2" t="s">
        <v>1716</v>
      </c>
      <c r="B390" s="2" t="s">
        <v>170</v>
      </c>
      <c r="C390" s="2" t="s">
        <v>171</v>
      </c>
      <c r="D390" s="13" t="n">
        <v>45789.29375</v>
      </c>
      <c r="E390" s="2" t="s">
        <v>43</v>
      </c>
      <c r="F390" s="2" t="s">
        <v>29</v>
      </c>
      <c r="G390" s="2" t="n">
        <v>7658.12</v>
      </c>
      <c r="H390" s="2" t="n">
        <v>38.19</v>
      </c>
      <c r="I390" s="2" t="s">
        <v>26</v>
      </c>
      <c r="J390" s="2" t="s">
        <v>1717</v>
      </c>
      <c r="K390" s="2" t="s">
        <v>89</v>
      </c>
      <c r="L390" s="2"/>
      <c r="M390" s="2" t="s">
        <v>950</v>
      </c>
    </row>
    <row r="391" customFormat="false" ht="15" hidden="false" customHeight="false" outlineLevel="0" collapsed="false">
      <c r="A391" s="2" t="s">
        <v>1718</v>
      </c>
      <c r="B391" s="2" t="s">
        <v>1719</v>
      </c>
      <c r="C391" s="2" t="s">
        <v>1720</v>
      </c>
      <c r="D391" s="13" t="n">
        <v>45677.8215277778</v>
      </c>
      <c r="E391" s="2" t="s">
        <v>37</v>
      </c>
      <c r="F391" s="2" t="s">
        <v>27</v>
      </c>
      <c r="G391" s="2" t="n">
        <v>10209.3</v>
      </c>
      <c r="H391" s="2" t="n">
        <v>64.82</v>
      </c>
      <c r="I391" s="2" t="s">
        <v>26</v>
      </c>
      <c r="J391" s="2" t="s">
        <v>1721</v>
      </c>
      <c r="K391" s="2" t="s">
        <v>101</v>
      </c>
      <c r="L391" s="2"/>
      <c r="M391" s="2" t="s">
        <v>528</v>
      </c>
    </row>
    <row r="392" customFormat="false" ht="15" hidden="false" customHeight="false" outlineLevel="0" collapsed="false">
      <c r="A392" s="2" t="s">
        <v>1722</v>
      </c>
      <c r="B392" s="2" t="s">
        <v>1723</v>
      </c>
      <c r="C392" s="2" t="s">
        <v>1724</v>
      </c>
      <c r="D392" s="13" t="n">
        <v>45738.6319444445</v>
      </c>
      <c r="E392" s="2" t="s">
        <v>37</v>
      </c>
      <c r="F392" s="2" t="s">
        <v>29</v>
      </c>
      <c r="G392" s="2" t="n">
        <v>2290.96</v>
      </c>
      <c r="H392" s="2" t="n">
        <v>12.93</v>
      </c>
      <c r="I392" s="2" t="s">
        <v>28</v>
      </c>
      <c r="J392" s="2" t="s">
        <v>1725</v>
      </c>
      <c r="K392" s="2" t="s">
        <v>89</v>
      </c>
      <c r="L392" s="2" t="s">
        <v>1726</v>
      </c>
      <c r="M392" s="2"/>
    </row>
    <row r="393" customFormat="false" ht="15" hidden="false" customHeight="false" outlineLevel="0" collapsed="false">
      <c r="A393" s="2" t="s">
        <v>1727</v>
      </c>
      <c r="B393" s="2" t="s">
        <v>1492</v>
      </c>
      <c r="C393" s="2" t="s">
        <v>1493</v>
      </c>
      <c r="D393" s="13" t="n">
        <v>45753.7006944444</v>
      </c>
      <c r="E393" s="2" t="s">
        <v>43</v>
      </c>
      <c r="F393" s="2" t="s">
        <v>31</v>
      </c>
      <c r="G393" s="2" t="n">
        <v>2701.02</v>
      </c>
      <c r="H393" s="2" t="n">
        <v>26.5</v>
      </c>
      <c r="I393" s="2" t="s">
        <v>26</v>
      </c>
      <c r="J393" s="2" t="s">
        <v>1728</v>
      </c>
      <c r="K393" s="2" t="s">
        <v>95</v>
      </c>
      <c r="L393" s="2"/>
      <c r="M393" s="2" t="s">
        <v>536</v>
      </c>
    </row>
    <row r="394" customFormat="false" ht="15" hidden="false" customHeight="false" outlineLevel="0" collapsed="false">
      <c r="A394" s="2" t="s">
        <v>1729</v>
      </c>
      <c r="B394" s="2" t="s">
        <v>1730</v>
      </c>
      <c r="C394" s="2" t="s">
        <v>1731</v>
      </c>
      <c r="D394" s="13" t="n">
        <v>45670.6604166667</v>
      </c>
      <c r="E394" s="2" t="s">
        <v>41</v>
      </c>
      <c r="F394" s="2" t="s">
        <v>27</v>
      </c>
      <c r="G394" s="2" t="n">
        <v>3087.26</v>
      </c>
      <c r="H394" s="2" t="n">
        <v>10.21</v>
      </c>
      <c r="I394" s="2" t="s">
        <v>26</v>
      </c>
      <c r="J394" s="2" t="s">
        <v>1732</v>
      </c>
      <c r="K394" s="2" t="s">
        <v>101</v>
      </c>
      <c r="L394" s="2"/>
      <c r="M394" s="2" t="s">
        <v>1371</v>
      </c>
    </row>
    <row r="395" customFormat="false" ht="15" hidden="false" customHeight="false" outlineLevel="0" collapsed="false">
      <c r="A395" s="2" t="s">
        <v>1733</v>
      </c>
      <c r="B395" s="2" t="s">
        <v>1734</v>
      </c>
      <c r="C395" s="2" t="s">
        <v>1735</v>
      </c>
      <c r="D395" s="13" t="n">
        <v>45403.8194444445</v>
      </c>
      <c r="E395" s="2" t="s">
        <v>39</v>
      </c>
      <c r="F395" s="2" t="s">
        <v>31</v>
      </c>
      <c r="G395" s="2" t="n">
        <v>1945.14</v>
      </c>
      <c r="H395" s="2" t="n">
        <v>8.34</v>
      </c>
      <c r="I395" s="2" t="s">
        <v>30</v>
      </c>
      <c r="J395" s="2" t="s">
        <v>1736</v>
      </c>
      <c r="K395" s="2" t="s">
        <v>122</v>
      </c>
      <c r="L395" s="2" t="s">
        <v>1169</v>
      </c>
      <c r="M395" s="2"/>
    </row>
    <row r="396" customFormat="false" ht="15" hidden="false" customHeight="false" outlineLevel="0" collapsed="false">
      <c r="A396" s="2" t="s">
        <v>1737</v>
      </c>
      <c r="B396" s="2" t="s">
        <v>1738</v>
      </c>
      <c r="C396" s="2" t="s">
        <v>1739</v>
      </c>
      <c r="D396" s="13" t="n">
        <v>45483.4243055556</v>
      </c>
      <c r="E396" s="2" t="s">
        <v>37</v>
      </c>
      <c r="F396" s="2" t="s">
        <v>27</v>
      </c>
      <c r="G396" s="2" t="n">
        <v>1941.75</v>
      </c>
      <c r="H396" s="2" t="n">
        <v>18.68</v>
      </c>
      <c r="I396" s="2" t="s">
        <v>26</v>
      </c>
      <c r="J396" s="2" t="s">
        <v>1740</v>
      </c>
      <c r="K396" s="2" t="s">
        <v>122</v>
      </c>
      <c r="L396" s="2"/>
      <c r="M396" s="2" t="s">
        <v>551</v>
      </c>
    </row>
    <row r="397" customFormat="false" ht="15" hidden="false" customHeight="false" outlineLevel="0" collapsed="false">
      <c r="A397" s="2" t="s">
        <v>1741</v>
      </c>
      <c r="B397" s="2" t="s">
        <v>1742</v>
      </c>
      <c r="C397" s="2" t="s">
        <v>1743</v>
      </c>
      <c r="D397" s="13" t="n">
        <v>45702.4916666667</v>
      </c>
      <c r="E397" s="2" t="s">
        <v>39</v>
      </c>
      <c r="F397" s="2" t="s">
        <v>32</v>
      </c>
      <c r="G397" s="2" t="n">
        <v>2868.56</v>
      </c>
      <c r="H397" s="2" t="n">
        <v>6.53</v>
      </c>
      <c r="I397" s="2" t="s">
        <v>26</v>
      </c>
      <c r="J397" s="2" t="s">
        <v>1744</v>
      </c>
      <c r="K397" s="2" t="s">
        <v>89</v>
      </c>
      <c r="L397" s="2" t="s">
        <v>556</v>
      </c>
      <c r="M397" s="2"/>
    </row>
    <row r="398" customFormat="false" ht="15" hidden="false" customHeight="false" outlineLevel="0" collapsed="false">
      <c r="A398" s="2" t="s">
        <v>1745</v>
      </c>
      <c r="B398" s="2" t="s">
        <v>1746</v>
      </c>
      <c r="C398" s="2" t="s">
        <v>1747</v>
      </c>
      <c r="D398" s="13" t="n">
        <v>45673.6486111111</v>
      </c>
      <c r="E398" s="2" t="s">
        <v>39</v>
      </c>
      <c r="F398" s="2" t="s">
        <v>31</v>
      </c>
      <c r="G398" s="2" t="n">
        <v>16522.26</v>
      </c>
      <c r="H398" s="2" t="n">
        <v>197.17</v>
      </c>
      <c r="I398" s="2" t="s">
        <v>26</v>
      </c>
      <c r="J398" s="2" t="s">
        <v>1748</v>
      </c>
      <c r="K398" s="2" t="s">
        <v>122</v>
      </c>
      <c r="L398" s="2" t="s">
        <v>1183</v>
      </c>
      <c r="M398" s="2"/>
    </row>
    <row r="399" customFormat="false" ht="15" hidden="false" customHeight="false" outlineLevel="0" collapsed="false">
      <c r="A399" s="2" t="s">
        <v>1749</v>
      </c>
      <c r="B399" s="2" t="s">
        <v>1653</v>
      </c>
      <c r="C399" s="2" t="s">
        <v>1654</v>
      </c>
      <c r="D399" s="13" t="n">
        <v>45820.8125</v>
      </c>
      <c r="E399" s="2" t="s">
        <v>37</v>
      </c>
      <c r="F399" s="2" t="s">
        <v>31</v>
      </c>
      <c r="G399" s="2" t="n">
        <v>1004.86</v>
      </c>
      <c r="H399" s="2" t="n">
        <v>11.47</v>
      </c>
      <c r="I399" s="2" t="s">
        <v>26</v>
      </c>
      <c r="J399" s="2" t="s">
        <v>1750</v>
      </c>
      <c r="K399" s="2" t="s">
        <v>122</v>
      </c>
      <c r="L399" s="2" t="s">
        <v>566</v>
      </c>
      <c r="M399" s="2"/>
    </row>
    <row r="400" customFormat="false" ht="15" hidden="false" customHeight="false" outlineLevel="0" collapsed="false">
      <c r="A400" s="2" t="s">
        <v>1751</v>
      </c>
      <c r="B400" s="2" t="s">
        <v>1752</v>
      </c>
      <c r="C400" s="2" t="s">
        <v>1753</v>
      </c>
      <c r="D400" s="13" t="n">
        <v>45710.6625</v>
      </c>
      <c r="E400" s="2" t="s">
        <v>37</v>
      </c>
      <c r="F400" s="2" t="s">
        <v>29</v>
      </c>
      <c r="G400" s="2" t="n">
        <v>4289.74</v>
      </c>
      <c r="H400" s="2" t="n">
        <v>41.17</v>
      </c>
      <c r="I400" s="2" t="s">
        <v>26</v>
      </c>
      <c r="J400" s="2" t="s">
        <v>1754</v>
      </c>
      <c r="K400" s="2" t="s">
        <v>122</v>
      </c>
      <c r="L400" s="2" t="s">
        <v>1190</v>
      </c>
      <c r="M400" s="2"/>
    </row>
    <row r="401" customFormat="false" ht="15" hidden="false" customHeight="false" outlineLevel="0" collapsed="false">
      <c r="A401" s="2" t="s">
        <v>1755</v>
      </c>
      <c r="B401" s="2" t="s">
        <v>1756</v>
      </c>
      <c r="C401" s="2" t="s">
        <v>1757</v>
      </c>
      <c r="D401" s="13" t="n">
        <v>46005.8298611111</v>
      </c>
      <c r="E401" s="2" t="s">
        <v>35</v>
      </c>
      <c r="F401" s="2" t="s">
        <v>29</v>
      </c>
      <c r="G401" s="2" t="n">
        <v>137281.41</v>
      </c>
      <c r="H401" s="2" t="n">
        <v>1147.07</v>
      </c>
      <c r="I401" s="2" t="s">
        <v>28</v>
      </c>
      <c r="J401" s="2" t="s">
        <v>1758</v>
      </c>
      <c r="K401" s="2" t="s">
        <v>95</v>
      </c>
      <c r="L401" s="2" t="s">
        <v>1759</v>
      </c>
      <c r="M401" s="2"/>
    </row>
    <row r="402" customFormat="false" ht="15" hidden="false" customHeight="false" outlineLevel="0" collapsed="false">
      <c r="A402" s="2" t="s">
        <v>1760</v>
      </c>
      <c r="B402" s="2" t="s">
        <v>410</v>
      </c>
      <c r="C402" s="2" t="s">
        <v>411</v>
      </c>
      <c r="D402" s="13" t="n">
        <v>45422.4458333333</v>
      </c>
      <c r="E402" s="2" t="s">
        <v>35</v>
      </c>
      <c r="F402" s="2" t="s">
        <v>29</v>
      </c>
      <c r="G402" s="2" t="n">
        <v>5981.26</v>
      </c>
      <c r="H402" s="2" t="n">
        <v>42.08</v>
      </c>
      <c r="I402" s="2" t="s">
        <v>26</v>
      </c>
      <c r="J402" s="2" t="s">
        <v>1761</v>
      </c>
      <c r="K402" s="2" t="s">
        <v>89</v>
      </c>
      <c r="L402" s="2" t="s">
        <v>1199</v>
      </c>
      <c r="M402" s="2"/>
    </row>
    <row r="403" customFormat="false" ht="15" hidden="false" customHeight="false" outlineLevel="0" collapsed="false">
      <c r="A403" s="2" t="s">
        <v>1762</v>
      </c>
      <c r="B403" s="2" t="s">
        <v>1763</v>
      </c>
      <c r="C403" s="2" t="s">
        <v>1764</v>
      </c>
      <c r="D403" s="13" t="n">
        <v>45984.8444444445</v>
      </c>
      <c r="E403" s="2" t="s">
        <v>35</v>
      </c>
      <c r="F403" s="2" t="s">
        <v>32</v>
      </c>
      <c r="G403" s="2" t="n">
        <v>2374.46</v>
      </c>
      <c r="H403" s="2" t="n">
        <v>20.24</v>
      </c>
      <c r="I403" s="2" t="s">
        <v>26</v>
      </c>
      <c r="J403" s="2" t="s">
        <v>1765</v>
      </c>
      <c r="K403" s="2" t="s">
        <v>89</v>
      </c>
      <c r="L403" s="2" t="s">
        <v>584</v>
      </c>
      <c r="M403" s="2"/>
    </row>
    <row r="404" customFormat="false" ht="15" hidden="false" customHeight="false" outlineLevel="0" collapsed="false">
      <c r="A404" s="2" t="s">
        <v>1766</v>
      </c>
      <c r="B404" s="2" t="s">
        <v>1767</v>
      </c>
      <c r="C404" s="2" t="s">
        <v>1768</v>
      </c>
      <c r="D404" s="13" t="n">
        <v>45435.5479166667</v>
      </c>
      <c r="E404" s="2" t="s">
        <v>37</v>
      </c>
      <c r="F404" s="2" t="s">
        <v>31</v>
      </c>
      <c r="G404" s="2" t="n">
        <v>1816.45</v>
      </c>
      <c r="H404" s="2" t="n">
        <v>17.54</v>
      </c>
      <c r="I404" s="2" t="s">
        <v>26</v>
      </c>
      <c r="J404" s="2" t="s">
        <v>1769</v>
      </c>
      <c r="K404" s="2" t="s">
        <v>122</v>
      </c>
      <c r="L404" s="2" t="s">
        <v>589</v>
      </c>
      <c r="M404" s="2"/>
    </row>
    <row r="405" customFormat="false" ht="15" hidden="false" customHeight="false" outlineLevel="0" collapsed="false">
      <c r="A405" s="2" t="s">
        <v>1770</v>
      </c>
      <c r="B405" s="2" t="s">
        <v>1063</v>
      </c>
      <c r="C405" s="2" t="s">
        <v>1064</v>
      </c>
      <c r="D405" s="13" t="n">
        <v>45699.5520833333</v>
      </c>
      <c r="E405" s="2" t="s">
        <v>41</v>
      </c>
      <c r="F405" s="2" t="s">
        <v>27</v>
      </c>
      <c r="G405" s="2" t="n">
        <v>8911.32</v>
      </c>
      <c r="H405" s="2" t="n">
        <v>78.29</v>
      </c>
      <c r="I405" s="2" t="s">
        <v>26</v>
      </c>
      <c r="J405" s="2" t="s">
        <v>1771</v>
      </c>
      <c r="K405" s="2" t="s">
        <v>89</v>
      </c>
      <c r="L405" s="2"/>
      <c r="M405" s="2" t="s">
        <v>594</v>
      </c>
    </row>
    <row r="406" customFormat="false" ht="15" hidden="false" customHeight="false" outlineLevel="0" collapsed="false">
      <c r="A406" s="2" t="s">
        <v>1772</v>
      </c>
      <c r="B406" s="2" t="s">
        <v>1773</v>
      </c>
      <c r="C406" s="2" t="s">
        <v>1774</v>
      </c>
      <c r="D406" s="13" t="n">
        <v>45860.8215277778</v>
      </c>
      <c r="E406" s="2" t="s">
        <v>39</v>
      </c>
      <c r="F406" s="2" t="s">
        <v>31</v>
      </c>
      <c r="G406" s="2" t="n">
        <v>3457.58</v>
      </c>
      <c r="H406" s="2" t="n">
        <v>29.56</v>
      </c>
      <c r="I406" s="2" t="s">
        <v>28</v>
      </c>
      <c r="J406" s="2" t="s">
        <v>1775</v>
      </c>
      <c r="K406" s="2" t="s">
        <v>122</v>
      </c>
      <c r="L406" s="2" t="s">
        <v>599</v>
      </c>
      <c r="M406" s="2"/>
    </row>
    <row r="407" customFormat="false" ht="15" hidden="false" customHeight="false" outlineLevel="0" collapsed="false">
      <c r="A407" s="2" t="s">
        <v>1776</v>
      </c>
      <c r="B407" s="2" t="s">
        <v>715</v>
      </c>
      <c r="C407" s="2" t="s">
        <v>716</v>
      </c>
      <c r="D407" s="13" t="n">
        <v>45544.3444444445</v>
      </c>
      <c r="E407" s="2" t="s">
        <v>43</v>
      </c>
      <c r="F407" s="2" t="s">
        <v>32</v>
      </c>
      <c r="G407" s="2" t="n">
        <v>1799.57</v>
      </c>
      <c r="H407" s="2" t="n">
        <v>5</v>
      </c>
      <c r="I407" s="2" t="s">
        <v>26</v>
      </c>
      <c r="J407" s="2" t="s">
        <v>1777</v>
      </c>
      <c r="K407" s="2" t="s">
        <v>95</v>
      </c>
      <c r="L407" s="2"/>
      <c r="M407" s="2" t="s">
        <v>1778</v>
      </c>
    </row>
    <row r="408" customFormat="false" ht="15" hidden="false" customHeight="false" outlineLevel="0" collapsed="false">
      <c r="A408" s="2" t="s">
        <v>1779</v>
      </c>
      <c r="B408" s="2" t="s">
        <v>1780</v>
      </c>
      <c r="C408" s="2" t="s">
        <v>1781</v>
      </c>
      <c r="D408" s="13" t="n">
        <v>45931.5979166667</v>
      </c>
      <c r="E408" s="2" t="s">
        <v>37</v>
      </c>
      <c r="F408" s="2" t="s">
        <v>27</v>
      </c>
      <c r="G408" s="2" t="n">
        <v>9409.57</v>
      </c>
      <c r="H408" s="2" t="n">
        <v>86.11</v>
      </c>
      <c r="I408" s="2" t="s">
        <v>26</v>
      </c>
      <c r="J408" s="2" t="s">
        <v>1782</v>
      </c>
      <c r="K408" s="2" t="s">
        <v>101</v>
      </c>
      <c r="L408" s="2"/>
      <c r="M408" s="2" t="s">
        <v>1023</v>
      </c>
    </row>
    <row r="409" customFormat="false" ht="15" hidden="false" customHeight="false" outlineLevel="0" collapsed="false">
      <c r="A409" s="2" t="s">
        <v>1783</v>
      </c>
      <c r="B409" s="2" t="s">
        <v>1784</v>
      </c>
      <c r="C409" s="2" t="s">
        <v>1785</v>
      </c>
      <c r="D409" s="13" t="n">
        <v>45360.8486111111</v>
      </c>
      <c r="E409" s="2" t="s">
        <v>35</v>
      </c>
      <c r="F409" s="2" t="s">
        <v>27</v>
      </c>
      <c r="G409" s="2" t="n">
        <v>1122.26</v>
      </c>
      <c r="H409" s="2" t="n">
        <v>6.28</v>
      </c>
      <c r="I409" s="2" t="s">
        <v>26</v>
      </c>
      <c r="J409" s="2" t="s">
        <v>1786</v>
      </c>
      <c r="K409" s="2" t="s">
        <v>95</v>
      </c>
      <c r="L409" s="2"/>
      <c r="M409" s="2" t="s">
        <v>1425</v>
      </c>
    </row>
    <row r="410" customFormat="false" ht="15" hidden="false" customHeight="false" outlineLevel="0" collapsed="false">
      <c r="A410" s="2" t="s">
        <v>1787</v>
      </c>
      <c r="B410" s="2" t="s">
        <v>1788</v>
      </c>
      <c r="C410" s="2" t="s">
        <v>1789</v>
      </c>
      <c r="D410" s="13" t="n">
        <v>45839.7805555556</v>
      </c>
      <c r="E410" s="2" t="s">
        <v>43</v>
      </c>
      <c r="F410" s="2" t="s">
        <v>31</v>
      </c>
      <c r="G410" s="2" t="n">
        <v>617.39</v>
      </c>
      <c r="H410" s="2" t="n">
        <v>5</v>
      </c>
      <c r="I410" s="2" t="s">
        <v>26</v>
      </c>
      <c r="J410" s="2" t="s">
        <v>1790</v>
      </c>
      <c r="K410" s="2" t="s">
        <v>101</v>
      </c>
      <c r="L410" s="2"/>
      <c r="M410" s="2" t="s">
        <v>617</v>
      </c>
    </row>
    <row r="411" customFormat="false" ht="15" hidden="false" customHeight="false" outlineLevel="0" collapsed="false">
      <c r="A411" s="2" t="s">
        <v>1791</v>
      </c>
      <c r="B411" s="2" t="s">
        <v>1792</v>
      </c>
      <c r="C411" s="2" t="s">
        <v>1793</v>
      </c>
      <c r="D411" s="13" t="n">
        <v>45951.4229166667</v>
      </c>
      <c r="E411" s="2" t="s">
        <v>35</v>
      </c>
      <c r="F411" s="2" t="s">
        <v>27</v>
      </c>
      <c r="G411" s="2" t="n">
        <v>19627.75</v>
      </c>
      <c r="H411" s="2" t="n">
        <v>139.85</v>
      </c>
      <c r="I411" s="2" t="s">
        <v>28</v>
      </c>
      <c r="J411" s="2" t="s">
        <v>1794</v>
      </c>
      <c r="K411" s="2" t="s">
        <v>122</v>
      </c>
      <c r="L411" s="2"/>
      <c r="M411" s="2" t="s">
        <v>1795</v>
      </c>
    </row>
    <row r="412" customFormat="false" ht="15" hidden="false" customHeight="false" outlineLevel="0" collapsed="false">
      <c r="A412" s="2" t="s">
        <v>1796</v>
      </c>
      <c r="B412" s="2" t="s">
        <v>1797</v>
      </c>
      <c r="C412" s="2" t="s">
        <v>1798</v>
      </c>
      <c r="D412" s="13" t="n">
        <v>45832.4972222222</v>
      </c>
      <c r="E412" s="2" t="s">
        <v>35</v>
      </c>
      <c r="F412" s="2" t="s">
        <v>27</v>
      </c>
      <c r="G412" s="2" t="n">
        <v>34346.98</v>
      </c>
      <c r="H412" s="2" t="n">
        <v>89.62</v>
      </c>
      <c r="I412" s="2" t="s">
        <v>28</v>
      </c>
      <c r="J412" s="2" t="s">
        <v>1799</v>
      </c>
      <c r="K412" s="2" t="s">
        <v>95</v>
      </c>
      <c r="L412" s="2"/>
      <c r="M412" s="2" t="s">
        <v>627</v>
      </c>
    </row>
    <row r="413" customFormat="false" ht="15" hidden="false" customHeight="false" outlineLevel="0" collapsed="false">
      <c r="A413" s="2" t="s">
        <v>1800</v>
      </c>
      <c r="B413" s="2" t="s">
        <v>1368</v>
      </c>
      <c r="C413" s="2" t="s">
        <v>1369</v>
      </c>
      <c r="D413" s="13" t="n">
        <v>45782.4284722222</v>
      </c>
      <c r="E413" s="2" t="s">
        <v>41</v>
      </c>
      <c r="F413" s="2" t="s">
        <v>31</v>
      </c>
      <c r="G413" s="2" t="n">
        <v>25014.99</v>
      </c>
      <c r="H413" s="2" t="n">
        <v>113.52</v>
      </c>
      <c r="I413" s="2" t="s">
        <v>26</v>
      </c>
      <c r="J413" s="2" t="s">
        <v>1801</v>
      </c>
      <c r="K413" s="2" t="s">
        <v>122</v>
      </c>
      <c r="L413" s="2" t="s">
        <v>632</v>
      </c>
      <c r="M413" s="2"/>
    </row>
    <row r="414" customFormat="false" ht="15" hidden="false" customHeight="false" outlineLevel="0" collapsed="false">
      <c r="A414" s="2" t="s">
        <v>1802</v>
      </c>
      <c r="B414" s="2" t="s">
        <v>1803</v>
      </c>
      <c r="C414" s="2" t="s">
        <v>1804</v>
      </c>
      <c r="D414" s="13" t="n">
        <v>45550.5118055556</v>
      </c>
      <c r="E414" s="2" t="s">
        <v>41</v>
      </c>
      <c r="F414" s="2" t="s">
        <v>27</v>
      </c>
      <c r="G414" s="2" t="n">
        <v>1821.82</v>
      </c>
      <c r="H414" s="2" t="n">
        <v>13.79</v>
      </c>
      <c r="I414" s="2" t="s">
        <v>26</v>
      </c>
      <c r="J414" s="2" t="s">
        <v>1805</v>
      </c>
      <c r="K414" s="2" t="s">
        <v>95</v>
      </c>
      <c r="L414" s="2"/>
      <c r="M414" s="2" t="s">
        <v>1806</v>
      </c>
    </row>
    <row r="415" customFormat="false" ht="15" hidden="false" customHeight="false" outlineLevel="0" collapsed="false">
      <c r="A415" s="2" t="s">
        <v>1807</v>
      </c>
      <c r="B415" s="2" t="s">
        <v>1808</v>
      </c>
      <c r="C415" s="2" t="s">
        <v>1809</v>
      </c>
      <c r="D415" s="13" t="n">
        <v>45873.4229166667</v>
      </c>
      <c r="E415" s="2" t="s">
        <v>41</v>
      </c>
      <c r="F415" s="2" t="s">
        <v>32</v>
      </c>
      <c r="G415" s="2" t="n">
        <v>6955.76</v>
      </c>
      <c r="H415" s="2" t="n">
        <v>41.17</v>
      </c>
      <c r="I415" s="2" t="s">
        <v>26</v>
      </c>
      <c r="J415" s="2" t="s">
        <v>1810</v>
      </c>
      <c r="K415" s="2" t="s">
        <v>89</v>
      </c>
      <c r="L415" s="2" t="s">
        <v>640</v>
      </c>
      <c r="M415" s="2"/>
    </row>
    <row r="416" customFormat="false" ht="15" hidden="false" customHeight="false" outlineLevel="0" collapsed="false">
      <c r="A416" s="2" t="s">
        <v>1811</v>
      </c>
      <c r="B416" s="2" t="s">
        <v>1812</v>
      </c>
      <c r="C416" s="2" t="s">
        <v>1813</v>
      </c>
      <c r="D416" s="13" t="n">
        <v>45883.5486111111</v>
      </c>
      <c r="E416" s="2" t="s">
        <v>39</v>
      </c>
      <c r="F416" s="2" t="s">
        <v>31</v>
      </c>
      <c r="G416" s="2" t="n">
        <v>1796.57</v>
      </c>
      <c r="H416" s="2" t="n">
        <v>6.75</v>
      </c>
      <c r="I416" s="2" t="s">
        <v>26</v>
      </c>
      <c r="J416" s="2" t="s">
        <v>1814</v>
      </c>
      <c r="K416" s="2" t="s">
        <v>122</v>
      </c>
      <c r="L416" s="2" t="s">
        <v>645</v>
      </c>
      <c r="M416" s="2"/>
    </row>
    <row r="417" customFormat="false" ht="15" hidden="false" customHeight="false" outlineLevel="0" collapsed="false">
      <c r="A417" s="2" t="s">
        <v>1815</v>
      </c>
      <c r="B417" s="2" t="s">
        <v>1816</v>
      </c>
      <c r="C417" s="2" t="s">
        <v>1817</v>
      </c>
      <c r="D417" s="13" t="n">
        <v>45736.7965277778</v>
      </c>
      <c r="E417" s="2" t="s">
        <v>37</v>
      </c>
      <c r="F417" s="2" t="s">
        <v>27</v>
      </c>
      <c r="G417" s="2" t="n">
        <v>17193.56</v>
      </c>
      <c r="H417" s="2" t="n">
        <v>183.6</v>
      </c>
      <c r="I417" s="2" t="s">
        <v>26</v>
      </c>
      <c r="J417" s="2" t="s">
        <v>1818</v>
      </c>
      <c r="K417" s="2" t="s">
        <v>89</v>
      </c>
      <c r="L417" s="2"/>
      <c r="M417" s="2" t="s">
        <v>1453</v>
      </c>
    </row>
    <row r="418" customFormat="false" ht="15" hidden="false" customHeight="false" outlineLevel="0" collapsed="false">
      <c r="A418" s="2" t="s">
        <v>1819</v>
      </c>
      <c r="B418" s="2" t="s">
        <v>1820</v>
      </c>
      <c r="C418" s="2" t="s">
        <v>1821</v>
      </c>
      <c r="D418" s="13" t="n">
        <v>45377.675</v>
      </c>
      <c r="E418" s="2" t="s">
        <v>41</v>
      </c>
      <c r="F418" s="2" t="s">
        <v>29</v>
      </c>
      <c r="G418" s="2" t="n">
        <v>1372.93</v>
      </c>
      <c r="H418" s="2" t="n">
        <v>6.71</v>
      </c>
      <c r="I418" s="2" t="s">
        <v>26</v>
      </c>
      <c r="J418" s="2" t="s">
        <v>1822</v>
      </c>
      <c r="K418" s="2" t="s">
        <v>95</v>
      </c>
      <c r="L418" s="2" t="s">
        <v>1262</v>
      </c>
      <c r="M418" s="2"/>
    </row>
    <row r="419" customFormat="false" ht="15" hidden="false" customHeight="false" outlineLevel="0" collapsed="false">
      <c r="A419" s="2" t="s">
        <v>1823</v>
      </c>
      <c r="B419" s="2" t="s">
        <v>1824</v>
      </c>
      <c r="C419" s="2" t="s">
        <v>1825</v>
      </c>
      <c r="D419" s="13" t="n">
        <v>45379.3680555556</v>
      </c>
      <c r="E419" s="2" t="s">
        <v>43</v>
      </c>
      <c r="F419" s="2" t="s">
        <v>32</v>
      </c>
      <c r="G419" s="2" t="n">
        <v>3821.49</v>
      </c>
      <c r="H419" s="2" t="n">
        <v>36.35</v>
      </c>
      <c r="I419" s="2" t="s">
        <v>26</v>
      </c>
      <c r="J419" s="2" t="s">
        <v>1826</v>
      </c>
      <c r="K419" s="2" t="s">
        <v>101</v>
      </c>
      <c r="L419" s="2"/>
      <c r="M419" s="2" t="s">
        <v>657</v>
      </c>
    </row>
    <row r="420" customFormat="false" ht="15" hidden="false" customHeight="false" outlineLevel="0" collapsed="false">
      <c r="A420" s="2" t="s">
        <v>1827</v>
      </c>
      <c r="B420" s="2" t="s">
        <v>1828</v>
      </c>
      <c r="C420" s="2" t="s">
        <v>1829</v>
      </c>
      <c r="D420" s="13" t="n">
        <v>45710.7451388889</v>
      </c>
      <c r="E420" s="2" t="s">
        <v>39</v>
      </c>
      <c r="F420" s="2" t="s">
        <v>27</v>
      </c>
      <c r="G420" s="2" t="n">
        <v>5625.95</v>
      </c>
      <c r="H420" s="2" t="n">
        <v>11.46</v>
      </c>
      <c r="I420" s="2" t="s">
        <v>26</v>
      </c>
      <c r="J420" s="2" t="s">
        <v>1830</v>
      </c>
      <c r="K420" s="2" t="s">
        <v>95</v>
      </c>
      <c r="L420" s="2"/>
      <c r="M420" s="2" t="s">
        <v>662</v>
      </c>
    </row>
    <row r="421" customFormat="false" ht="15" hidden="false" customHeight="false" outlineLevel="0" collapsed="false">
      <c r="A421" s="2" t="s">
        <v>1831</v>
      </c>
      <c r="B421" s="2" t="s">
        <v>104</v>
      </c>
      <c r="C421" s="2" t="s">
        <v>105</v>
      </c>
      <c r="D421" s="13" t="n">
        <v>45670.6395833333</v>
      </c>
      <c r="E421" s="2" t="s">
        <v>39</v>
      </c>
      <c r="F421" s="2" t="s">
        <v>27</v>
      </c>
      <c r="G421" s="2" t="n">
        <v>3583.91</v>
      </c>
      <c r="H421" s="2" t="n">
        <v>7.87</v>
      </c>
      <c r="I421" s="2" t="s">
        <v>26</v>
      </c>
      <c r="J421" s="2" t="s">
        <v>1832</v>
      </c>
      <c r="K421" s="2" t="s">
        <v>122</v>
      </c>
      <c r="L421" s="2"/>
      <c r="M421" s="2" t="s">
        <v>667</v>
      </c>
    </row>
    <row r="422" customFormat="false" ht="15" hidden="false" customHeight="false" outlineLevel="0" collapsed="false">
      <c r="A422" s="2" t="s">
        <v>1833</v>
      </c>
      <c r="B422" s="2" t="s">
        <v>1834</v>
      </c>
      <c r="C422" s="2" t="s">
        <v>1835</v>
      </c>
      <c r="D422" s="13" t="n">
        <v>45567.3777777778</v>
      </c>
      <c r="E422" s="2" t="s">
        <v>39</v>
      </c>
      <c r="F422" s="2" t="s">
        <v>32</v>
      </c>
      <c r="G422" s="2" t="n">
        <v>11142.63</v>
      </c>
      <c r="H422" s="2" t="n">
        <v>31.93</v>
      </c>
      <c r="I422" s="2" t="s">
        <v>26</v>
      </c>
      <c r="J422" s="2" t="s">
        <v>1836</v>
      </c>
      <c r="K422" s="2" t="s">
        <v>89</v>
      </c>
      <c r="L422" s="2" t="s">
        <v>1837</v>
      </c>
      <c r="M422" s="2"/>
    </row>
    <row r="423" customFormat="false" ht="15" hidden="false" customHeight="false" outlineLevel="0" collapsed="false">
      <c r="A423" s="2" t="s">
        <v>1838</v>
      </c>
      <c r="B423" s="2" t="s">
        <v>533</v>
      </c>
      <c r="C423" s="2" t="s">
        <v>534</v>
      </c>
      <c r="D423" s="13" t="n">
        <v>45749.7125</v>
      </c>
      <c r="E423" s="2" t="s">
        <v>35</v>
      </c>
      <c r="F423" s="2" t="s">
        <v>27</v>
      </c>
      <c r="G423" s="2" t="n">
        <v>1550.91</v>
      </c>
      <c r="H423" s="2" t="n">
        <v>17.31</v>
      </c>
      <c r="I423" s="2" t="s">
        <v>26</v>
      </c>
      <c r="J423" s="2" t="s">
        <v>1839</v>
      </c>
      <c r="K423" s="2" t="s">
        <v>89</v>
      </c>
      <c r="L423" s="2"/>
      <c r="M423" s="2" t="s">
        <v>1084</v>
      </c>
    </row>
    <row r="424" customFormat="false" ht="15" hidden="false" customHeight="false" outlineLevel="0" collapsed="false">
      <c r="A424" s="2" t="s">
        <v>1840</v>
      </c>
      <c r="B424" s="2" t="s">
        <v>1841</v>
      </c>
      <c r="C424" s="2" t="s">
        <v>1842</v>
      </c>
      <c r="D424" s="13" t="n">
        <v>45867.5604166667</v>
      </c>
      <c r="E424" s="2" t="s">
        <v>37</v>
      </c>
      <c r="F424" s="2" t="s">
        <v>27</v>
      </c>
      <c r="G424" s="2" t="n">
        <v>3385.6</v>
      </c>
      <c r="H424" s="2" t="n">
        <v>25.53</v>
      </c>
      <c r="I424" s="2" t="s">
        <v>26</v>
      </c>
      <c r="J424" s="2" t="s">
        <v>1843</v>
      </c>
      <c r="K424" s="2" t="s">
        <v>122</v>
      </c>
      <c r="L424" s="2"/>
      <c r="M424" s="2" t="s">
        <v>1477</v>
      </c>
    </row>
    <row r="425" customFormat="false" ht="15" hidden="false" customHeight="false" outlineLevel="0" collapsed="false">
      <c r="A425" s="2" t="s">
        <v>1844</v>
      </c>
      <c r="B425" s="2" t="s">
        <v>1845</v>
      </c>
      <c r="C425" s="2" t="s">
        <v>1846</v>
      </c>
      <c r="D425" s="13" t="n">
        <v>45762.3145833333</v>
      </c>
      <c r="E425" s="2" t="s">
        <v>43</v>
      </c>
      <c r="F425" s="2" t="s">
        <v>31</v>
      </c>
      <c r="G425" s="2" t="n">
        <v>1798.64</v>
      </c>
      <c r="H425" s="2" t="n">
        <v>13.59</v>
      </c>
      <c r="I425" s="2" t="s">
        <v>26</v>
      </c>
      <c r="J425" s="2" t="s">
        <v>1847</v>
      </c>
      <c r="K425" s="2" t="s">
        <v>122</v>
      </c>
      <c r="L425" s="2"/>
      <c r="M425" s="2" t="s">
        <v>198</v>
      </c>
    </row>
    <row r="426" customFormat="false" ht="15" hidden="false" customHeight="false" outlineLevel="0" collapsed="false">
      <c r="A426" s="2" t="s">
        <v>1848</v>
      </c>
      <c r="B426" s="2" t="s">
        <v>1849</v>
      </c>
      <c r="C426" s="2" t="s">
        <v>1850</v>
      </c>
      <c r="D426" s="13" t="n">
        <v>45921.3909722222</v>
      </c>
      <c r="E426" s="2" t="s">
        <v>43</v>
      </c>
      <c r="F426" s="2" t="s">
        <v>27</v>
      </c>
      <c r="G426" s="2" t="n">
        <v>3321.33</v>
      </c>
      <c r="H426" s="2" t="n">
        <v>34.67</v>
      </c>
      <c r="I426" s="2" t="s">
        <v>26</v>
      </c>
      <c r="J426" s="2" t="s">
        <v>1851</v>
      </c>
      <c r="K426" s="2" t="s">
        <v>89</v>
      </c>
      <c r="L426" s="2"/>
      <c r="M426" s="2" t="s">
        <v>203</v>
      </c>
    </row>
    <row r="427" customFormat="false" ht="15" hidden="false" customHeight="false" outlineLevel="0" collapsed="false">
      <c r="A427" s="2" t="s">
        <v>1852</v>
      </c>
      <c r="B427" s="2" t="s">
        <v>1510</v>
      </c>
      <c r="C427" s="2" t="s">
        <v>1511</v>
      </c>
      <c r="D427" s="13" t="n">
        <v>45900.5888888889</v>
      </c>
      <c r="E427" s="2" t="s">
        <v>37</v>
      </c>
      <c r="F427" s="2" t="s">
        <v>32</v>
      </c>
      <c r="G427" s="2" t="n">
        <v>2715.99</v>
      </c>
      <c r="H427" s="2" t="n">
        <v>32.27</v>
      </c>
      <c r="I427" s="2" t="s">
        <v>26</v>
      </c>
      <c r="J427" s="2" t="s">
        <v>1853</v>
      </c>
      <c r="K427" s="2" t="s">
        <v>89</v>
      </c>
      <c r="L427" s="2" t="s">
        <v>1854</v>
      </c>
      <c r="M427" s="2"/>
    </row>
    <row r="428" customFormat="false" ht="15" hidden="false" customHeight="false" outlineLevel="0" collapsed="false">
      <c r="A428" s="2" t="s">
        <v>1855</v>
      </c>
      <c r="B428" s="2" t="s">
        <v>1856</v>
      </c>
      <c r="C428" s="2" t="s">
        <v>1857</v>
      </c>
      <c r="D428" s="13" t="n">
        <v>45372.325</v>
      </c>
      <c r="E428" s="2" t="s">
        <v>37</v>
      </c>
      <c r="F428" s="2" t="s">
        <v>29</v>
      </c>
      <c r="G428" s="2" t="n">
        <v>3096.46</v>
      </c>
      <c r="H428" s="2" t="n">
        <v>8.45</v>
      </c>
      <c r="I428" s="2" t="s">
        <v>26</v>
      </c>
      <c r="J428" s="2" t="s">
        <v>1858</v>
      </c>
      <c r="K428" s="2" t="s">
        <v>101</v>
      </c>
      <c r="L428" s="2" t="s">
        <v>697</v>
      </c>
      <c r="M428" s="2"/>
    </row>
    <row r="429" customFormat="false" ht="15" hidden="false" customHeight="false" outlineLevel="0" collapsed="false">
      <c r="A429" s="2" t="s">
        <v>1859</v>
      </c>
      <c r="B429" s="2" t="s">
        <v>1860</v>
      </c>
      <c r="C429" s="2" t="s">
        <v>1861</v>
      </c>
      <c r="D429" s="13" t="n">
        <v>45412.8965277778</v>
      </c>
      <c r="E429" s="2" t="s">
        <v>41</v>
      </c>
      <c r="F429" s="2" t="s">
        <v>27</v>
      </c>
      <c r="G429" s="2" t="n">
        <v>3129.27</v>
      </c>
      <c r="H429" s="2" t="n">
        <v>27.25</v>
      </c>
      <c r="I429" s="2" t="s">
        <v>26</v>
      </c>
      <c r="J429" s="2" t="s">
        <v>1862</v>
      </c>
      <c r="K429" s="2" t="s">
        <v>122</v>
      </c>
      <c r="L429" s="2"/>
      <c r="M429" s="2" t="s">
        <v>700</v>
      </c>
    </row>
    <row r="430" customFormat="false" ht="15" hidden="false" customHeight="false" outlineLevel="0" collapsed="false">
      <c r="A430" s="2" t="s">
        <v>1863</v>
      </c>
      <c r="B430" s="2" t="s">
        <v>415</v>
      </c>
      <c r="C430" s="2" t="s">
        <v>416</v>
      </c>
      <c r="D430" s="13" t="n">
        <v>45481.3791666667</v>
      </c>
      <c r="E430" s="2" t="s">
        <v>41</v>
      </c>
      <c r="F430" s="2" t="s">
        <v>29</v>
      </c>
      <c r="G430" s="2" t="n">
        <v>5731.58</v>
      </c>
      <c r="H430" s="2" t="n">
        <v>48.43</v>
      </c>
      <c r="I430" s="2" t="s">
        <v>26</v>
      </c>
      <c r="J430" s="2" t="s">
        <v>1864</v>
      </c>
      <c r="K430" s="2" t="s">
        <v>122</v>
      </c>
      <c r="L430" s="2" t="s">
        <v>703</v>
      </c>
      <c r="M430" s="2"/>
    </row>
    <row r="431" customFormat="false" ht="15" hidden="false" customHeight="false" outlineLevel="0" collapsed="false">
      <c r="A431" s="2" t="s">
        <v>1865</v>
      </c>
      <c r="B431" s="2" t="s">
        <v>1866</v>
      </c>
      <c r="C431" s="2" t="s">
        <v>1867</v>
      </c>
      <c r="D431" s="13" t="n">
        <v>45433.8451388889</v>
      </c>
      <c r="E431" s="2" t="s">
        <v>35</v>
      </c>
      <c r="F431" s="2" t="s">
        <v>31</v>
      </c>
      <c r="G431" s="2" t="n">
        <v>2111.27</v>
      </c>
      <c r="H431" s="2" t="n">
        <v>24.13</v>
      </c>
      <c r="I431" s="2" t="s">
        <v>26</v>
      </c>
      <c r="J431" s="2" t="s">
        <v>1868</v>
      </c>
      <c r="K431" s="2" t="s">
        <v>89</v>
      </c>
      <c r="L431" s="2" t="s">
        <v>1320</v>
      </c>
      <c r="M431" s="2"/>
    </row>
    <row r="432" customFormat="false" ht="15" hidden="false" customHeight="false" outlineLevel="0" collapsed="false">
      <c r="A432" s="2" t="s">
        <v>1869</v>
      </c>
      <c r="B432" s="2" t="s">
        <v>1162</v>
      </c>
      <c r="C432" s="2" t="s">
        <v>1163</v>
      </c>
      <c r="D432" s="13" t="n">
        <v>46016.6569444445</v>
      </c>
      <c r="E432" s="2" t="s">
        <v>43</v>
      </c>
      <c r="F432" s="2" t="s">
        <v>29</v>
      </c>
      <c r="G432" s="2" t="n">
        <v>6912.99</v>
      </c>
      <c r="H432" s="2" t="n">
        <v>22.94</v>
      </c>
      <c r="I432" s="2" t="s">
        <v>30</v>
      </c>
      <c r="J432" s="2" t="s">
        <v>1870</v>
      </c>
      <c r="K432" s="2" t="s">
        <v>101</v>
      </c>
      <c r="L432" s="2"/>
      <c r="M432" s="2" t="s">
        <v>233</v>
      </c>
    </row>
    <row r="433" customFormat="false" ht="15" hidden="false" customHeight="false" outlineLevel="0" collapsed="false">
      <c r="A433" s="2" t="s">
        <v>1871</v>
      </c>
      <c r="B433" s="2" t="s">
        <v>1872</v>
      </c>
      <c r="C433" s="2" t="s">
        <v>1873</v>
      </c>
      <c r="D433" s="13" t="n">
        <v>45789.3472222222</v>
      </c>
      <c r="E433" s="2" t="s">
        <v>43</v>
      </c>
      <c r="F433" s="2" t="s">
        <v>32</v>
      </c>
      <c r="G433" s="2" t="n">
        <v>3212.4</v>
      </c>
      <c r="H433" s="2" t="n">
        <v>6.52</v>
      </c>
      <c r="I433" s="2" t="s">
        <v>26</v>
      </c>
      <c r="J433" s="2" t="s">
        <v>1874</v>
      </c>
      <c r="K433" s="2" t="s">
        <v>101</v>
      </c>
      <c r="L433" s="2"/>
      <c r="M433" s="2" t="s">
        <v>238</v>
      </c>
    </row>
    <row r="434" customFormat="false" ht="15" hidden="false" customHeight="false" outlineLevel="0" collapsed="false">
      <c r="A434" s="2" t="s">
        <v>1875</v>
      </c>
      <c r="B434" s="2" t="s">
        <v>814</v>
      </c>
      <c r="C434" s="2" t="s">
        <v>815</v>
      </c>
      <c r="D434" s="13" t="n">
        <v>45292.3236111111</v>
      </c>
      <c r="E434" s="2" t="s">
        <v>35</v>
      </c>
      <c r="F434" s="2" t="s">
        <v>31</v>
      </c>
      <c r="G434" s="2" t="n">
        <v>791.51</v>
      </c>
      <c r="H434" s="2" t="n">
        <v>5</v>
      </c>
      <c r="I434" s="2" t="s">
        <v>26</v>
      </c>
      <c r="J434" s="2" t="s">
        <v>1876</v>
      </c>
      <c r="K434" s="2" t="s">
        <v>95</v>
      </c>
      <c r="L434" s="2" t="s">
        <v>1877</v>
      </c>
      <c r="M434" s="2"/>
    </row>
    <row r="435" customFormat="false" ht="15" hidden="false" customHeight="false" outlineLevel="0" collapsed="false">
      <c r="A435" s="2" t="s">
        <v>1878</v>
      </c>
      <c r="B435" s="2" t="s">
        <v>952</v>
      </c>
      <c r="C435" s="2" t="s">
        <v>953</v>
      </c>
      <c r="D435" s="13" t="n">
        <v>45431.6625</v>
      </c>
      <c r="E435" s="2" t="s">
        <v>35</v>
      </c>
      <c r="F435" s="2" t="s">
        <v>31</v>
      </c>
      <c r="G435" s="2" t="n">
        <v>4298.71</v>
      </c>
      <c r="H435" s="2" t="n">
        <v>34.86</v>
      </c>
      <c r="I435" s="2" t="s">
        <v>26</v>
      </c>
      <c r="J435" s="2" t="s">
        <v>1879</v>
      </c>
      <c r="K435" s="2" t="s">
        <v>89</v>
      </c>
      <c r="L435" s="2" t="s">
        <v>1339</v>
      </c>
      <c r="M435" s="2"/>
    </row>
    <row r="436" customFormat="false" ht="15" hidden="false" customHeight="false" outlineLevel="0" collapsed="false">
      <c r="A436" s="2" t="s">
        <v>1880</v>
      </c>
      <c r="B436" s="2" t="s">
        <v>1201</v>
      </c>
      <c r="C436" s="2" t="s">
        <v>1202</v>
      </c>
      <c r="D436" s="13" t="n">
        <v>45824.5069444445</v>
      </c>
      <c r="E436" s="2" t="s">
        <v>41</v>
      </c>
      <c r="F436" s="2" t="s">
        <v>27</v>
      </c>
      <c r="G436" s="2" t="n">
        <v>12645.93</v>
      </c>
      <c r="H436" s="2" t="n">
        <v>55.69</v>
      </c>
      <c r="I436" s="2" t="s">
        <v>26</v>
      </c>
      <c r="J436" s="2" t="s">
        <v>1881</v>
      </c>
      <c r="K436" s="2" t="s">
        <v>122</v>
      </c>
      <c r="L436" s="2"/>
      <c r="M436" s="2" t="s">
        <v>728</v>
      </c>
    </row>
    <row r="437" customFormat="false" ht="15" hidden="false" customHeight="false" outlineLevel="0" collapsed="false">
      <c r="A437" s="2" t="s">
        <v>1882</v>
      </c>
      <c r="B437" s="2" t="s">
        <v>1180</v>
      </c>
      <c r="C437" s="2" t="s">
        <v>1181</v>
      </c>
      <c r="D437" s="13" t="n">
        <v>45847.75</v>
      </c>
      <c r="E437" s="2" t="s">
        <v>43</v>
      </c>
      <c r="F437" s="2" t="s">
        <v>31</v>
      </c>
      <c r="G437" s="2" t="n">
        <v>3890.22</v>
      </c>
      <c r="H437" s="2" t="n">
        <v>21.45</v>
      </c>
      <c r="I437" s="2" t="s">
        <v>26</v>
      </c>
      <c r="J437" s="2" t="s">
        <v>1883</v>
      </c>
      <c r="K437" s="2" t="s">
        <v>89</v>
      </c>
      <c r="L437" s="2"/>
      <c r="M437" s="2" t="s">
        <v>1134</v>
      </c>
    </row>
    <row r="438" customFormat="false" ht="15" hidden="false" customHeight="false" outlineLevel="0" collapsed="false">
      <c r="A438" s="2" t="s">
        <v>1884</v>
      </c>
      <c r="B438" s="2" t="s">
        <v>1885</v>
      </c>
      <c r="C438" s="2" t="s">
        <v>1886</v>
      </c>
      <c r="D438" s="13" t="n">
        <v>45672.31875</v>
      </c>
      <c r="E438" s="2" t="s">
        <v>39</v>
      </c>
      <c r="F438" s="2" t="s">
        <v>29</v>
      </c>
      <c r="G438" s="2" t="n">
        <v>1436.19</v>
      </c>
      <c r="H438" s="2" t="n">
        <v>14.47</v>
      </c>
      <c r="I438" s="2" t="s">
        <v>26</v>
      </c>
      <c r="J438" s="2" t="s">
        <v>1887</v>
      </c>
      <c r="K438" s="2" t="s">
        <v>122</v>
      </c>
      <c r="L438" s="2" t="s">
        <v>1888</v>
      </c>
      <c r="M438" s="2"/>
    </row>
    <row r="439" customFormat="false" ht="15" hidden="false" customHeight="false" outlineLevel="0" collapsed="false">
      <c r="A439" s="2" t="s">
        <v>1889</v>
      </c>
      <c r="B439" s="2" t="s">
        <v>1890</v>
      </c>
      <c r="C439" s="2" t="s">
        <v>1891</v>
      </c>
      <c r="D439" s="13" t="n">
        <v>45336.7597222222</v>
      </c>
      <c r="E439" s="2" t="s">
        <v>39</v>
      </c>
      <c r="F439" s="2" t="s">
        <v>31</v>
      </c>
      <c r="G439" s="2" t="n">
        <v>2278.32</v>
      </c>
      <c r="H439" s="2" t="n">
        <v>7.66</v>
      </c>
      <c r="I439" s="2" t="s">
        <v>26</v>
      </c>
      <c r="J439" s="2" t="s">
        <v>1892</v>
      </c>
      <c r="K439" s="2" t="s">
        <v>89</v>
      </c>
      <c r="L439" s="2" t="s">
        <v>738</v>
      </c>
      <c r="M439" s="2"/>
    </row>
    <row r="440" customFormat="false" ht="15" hidden="false" customHeight="false" outlineLevel="0" collapsed="false">
      <c r="A440" s="2" t="s">
        <v>1893</v>
      </c>
      <c r="B440" s="2" t="s">
        <v>1894</v>
      </c>
      <c r="C440" s="2" t="s">
        <v>1895</v>
      </c>
      <c r="D440" s="13" t="n">
        <v>45732.7381944444</v>
      </c>
      <c r="E440" s="2" t="s">
        <v>39</v>
      </c>
      <c r="F440" s="2" t="s">
        <v>29</v>
      </c>
      <c r="G440" s="2" t="n">
        <v>996.31</v>
      </c>
      <c r="H440" s="2" t="n">
        <v>11.84</v>
      </c>
      <c r="I440" s="2" t="s">
        <v>28</v>
      </c>
      <c r="J440" s="2" t="s">
        <v>1896</v>
      </c>
      <c r="K440" s="2" t="s">
        <v>101</v>
      </c>
      <c r="L440" s="2" t="s">
        <v>743</v>
      </c>
      <c r="M440" s="2"/>
    </row>
    <row r="441" customFormat="false" ht="15" hidden="false" customHeight="false" outlineLevel="0" collapsed="false">
      <c r="A441" s="2" t="s">
        <v>1897</v>
      </c>
      <c r="B441" s="2" t="s">
        <v>1898</v>
      </c>
      <c r="C441" s="2" t="s">
        <v>1899</v>
      </c>
      <c r="D441" s="13" t="n">
        <v>45592.61875</v>
      </c>
      <c r="E441" s="2" t="s">
        <v>37</v>
      </c>
      <c r="F441" s="2" t="s">
        <v>32</v>
      </c>
      <c r="G441" s="2" t="n">
        <v>13840.76</v>
      </c>
      <c r="H441" s="2" t="n">
        <v>99.92</v>
      </c>
      <c r="I441" s="2" t="s">
        <v>26</v>
      </c>
      <c r="J441" s="2" t="s">
        <v>1900</v>
      </c>
      <c r="K441" s="2" t="s">
        <v>101</v>
      </c>
      <c r="L441" s="2" t="s">
        <v>1901</v>
      </c>
      <c r="M441" s="2"/>
    </row>
    <row r="442" customFormat="false" ht="15" hidden="false" customHeight="false" outlineLevel="0" collapsed="false">
      <c r="A442" s="2" t="s">
        <v>1902</v>
      </c>
      <c r="B442" s="2" t="s">
        <v>1441</v>
      </c>
      <c r="C442" s="2" t="s">
        <v>1442</v>
      </c>
      <c r="D442" s="13" t="n">
        <v>45901.6368055556</v>
      </c>
      <c r="E442" s="2" t="s">
        <v>43</v>
      </c>
      <c r="F442" s="2" t="s">
        <v>32</v>
      </c>
      <c r="G442" s="2" t="n">
        <v>2308.43</v>
      </c>
      <c r="H442" s="2" t="n">
        <v>26.76</v>
      </c>
      <c r="I442" s="2" t="s">
        <v>26</v>
      </c>
      <c r="J442" s="2" t="s">
        <v>1903</v>
      </c>
      <c r="K442" s="2" t="s">
        <v>95</v>
      </c>
      <c r="L442" s="2"/>
      <c r="M442" s="2" t="s">
        <v>1157</v>
      </c>
    </row>
    <row r="443" customFormat="false" ht="15" hidden="false" customHeight="false" outlineLevel="0" collapsed="false">
      <c r="A443" s="2" t="s">
        <v>1904</v>
      </c>
      <c r="B443" s="2" t="s">
        <v>1905</v>
      </c>
      <c r="C443" s="2" t="s">
        <v>1906</v>
      </c>
      <c r="D443" s="13" t="n">
        <v>45610.3840277778</v>
      </c>
      <c r="E443" s="2" t="s">
        <v>35</v>
      </c>
      <c r="F443" s="2" t="s">
        <v>27</v>
      </c>
      <c r="G443" s="2" t="n">
        <v>1491.81</v>
      </c>
      <c r="H443" s="2" t="n">
        <v>5</v>
      </c>
      <c r="I443" s="2" t="s">
        <v>26</v>
      </c>
      <c r="J443" s="2" t="s">
        <v>1907</v>
      </c>
      <c r="K443" s="2" t="s">
        <v>95</v>
      </c>
      <c r="L443" s="2"/>
      <c r="M443" s="2" t="s">
        <v>288</v>
      </c>
    </row>
    <row r="444" customFormat="false" ht="15" hidden="false" customHeight="false" outlineLevel="0" collapsed="false">
      <c r="A444" s="2" t="s">
        <v>1908</v>
      </c>
      <c r="B444" s="2" t="s">
        <v>1909</v>
      </c>
      <c r="C444" s="2" t="s">
        <v>1910</v>
      </c>
      <c r="D444" s="13" t="n">
        <v>45771.6756944444</v>
      </c>
      <c r="E444" s="2" t="s">
        <v>41</v>
      </c>
      <c r="F444" s="2" t="s">
        <v>29</v>
      </c>
      <c r="G444" s="2" t="n">
        <v>8078.24</v>
      </c>
      <c r="H444" s="2" t="n">
        <v>58.49</v>
      </c>
      <c r="I444" s="2" t="s">
        <v>26</v>
      </c>
      <c r="J444" s="2" t="s">
        <v>1911</v>
      </c>
      <c r="K444" s="2" t="s">
        <v>122</v>
      </c>
      <c r="L444" s="2" t="s">
        <v>1912</v>
      </c>
      <c r="M444" s="2"/>
    </row>
    <row r="445" customFormat="false" ht="15" hidden="false" customHeight="false" outlineLevel="0" collapsed="false">
      <c r="A445" s="2" t="s">
        <v>1913</v>
      </c>
      <c r="B445" s="2" t="s">
        <v>1914</v>
      </c>
      <c r="C445" s="2" t="s">
        <v>1915</v>
      </c>
      <c r="D445" s="13" t="n">
        <v>45353.8298611111</v>
      </c>
      <c r="E445" s="2" t="s">
        <v>37</v>
      </c>
      <c r="F445" s="2" t="s">
        <v>27</v>
      </c>
      <c r="G445" s="2" t="n">
        <v>1707.68</v>
      </c>
      <c r="H445" s="2" t="n">
        <v>5</v>
      </c>
      <c r="I445" s="2" t="s">
        <v>26</v>
      </c>
      <c r="J445" s="2" t="s">
        <v>1916</v>
      </c>
      <c r="K445" s="2" t="s">
        <v>95</v>
      </c>
      <c r="L445" s="2"/>
      <c r="M445" s="2" t="s">
        <v>298</v>
      </c>
    </row>
    <row r="446" customFormat="false" ht="15" hidden="false" customHeight="false" outlineLevel="0" collapsed="false">
      <c r="A446" s="2" t="s">
        <v>1917</v>
      </c>
      <c r="B446" s="2" t="s">
        <v>1918</v>
      </c>
      <c r="C446" s="2" t="s">
        <v>1919</v>
      </c>
      <c r="D446" s="13" t="n">
        <v>45549.7076388889</v>
      </c>
      <c r="E446" s="2" t="s">
        <v>41</v>
      </c>
      <c r="F446" s="2" t="s">
        <v>29</v>
      </c>
      <c r="G446" s="2" t="n">
        <v>4400.21</v>
      </c>
      <c r="H446" s="2" t="n">
        <v>22.16</v>
      </c>
      <c r="I446" s="2" t="s">
        <v>26</v>
      </c>
      <c r="J446" s="2" t="s">
        <v>1920</v>
      </c>
      <c r="K446" s="2" t="s">
        <v>122</v>
      </c>
      <c r="L446" s="2" t="s">
        <v>769</v>
      </c>
      <c r="M446" s="2"/>
    </row>
    <row r="447" customFormat="false" ht="15" hidden="false" customHeight="false" outlineLevel="0" collapsed="false">
      <c r="A447" s="2" t="s">
        <v>1921</v>
      </c>
      <c r="B447" s="2" t="s">
        <v>1922</v>
      </c>
      <c r="C447" s="2" t="s">
        <v>1923</v>
      </c>
      <c r="D447" s="13" t="n">
        <v>45937.6840277778</v>
      </c>
      <c r="E447" s="2" t="s">
        <v>39</v>
      </c>
      <c r="F447" s="2" t="s">
        <v>27</v>
      </c>
      <c r="G447" s="2" t="n">
        <v>18927.44</v>
      </c>
      <c r="H447" s="2" t="n">
        <v>100.48</v>
      </c>
      <c r="I447" s="2" t="s">
        <v>26</v>
      </c>
      <c r="J447" s="2" t="s">
        <v>1924</v>
      </c>
      <c r="K447" s="2" t="s">
        <v>101</v>
      </c>
      <c r="L447" s="2"/>
      <c r="M447" s="2" t="s">
        <v>774</v>
      </c>
    </row>
    <row r="448" customFormat="false" ht="15" hidden="false" customHeight="false" outlineLevel="0" collapsed="false">
      <c r="A448" s="2" t="s">
        <v>1925</v>
      </c>
      <c r="B448" s="2" t="s">
        <v>1926</v>
      </c>
      <c r="C448" s="2" t="s">
        <v>1927</v>
      </c>
      <c r="D448" s="13" t="n">
        <v>45343.8076388889</v>
      </c>
      <c r="E448" s="2" t="s">
        <v>37</v>
      </c>
      <c r="F448" s="2" t="s">
        <v>32</v>
      </c>
      <c r="G448" s="2" t="n">
        <v>3527.29</v>
      </c>
      <c r="H448" s="2" t="n">
        <v>9.88</v>
      </c>
      <c r="I448" s="2" t="s">
        <v>26</v>
      </c>
      <c r="J448" s="2" t="s">
        <v>1928</v>
      </c>
      <c r="K448" s="2" t="s">
        <v>95</v>
      </c>
      <c r="L448" s="2" t="s">
        <v>779</v>
      </c>
      <c r="M448" s="2"/>
    </row>
    <row r="449" customFormat="false" ht="15" hidden="false" customHeight="false" outlineLevel="0" collapsed="false">
      <c r="A449" s="2" t="s">
        <v>1929</v>
      </c>
      <c r="B449" s="2" t="s">
        <v>1930</v>
      </c>
      <c r="C449" s="2" t="s">
        <v>1931</v>
      </c>
      <c r="D449" s="13" t="n">
        <v>45301.3569444444</v>
      </c>
      <c r="E449" s="2" t="s">
        <v>35</v>
      </c>
      <c r="F449" s="2" t="s">
        <v>31</v>
      </c>
      <c r="G449" s="2" t="n">
        <v>2938.5</v>
      </c>
      <c r="H449" s="2" t="n">
        <v>24.36</v>
      </c>
      <c r="I449" s="2" t="s">
        <v>30</v>
      </c>
      <c r="J449" s="2" t="s">
        <v>1932</v>
      </c>
      <c r="K449" s="2" t="s">
        <v>89</v>
      </c>
      <c r="L449" s="2" t="s">
        <v>1389</v>
      </c>
      <c r="M449" s="2"/>
    </row>
    <row r="450" customFormat="false" ht="15" hidden="false" customHeight="false" outlineLevel="0" collapsed="false">
      <c r="A450" s="2" t="s">
        <v>1933</v>
      </c>
      <c r="B450" s="2" t="s">
        <v>854</v>
      </c>
      <c r="C450" s="2" t="s">
        <v>855</v>
      </c>
      <c r="D450" s="13" t="n">
        <v>45531.4201388889</v>
      </c>
      <c r="E450" s="2" t="s">
        <v>39</v>
      </c>
      <c r="F450" s="2" t="s">
        <v>32</v>
      </c>
      <c r="G450" s="2" t="n">
        <v>4109.47</v>
      </c>
      <c r="H450" s="2" t="n">
        <v>32.92</v>
      </c>
      <c r="I450" s="2" t="s">
        <v>26</v>
      </c>
      <c r="J450" s="2" t="s">
        <v>1934</v>
      </c>
      <c r="K450" s="2" t="s">
        <v>101</v>
      </c>
      <c r="L450" s="2" t="s">
        <v>1935</v>
      </c>
      <c r="M450" s="2"/>
    </row>
    <row r="451" customFormat="false" ht="15" hidden="false" customHeight="false" outlineLevel="0" collapsed="false">
      <c r="A451" s="2" t="s">
        <v>1936</v>
      </c>
      <c r="B451" s="2" t="s">
        <v>1926</v>
      </c>
      <c r="C451" s="2" t="s">
        <v>1927</v>
      </c>
      <c r="D451" s="13" t="n">
        <v>45747.79375</v>
      </c>
      <c r="E451" s="2" t="s">
        <v>37</v>
      </c>
      <c r="F451" s="2" t="s">
        <v>29</v>
      </c>
      <c r="G451" s="2" t="n">
        <v>5939.15</v>
      </c>
      <c r="H451" s="2" t="n">
        <v>49.52</v>
      </c>
      <c r="I451" s="2" t="s">
        <v>26</v>
      </c>
      <c r="J451" s="2" t="s">
        <v>1937</v>
      </c>
      <c r="K451" s="2" t="s">
        <v>101</v>
      </c>
      <c r="L451" s="2" t="s">
        <v>1396</v>
      </c>
      <c r="M451" s="2"/>
    </row>
    <row r="452" customFormat="false" ht="15" hidden="false" customHeight="false" outlineLevel="0" collapsed="false">
      <c r="A452" s="2" t="s">
        <v>1938</v>
      </c>
      <c r="B452" s="2" t="s">
        <v>1939</v>
      </c>
      <c r="C452" s="2" t="s">
        <v>1940</v>
      </c>
      <c r="D452" s="13" t="n">
        <v>45566.4048611111</v>
      </c>
      <c r="E452" s="2" t="s">
        <v>43</v>
      </c>
      <c r="F452" s="2" t="s">
        <v>29</v>
      </c>
      <c r="G452" s="2" t="n">
        <v>3443.88</v>
      </c>
      <c r="H452" s="2" t="n">
        <v>34.23</v>
      </c>
      <c r="I452" s="2" t="s">
        <v>26</v>
      </c>
      <c r="J452" s="2" t="s">
        <v>1941</v>
      </c>
      <c r="K452" s="2" t="s">
        <v>89</v>
      </c>
      <c r="L452" s="2"/>
      <c r="M452" s="2" t="s">
        <v>795</v>
      </c>
    </row>
    <row r="453" customFormat="false" ht="15" hidden="false" customHeight="false" outlineLevel="0" collapsed="false">
      <c r="A453" s="2" t="s">
        <v>1942</v>
      </c>
      <c r="B453" s="2" t="s">
        <v>1943</v>
      </c>
      <c r="C453" s="2" t="s">
        <v>1944</v>
      </c>
      <c r="D453" s="13" t="n">
        <v>45719.3368055556</v>
      </c>
      <c r="E453" s="2" t="s">
        <v>41</v>
      </c>
      <c r="F453" s="2" t="s">
        <v>29</v>
      </c>
      <c r="G453" s="2" t="n">
        <v>2521.95</v>
      </c>
      <c r="H453" s="2" t="n">
        <v>26.8</v>
      </c>
      <c r="I453" s="2" t="s">
        <v>30</v>
      </c>
      <c r="J453" s="2" t="s">
        <v>1945</v>
      </c>
      <c r="K453" s="2" t="s">
        <v>101</v>
      </c>
      <c r="L453" s="2" t="s">
        <v>96</v>
      </c>
      <c r="M453" s="2"/>
    </row>
    <row r="454" customFormat="false" ht="15" hidden="false" customHeight="false" outlineLevel="0" collapsed="false">
      <c r="A454" s="2" t="s">
        <v>1946</v>
      </c>
      <c r="B454" s="2" t="s">
        <v>1947</v>
      </c>
      <c r="C454" s="2" t="s">
        <v>1948</v>
      </c>
      <c r="D454" s="13" t="n">
        <v>45940.7097222222</v>
      </c>
      <c r="E454" s="2" t="s">
        <v>39</v>
      </c>
      <c r="F454" s="2" t="s">
        <v>27</v>
      </c>
      <c r="G454" s="2" t="n">
        <v>3600.66</v>
      </c>
      <c r="H454" s="2" t="n">
        <v>37.26</v>
      </c>
      <c r="I454" s="2" t="s">
        <v>30</v>
      </c>
      <c r="J454" s="2" t="s">
        <v>1949</v>
      </c>
      <c r="K454" s="2" t="s">
        <v>95</v>
      </c>
      <c r="L454" s="2"/>
      <c r="M454" s="2" t="s">
        <v>1588</v>
      </c>
    </row>
    <row r="455" customFormat="false" ht="15" hidden="false" customHeight="false" outlineLevel="0" collapsed="false">
      <c r="A455" s="2" t="s">
        <v>1950</v>
      </c>
      <c r="B455" s="2" t="s">
        <v>781</v>
      </c>
      <c r="C455" s="2" t="s">
        <v>782</v>
      </c>
      <c r="D455" s="13" t="n">
        <v>45424.9013888889</v>
      </c>
      <c r="E455" s="2" t="s">
        <v>43</v>
      </c>
      <c r="F455" s="2" t="s">
        <v>29</v>
      </c>
      <c r="G455" s="2" t="n">
        <v>14144.75</v>
      </c>
      <c r="H455" s="2" t="n">
        <v>128.48</v>
      </c>
      <c r="I455" s="2" t="s">
        <v>30</v>
      </c>
      <c r="J455" s="2" t="s">
        <v>1951</v>
      </c>
      <c r="K455" s="2" t="s">
        <v>89</v>
      </c>
      <c r="L455" s="2"/>
      <c r="M455" s="2" t="s">
        <v>348</v>
      </c>
    </row>
    <row r="456" customFormat="false" ht="15" hidden="false" customHeight="false" outlineLevel="0" collapsed="false">
      <c r="A456" s="2" t="s">
        <v>1952</v>
      </c>
      <c r="B456" s="2" t="s">
        <v>1953</v>
      </c>
      <c r="C456" s="2" t="s">
        <v>1954</v>
      </c>
      <c r="D456" s="13" t="n">
        <v>45528.3770833333</v>
      </c>
      <c r="E456" s="2" t="s">
        <v>43</v>
      </c>
      <c r="F456" s="2" t="s">
        <v>32</v>
      </c>
      <c r="G456" s="2" t="n">
        <v>1007.38</v>
      </c>
      <c r="H456" s="2" t="n">
        <v>11.66</v>
      </c>
      <c r="I456" s="2" t="s">
        <v>26</v>
      </c>
      <c r="J456" s="2" t="s">
        <v>1955</v>
      </c>
      <c r="K456" s="2" t="s">
        <v>89</v>
      </c>
      <c r="L456" s="2"/>
      <c r="M456" s="2" t="s">
        <v>1217</v>
      </c>
    </row>
    <row r="457" customFormat="false" ht="15" hidden="false" customHeight="false" outlineLevel="0" collapsed="false">
      <c r="A457" s="2" t="s">
        <v>1956</v>
      </c>
      <c r="B457" s="2" t="s">
        <v>1957</v>
      </c>
      <c r="C457" s="2" t="s">
        <v>1958</v>
      </c>
      <c r="D457" s="13" t="n">
        <v>45998.4166666667</v>
      </c>
      <c r="E457" s="2" t="s">
        <v>41</v>
      </c>
      <c r="F457" s="2" t="s">
        <v>27</v>
      </c>
      <c r="G457" s="2" t="n">
        <v>2599.59</v>
      </c>
      <c r="H457" s="2" t="n">
        <v>6.02</v>
      </c>
      <c r="I457" s="2" t="s">
        <v>26</v>
      </c>
      <c r="J457" s="2" t="s">
        <v>1959</v>
      </c>
      <c r="K457" s="2" t="s">
        <v>101</v>
      </c>
      <c r="L457" s="2"/>
      <c r="M457" s="2" t="s">
        <v>817</v>
      </c>
    </row>
    <row r="458" customFormat="false" ht="15" hidden="false" customHeight="false" outlineLevel="0" collapsed="false">
      <c r="A458" s="2" t="s">
        <v>1960</v>
      </c>
      <c r="B458" s="2" t="s">
        <v>1961</v>
      </c>
      <c r="C458" s="2" t="s">
        <v>1962</v>
      </c>
      <c r="D458" s="13" t="n">
        <v>45365.6944444445</v>
      </c>
      <c r="E458" s="2" t="s">
        <v>35</v>
      </c>
      <c r="F458" s="2" t="s">
        <v>32</v>
      </c>
      <c r="G458" s="2" t="n">
        <v>4987.72</v>
      </c>
      <c r="H458" s="2" t="n">
        <v>21.02</v>
      </c>
      <c r="I458" s="2" t="s">
        <v>28</v>
      </c>
      <c r="J458" s="2" t="s">
        <v>1963</v>
      </c>
      <c r="K458" s="2" t="s">
        <v>101</v>
      </c>
      <c r="L458" s="2" t="s">
        <v>123</v>
      </c>
      <c r="M458" s="2"/>
    </row>
    <row r="459" customFormat="false" ht="15" hidden="false" customHeight="false" outlineLevel="0" collapsed="false">
      <c r="A459" s="2" t="s">
        <v>1964</v>
      </c>
      <c r="B459" s="2" t="s">
        <v>1756</v>
      </c>
      <c r="C459" s="2" t="s">
        <v>1757</v>
      </c>
      <c r="D459" s="13" t="n">
        <v>45541.7798611111</v>
      </c>
      <c r="E459" s="2" t="s">
        <v>39</v>
      </c>
      <c r="F459" s="2" t="s">
        <v>31</v>
      </c>
      <c r="G459" s="2" t="n">
        <v>4604.71</v>
      </c>
      <c r="H459" s="2" t="n">
        <v>25.85</v>
      </c>
      <c r="I459" s="2" t="s">
        <v>26</v>
      </c>
      <c r="J459" s="2" t="s">
        <v>1965</v>
      </c>
      <c r="K459" s="2" t="s">
        <v>122</v>
      </c>
      <c r="L459" s="2" t="s">
        <v>128</v>
      </c>
      <c r="M459" s="2"/>
    </row>
    <row r="460" customFormat="false" ht="15" hidden="false" customHeight="false" outlineLevel="0" collapsed="false">
      <c r="A460" s="2" t="s">
        <v>1966</v>
      </c>
      <c r="B460" s="2" t="s">
        <v>1967</v>
      </c>
      <c r="C460" s="2" t="s">
        <v>1968</v>
      </c>
      <c r="D460" s="13" t="n">
        <v>45790.3201388889</v>
      </c>
      <c r="E460" s="2" t="s">
        <v>37</v>
      </c>
      <c r="F460" s="2" t="s">
        <v>27</v>
      </c>
      <c r="G460" s="2" t="n">
        <v>4393.87</v>
      </c>
      <c r="H460" s="2" t="n">
        <v>25.79</v>
      </c>
      <c r="I460" s="2" t="s">
        <v>26</v>
      </c>
      <c r="J460" s="2" t="s">
        <v>1969</v>
      </c>
      <c r="K460" s="2" t="s">
        <v>89</v>
      </c>
      <c r="L460" s="2"/>
      <c r="M460" s="2" t="s">
        <v>828</v>
      </c>
    </row>
    <row r="461" customFormat="false" ht="15" hidden="false" customHeight="false" outlineLevel="0" collapsed="false">
      <c r="A461" s="2" t="s">
        <v>1970</v>
      </c>
      <c r="B461" s="2" t="s">
        <v>1971</v>
      </c>
      <c r="C461" s="2" t="s">
        <v>1972</v>
      </c>
      <c r="D461" s="13" t="n">
        <v>46004.6041666667</v>
      </c>
      <c r="E461" s="2" t="s">
        <v>41</v>
      </c>
      <c r="F461" s="2" t="s">
        <v>32</v>
      </c>
      <c r="G461" s="2" t="n">
        <v>4045.48</v>
      </c>
      <c r="H461" s="2" t="n">
        <v>13.16</v>
      </c>
      <c r="I461" s="2" t="s">
        <v>28</v>
      </c>
      <c r="J461" s="2" t="s">
        <v>1973</v>
      </c>
      <c r="K461" s="2" t="s">
        <v>101</v>
      </c>
      <c r="L461" s="2" t="s">
        <v>138</v>
      </c>
      <c r="M461" s="2"/>
    </row>
    <row r="462" customFormat="false" ht="15" hidden="false" customHeight="false" outlineLevel="0" collapsed="false">
      <c r="A462" s="2" t="s">
        <v>1974</v>
      </c>
      <c r="B462" s="2" t="s">
        <v>1410</v>
      </c>
      <c r="C462" s="2" t="s">
        <v>1411</v>
      </c>
      <c r="D462" s="13" t="n">
        <v>45886.7881944445</v>
      </c>
      <c r="E462" s="2" t="s">
        <v>41</v>
      </c>
      <c r="F462" s="2" t="s">
        <v>29</v>
      </c>
      <c r="G462" s="2" t="n">
        <v>3922.96</v>
      </c>
      <c r="H462" s="2" t="n">
        <v>41.12</v>
      </c>
      <c r="I462" s="2" t="s">
        <v>26</v>
      </c>
      <c r="J462" s="2" t="s">
        <v>1975</v>
      </c>
      <c r="K462" s="2" t="s">
        <v>89</v>
      </c>
      <c r="L462" s="2" t="s">
        <v>141</v>
      </c>
      <c r="M462" s="2"/>
    </row>
    <row r="463" customFormat="false" ht="15" hidden="false" customHeight="false" outlineLevel="0" collapsed="false">
      <c r="A463" s="2" t="s">
        <v>1976</v>
      </c>
      <c r="B463" s="2" t="s">
        <v>240</v>
      </c>
      <c r="C463" s="2" t="s">
        <v>241</v>
      </c>
      <c r="D463" s="13" t="n">
        <v>45456.7868055556</v>
      </c>
      <c r="E463" s="2" t="s">
        <v>37</v>
      </c>
      <c r="F463" s="2" t="s">
        <v>32</v>
      </c>
      <c r="G463" s="2" t="n">
        <v>13523.85</v>
      </c>
      <c r="H463" s="2" t="n">
        <v>44.63</v>
      </c>
      <c r="I463" s="2" t="s">
        <v>26</v>
      </c>
      <c r="J463" s="2" t="s">
        <v>1977</v>
      </c>
      <c r="K463" s="2" t="s">
        <v>89</v>
      </c>
      <c r="L463" s="2" t="s">
        <v>841</v>
      </c>
      <c r="M463" s="2"/>
    </row>
    <row r="464" customFormat="false" ht="15" hidden="false" customHeight="false" outlineLevel="0" collapsed="false">
      <c r="A464" s="2" t="s">
        <v>1978</v>
      </c>
      <c r="B464" s="2" t="s">
        <v>1979</v>
      </c>
      <c r="C464" s="2" t="s">
        <v>1980</v>
      </c>
      <c r="D464" s="13" t="n">
        <v>45842.6326388889</v>
      </c>
      <c r="E464" s="2" t="s">
        <v>43</v>
      </c>
      <c r="F464" s="2" t="s">
        <v>32</v>
      </c>
      <c r="G464" s="2" t="n">
        <v>5874.68</v>
      </c>
      <c r="H464" s="2" t="n">
        <v>50.61</v>
      </c>
      <c r="I464" s="2" t="s">
        <v>26</v>
      </c>
      <c r="J464" s="2" t="s">
        <v>1981</v>
      </c>
      <c r="K464" s="2" t="s">
        <v>95</v>
      </c>
      <c r="L464" s="2"/>
      <c r="M464" s="2" t="s">
        <v>1623</v>
      </c>
    </row>
    <row r="465" customFormat="false" ht="15" hidden="false" customHeight="false" outlineLevel="0" collapsed="false">
      <c r="A465" s="2" t="s">
        <v>1982</v>
      </c>
      <c r="B465" s="2" t="s">
        <v>923</v>
      </c>
      <c r="C465" s="2" t="s">
        <v>924</v>
      </c>
      <c r="D465" s="13" t="n">
        <v>45630.4194444444</v>
      </c>
      <c r="E465" s="2" t="s">
        <v>39</v>
      </c>
      <c r="F465" s="2" t="s">
        <v>29</v>
      </c>
      <c r="G465" s="2" t="n">
        <v>5669.49</v>
      </c>
      <c r="H465" s="2" t="n">
        <v>61.93</v>
      </c>
      <c r="I465" s="2" t="s">
        <v>26</v>
      </c>
      <c r="J465" s="2" t="s">
        <v>1983</v>
      </c>
      <c r="K465" s="2" t="s">
        <v>89</v>
      </c>
      <c r="L465" s="2" t="s">
        <v>150</v>
      </c>
      <c r="M465" s="2"/>
    </row>
    <row r="466" customFormat="false" ht="15" hidden="false" customHeight="false" outlineLevel="0" collapsed="false">
      <c r="A466" s="2" t="s">
        <v>1984</v>
      </c>
      <c r="B466" s="2" t="s">
        <v>1985</v>
      </c>
      <c r="C466" s="2" t="s">
        <v>1986</v>
      </c>
      <c r="D466" s="13" t="n">
        <v>45845.8555555556</v>
      </c>
      <c r="E466" s="2" t="s">
        <v>43</v>
      </c>
      <c r="F466" s="2" t="s">
        <v>31</v>
      </c>
      <c r="G466" s="2" t="n">
        <v>2813.31</v>
      </c>
      <c r="H466" s="2" t="n">
        <v>27.98</v>
      </c>
      <c r="I466" s="2" t="s">
        <v>26</v>
      </c>
      <c r="J466" s="2" t="s">
        <v>1987</v>
      </c>
      <c r="K466" s="2" t="s">
        <v>101</v>
      </c>
      <c r="L466" s="2"/>
      <c r="M466" s="2" t="s">
        <v>852</v>
      </c>
    </row>
    <row r="467" customFormat="false" ht="15" hidden="false" customHeight="false" outlineLevel="0" collapsed="false">
      <c r="A467" s="2" t="s">
        <v>1988</v>
      </c>
      <c r="B467" s="2" t="s">
        <v>1989</v>
      </c>
      <c r="C467" s="2" t="s">
        <v>1990</v>
      </c>
      <c r="D467" s="13" t="n">
        <v>45759.7416666667</v>
      </c>
      <c r="E467" s="2" t="s">
        <v>43</v>
      </c>
      <c r="F467" s="2" t="s">
        <v>27</v>
      </c>
      <c r="G467" s="2" t="n">
        <v>17613.35</v>
      </c>
      <c r="H467" s="2" t="n">
        <v>174.36</v>
      </c>
      <c r="I467" s="2" t="s">
        <v>26</v>
      </c>
      <c r="J467" s="2" t="s">
        <v>1991</v>
      </c>
      <c r="K467" s="2" t="s">
        <v>95</v>
      </c>
      <c r="L467" s="2"/>
      <c r="M467" s="2" t="s">
        <v>857</v>
      </c>
    </row>
    <row r="468" customFormat="false" ht="15" hidden="false" customHeight="false" outlineLevel="0" collapsed="false">
      <c r="A468" s="2" t="s">
        <v>1992</v>
      </c>
      <c r="B468" s="2" t="s">
        <v>1993</v>
      </c>
      <c r="C468" s="2" t="s">
        <v>1994</v>
      </c>
      <c r="D468" s="13" t="n">
        <v>45467.8465277778</v>
      </c>
      <c r="E468" s="2" t="s">
        <v>41</v>
      </c>
      <c r="F468" s="2" t="s">
        <v>31</v>
      </c>
      <c r="G468" s="2" t="n">
        <v>11197.82</v>
      </c>
      <c r="H468" s="2" t="n">
        <v>97.54</v>
      </c>
      <c r="I468" s="2" t="s">
        <v>30</v>
      </c>
      <c r="J468" s="2" t="s">
        <v>1995</v>
      </c>
      <c r="K468" s="2" t="s">
        <v>95</v>
      </c>
      <c r="L468" s="2" t="s">
        <v>1456</v>
      </c>
      <c r="M468" s="2"/>
    </row>
    <row r="469" customFormat="false" ht="15" hidden="false" customHeight="false" outlineLevel="0" collapsed="false">
      <c r="A469" s="2" t="s">
        <v>1996</v>
      </c>
      <c r="B469" s="2" t="s">
        <v>1238</v>
      </c>
      <c r="C469" s="2" t="s">
        <v>1239</v>
      </c>
      <c r="D469" s="13" t="n">
        <v>45670.7729166667</v>
      </c>
      <c r="E469" s="2" t="s">
        <v>39</v>
      </c>
      <c r="F469" s="2" t="s">
        <v>32</v>
      </c>
      <c r="G469" s="2" t="n">
        <v>1953.5</v>
      </c>
      <c r="H469" s="2" t="n">
        <v>23.12</v>
      </c>
      <c r="I469" s="2" t="s">
        <v>26</v>
      </c>
      <c r="J469" s="2" t="s">
        <v>1997</v>
      </c>
      <c r="K469" s="2" t="s">
        <v>122</v>
      </c>
      <c r="L469" s="2" t="s">
        <v>168</v>
      </c>
      <c r="M469" s="2"/>
    </row>
    <row r="470" customFormat="false" ht="15" hidden="false" customHeight="false" outlineLevel="0" collapsed="false">
      <c r="A470" s="2" t="s">
        <v>1998</v>
      </c>
      <c r="B470" s="2" t="s">
        <v>1999</v>
      </c>
      <c r="C470" s="2" t="s">
        <v>2000</v>
      </c>
      <c r="D470" s="13" t="n">
        <v>45385.7868055556</v>
      </c>
      <c r="E470" s="2" t="s">
        <v>41</v>
      </c>
      <c r="F470" s="2" t="s">
        <v>32</v>
      </c>
      <c r="G470" s="2" t="n">
        <v>531.31</v>
      </c>
      <c r="H470" s="2" t="n">
        <v>5</v>
      </c>
      <c r="I470" s="2" t="s">
        <v>26</v>
      </c>
      <c r="J470" s="2" t="s">
        <v>2001</v>
      </c>
      <c r="K470" s="2" t="s">
        <v>95</v>
      </c>
      <c r="L470" s="2" t="s">
        <v>173</v>
      </c>
      <c r="M470" s="2"/>
    </row>
    <row r="471" customFormat="false" ht="15" hidden="false" customHeight="false" outlineLevel="0" collapsed="false">
      <c r="A471" s="2" t="s">
        <v>2002</v>
      </c>
      <c r="B471" s="2" t="s">
        <v>2003</v>
      </c>
      <c r="C471" s="2" t="s">
        <v>2004</v>
      </c>
      <c r="D471" s="13" t="n">
        <v>45954.5027777778</v>
      </c>
      <c r="E471" s="2" t="s">
        <v>43</v>
      </c>
      <c r="F471" s="2" t="s">
        <v>27</v>
      </c>
      <c r="G471" s="2" t="n">
        <v>239.3</v>
      </c>
      <c r="H471" s="2" t="n">
        <v>5</v>
      </c>
      <c r="I471" s="2" t="s">
        <v>30</v>
      </c>
      <c r="J471" s="2" t="s">
        <v>2005</v>
      </c>
      <c r="K471" s="2" t="s">
        <v>89</v>
      </c>
      <c r="L471" s="2"/>
      <c r="M471" s="2" t="s">
        <v>871</v>
      </c>
    </row>
    <row r="472" customFormat="false" ht="15" hidden="false" customHeight="false" outlineLevel="0" collapsed="false">
      <c r="A472" s="2" t="s">
        <v>2006</v>
      </c>
      <c r="B472" s="2" t="s">
        <v>2007</v>
      </c>
      <c r="C472" s="2" t="s">
        <v>2008</v>
      </c>
      <c r="D472" s="13" t="n">
        <v>45666.4354166667</v>
      </c>
      <c r="E472" s="2" t="s">
        <v>43</v>
      </c>
      <c r="F472" s="2" t="s">
        <v>31</v>
      </c>
      <c r="G472" s="2" t="n">
        <v>3182.98</v>
      </c>
      <c r="H472" s="2" t="n">
        <v>16.94</v>
      </c>
      <c r="I472" s="2" t="s">
        <v>30</v>
      </c>
      <c r="J472" s="2" t="s">
        <v>2009</v>
      </c>
      <c r="K472" s="2" t="s">
        <v>101</v>
      </c>
      <c r="L472" s="2"/>
      <c r="M472" s="2" t="s">
        <v>1282</v>
      </c>
    </row>
    <row r="473" customFormat="false" ht="15" hidden="false" customHeight="false" outlineLevel="0" collapsed="false">
      <c r="A473" s="2" t="s">
        <v>2010</v>
      </c>
      <c r="B473" s="2" t="s">
        <v>2011</v>
      </c>
      <c r="C473" s="2" t="s">
        <v>2012</v>
      </c>
      <c r="D473" s="13" t="n">
        <v>45766.9236111111</v>
      </c>
      <c r="E473" s="2" t="s">
        <v>39</v>
      </c>
      <c r="F473" s="2" t="s">
        <v>31</v>
      </c>
      <c r="G473" s="2" t="n">
        <v>5921.35</v>
      </c>
      <c r="H473" s="2" t="n">
        <v>44.77</v>
      </c>
      <c r="I473" s="2" t="s">
        <v>26</v>
      </c>
      <c r="J473" s="2" t="s">
        <v>2013</v>
      </c>
      <c r="K473" s="2" t="s">
        <v>95</v>
      </c>
      <c r="L473" s="2" t="s">
        <v>188</v>
      </c>
      <c r="M473" s="2"/>
    </row>
    <row r="474" customFormat="false" ht="15" hidden="false" customHeight="false" outlineLevel="0" collapsed="false">
      <c r="A474" s="2" t="s">
        <v>2014</v>
      </c>
      <c r="B474" s="2" t="s">
        <v>2015</v>
      </c>
      <c r="C474" s="2" t="s">
        <v>2016</v>
      </c>
      <c r="D474" s="13" t="n">
        <v>45839.5444444444</v>
      </c>
      <c r="E474" s="2" t="s">
        <v>43</v>
      </c>
      <c r="F474" s="2" t="s">
        <v>27</v>
      </c>
      <c r="G474" s="2" t="n">
        <v>4584.52</v>
      </c>
      <c r="H474" s="2" t="n">
        <v>52.38</v>
      </c>
      <c r="I474" s="2" t="s">
        <v>26</v>
      </c>
      <c r="J474" s="2" t="s">
        <v>2017</v>
      </c>
      <c r="K474" s="2" t="s">
        <v>101</v>
      </c>
      <c r="L474" s="2"/>
      <c r="M474" s="2" t="s">
        <v>1658</v>
      </c>
    </row>
    <row r="475" customFormat="false" ht="15" hidden="false" customHeight="false" outlineLevel="0" collapsed="false">
      <c r="A475" s="2" t="s">
        <v>2018</v>
      </c>
      <c r="B475" s="2" t="s">
        <v>2019</v>
      </c>
      <c r="C475" s="2" t="s">
        <v>2020</v>
      </c>
      <c r="D475" s="13" t="n">
        <v>45610.3625</v>
      </c>
      <c r="E475" s="2" t="s">
        <v>37</v>
      </c>
      <c r="F475" s="2" t="s">
        <v>32</v>
      </c>
      <c r="G475" s="2" t="n">
        <v>966.89</v>
      </c>
      <c r="H475" s="2" t="n">
        <v>5</v>
      </c>
      <c r="I475" s="2" t="s">
        <v>26</v>
      </c>
      <c r="J475" s="2" t="s">
        <v>2021</v>
      </c>
      <c r="K475" s="2" t="s">
        <v>89</v>
      </c>
      <c r="L475" s="2" t="s">
        <v>1482</v>
      </c>
      <c r="M475" s="2"/>
    </row>
    <row r="476" customFormat="false" ht="15" hidden="false" customHeight="false" outlineLevel="0" collapsed="false">
      <c r="A476" s="2" t="s">
        <v>2022</v>
      </c>
      <c r="B476" s="2" t="s">
        <v>801</v>
      </c>
      <c r="C476" s="2" t="s">
        <v>802</v>
      </c>
      <c r="D476" s="13" t="n">
        <v>45856.56875</v>
      </c>
      <c r="E476" s="2" t="s">
        <v>41</v>
      </c>
      <c r="F476" s="2" t="s">
        <v>32</v>
      </c>
      <c r="G476" s="2" t="n">
        <v>2686.65</v>
      </c>
      <c r="H476" s="2" t="n">
        <v>30.27</v>
      </c>
      <c r="I476" s="2" t="s">
        <v>30</v>
      </c>
      <c r="J476" s="2" t="s">
        <v>2023</v>
      </c>
      <c r="K476" s="2" t="s">
        <v>95</v>
      </c>
      <c r="L476" s="2" t="s">
        <v>891</v>
      </c>
      <c r="M476" s="2"/>
    </row>
    <row r="477" customFormat="false" ht="15" hidden="false" customHeight="false" outlineLevel="0" collapsed="false">
      <c r="A477" s="2" t="s">
        <v>2024</v>
      </c>
      <c r="B477" s="2" t="s">
        <v>1458</v>
      </c>
      <c r="C477" s="2" t="s">
        <v>1459</v>
      </c>
      <c r="D477" s="13" t="n">
        <v>45550.3868055556</v>
      </c>
      <c r="E477" s="2" t="s">
        <v>43</v>
      </c>
      <c r="F477" s="2" t="s">
        <v>31</v>
      </c>
      <c r="G477" s="2" t="n">
        <v>10807.15</v>
      </c>
      <c r="H477" s="2" t="n">
        <v>121.53</v>
      </c>
      <c r="I477" s="2" t="s">
        <v>26</v>
      </c>
      <c r="J477" s="2" t="s">
        <v>2025</v>
      </c>
      <c r="K477" s="2" t="s">
        <v>122</v>
      </c>
      <c r="L477" s="2"/>
      <c r="M477" s="2" t="s">
        <v>1304</v>
      </c>
    </row>
    <row r="478" customFormat="false" ht="15" hidden="false" customHeight="false" outlineLevel="0" collapsed="false">
      <c r="A478" s="2" t="s">
        <v>2026</v>
      </c>
      <c r="B478" s="2" t="s">
        <v>2027</v>
      </c>
      <c r="C478" s="2" t="s">
        <v>2028</v>
      </c>
      <c r="D478" s="13" t="n">
        <v>45660.5722222222</v>
      </c>
      <c r="E478" s="2" t="s">
        <v>41</v>
      </c>
      <c r="F478" s="2" t="s">
        <v>31</v>
      </c>
      <c r="G478" s="2" t="n">
        <v>5020.47</v>
      </c>
      <c r="H478" s="2" t="n">
        <v>11.85</v>
      </c>
      <c r="I478" s="2" t="s">
        <v>26</v>
      </c>
      <c r="J478" s="2" t="s">
        <v>2029</v>
      </c>
      <c r="K478" s="2" t="s">
        <v>95</v>
      </c>
      <c r="L478" s="2" t="s">
        <v>213</v>
      </c>
      <c r="M478" s="2"/>
    </row>
    <row r="479" customFormat="false" ht="15" hidden="false" customHeight="false" outlineLevel="0" collapsed="false">
      <c r="A479" s="2" t="s">
        <v>2030</v>
      </c>
      <c r="B479" s="2" t="s">
        <v>2031</v>
      </c>
      <c r="C479" s="2" t="s">
        <v>2032</v>
      </c>
      <c r="D479" s="13" t="n">
        <v>45426.4895833333</v>
      </c>
      <c r="E479" s="2" t="s">
        <v>39</v>
      </c>
      <c r="F479" s="2" t="s">
        <v>32</v>
      </c>
      <c r="G479" s="2" t="n">
        <v>3416.76</v>
      </c>
      <c r="H479" s="2" t="n">
        <v>38.62</v>
      </c>
      <c r="I479" s="2" t="s">
        <v>26</v>
      </c>
      <c r="J479" s="2" t="s">
        <v>2033</v>
      </c>
      <c r="K479" s="2" t="s">
        <v>95</v>
      </c>
      <c r="L479" s="2" t="s">
        <v>218</v>
      </c>
      <c r="M479" s="2"/>
    </row>
    <row r="480" customFormat="false" ht="15" hidden="false" customHeight="false" outlineLevel="0" collapsed="false">
      <c r="A480" s="2" t="s">
        <v>2034</v>
      </c>
      <c r="B480" s="2" t="s">
        <v>2035</v>
      </c>
      <c r="C480" s="2" t="s">
        <v>2036</v>
      </c>
      <c r="D480" s="13" t="n">
        <v>45425.3930555556</v>
      </c>
      <c r="E480" s="2" t="s">
        <v>41</v>
      </c>
      <c r="F480" s="2" t="s">
        <v>31</v>
      </c>
      <c r="G480" s="2" t="n">
        <v>2992.32</v>
      </c>
      <c r="H480" s="2" t="n">
        <v>13.57</v>
      </c>
      <c r="I480" s="2" t="s">
        <v>30</v>
      </c>
      <c r="J480" s="2" t="s">
        <v>2037</v>
      </c>
      <c r="K480" s="2" t="s">
        <v>89</v>
      </c>
      <c r="L480" s="2" t="s">
        <v>1504</v>
      </c>
      <c r="M480" s="2"/>
    </row>
    <row r="481" customFormat="false" ht="15" hidden="false" customHeight="false" outlineLevel="0" collapsed="false">
      <c r="A481" s="2" t="s">
        <v>2038</v>
      </c>
      <c r="B481" s="2" t="s">
        <v>2039</v>
      </c>
      <c r="C481" s="2" t="s">
        <v>2040</v>
      </c>
      <c r="D481" s="13" t="n">
        <v>45901.6243055556</v>
      </c>
      <c r="E481" s="2" t="s">
        <v>43</v>
      </c>
      <c r="F481" s="2" t="s">
        <v>31</v>
      </c>
      <c r="G481" s="2" t="n">
        <v>11346.55</v>
      </c>
      <c r="H481" s="2" t="n">
        <v>63.07</v>
      </c>
      <c r="I481" s="2" t="s">
        <v>28</v>
      </c>
      <c r="J481" s="2" t="s">
        <v>2041</v>
      </c>
      <c r="K481" s="2" t="s">
        <v>95</v>
      </c>
      <c r="L481" s="2"/>
      <c r="M481" s="2" t="s">
        <v>1686</v>
      </c>
    </row>
    <row r="482" customFormat="false" ht="15" hidden="false" customHeight="false" outlineLevel="0" collapsed="false">
      <c r="A482" s="2" t="s">
        <v>2042</v>
      </c>
      <c r="B482" s="2" t="s">
        <v>205</v>
      </c>
      <c r="C482" s="2" t="s">
        <v>206</v>
      </c>
      <c r="D482" s="13" t="n">
        <v>45364.3201388889</v>
      </c>
      <c r="E482" s="2" t="s">
        <v>39</v>
      </c>
      <c r="F482" s="2" t="s">
        <v>27</v>
      </c>
      <c r="G482" s="2" t="n">
        <v>949.93</v>
      </c>
      <c r="H482" s="2" t="n">
        <v>5.85</v>
      </c>
      <c r="I482" s="2" t="s">
        <v>26</v>
      </c>
      <c r="J482" s="2" t="s">
        <v>2043</v>
      </c>
      <c r="K482" s="2" t="s">
        <v>122</v>
      </c>
      <c r="L482" s="2"/>
      <c r="M482" s="2" t="s">
        <v>2044</v>
      </c>
    </row>
    <row r="483" customFormat="false" ht="15" hidden="false" customHeight="false" outlineLevel="0" collapsed="false">
      <c r="A483" s="2" t="s">
        <v>2045</v>
      </c>
      <c r="B483" s="2" t="s">
        <v>2046</v>
      </c>
      <c r="C483" s="2" t="s">
        <v>2047</v>
      </c>
      <c r="D483" s="13" t="n">
        <v>45914.3715277778</v>
      </c>
      <c r="E483" s="2" t="s">
        <v>41</v>
      </c>
      <c r="F483" s="2" t="s">
        <v>31</v>
      </c>
      <c r="G483" s="2" t="n">
        <v>24985.85</v>
      </c>
      <c r="H483" s="2" t="n">
        <v>288.78</v>
      </c>
      <c r="I483" s="2" t="s">
        <v>26</v>
      </c>
      <c r="J483" s="2" t="s">
        <v>2048</v>
      </c>
      <c r="K483" s="2" t="s">
        <v>101</v>
      </c>
      <c r="L483" s="2" t="s">
        <v>1513</v>
      </c>
      <c r="M483" s="2"/>
    </row>
    <row r="484" customFormat="false" ht="15" hidden="false" customHeight="false" outlineLevel="0" collapsed="false">
      <c r="A484" s="2" t="s">
        <v>2049</v>
      </c>
      <c r="B484" s="2" t="s">
        <v>2050</v>
      </c>
      <c r="C484" s="2" t="s">
        <v>2051</v>
      </c>
      <c r="D484" s="13" t="n">
        <v>45846.6277777778</v>
      </c>
      <c r="E484" s="2" t="s">
        <v>39</v>
      </c>
      <c r="F484" s="2" t="s">
        <v>32</v>
      </c>
      <c r="G484" s="2" t="n">
        <v>5646.41</v>
      </c>
      <c r="H484" s="2" t="n">
        <v>19.81</v>
      </c>
      <c r="I484" s="2" t="s">
        <v>26</v>
      </c>
      <c r="J484" s="2" t="s">
        <v>2052</v>
      </c>
      <c r="K484" s="2" t="s">
        <v>122</v>
      </c>
      <c r="L484" s="2" t="s">
        <v>243</v>
      </c>
      <c r="M484" s="2"/>
    </row>
    <row r="485" customFormat="false" ht="15" hidden="false" customHeight="false" outlineLevel="0" collapsed="false">
      <c r="A485" s="2" t="s">
        <v>2053</v>
      </c>
      <c r="B485" s="2" t="s">
        <v>280</v>
      </c>
      <c r="C485" s="2" t="s">
        <v>281</v>
      </c>
      <c r="D485" s="13" t="n">
        <v>45306.3493055556</v>
      </c>
      <c r="E485" s="2" t="s">
        <v>37</v>
      </c>
      <c r="F485" s="2" t="s">
        <v>27</v>
      </c>
      <c r="G485" s="2" t="n">
        <v>990.45</v>
      </c>
      <c r="H485" s="2" t="n">
        <v>11.58</v>
      </c>
      <c r="I485" s="2" t="s">
        <v>26</v>
      </c>
      <c r="J485" s="2" t="s">
        <v>2054</v>
      </c>
      <c r="K485" s="2" t="s">
        <v>89</v>
      </c>
      <c r="L485" s="2"/>
      <c r="M485" s="2" t="s">
        <v>498</v>
      </c>
    </row>
    <row r="486" customFormat="false" ht="15" hidden="false" customHeight="false" outlineLevel="0" collapsed="false">
      <c r="A486" s="2" t="s">
        <v>2055</v>
      </c>
      <c r="B486" s="2" t="s">
        <v>2056</v>
      </c>
      <c r="C486" s="2" t="s">
        <v>2057</v>
      </c>
      <c r="D486" s="13" t="n">
        <v>45531.8326388889</v>
      </c>
      <c r="E486" s="2" t="s">
        <v>35</v>
      </c>
      <c r="F486" s="2" t="s">
        <v>29</v>
      </c>
      <c r="G486" s="2" t="n">
        <v>1006.71</v>
      </c>
      <c r="H486" s="2" t="n">
        <v>10.11</v>
      </c>
      <c r="I486" s="2" t="s">
        <v>26</v>
      </c>
      <c r="J486" s="2" t="s">
        <v>2058</v>
      </c>
      <c r="K486" s="2" t="s">
        <v>101</v>
      </c>
      <c r="L486" s="2" t="s">
        <v>253</v>
      </c>
      <c r="M486" s="2"/>
    </row>
    <row r="487" customFormat="false" ht="15" hidden="false" customHeight="false" outlineLevel="0" collapsed="false">
      <c r="A487" s="2" t="s">
        <v>2059</v>
      </c>
      <c r="B487" s="2" t="s">
        <v>2060</v>
      </c>
      <c r="C487" s="2" t="s">
        <v>2061</v>
      </c>
      <c r="D487" s="13" t="n">
        <v>45585.6381944444</v>
      </c>
      <c r="E487" s="2" t="s">
        <v>41</v>
      </c>
      <c r="F487" s="2" t="s">
        <v>29</v>
      </c>
      <c r="G487" s="2" t="n">
        <v>6495.17</v>
      </c>
      <c r="H487" s="2" t="n">
        <v>41.02</v>
      </c>
      <c r="I487" s="2" t="s">
        <v>28</v>
      </c>
      <c r="J487" s="2" t="s">
        <v>2062</v>
      </c>
      <c r="K487" s="2" t="s">
        <v>95</v>
      </c>
      <c r="L487" s="2" t="s">
        <v>258</v>
      </c>
      <c r="M487" s="2"/>
    </row>
    <row r="488" customFormat="false" ht="15" hidden="false" customHeight="false" outlineLevel="0" collapsed="false">
      <c r="A488" s="2" t="s">
        <v>2063</v>
      </c>
      <c r="B488" s="2" t="s">
        <v>1918</v>
      </c>
      <c r="C488" s="2" t="s">
        <v>1919</v>
      </c>
      <c r="D488" s="13" t="n">
        <v>45522.8486111111</v>
      </c>
      <c r="E488" s="2" t="s">
        <v>41</v>
      </c>
      <c r="F488" s="2" t="s">
        <v>27</v>
      </c>
      <c r="G488" s="2" t="n">
        <v>2734.17</v>
      </c>
      <c r="H488" s="2" t="n">
        <v>9.01</v>
      </c>
      <c r="I488" s="2" t="s">
        <v>26</v>
      </c>
      <c r="J488" s="2" t="s">
        <v>2064</v>
      </c>
      <c r="K488" s="2" t="s">
        <v>122</v>
      </c>
      <c r="L488" s="2"/>
      <c r="M488" s="2" t="s">
        <v>513</v>
      </c>
    </row>
    <row r="489" customFormat="false" ht="15" hidden="false" customHeight="false" outlineLevel="0" collapsed="false">
      <c r="A489" s="2" t="s">
        <v>2065</v>
      </c>
      <c r="B489" s="2" t="s">
        <v>2066</v>
      </c>
      <c r="C489" s="2" t="s">
        <v>2067</v>
      </c>
      <c r="D489" s="13" t="n">
        <v>45412.3875</v>
      </c>
      <c r="E489" s="2" t="s">
        <v>41</v>
      </c>
      <c r="F489" s="2" t="s">
        <v>29</v>
      </c>
      <c r="G489" s="2" t="n">
        <v>11851.87</v>
      </c>
      <c r="H489" s="2" t="n">
        <v>116.84</v>
      </c>
      <c r="I489" s="2" t="s">
        <v>30</v>
      </c>
      <c r="J489" s="2" t="s">
        <v>2068</v>
      </c>
      <c r="K489" s="2" t="s">
        <v>101</v>
      </c>
      <c r="L489" s="2" t="s">
        <v>945</v>
      </c>
      <c r="M489" s="2"/>
    </row>
    <row r="490" customFormat="false" ht="15" hidden="false" customHeight="false" outlineLevel="0" collapsed="false">
      <c r="A490" s="2" t="s">
        <v>2069</v>
      </c>
      <c r="B490" s="2" t="s">
        <v>390</v>
      </c>
      <c r="C490" s="2" t="s">
        <v>391</v>
      </c>
      <c r="D490" s="13" t="n">
        <v>45981.4625</v>
      </c>
      <c r="E490" s="2" t="s">
        <v>39</v>
      </c>
      <c r="F490" s="2" t="s">
        <v>27</v>
      </c>
      <c r="G490" s="2" t="n">
        <v>31297.27</v>
      </c>
      <c r="H490" s="2" t="n">
        <v>261.72</v>
      </c>
      <c r="I490" s="2" t="s">
        <v>28</v>
      </c>
      <c r="J490" s="2" t="s">
        <v>2070</v>
      </c>
      <c r="K490" s="2" t="s">
        <v>89</v>
      </c>
      <c r="L490" s="2"/>
      <c r="M490" s="2" t="s">
        <v>950</v>
      </c>
    </row>
    <row r="491" customFormat="false" ht="15" hidden="false" customHeight="false" outlineLevel="0" collapsed="false">
      <c r="A491" s="2" t="s">
        <v>2071</v>
      </c>
      <c r="B491" s="2" t="s">
        <v>2072</v>
      </c>
      <c r="C491" s="2" t="s">
        <v>2073</v>
      </c>
      <c r="D491" s="13" t="n">
        <v>45929.8395833333</v>
      </c>
      <c r="E491" s="2" t="s">
        <v>39</v>
      </c>
      <c r="F491" s="2" t="s">
        <v>27</v>
      </c>
      <c r="G491" s="2" t="n">
        <v>9585.6</v>
      </c>
      <c r="H491" s="2" t="n">
        <v>106.15</v>
      </c>
      <c r="I491" s="2" t="s">
        <v>26</v>
      </c>
      <c r="J491" s="2" t="s">
        <v>2074</v>
      </c>
      <c r="K491" s="2" t="s">
        <v>95</v>
      </c>
      <c r="L491" s="2"/>
      <c r="M491" s="2" t="s">
        <v>528</v>
      </c>
    </row>
    <row r="492" customFormat="false" ht="15" hidden="false" customHeight="false" outlineLevel="0" collapsed="false">
      <c r="A492" s="2" t="s">
        <v>2075</v>
      </c>
      <c r="B492" s="2" t="s">
        <v>2076</v>
      </c>
      <c r="C492" s="2" t="s">
        <v>2077</v>
      </c>
      <c r="D492" s="13" t="n">
        <v>45865.74375</v>
      </c>
      <c r="E492" s="2" t="s">
        <v>35</v>
      </c>
      <c r="F492" s="2" t="s">
        <v>27</v>
      </c>
      <c r="G492" s="2" t="n">
        <v>2401.42</v>
      </c>
      <c r="H492" s="2" t="n">
        <v>27.99</v>
      </c>
      <c r="I492" s="2" t="s">
        <v>26</v>
      </c>
      <c r="J492" s="2" t="s">
        <v>2078</v>
      </c>
      <c r="K492" s="2" t="s">
        <v>101</v>
      </c>
      <c r="L492" s="2"/>
      <c r="M492" s="2" t="s">
        <v>531</v>
      </c>
    </row>
    <row r="493" customFormat="false" ht="15" hidden="false" customHeight="false" outlineLevel="0" collapsed="false">
      <c r="A493" s="2" t="s">
        <v>2079</v>
      </c>
      <c r="B493" s="2" t="s">
        <v>1603</v>
      </c>
      <c r="C493" s="2" t="s">
        <v>1604</v>
      </c>
      <c r="D493" s="13" t="n">
        <v>45350.7736111111</v>
      </c>
      <c r="E493" s="2" t="s">
        <v>39</v>
      </c>
      <c r="F493" s="2" t="s">
        <v>32</v>
      </c>
      <c r="G493" s="2" t="n">
        <v>2206.97</v>
      </c>
      <c r="H493" s="2" t="n">
        <v>25.36</v>
      </c>
      <c r="I493" s="2" t="s">
        <v>26</v>
      </c>
      <c r="J493" s="2" t="s">
        <v>2080</v>
      </c>
      <c r="K493" s="2" t="s">
        <v>89</v>
      </c>
      <c r="L493" s="2" t="s">
        <v>963</v>
      </c>
      <c r="M493" s="2"/>
    </row>
    <row r="494" customFormat="false" ht="15" hidden="false" customHeight="false" outlineLevel="0" collapsed="false">
      <c r="A494" s="2" t="s">
        <v>2081</v>
      </c>
      <c r="B494" s="2" t="s">
        <v>2082</v>
      </c>
      <c r="C494" s="2" t="s">
        <v>2083</v>
      </c>
      <c r="D494" s="13" t="n">
        <v>45666.9340277778</v>
      </c>
      <c r="E494" s="2" t="s">
        <v>35</v>
      </c>
      <c r="F494" s="2" t="s">
        <v>27</v>
      </c>
      <c r="G494" s="2" t="n">
        <v>8807.58</v>
      </c>
      <c r="H494" s="2" t="n">
        <v>78.37</v>
      </c>
      <c r="I494" s="2" t="s">
        <v>26</v>
      </c>
      <c r="J494" s="2" t="s">
        <v>2084</v>
      </c>
      <c r="K494" s="2" t="s">
        <v>122</v>
      </c>
      <c r="L494" s="2"/>
      <c r="M494" s="2" t="s">
        <v>1371</v>
      </c>
    </row>
    <row r="495" customFormat="false" ht="15" hidden="false" customHeight="false" outlineLevel="0" collapsed="false">
      <c r="A495" s="2" t="s">
        <v>2085</v>
      </c>
      <c r="B495" s="2" t="s">
        <v>2086</v>
      </c>
      <c r="C495" s="2" t="s">
        <v>2087</v>
      </c>
      <c r="D495" s="13" t="n">
        <v>45892.6569444445</v>
      </c>
      <c r="E495" s="2" t="s">
        <v>37</v>
      </c>
      <c r="F495" s="2" t="s">
        <v>29</v>
      </c>
      <c r="G495" s="2" t="n">
        <v>2936.94</v>
      </c>
      <c r="H495" s="2" t="n">
        <v>16.76</v>
      </c>
      <c r="I495" s="2" t="s">
        <v>26</v>
      </c>
      <c r="J495" s="2" t="s">
        <v>2088</v>
      </c>
      <c r="K495" s="2" t="s">
        <v>122</v>
      </c>
      <c r="L495" s="2" t="s">
        <v>972</v>
      </c>
      <c r="M495" s="2"/>
    </row>
    <row r="496" customFormat="false" ht="15" hidden="false" customHeight="false" outlineLevel="0" collapsed="false">
      <c r="A496" s="2" t="s">
        <v>2089</v>
      </c>
      <c r="B496" s="2" t="s">
        <v>876</v>
      </c>
      <c r="C496" s="2" t="s">
        <v>877</v>
      </c>
      <c r="D496" s="13" t="n">
        <v>45900.8270833333</v>
      </c>
      <c r="E496" s="2" t="s">
        <v>39</v>
      </c>
      <c r="F496" s="2" t="s">
        <v>32</v>
      </c>
      <c r="G496" s="2" t="n">
        <v>1562.35</v>
      </c>
      <c r="H496" s="2" t="n">
        <v>7.5</v>
      </c>
      <c r="I496" s="2" t="s">
        <v>26</v>
      </c>
      <c r="J496" s="2" t="s">
        <v>2090</v>
      </c>
      <c r="K496" s="2" t="s">
        <v>101</v>
      </c>
      <c r="L496" s="2" t="s">
        <v>303</v>
      </c>
      <c r="M496" s="2"/>
    </row>
    <row r="497" customFormat="false" ht="15" hidden="false" customHeight="false" outlineLevel="0" collapsed="false">
      <c r="A497" s="2" t="s">
        <v>2091</v>
      </c>
      <c r="B497" s="2" t="s">
        <v>1398</v>
      </c>
      <c r="C497" s="2" t="s">
        <v>1399</v>
      </c>
      <c r="D497" s="13" t="n">
        <v>45314.3166666667</v>
      </c>
      <c r="E497" s="2" t="s">
        <v>35</v>
      </c>
      <c r="F497" s="2" t="s">
        <v>31</v>
      </c>
      <c r="G497" s="2" t="n">
        <v>673.74</v>
      </c>
      <c r="H497" s="2" t="n">
        <v>5.51</v>
      </c>
      <c r="I497" s="2" t="s">
        <v>26</v>
      </c>
      <c r="J497" s="2" t="s">
        <v>2092</v>
      </c>
      <c r="K497" s="2" t="s">
        <v>95</v>
      </c>
      <c r="L497" s="2" t="s">
        <v>308</v>
      </c>
      <c r="M497" s="2"/>
    </row>
    <row r="498" customFormat="false" ht="15" hidden="false" customHeight="false" outlineLevel="0" collapsed="false">
      <c r="A498" s="2" t="s">
        <v>2093</v>
      </c>
      <c r="B498" s="2" t="s">
        <v>634</v>
      </c>
      <c r="C498" s="2" t="s">
        <v>635</v>
      </c>
      <c r="D498" s="13" t="n">
        <v>45700.4722222222</v>
      </c>
      <c r="E498" s="2" t="s">
        <v>35</v>
      </c>
      <c r="F498" s="2" t="s">
        <v>27</v>
      </c>
      <c r="G498" s="2" t="n">
        <v>8793.25</v>
      </c>
      <c r="H498" s="2" t="n">
        <v>51.11</v>
      </c>
      <c r="I498" s="2" t="s">
        <v>26</v>
      </c>
      <c r="J498" s="2" t="s">
        <v>2094</v>
      </c>
      <c r="K498" s="2" t="s">
        <v>89</v>
      </c>
      <c r="L498" s="2"/>
      <c r="M498" s="2" t="s">
        <v>561</v>
      </c>
    </row>
    <row r="499" customFormat="false" ht="15" hidden="false" customHeight="false" outlineLevel="0" collapsed="false">
      <c r="A499" s="2" t="s">
        <v>2095</v>
      </c>
      <c r="B499" s="2" t="s">
        <v>797</v>
      </c>
      <c r="C499" s="2" t="s">
        <v>798</v>
      </c>
      <c r="D499" s="13" t="n">
        <v>45537.3118055556</v>
      </c>
      <c r="E499" s="2" t="s">
        <v>43</v>
      </c>
      <c r="F499" s="2" t="s">
        <v>31</v>
      </c>
      <c r="G499" s="2" t="n">
        <v>9674.19</v>
      </c>
      <c r="H499" s="2" t="n">
        <v>42.53</v>
      </c>
      <c r="I499" s="2" t="s">
        <v>26</v>
      </c>
      <c r="J499" s="2" t="s">
        <v>2096</v>
      </c>
      <c r="K499" s="2" t="s">
        <v>95</v>
      </c>
      <c r="L499" s="2"/>
      <c r="M499" s="2" t="s">
        <v>2097</v>
      </c>
    </row>
    <row r="500" customFormat="false" ht="15" hidden="false" customHeight="false" outlineLevel="0" collapsed="false">
      <c r="A500" s="2" t="s">
        <v>2098</v>
      </c>
      <c r="B500" s="2" t="s">
        <v>2099</v>
      </c>
      <c r="C500" s="2" t="s">
        <v>2100</v>
      </c>
      <c r="D500" s="13" t="n">
        <v>45417.66875</v>
      </c>
      <c r="E500" s="2" t="s">
        <v>41</v>
      </c>
      <c r="F500" s="2" t="s">
        <v>27</v>
      </c>
      <c r="G500" s="2" t="n">
        <v>7484.64</v>
      </c>
      <c r="H500" s="2" t="n">
        <v>33.52</v>
      </c>
      <c r="I500" s="2" t="s">
        <v>26</v>
      </c>
      <c r="J500" s="2" t="s">
        <v>2101</v>
      </c>
      <c r="K500" s="2" t="s">
        <v>101</v>
      </c>
      <c r="L500" s="2"/>
      <c r="M500" s="2" t="s">
        <v>571</v>
      </c>
    </row>
    <row r="501" customFormat="false" ht="15" hidden="false" customHeight="false" outlineLevel="0" collapsed="false">
      <c r="A501" s="2" t="s">
        <v>2102</v>
      </c>
      <c r="B501" s="2" t="s">
        <v>2103</v>
      </c>
      <c r="C501" s="2" t="s">
        <v>2104</v>
      </c>
      <c r="D501" s="13" t="n">
        <v>45616.6756944444</v>
      </c>
      <c r="E501" s="2" t="s">
        <v>41</v>
      </c>
      <c r="F501" s="2" t="s">
        <v>27</v>
      </c>
      <c r="G501" s="2" t="n">
        <v>5983.84</v>
      </c>
      <c r="H501" s="2" t="n">
        <v>45.87</v>
      </c>
      <c r="I501" s="2" t="s">
        <v>26</v>
      </c>
      <c r="J501" s="2" t="s">
        <v>2105</v>
      </c>
      <c r="K501" s="2" t="s">
        <v>89</v>
      </c>
      <c r="L501" s="2"/>
      <c r="M501" s="2" t="s">
        <v>576</v>
      </c>
    </row>
    <row r="502" customFormat="false" ht="15" hidden="false" customHeight="false" outlineLevel="0" collapsed="false">
      <c r="A502" s="2" t="s">
        <v>2106</v>
      </c>
      <c r="B502" s="2" t="s">
        <v>180</v>
      </c>
      <c r="C502" s="2" t="s">
        <v>181</v>
      </c>
      <c r="D502" s="13" t="n">
        <v>45989.2923611111</v>
      </c>
      <c r="E502" s="2" t="s">
        <v>43</v>
      </c>
      <c r="F502" s="2" t="s">
        <v>29</v>
      </c>
      <c r="G502" s="2" t="n">
        <v>4850.2</v>
      </c>
      <c r="H502" s="2" t="n">
        <v>15.62</v>
      </c>
      <c r="I502" s="2" t="s">
        <v>26</v>
      </c>
      <c r="J502" s="2" t="s">
        <v>2107</v>
      </c>
      <c r="K502" s="2" t="s">
        <v>95</v>
      </c>
      <c r="L502" s="2"/>
      <c r="M502" s="2" t="s">
        <v>581</v>
      </c>
    </row>
    <row r="503" customFormat="false" ht="15" hidden="false" customHeight="false" outlineLevel="0" collapsed="false">
      <c r="A503" s="2" t="s">
        <v>2108</v>
      </c>
      <c r="B503" s="2" t="s">
        <v>2109</v>
      </c>
      <c r="C503" s="2" t="s">
        <v>2110</v>
      </c>
      <c r="D503" s="13" t="n">
        <v>45415.3909722222</v>
      </c>
      <c r="E503" s="2" t="s">
        <v>43</v>
      </c>
      <c r="F503" s="2" t="s">
        <v>29</v>
      </c>
      <c r="G503" s="2" t="n">
        <v>8206.62</v>
      </c>
      <c r="H503" s="2" t="n">
        <v>91.6</v>
      </c>
      <c r="I503" s="2" t="s">
        <v>26</v>
      </c>
      <c r="J503" s="2" t="s">
        <v>2111</v>
      </c>
      <c r="K503" s="2" t="s">
        <v>95</v>
      </c>
      <c r="L503" s="2"/>
      <c r="M503" s="2" t="s">
        <v>1007</v>
      </c>
    </row>
    <row r="504" customFormat="false" ht="15" hidden="false" customHeight="false" outlineLevel="0" collapsed="false">
      <c r="A504" s="2" t="s">
        <v>2112</v>
      </c>
      <c r="B504" s="2" t="s">
        <v>2113</v>
      </c>
      <c r="C504" s="2" t="s">
        <v>2114</v>
      </c>
      <c r="D504" s="13" t="n">
        <v>45663.6576388889</v>
      </c>
      <c r="E504" s="2" t="s">
        <v>37</v>
      </c>
      <c r="F504" s="2" t="s">
        <v>29</v>
      </c>
      <c r="G504" s="2" t="n">
        <v>13343.99</v>
      </c>
      <c r="H504" s="2" t="n">
        <v>147.56</v>
      </c>
      <c r="I504" s="2" t="s">
        <v>26</v>
      </c>
      <c r="J504" s="2" t="s">
        <v>2115</v>
      </c>
      <c r="K504" s="2" t="s">
        <v>122</v>
      </c>
      <c r="L504" s="2" t="s">
        <v>343</v>
      </c>
      <c r="M504" s="2"/>
    </row>
    <row r="505" customFormat="false" ht="15" hidden="false" customHeight="false" outlineLevel="0" collapsed="false">
      <c r="A505" s="2" t="s">
        <v>2116</v>
      </c>
      <c r="B505" s="2" t="s">
        <v>2117</v>
      </c>
      <c r="C505" s="2" t="s">
        <v>2118</v>
      </c>
      <c r="D505" s="13" t="n">
        <v>45407.925</v>
      </c>
      <c r="E505" s="2" t="s">
        <v>39</v>
      </c>
      <c r="F505" s="2" t="s">
        <v>27</v>
      </c>
      <c r="G505" s="2" t="n">
        <v>5393.38</v>
      </c>
      <c r="H505" s="2" t="n">
        <v>45.74</v>
      </c>
      <c r="I505" s="2" t="s">
        <v>26</v>
      </c>
      <c r="J505" s="2" t="s">
        <v>2119</v>
      </c>
      <c r="K505" s="2" t="s">
        <v>95</v>
      </c>
      <c r="L505" s="2"/>
      <c r="M505" s="2" t="s">
        <v>594</v>
      </c>
    </row>
    <row r="506" customFormat="false" ht="15" hidden="false" customHeight="false" outlineLevel="0" collapsed="false">
      <c r="A506" s="2" t="s">
        <v>2120</v>
      </c>
      <c r="B506" s="2" t="s">
        <v>2121</v>
      </c>
      <c r="C506" s="2" t="s">
        <v>2122</v>
      </c>
      <c r="D506" s="13" t="n">
        <v>45747.8944444444</v>
      </c>
      <c r="E506" s="2" t="s">
        <v>37</v>
      </c>
      <c r="F506" s="2" t="s">
        <v>32</v>
      </c>
      <c r="G506" s="2" t="n">
        <v>1329.62</v>
      </c>
      <c r="H506" s="2" t="n">
        <v>11.73</v>
      </c>
      <c r="I506" s="2" t="s">
        <v>26</v>
      </c>
      <c r="J506" s="2" t="s">
        <v>2123</v>
      </c>
      <c r="K506" s="2" t="s">
        <v>122</v>
      </c>
      <c r="L506" s="2" t="s">
        <v>353</v>
      </c>
      <c r="M506" s="2"/>
    </row>
    <row r="507" customFormat="false" ht="15" hidden="false" customHeight="false" outlineLevel="0" collapsed="false">
      <c r="A507" s="2" t="s">
        <v>2124</v>
      </c>
      <c r="B507" s="2" t="s">
        <v>104</v>
      </c>
      <c r="C507" s="2" t="s">
        <v>105</v>
      </c>
      <c r="D507" s="13" t="n">
        <v>45406.6652777778</v>
      </c>
      <c r="E507" s="2" t="s">
        <v>41</v>
      </c>
      <c r="F507" s="2" t="s">
        <v>27</v>
      </c>
      <c r="G507" s="2" t="n">
        <v>28762.23</v>
      </c>
      <c r="H507" s="2" t="n">
        <v>160.24</v>
      </c>
      <c r="I507" s="2" t="s">
        <v>28</v>
      </c>
      <c r="J507" s="2" t="s">
        <v>2125</v>
      </c>
      <c r="K507" s="2" t="s">
        <v>89</v>
      </c>
      <c r="L507" s="2"/>
      <c r="M507" s="2" t="s">
        <v>1778</v>
      </c>
    </row>
    <row r="508" customFormat="false" ht="15" hidden="false" customHeight="false" outlineLevel="0" collapsed="false">
      <c r="A508" s="2" t="s">
        <v>2126</v>
      </c>
      <c r="B508" s="2" t="s">
        <v>2127</v>
      </c>
      <c r="C508" s="2" t="s">
        <v>2128</v>
      </c>
      <c r="D508" s="13" t="n">
        <v>45668.7368055556</v>
      </c>
      <c r="E508" s="2" t="s">
        <v>41</v>
      </c>
      <c r="F508" s="2" t="s">
        <v>27</v>
      </c>
      <c r="G508" s="2" t="n">
        <v>31678.69</v>
      </c>
      <c r="H508" s="2" t="n">
        <v>74.88</v>
      </c>
      <c r="I508" s="2" t="s">
        <v>30</v>
      </c>
      <c r="J508" s="2" t="s">
        <v>2129</v>
      </c>
      <c r="K508" s="2" t="s">
        <v>95</v>
      </c>
      <c r="L508" s="2"/>
      <c r="M508" s="2" t="s">
        <v>1023</v>
      </c>
    </row>
    <row r="509" customFormat="false" ht="15" hidden="false" customHeight="false" outlineLevel="0" collapsed="false">
      <c r="A509" s="2" t="s">
        <v>2130</v>
      </c>
      <c r="B509" s="2" t="s">
        <v>1930</v>
      </c>
      <c r="C509" s="2" t="s">
        <v>1931</v>
      </c>
      <c r="D509" s="13" t="n">
        <v>45423.3881944444</v>
      </c>
      <c r="E509" s="2" t="s">
        <v>41</v>
      </c>
      <c r="F509" s="2" t="s">
        <v>31</v>
      </c>
      <c r="G509" s="2" t="n">
        <v>1476.83</v>
      </c>
      <c r="H509" s="2" t="n">
        <v>15.46</v>
      </c>
      <c r="I509" s="2" t="s">
        <v>26</v>
      </c>
      <c r="J509" s="2" t="s">
        <v>2131</v>
      </c>
      <c r="K509" s="2" t="s">
        <v>89</v>
      </c>
      <c r="L509" s="2" t="s">
        <v>368</v>
      </c>
      <c r="M509" s="2"/>
    </row>
    <row r="510" customFormat="false" ht="15" hidden="false" customHeight="false" outlineLevel="0" collapsed="false">
      <c r="A510" s="2" t="s">
        <v>2132</v>
      </c>
      <c r="B510" s="2" t="s">
        <v>1497</v>
      </c>
      <c r="C510" s="2" t="s">
        <v>1498</v>
      </c>
      <c r="D510" s="13" t="n">
        <v>45600.6083333333</v>
      </c>
      <c r="E510" s="2" t="s">
        <v>37</v>
      </c>
      <c r="F510" s="2" t="s">
        <v>31</v>
      </c>
      <c r="G510" s="2" t="n">
        <v>5862.57</v>
      </c>
      <c r="H510" s="2" t="n">
        <v>65.57</v>
      </c>
      <c r="I510" s="2" t="s">
        <v>26</v>
      </c>
      <c r="J510" s="2" t="s">
        <v>2133</v>
      </c>
      <c r="K510" s="2" t="s">
        <v>95</v>
      </c>
      <c r="L510" s="2" t="s">
        <v>373</v>
      </c>
      <c r="M510" s="2"/>
    </row>
    <row r="511" customFormat="false" ht="15" hidden="false" customHeight="false" outlineLevel="0" collapsed="false">
      <c r="A511" s="2" t="s">
        <v>2134</v>
      </c>
      <c r="B511" s="2" t="s">
        <v>2135</v>
      </c>
      <c r="C511" s="2" t="s">
        <v>2136</v>
      </c>
      <c r="D511" s="13" t="n">
        <v>45327.5465277778</v>
      </c>
      <c r="E511" s="2" t="s">
        <v>41</v>
      </c>
      <c r="F511" s="2" t="s">
        <v>27</v>
      </c>
      <c r="G511" s="2" t="n">
        <v>1020.8</v>
      </c>
      <c r="H511" s="2" t="n">
        <v>5.63</v>
      </c>
      <c r="I511" s="2" t="s">
        <v>26</v>
      </c>
      <c r="J511" s="2" t="s">
        <v>2137</v>
      </c>
      <c r="K511" s="2" t="s">
        <v>89</v>
      </c>
      <c r="L511" s="2"/>
      <c r="M511" s="2" t="s">
        <v>1795</v>
      </c>
    </row>
    <row r="512" customFormat="false" ht="15" hidden="false" customHeight="false" outlineLevel="0" collapsed="false">
      <c r="A512" s="2" t="s">
        <v>2138</v>
      </c>
      <c r="B512" s="2" t="s">
        <v>2139</v>
      </c>
      <c r="C512" s="2" t="s">
        <v>2140</v>
      </c>
      <c r="D512" s="13" t="n">
        <v>45952.525</v>
      </c>
      <c r="E512" s="2" t="s">
        <v>35</v>
      </c>
      <c r="F512" s="2" t="s">
        <v>32</v>
      </c>
      <c r="G512" s="2" t="n">
        <v>59541.58</v>
      </c>
      <c r="H512" s="2" t="n">
        <v>585.94</v>
      </c>
      <c r="I512" s="2" t="s">
        <v>30</v>
      </c>
      <c r="J512" s="2" t="s">
        <v>2141</v>
      </c>
      <c r="K512" s="2" t="s">
        <v>101</v>
      </c>
      <c r="L512" s="2" t="s">
        <v>1039</v>
      </c>
      <c r="M512" s="2"/>
    </row>
    <row r="513" customFormat="false" ht="15" hidden="false" customHeight="false" outlineLevel="0" collapsed="false">
      <c r="A513" s="2" t="s">
        <v>2142</v>
      </c>
      <c r="B513" s="2" t="s">
        <v>2143</v>
      </c>
      <c r="C513" s="2" t="s">
        <v>2144</v>
      </c>
      <c r="D513" s="13" t="n">
        <v>45922.7861111111</v>
      </c>
      <c r="E513" s="2" t="s">
        <v>41</v>
      </c>
      <c r="F513" s="2" t="s">
        <v>32</v>
      </c>
      <c r="G513" s="2" t="n">
        <v>29143.52</v>
      </c>
      <c r="H513" s="2" t="n">
        <v>120.42</v>
      </c>
      <c r="I513" s="2" t="s">
        <v>26</v>
      </c>
      <c r="J513" s="2" t="s">
        <v>2145</v>
      </c>
      <c r="K513" s="2" t="s">
        <v>95</v>
      </c>
      <c r="L513" s="2" t="s">
        <v>1044</v>
      </c>
      <c r="M513" s="2"/>
    </row>
    <row r="514" customFormat="false" ht="15" hidden="false" customHeight="false" outlineLevel="0" collapsed="false">
      <c r="A514" s="2" t="s">
        <v>2146</v>
      </c>
      <c r="B514" s="2" t="s">
        <v>2147</v>
      </c>
      <c r="C514" s="2" t="s">
        <v>2148</v>
      </c>
      <c r="D514" s="13" t="n">
        <v>46001.8847222222</v>
      </c>
      <c r="E514" s="2" t="s">
        <v>43</v>
      </c>
      <c r="F514" s="2" t="s">
        <v>32</v>
      </c>
      <c r="G514" s="2" t="n">
        <v>6137.55</v>
      </c>
      <c r="H514" s="2" t="n">
        <v>44.33</v>
      </c>
      <c r="I514" s="2" t="s">
        <v>26</v>
      </c>
      <c r="J514" s="2" t="s">
        <v>2149</v>
      </c>
      <c r="K514" s="2" t="s">
        <v>101</v>
      </c>
      <c r="L514" s="2"/>
      <c r="M514" s="2" t="s">
        <v>1806</v>
      </c>
    </row>
    <row r="515" customFormat="false" ht="15" hidden="false" customHeight="false" outlineLevel="0" collapsed="false">
      <c r="A515" s="2" t="s">
        <v>2150</v>
      </c>
      <c r="B515" s="2" t="s">
        <v>2151</v>
      </c>
      <c r="C515" s="2" t="s">
        <v>2152</v>
      </c>
      <c r="D515" s="13" t="n">
        <v>45777.6180555556</v>
      </c>
      <c r="E515" s="2" t="s">
        <v>39</v>
      </c>
      <c r="F515" s="2" t="s">
        <v>29</v>
      </c>
      <c r="G515" s="2" t="n">
        <v>3018.29</v>
      </c>
      <c r="H515" s="2" t="n">
        <v>18.81</v>
      </c>
      <c r="I515" s="2" t="s">
        <v>26</v>
      </c>
      <c r="J515" s="2" t="s">
        <v>2153</v>
      </c>
      <c r="K515" s="2" t="s">
        <v>122</v>
      </c>
      <c r="L515" s="2" t="s">
        <v>1628</v>
      </c>
      <c r="M515" s="2"/>
    </row>
    <row r="516" customFormat="false" ht="15" hidden="false" customHeight="false" outlineLevel="0" collapsed="false">
      <c r="A516" s="2" t="s">
        <v>2154</v>
      </c>
      <c r="B516" s="2" t="s">
        <v>2155</v>
      </c>
      <c r="C516" s="2" t="s">
        <v>2156</v>
      </c>
      <c r="D516" s="13" t="n">
        <v>45385.3576388889</v>
      </c>
      <c r="E516" s="2" t="s">
        <v>39</v>
      </c>
      <c r="F516" s="2" t="s">
        <v>32</v>
      </c>
      <c r="G516" s="2" t="n">
        <v>1027.76</v>
      </c>
      <c r="H516" s="2" t="n">
        <v>10.15</v>
      </c>
      <c r="I516" s="2" t="s">
        <v>26</v>
      </c>
      <c r="J516" s="2" t="s">
        <v>2157</v>
      </c>
      <c r="K516" s="2" t="s">
        <v>122</v>
      </c>
      <c r="L516" s="2" t="s">
        <v>403</v>
      </c>
      <c r="M516" s="2"/>
    </row>
    <row r="517" customFormat="false" ht="15" hidden="false" customHeight="false" outlineLevel="0" collapsed="false">
      <c r="A517" s="2" t="s">
        <v>2158</v>
      </c>
      <c r="B517" s="2" t="s">
        <v>2159</v>
      </c>
      <c r="C517" s="2" t="s">
        <v>2160</v>
      </c>
      <c r="D517" s="13" t="n">
        <v>45393.3131944445</v>
      </c>
      <c r="E517" s="2" t="s">
        <v>43</v>
      </c>
      <c r="F517" s="2" t="s">
        <v>32</v>
      </c>
      <c r="G517" s="2" t="n">
        <v>1384.7</v>
      </c>
      <c r="H517" s="2" t="n">
        <v>7.67</v>
      </c>
      <c r="I517" s="2" t="s">
        <v>28</v>
      </c>
      <c r="J517" s="2" t="s">
        <v>2161</v>
      </c>
      <c r="K517" s="2" t="s">
        <v>95</v>
      </c>
      <c r="L517" s="2"/>
      <c r="M517" s="2" t="s">
        <v>1453</v>
      </c>
    </row>
    <row r="518" customFormat="false" ht="15" hidden="false" customHeight="false" outlineLevel="0" collapsed="false">
      <c r="A518" s="2" t="s">
        <v>2162</v>
      </c>
      <c r="B518" s="2" t="s">
        <v>2082</v>
      </c>
      <c r="C518" s="2" t="s">
        <v>2083</v>
      </c>
      <c r="D518" s="13" t="n">
        <v>45383.9458333333</v>
      </c>
      <c r="E518" s="2" t="s">
        <v>35</v>
      </c>
      <c r="F518" s="2" t="s">
        <v>29</v>
      </c>
      <c r="G518" s="2" t="n">
        <v>15724.89</v>
      </c>
      <c r="H518" s="2" t="n">
        <v>176.6</v>
      </c>
      <c r="I518" s="2" t="s">
        <v>26</v>
      </c>
      <c r="J518" s="2" t="s">
        <v>2163</v>
      </c>
      <c r="K518" s="2" t="s">
        <v>122</v>
      </c>
      <c r="L518" s="2" t="s">
        <v>413</v>
      </c>
      <c r="M518" s="2"/>
    </row>
    <row r="519" customFormat="false" ht="15" hidden="false" customHeight="false" outlineLevel="0" collapsed="false">
      <c r="A519" s="2" t="s">
        <v>2164</v>
      </c>
      <c r="B519" s="2" t="s">
        <v>2076</v>
      </c>
      <c r="C519" s="2" t="s">
        <v>2077</v>
      </c>
      <c r="D519" s="13" t="n">
        <v>45624.9083333333</v>
      </c>
      <c r="E519" s="2" t="s">
        <v>41</v>
      </c>
      <c r="F519" s="2" t="s">
        <v>32</v>
      </c>
      <c r="G519" s="2" t="n">
        <v>2499.12</v>
      </c>
      <c r="H519" s="2" t="n">
        <v>29.48</v>
      </c>
      <c r="I519" s="2" t="s">
        <v>26</v>
      </c>
      <c r="J519" s="2" t="s">
        <v>2165</v>
      </c>
      <c r="K519" s="2" t="s">
        <v>95</v>
      </c>
      <c r="L519" s="2" t="s">
        <v>418</v>
      </c>
      <c r="M519" s="2"/>
    </row>
    <row r="520" customFormat="false" ht="15" hidden="false" customHeight="false" outlineLevel="0" collapsed="false">
      <c r="A520" s="2" t="s">
        <v>2166</v>
      </c>
      <c r="B520" s="2" t="s">
        <v>591</v>
      </c>
      <c r="C520" s="2" t="s">
        <v>592</v>
      </c>
      <c r="D520" s="13" t="n">
        <v>46021.3194444445</v>
      </c>
      <c r="E520" s="2" t="s">
        <v>41</v>
      </c>
      <c r="F520" s="2" t="s">
        <v>29</v>
      </c>
      <c r="G520" s="2" t="n">
        <v>719.68</v>
      </c>
      <c r="H520" s="2" t="n">
        <v>5</v>
      </c>
      <c r="I520" s="2" t="s">
        <v>28</v>
      </c>
      <c r="J520" s="2" t="s">
        <v>2167</v>
      </c>
      <c r="K520" s="2" t="s">
        <v>95</v>
      </c>
      <c r="L520" s="2" t="s">
        <v>423</v>
      </c>
      <c r="M520" s="2"/>
    </row>
    <row r="521" customFormat="false" ht="15" hidden="false" customHeight="false" outlineLevel="0" collapsed="false">
      <c r="A521" s="2" t="s">
        <v>2168</v>
      </c>
      <c r="B521" s="2" t="s">
        <v>1918</v>
      </c>
      <c r="C521" s="2" t="s">
        <v>1919</v>
      </c>
      <c r="D521" s="13" t="n">
        <v>45972.5076388889</v>
      </c>
      <c r="E521" s="2" t="s">
        <v>41</v>
      </c>
      <c r="F521" s="2" t="s">
        <v>29</v>
      </c>
      <c r="G521" s="2" t="n">
        <v>7493.81</v>
      </c>
      <c r="H521" s="2" t="n">
        <v>19.27</v>
      </c>
      <c r="I521" s="2" t="s">
        <v>26</v>
      </c>
      <c r="J521" s="2" t="s">
        <v>2169</v>
      </c>
      <c r="K521" s="2" t="s">
        <v>101</v>
      </c>
      <c r="L521" s="2" t="s">
        <v>428</v>
      </c>
      <c r="M521" s="2"/>
    </row>
    <row r="522" customFormat="false" ht="15" hidden="false" customHeight="false" outlineLevel="0" collapsed="false">
      <c r="A522" s="2" t="s">
        <v>2170</v>
      </c>
      <c r="B522" s="2" t="s">
        <v>2171</v>
      </c>
      <c r="C522" s="2" t="s">
        <v>2172</v>
      </c>
      <c r="D522" s="13" t="n">
        <v>45342.8020833333</v>
      </c>
      <c r="E522" s="2" t="s">
        <v>41</v>
      </c>
      <c r="F522" s="2" t="s">
        <v>31</v>
      </c>
      <c r="G522" s="2" t="n">
        <v>19293.53</v>
      </c>
      <c r="H522" s="2" t="n">
        <v>177.9</v>
      </c>
      <c r="I522" s="2" t="s">
        <v>30</v>
      </c>
      <c r="J522" s="2" t="s">
        <v>2173</v>
      </c>
      <c r="K522" s="2" t="s">
        <v>89</v>
      </c>
      <c r="L522" s="2" t="s">
        <v>433</v>
      </c>
      <c r="M522" s="2"/>
    </row>
    <row r="523" customFormat="false" ht="15" hidden="false" customHeight="false" outlineLevel="0" collapsed="false">
      <c r="A523" s="2" t="s">
        <v>2174</v>
      </c>
      <c r="B523" s="2" t="s">
        <v>2175</v>
      </c>
      <c r="C523" s="2" t="s">
        <v>2176</v>
      </c>
      <c r="D523" s="13" t="n">
        <v>45348.6423611111</v>
      </c>
      <c r="E523" s="2" t="s">
        <v>41</v>
      </c>
      <c r="F523" s="2" t="s">
        <v>31</v>
      </c>
      <c r="G523" s="2" t="n">
        <v>7480.08</v>
      </c>
      <c r="H523" s="2" t="n">
        <v>22.78</v>
      </c>
      <c r="I523" s="2" t="s">
        <v>26</v>
      </c>
      <c r="J523" s="2" t="s">
        <v>2177</v>
      </c>
      <c r="K523" s="2" t="s">
        <v>101</v>
      </c>
      <c r="L523" s="2" t="s">
        <v>438</v>
      </c>
      <c r="M523" s="2"/>
    </row>
    <row r="524" customFormat="false" ht="15" hidden="false" customHeight="false" outlineLevel="0" collapsed="false">
      <c r="A524" s="2" t="s">
        <v>2178</v>
      </c>
      <c r="B524" s="2" t="s">
        <v>2179</v>
      </c>
      <c r="C524" s="2" t="s">
        <v>2180</v>
      </c>
      <c r="D524" s="13" t="n">
        <v>45864.7006944444</v>
      </c>
      <c r="E524" s="2" t="s">
        <v>39</v>
      </c>
      <c r="F524" s="2" t="s">
        <v>32</v>
      </c>
      <c r="G524" s="2" t="n">
        <v>916.57</v>
      </c>
      <c r="H524" s="2" t="n">
        <v>5</v>
      </c>
      <c r="I524" s="2" t="s">
        <v>26</v>
      </c>
      <c r="J524" s="2" t="s">
        <v>2181</v>
      </c>
      <c r="K524" s="2" t="s">
        <v>95</v>
      </c>
      <c r="L524" s="2" t="s">
        <v>443</v>
      </c>
      <c r="M524" s="2"/>
    </row>
    <row r="525" customFormat="false" ht="15" hidden="false" customHeight="false" outlineLevel="0" collapsed="false">
      <c r="A525" s="2" t="s">
        <v>2182</v>
      </c>
      <c r="B525" s="2" t="s">
        <v>2183</v>
      </c>
      <c r="C525" s="2" t="s">
        <v>2184</v>
      </c>
      <c r="D525" s="13" t="n">
        <v>45968.3555555556</v>
      </c>
      <c r="E525" s="2" t="s">
        <v>37</v>
      </c>
      <c r="F525" s="2" t="s">
        <v>29</v>
      </c>
      <c r="G525" s="2" t="n">
        <v>17200.33</v>
      </c>
      <c r="H525" s="2" t="n">
        <v>73.83</v>
      </c>
      <c r="I525" s="2" t="s">
        <v>26</v>
      </c>
      <c r="J525" s="2" t="s">
        <v>2185</v>
      </c>
      <c r="K525" s="2" t="s">
        <v>89</v>
      </c>
      <c r="L525" s="2" t="s">
        <v>2186</v>
      </c>
      <c r="M525" s="2"/>
    </row>
    <row r="526" customFormat="false" ht="15" hidden="false" customHeight="false" outlineLevel="0" collapsed="false">
      <c r="A526" s="2" t="s">
        <v>2187</v>
      </c>
      <c r="B526" s="2" t="s">
        <v>1713</v>
      </c>
      <c r="C526" s="2" t="s">
        <v>1714</v>
      </c>
      <c r="D526" s="13" t="n">
        <v>45575.9180555556</v>
      </c>
      <c r="E526" s="2" t="s">
        <v>41</v>
      </c>
      <c r="F526" s="2" t="s">
        <v>31</v>
      </c>
      <c r="G526" s="2" t="n">
        <v>2929.74</v>
      </c>
      <c r="H526" s="2" t="n">
        <v>7.99</v>
      </c>
      <c r="I526" s="2" t="s">
        <v>26</v>
      </c>
      <c r="J526" s="2" t="s">
        <v>2188</v>
      </c>
      <c r="K526" s="2" t="s">
        <v>89</v>
      </c>
      <c r="L526" s="2" t="s">
        <v>453</v>
      </c>
      <c r="M526" s="2"/>
    </row>
    <row r="527" customFormat="false" ht="15" hidden="false" customHeight="false" outlineLevel="0" collapsed="false">
      <c r="A527" s="2" t="s">
        <v>2189</v>
      </c>
      <c r="B527" s="2" t="s">
        <v>2190</v>
      </c>
      <c r="C527" s="2" t="s">
        <v>2191</v>
      </c>
      <c r="D527" s="13" t="n">
        <v>45566.3777777778</v>
      </c>
      <c r="E527" s="2" t="s">
        <v>37</v>
      </c>
      <c r="F527" s="2" t="s">
        <v>29</v>
      </c>
      <c r="G527" s="2" t="n">
        <v>16168.49</v>
      </c>
      <c r="H527" s="2" t="n">
        <v>87.67</v>
      </c>
      <c r="I527" s="2" t="s">
        <v>26</v>
      </c>
      <c r="J527" s="2" t="s">
        <v>2192</v>
      </c>
      <c r="K527" s="2" t="s">
        <v>89</v>
      </c>
      <c r="L527" s="2" t="s">
        <v>458</v>
      </c>
      <c r="M527" s="2"/>
    </row>
    <row r="528" customFormat="false" ht="15" hidden="false" customHeight="false" outlineLevel="0" collapsed="false">
      <c r="A528" s="2" t="s">
        <v>2193</v>
      </c>
      <c r="B528" s="2" t="s">
        <v>2194</v>
      </c>
      <c r="C528" s="2" t="s">
        <v>2195</v>
      </c>
      <c r="D528" s="13" t="n">
        <v>45676.5673611111</v>
      </c>
      <c r="E528" s="2" t="s">
        <v>41</v>
      </c>
      <c r="F528" s="2" t="s">
        <v>31</v>
      </c>
      <c r="G528" s="2" t="n">
        <v>2042.83</v>
      </c>
      <c r="H528" s="2" t="n">
        <v>11.39</v>
      </c>
      <c r="I528" s="2" t="s">
        <v>26</v>
      </c>
      <c r="J528" s="2" t="s">
        <v>2196</v>
      </c>
      <c r="K528" s="2" t="s">
        <v>89</v>
      </c>
      <c r="L528" s="2" t="s">
        <v>1105</v>
      </c>
      <c r="M528" s="2"/>
    </row>
    <row r="529" customFormat="false" ht="15" hidden="false" customHeight="false" outlineLevel="0" collapsed="false">
      <c r="A529" s="2" t="s">
        <v>2197</v>
      </c>
      <c r="B529" s="2" t="s">
        <v>1162</v>
      </c>
      <c r="C529" s="2" t="s">
        <v>1163</v>
      </c>
      <c r="D529" s="13" t="n">
        <v>45432.3027777778</v>
      </c>
      <c r="E529" s="2" t="s">
        <v>37</v>
      </c>
      <c r="F529" s="2" t="s">
        <v>31</v>
      </c>
      <c r="G529" s="2" t="n">
        <v>5474.23</v>
      </c>
      <c r="H529" s="2" t="n">
        <v>58.4</v>
      </c>
      <c r="I529" s="2" t="s">
        <v>26</v>
      </c>
      <c r="J529" s="2" t="s">
        <v>2198</v>
      </c>
      <c r="K529" s="2" t="s">
        <v>89</v>
      </c>
      <c r="L529" s="2" t="s">
        <v>468</v>
      </c>
      <c r="M529" s="2"/>
    </row>
    <row r="530" customFormat="false" ht="15" hidden="false" customHeight="false" outlineLevel="0" collapsed="false">
      <c r="A530" s="2" t="s">
        <v>2199</v>
      </c>
      <c r="B530" s="2" t="s">
        <v>2200</v>
      </c>
      <c r="C530" s="2" t="s">
        <v>2201</v>
      </c>
      <c r="D530" s="13" t="n">
        <v>45606.3833333333</v>
      </c>
      <c r="E530" s="2" t="s">
        <v>43</v>
      </c>
      <c r="F530" s="2" t="s">
        <v>27</v>
      </c>
      <c r="G530" s="2" t="n">
        <v>6600.52</v>
      </c>
      <c r="H530" s="2" t="n">
        <v>41.58</v>
      </c>
      <c r="I530" s="2" t="s">
        <v>26</v>
      </c>
      <c r="J530" s="2" t="s">
        <v>2202</v>
      </c>
      <c r="K530" s="2" t="s">
        <v>122</v>
      </c>
      <c r="L530" s="2"/>
      <c r="M530" s="2" t="s">
        <v>223</v>
      </c>
    </row>
    <row r="531" customFormat="false" ht="15" hidden="false" customHeight="false" outlineLevel="0" collapsed="false">
      <c r="A531" s="2" t="s">
        <v>2203</v>
      </c>
      <c r="B531" s="2" t="s">
        <v>792</v>
      </c>
      <c r="C531" s="2" t="s">
        <v>793</v>
      </c>
      <c r="D531" s="13" t="n">
        <v>45329.9256944444</v>
      </c>
      <c r="E531" s="2" t="s">
        <v>41</v>
      </c>
      <c r="F531" s="2" t="s">
        <v>31</v>
      </c>
      <c r="G531" s="2" t="n">
        <v>1126.17</v>
      </c>
      <c r="H531" s="2" t="n">
        <v>12.31</v>
      </c>
      <c r="I531" s="2" t="s">
        <v>28</v>
      </c>
      <c r="J531" s="2" t="s">
        <v>2204</v>
      </c>
      <c r="K531" s="2" t="s">
        <v>95</v>
      </c>
      <c r="L531" s="2" t="s">
        <v>478</v>
      </c>
      <c r="M531" s="2"/>
    </row>
    <row r="532" customFormat="false" ht="15" hidden="false" customHeight="false" outlineLevel="0" collapsed="false">
      <c r="A532" s="2" t="s">
        <v>2205</v>
      </c>
      <c r="B532" s="2" t="s">
        <v>205</v>
      </c>
      <c r="C532" s="2" t="s">
        <v>206</v>
      </c>
      <c r="D532" s="13" t="n">
        <v>45740.8215277778</v>
      </c>
      <c r="E532" s="2" t="s">
        <v>43</v>
      </c>
      <c r="F532" s="2" t="s">
        <v>27</v>
      </c>
      <c r="G532" s="2" t="n">
        <v>9333.2</v>
      </c>
      <c r="H532" s="2" t="n">
        <v>50.32</v>
      </c>
      <c r="I532" s="2" t="s">
        <v>30</v>
      </c>
      <c r="J532" s="2" t="s">
        <v>2206</v>
      </c>
      <c r="K532" s="2" t="s">
        <v>122</v>
      </c>
      <c r="L532" s="2"/>
      <c r="M532" s="2" t="s">
        <v>233</v>
      </c>
    </row>
    <row r="533" customFormat="false" ht="15" hidden="false" customHeight="false" outlineLevel="0" collapsed="false">
      <c r="A533" s="2" t="s">
        <v>2207</v>
      </c>
      <c r="B533" s="2" t="s">
        <v>2208</v>
      </c>
      <c r="C533" s="2" t="s">
        <v>2209</v>
      </c>
      <c r="D533" s="13" t="n">
        <v>45534.5694444445</v>
      </c>
      <c r="E533" s="2" t="s">
        <v>39</v>
      </c>
      <c r="F533" s="2" t="s">
        <v>27</v>
      </c>
      <c r="G533" s="2" t="n">
        <v>6582.09</v>
      </c>
      <c r="H533" s="2" t="n">
        <v>20.75</v>
      </c>
      <c r="I533" s="2" t="s">
        <v>26</v>
      </c>
      <c r="J533" s="2" t="s">
        <v>2210</v>
      </c>
      <c r="K533" s="2" t="s">
        <v>101</v>
      </c>
      <c r="L533" s="2"/>
      <c r="M533" s="2" t="s">
        <v>238</v>
      </c>
    </row>
    <row r="534" customFormat="false" ht="15" hidden="false" customHeight="false" outlineLevel="0" collapsed="false">
      <c r="A534" s="2" t="s">
        <v>2211</v>
      </c>
      <c r="B534" s="2" t="s">
        <v>903</v>
      </c>
      <c r="C534" s="2" t="s">
        <v>904</v>
      </c>
      <c r="D534" s="13" t="n">
        <v>45323.7159722222</v>
      </c>
      <c r="E534" s="2" t="s">
        <v>43</v>
      </c>
      <c r="F534" s="2" t="s">
        <v>31</v>
      </c>
      <c r="G534" s="2" t="n">
        <v>2356.17</v>
      </c>
      <c r="H534" s="2" t="n">
        <v>8.45</v>
      </c>
      <c r="I534" s="2" t="s">
        <v>26</v>
      </c>
      <c r="J534" s="2" t="s">
        <v>2212</v>
      </c>
      <c r="K534" s="2" t="s">
        <v>89</v>
      </c>
      <c r="L534" s="2"/>
      <c r="M534" s="2" t="s">
        <v>718</v>
      </c>
    </row>
    <row r="535" customFormat="false" ht="15" hidden="false" customHeight="false" outlineLevel="0" collapsed="false">
      <c r="A535" s="2" t="s">
        <v>2213</v>
      </c>
      <c r="B535" s="2" t="s">
        <v>2214</v>
      </c>
      <c r="C535" s="2" t="s">
        <v>2215</v>
      </c>
      <c r="D535" s="13" t="n">
        <v>45649.9520833333</v>
      </c>
      <c r="E535" s="2" t="s">
        <v>37</v>
      </c>
      <c r="F535" s="2" t="s">
        <v>31</v>
      </c>
      <c r="G535" s="2" t="n">
        <v>4909.05</v>
      </c>
      <c r="H535" s="2" t="n">
        <v>55.06</v>
      </c>
      <c r="I535" s="2" t="s">
        <v>30</v>
      </c>
      <c r="J535" s="2" t="s">
        <v>2216</v>
      </c>
      <c r="K535" s="2" t="s">
        <v>89</v>
      </c>
      <c r="L535" s="2" t="s">
        <v>1127</v>
      </c>
      <c r="M535" s="2"/>
    </row>
    <row r="536" customFormat="false" ht="15" hidden="false" customHeight="false" outlineLevel="0" collapsed="false">
      <c r="A536" s="2" t="s">
        <v>2217</v>
      </c>
      <c r="B536" s="2" t="s">
        <v>92</v>
      </c>
      <c r="C536" s="2" t="s">
        <v>93</v>
      </c>
      <c r="D536" s="13" t="n">
        <v>45435.8576388889</v>
      </c>
      <c r="E536" s="2" t="s">
        <v>37</v>
      </c>
      <c r="F536" s="2" t="s">
        <v>27</v>
      </c>
      <c r="G536" s="2" t="n">
        <v>3683.61</v>
      </c>
      <c r="H536" s="2" t="n">
        <v>27.43</v>
      </c>
      <c r="I536" s="2" t="s">
        <v>26</v>
      </c>
      <c r="J536" s="2" t="s">
        <v>2218</v>
      </c>
      <c r="K536" s="2" t="s">
        <v>101</v>
      </c>
      <c r="L536" s="2"/>
      <c r="M536" s="2" t="s">
        <v>728</v>
      </c>
    </row>
    <row r="537" customFormat="false" ht="15" hidden="false" customHeight="false" outlineLevel="0" collapsed="false">
      <c r="A537" s="2" t="s">
        <v>2219</v>
      </c>
      <c r="B537" s="2" t="s">
        <v>1251</v>
      </c>
      <c r="C537" s="2" t="s">
        <v>1252</v>
      </c>
      <c r="D537" s="13" t="n">
        <v>45750.9159722222</v>
      </c>
      <c r="E537" s="2" t="s">
        <v>37</v>
      </c>
      <c r="F537" s="2" t="s">
        <v>31</v>
      </c>
      <c r="G537" s="2" t="n">
        <v>3387.05</v>
      </c>
      <c r="H537" s="2" t="n">
        <v>36.94</v>
      </c>
      <c r="I537" s="2" t="s">
        <v>26</v>
      </c>
      <c r="J537" s="2" t="s">
        <v>2220</v>
      </c>
      <c r="K537" s="2" t="s">
        <v>101</v>
      </c>
      <c r="L537" s="2" t="s">
        <v>508</v>
      </c>
      <c r="M537" s="2"/>
    </row>
    <row r="538" customFormat="false" ht="15" hidden="false" customHeight="false" outlineLevel="0" collapsed="false">
      <c r="A538" s="2" t="s">
        <v>2221</v>
      </c>
      <c r="B538" s="2" t="s">
        <v>2222</v>
      </c>
      <c r="C538" s="2" t="s">
        <v>2223</v>
      </c>
      <c r="D538" s="13" t="n">
        <v>45315.84375</v>
      </c>
      <c r="E538" s="2" t="s">
        <v>39</v>
      </c>
      <c r="F538" s="2" t="s">
        <v>27</v>
      </c>
      <c r="G538" s="2" t="n">
        <v>1740.83</v>
      </c>
      <c r="H538" s="2" t="n">
        <v>11.67</v>
      </c>
      <c r="I538" s="2" t="s">
        <v>26</v>
      </c>
      <c r="J538" s="2" t="s">
        <v>2224</v>
      </c>
      <c r="K538" s="2" t="s">
        <v>122</v>
      </c>
      <c r="L538" s="2"/>
      <c r="M538" s="2" t="s">
        <v>263</v>
      </c>
    </row>
    <row r="539" customFormat="false" ht="15" hidden="false" customHeight="false" outlineLevel="0" collapsed="false">
      <c r="A539" s="2" t="s">
        <v>2225</v>
      </c>
      <c r="B539" s="2" t="s">
        <v>2226</v>
      </c>
      <c r="C539" s="2" t="s">
        <v>2227</v>
      </c>
      <c r="D539" s="13" t="n">
        <v>45482.8944444444</v>
      </c>
      <c r="E539" s="2" t="s">
        <v>37</v>
      </c>
      <c r="F539" s="2" t="s">
        <v>32</v>
      </c>
      <c r="G539" s="2" t="n">
        <v>4792.81</v>
      </c>
      <c r="H539" s="2" t="n">
        <v>36.87</v>
      </c>
      <c r="I539" s="2" t="s">
        <v>26</v>
      </c>
      <c r="J539" s="2" t="s">
        <v>2228</v>
      </c>
      <c r="K539" s="2" t="s">
        <v>95</v>
      </c>
      <c r="L539" s="2" t="s">
        <v>518</v>
      </c>
      <c r="M539" s="2"/>
    </row>
    <row r="540" customFormat="false" ht="15" hidden="false" customHeight="false" outlineLevel="0" collapsed="false">
      <c r="A540" s="2" t="s">
        <v>2229</v>
      </c>
      <c r="B540" s="2" t="s">
        <v>2230</v>
      </c>
      <c r="C540" s="2" t="s">
        <v>2231</v>
      </c>
      <c r="D540" s="13" t="n">
        <v>46003.7756944444</v>
      </c>
      <c r="E540" s="2" t="s">
        <v>39</v>
      </c>
      <c r="F540" s="2" t="s">
        <v>32</v>
      </c>
      <c r="G540" s="2" t="n">
        <v>3793.79</v>
      </c>
      <c r="H540" s="2" t="n">
        <v>21.55</v>
      </c>
      <c r="I540" s="2" t="s">
        <v>28</v>
      </c>
      <c r="J540" s="2" t="s">
        <v>2232</v>
      </c>
      <c r="K540" s="2" t="s">
        <v>95</v>
      </c>
      <c r="L540" s="2" t="s">
        <v>523</v>
      </c>
      <c r="M540" s="2"/>
    </row>
    <row r="541" customFormat="false" ht="15" hidden="false" customHeight="false" outlineLevel="0" collapsed="false">
      <c r="A541" s="2" t="s">
        <v>2233</v>
      </c>
      <c r="B541" s="2" t="s">
        <v>315</v>
      </c>
      <c r="C541" s="2" t="s">
        <v>316</v>
      </c>
      <c r="D541" s="13" t="n">
        <v>45715.5604166667</v>
      </c>
      <c r="E541" s="2" t="s">
        <v>43</v>
      </c>
      <c r="F541" s="2" t="s">
        <v>29</v>
      </c>
      <c r="G541" s="2" t="n">
        <v>19353.75</v>
      </c>
      <c r="H541" s="2" t="n">
        <v>216.02</v>
      </c>
      <c r="I541" s="2" t="s">
        <v>28</v>
      </c>
      <c r="J541" s="2" t="s">
        <v>2234</v>
      </c>
      <c r="K541" s="2" t="s">
        <v>122</v>
      </c>
      <c r="L541" s="2"/>
      <c r="M541" s="2" t="s">
        <v>278</v>
      </c>
    </row>
    <row r="542" customFormat="false" ht="15" hidden="false" customHeight="false" outlineLevel="0" collapsed="false">
      <c r="A542" s="2" t="s">
        <v>2235</v>
      </c>
      <c r="B542" s="2" t="s">
        <v>2236</v>
      </c>
      <c r="C542" s="2" t="s">
        <v>2237</v>
      </c>
      <c r="D542" s="13" t="n">
        <v>45580.8625</v>
      </c>
      <c r="E542" s="2" t="s">
        <v>35</v>
      </c>
      <c r="F542" s="2" t="s">
        <v>29</v>
      </c>
      <c r="G542" s="2" t="n">
        <v>3429.31</v>
      </c>
      <c r="H542" s="2" t="n">
        <v>18.19</v>
      </c>
      <c r="I542" s="2" t="s">
        <v>30</v>
      </c>
      <c r="J542" s="2" t="s">
        <v>2238</v>
      </c>
      <c r="K542" s="2" t="s">
        <v>95</v>
      </c>
      <c r="L542" s="2" t="s">
        <v>1726</v>
      </c>
      <c r="M542" s="2"/>
    </row>
    <row r="543" customFormat="false" ht="15" hidden="false" customHeight="false" outlineLevel="0" collapsed="false">
      <c r="A543" s="2" t="s">
        <v>2239</v>
      </c>
      <c r="B543" s="2" t="s">
        <v>1410</v>
      </c>
      <c r="C543" s="2" t="s">
        <v>1411</v>
      </c>
      <c r="D543" s="13" t="n">
        <v>46018.6597222222</v>
      </c>
      <c r="E543" s="2" t="s">
        <v>43</v>
      </c>
      <c r="F543" s="2" t="s">
        <v>32</v>
      </c>
      <c r="G543" s="2" t="n">
        <v>5529.33</v>
      </c>
      <c r="H543" s="2" t="n">
        <v>62.37</v>
      </c>
      <c r="I543" s="2" t="s">
        <v>28</v>
      </c>
      <c r="J543" s="2" t="s">
        <v>2240</v>
      </c>
      <c r="K543" s="2" t="s">
        <v>95</v>
      </c>
      <c r="L543" s="2"/>
      <c r="M543" s="2" t="s">
        <v>288</v>
      </c>
    </row>
    <row r="544" customFormat="false" ht="15" hidden="false" customHeight="false" outlineLevel="0" collapsed="false">
      <c r="A544" s="2" t="s">
        <v>2241</v>
      </c>
      <c r="B544" s="2" t="s">
        <v>1264</v>
      </c>
      <c r="C544" s="2" t="s">
        <v>1265</v>
      </c>
      <c r="D544" s="13" t="n">
        <v>46014.6368055556</v>
      </c>
      <c r="E544" s="2" t="s">
        <v>35</v>
      </c>
      <c r="F544" s="2" t="s">
        <v>27</v>
      </c>
      <c r="G544" s="2" t="n">
        <v>4855.84</v>
      </c>
      <c r="H544" s="2" t="n">
        <v>37.63</v>
      </c>
      <c r="I544" s="2" t="s">
        <v>26</v>
      </c>
      <c r="J544" s="2" t="s">
        <v>2242</v>
      </c>
      <c r="K544" s="2" t="s">
        <v>89</v>
      </c>
      <c r="L544" s="2"/>
      <c r="M544" s="2" t="s">
        <v>762</v>
      </c>
    </row>
    <row r="545" customFormat="false" ht="15" hidden="false" customHeight="false" outlineLevel="0" collapsed="false">
      <c r="A545" s="2" t="s">
        <v>2243</v>
      </c>
      <c r="B545" s="2" t="s">
        <v>1149</v>
      </c>
      <c r="C545" s="2" t="s">
        <v>1150</v>
      </c>
      <c r="D545" s="13" t="n">
        <v>45984.50625</v>
      </c>
      <c r="E545" s="2" t="s">
        <v>41</v>
      </c>
      <c r="F545" s="2" t="s">
        <v>27</v>
      </c>
      <c r="G545" s="2" t="n">
        <v>1258.85</v>
      </c>
      <c r="H545" s="2" t="n">
        <v>8.82</v>
      </c>
      <c r="I545" s="2" t="s">
        <v>30</v>
      </c>
      <c r="J545" s="2" t="s">
        <v>2244</v>
      </c>
      <c r="K545" s="2" t="s">
        <v>95</v>
      </c>
      <c r="L545" s="2"/>
      <c r="M545" s="2" t="s">
        <v>298</v>
      </c>
    </row>
    <row r="546" customFormat="false" ht="15" hidden="false" customHeight="false" outlineLevel="0" collapsed="false">
      <c r="A546" s="2" t="s">
        <v>2245</v>
      </c>
      <c r="B546" s="2" t="s">
        <v>2246</v>
      </c>
      <c r="C546" s="2" t="s">
        <v>2247</v>
      </c>
      <c r="D546" s="13" t="n">
        <v>45977.6291666667</v>
      </c>
      <c r="E546" s="2" t="s">
        <v>43</v>
      </c>
      <c r="F546" s="2" t="s">
        <v>27</v>
      </c>
      <c r="G546" s="2" t="n">
        <v>2489.83</v>
      </c>
      <c r="H546" s="2" t="n">
        <v>5.18</v>
      </c>
      <c r="I546" s="2" t="s">
        <v>26</v>
      </c>
      <c r="J546" s="2" t="s">
        <v>2248</v>
      </c>
      <c r="K546" s="2" t="s">
        <v>89</v>
      </c>
      <c r="L546" s="2"/>
      <c r="M546" s="2" t="s">
        <v>1174</v>
      </c>
    </row>
    <row r="547" customFormat="false" ht="15" hidden="false" customHeight="false" outlineLevel="0" collapsed="false">
      <c r="A547" s="2" t="s">
        <v>2249</v>
      </c>
      <c r="B547" s="2" t="s">
        <v>2250</v>
      </c>
      <c r="C547" s="2" t="s">
        <v>2251</v>
      </c>
      <c r="D547" s="13" t="n">
        <v>45469.4548611111</v>
      </c>
      <c r="E547" s="2" t="s">
        <v>43</v>
      </c>
      <c r="F547" s="2" t="s">
        <v>29</v>
      </c>
      <c r="G547" s="2" t="n">
        <v>3873.33</v>
      </c>
      <c r="H547" s="2" t="n">
        <v>20.41</v>
      </c>
      <c r="I547" s="2" t="s">
        <v>26</v>
      </c>
      <c r="J547" s="2" t="s">
        <v>2252</v>
      </c>
      <c r="K547" s="2" t="s">
        <v>101</v>
      </c>
      <c r="L547" s="2"/>
      <c r="M547" s="2" t="s">
        <v>774</v>
      </c>
    </row>
    <row r="548" customFormat="false" ht="15" hidden="false" customHeight="false" outlineLevel="0" collapsed="false">
      <c r="A548" s="2" t="s">
        <v>2253</v>
      </c>
      <c r="B548" s="2" t="s">
        <v>2254</v>
      </c>
      <c r="C548" s="2" t="s">
        <v>2255</v>
      </c>
      <c r="D548" s="13" t="n">
        <v>46018.8493055556</v>
      </c>
      <c r="E548" s="2" t="s">
        <v>41</v>
      </c>
      <c r="F548" s="2" t="s">
        <v>31</v>
      </c>
      <c r="G548" s="2" t="n">
        <v>988.91</v>
      </c>
      <c r="H548" s="2" t="n">
        <v>5</v>
      </c>
      <c r="I548" s="2" t="s">
        <v>26</v>
      </c>
      <c r="J548" s="2" t="s">
        <v>2256</v>
      </c>
      <c r="K548" s="2" t="s">
        <v>89</v>
      </c>
      <c r="L548" s="2" t="s">
        <v>1183</v>
      </c>
      <c r="M548" s="2"/>
    </row>
    <row r="549" customFormat="false" ht="15" hidden="false" customHeight="false" outlineLevel="0" collapsed="false">
      <c r="A549" s="2" t="s">
        <v>2257</v>
      </c>
      <c r="B549" s="2" t="s">
        <v>260</v>
      </c>
      <c r="C549" s="2" t="s">
        <v>261</v>
      </c>
      <c r="D549" s="13" t="n">
        <v>45601.65</v>
      </c>
      <c r="E549" s="2" t="s">
        <v>41</v>
      </c>
      <c r="F549" s="2" t="s">
        <v>32</v>
      </c>
      <c r="G549" s="2" t="n">
        <v>3409.64</v>
      </c>
      <c r="H549" s="2" t="n">
        <v>38.49</v>
      </c>
      <c r="I549" s="2" t="s">
        <v>28</v>
      </c>
      <c r="J549" s="2" t="s">
        <v>2258</v>
      </c>
      <c r="K549" s="2" t="s">
        <v>89</v>
      </c>
      <c r="L549" s="2" t="s">
        <v>566</v>
      </c>
      <c r="M549" s="2"/>
    </row>
    <row r="550" customFormat="false" ht="15" hidden="false" customHeight="false" outlineLevel="0" collapsed="false">
      <c r="A550" s="2" t="s">
        <v>2259</v>
      </c>
      <c r="B550" s="2" t="s">
        <v>2260</v>
      </c>
      <c r="C550" s="2" t="s">
        <v>2261</v>
      </c>
      <c r="D550" s="13" t="n">
        <v>45320.4979166667</v>
      </c>
      <c r="E550" s="2" t="s">
        <v>39</v>
      </c>
      <c r="F550" s="2" t="s">
        <v>32</v>
      </c>
      <c r="G550" s="2" t="n">
        <v>7569.65</v>
      </c>
      <c r="H550" s="2" t="n">
        <v>25.46</v>
      </c>
      <c r="I550" s="2" t="s">
        <v>30</v>
      </c>
      <c r="J550" s="2" t="s">
        <v>2262</v>
      </c>
      <c r="K550" s="2" t="s">
        <v>122</v>
      </c>
      <c r="L550" s="2" t="s">
        <v>1190</v>
      </c>
      <c r="M550" s="2"/>
    </row>
    <row r="551" customFormat="false" ht="15" hidden="false" customHeight="false" outlineLevel="0" collapsed="false">
      <c r="A551" s="2" t="s">
        <v>2263</v>
      </c>
      <c r="B551" s="2" t="s">
        <v>1166</v>
      </c>
      <c r="C551" s="2" t="s">
        <v>1167</v>
      </c>
      <c r="D551" s="13" t="n">
        <v>45694.7729166667</v>
      </c>
      <c r="E551" s="2" t="s">
        <v>35</v>
      </c>
      <c r="F551" s="2" t="s">
        <v>27</v>
      </c>
      <c r="G551" s="2" t="n">
        <v>7212.94</v>
      </c>
      <c r="H551" s="2" t="n">
        <v>38.28</v>
      </c>
      <c r="I551" s="2" t="s">
        <v>26</v>
      </c>
      <c r="J551" s="2" t="s">
        <v>2264</v>
      </c>
      <c r="K551" s="2" t="s">
        <v>122</v>
      </c>
      <c r="L551" s="2"/>
      <c r="M551" s="2" t="s">
        <v>328</v>
      </c>
    </row>
    <row r="552" customFormat="false" ht="15" hidden="false" customHeight="false" outlineLevel="0" collapsed="false">
      <c r="A552" s="2" t="s">
        <v>2265</v>
      </c>
      <c r="B552" s="2" t="s">
        <v>1860</v>
      </c>
      <c r="C552" s="2" t="s">
        <v>1861</v>
      </c>
      <c r="D552" s="13" t="n">
        <v>45372.5444444444</v>
      </c>
      <c r="E552" s="2" t="s">
        <v>35</v>
      </c>
      <c r="F552" s="2" t="s">
        <v>29</v>
      </c>
      <c r="G552" s="2" t="n">
        <v>2119.86</v>
      </c>
      <c r="H552" s="2" t="n">
        <v>10.56</v>
      </c>
      <c r="I552" s="2" t="s">
        <v>26</v>
      </c>
      <c r="J552" s="2" t="s">
        <v>2266</v>
      </c>
      <c r="K552" s="2" t="s">
        <v>122</v>
      </c>
      <c r="L552" s="2" t="s">
        <v>1199</v>
      </c>
      <c r="M552" s="2"/>
    </row>
    <row r="553" customFormat="false" ht="15" hidden="false" customHeight="false" outlineLevel="0" collapsed="false">
      <c r="A553" s="2" t="s">
        <v>2267</v>
      </c>
      <c r="B553" s="2" t="s">
        <v>2268</v>
      </c>
      <c r="C553" s="2" t="s">
        <v>2269</v>
      </c>
      <c r="D553" s="13" t="n">
        <v>45378.3847222222</v>
      </c>
      <c r="E553" s="2" t="s">
        <v>41</v>
      </c>
      <c r="F553" s="2" t="s">
        <v>29</v>
      </c>
      <c r="G553" s="2" t="n">
        <v>21148.32</v>
      </c>
      <c r="H553" s="2" t="n">
        <v>52.46</v>
      </c>
      <c r="I553" s="2" t="s">
        <v>26</v>
      </c>
      <c r="J553" s="2" t="s">
        <v>2270</v>
      </c>
      <c r="K553" s="2" t="s">
        <v>95</v>
      </c>
      <c r="L553" s="2" t="s">
        <v>584</v>
      </c>
      <c r="M553" s="2"/>
    </row>
    <row r="554" customFormat="false" ht="15" hidden="false" customHeight="false" outlineLevel="0" collapsed="false">
      <c r="A554" s="2" t="s">
        <v>2271</v>
      </c>
      <c r="B554" s="2" t="s">
        <v>1055</v>
      </c>
      <c r="C554" s="2" t="s">
        <v>1056</v>
      </c>
      <c r="D554" s="13" t="n">
        <v>45709.5409722222</v>
      </c>
      <c r="E554" s="2" t="s">
        <v>41</v>
      </c>
      <c r="F554" s="2" t="s">
        <v>29</v>
      </c>
      <c r="G554" s="2" t="n">
        <v>5647.27</v>
      </c>
      <c r="H554" s="2" t="n">
        <v>59.75</v>
      </c>
      <c r="I554" s="2" t="s">
        <v>26</v>
      </c>
      <c r="J554" s="2" t="s">
        <v>2272</v>
      </c>
      <c r="K554" s="2" t="s">
        <v>101</v>
      </c>
      <c r="L554" s="2" t="s">
        <v>589</v>
      </c>
      <c r="M554" s="2"/>
    </row>
    <row r="555" customFormat="false" ht="15" hidden="false" customHeight="false" outlineLevel="0" collapsed="false">
      <c r="A555" s="2" t="s">
        <v>2273</v>
      </c>
      <c r="B555" s="2" t="s">
        <v>614</v>
      </c>
      <c r="C555" s="2" t="s">
        <v>615</v>
      </c>
      <c r="D555" s="13" t="n">
        <v>45563.8423611111</v>
      </c>
      <c r="E555" s="2" t="s">
        <v>37</v>
      </c>
      <c r="F555" s="2" t="s">
        <v>27</v>
      </c>
      <c r="G555" s="2" t="n">
        <v>5285.74</v>
      </c>
      <c r="H555" s="2" t="n">
        <v>22.83</v>
      </c>
      <c r="I555" s="2" t="s">
        <v>28</v>
      </c>
      <c r="J555" s="2" t="s">
        <v>2274</v>
      </c>
      <c r="K555" s="2" t="s">
        <v>122</v>
      </c>
      <c r="L555" s="2"/>
      <c r="M555" s="2" t="s">
        <v>348</v>
      </c>
    </row>
    <row r="556" customFormat="false" ht="15" hidden="false" customHeight="false" outlineLevel="0" collapsed="false">
      <c r="A556" s="2" t="s">
        <v>2275</v>
      </c>
      <c r="B556" s="2" t="s">
        <v>1849</v>
      </c>
      <c r="C556" s="2" t="s">
        <v>1850</v>
      </c>
      <c r="D556" s="13" t="n">
        <v>45845.2930555556</v>
      </c>
      <c r="E556" s="2" t="s">
        <v>35</v>
      </c>
      <c r="F556" s="2" t="s">
        <v>32</v>
      </c>
      <c r="G556" s="2" t="n">
        <v>9992.45</v>
      </c>
      <c r="H556" s="2" t="n">
        <v>114.87</v>
      </c>
      <c r="I556" s="2" t="s">
        <v>28</v>
      </c>
      <c r="J556" s="2" t="s">
        <v>2276</v>
      </c>
      <c r="K556" s="2" t="s">
        <v>101</v>
      </c>
      <c r="L556" s="2" t="s">
        <v>599</v>
      </c>
      <c r="M556" s="2"/>
    </row>
    <row r="557" customFormat="false" ht="15" hidden="false" customHeight="false" outlineLevel="0" collapsed="false">
      <c r="A557" s="2" t="s">
        <v>2277</v>
      </c>
      <c r="B557" s="2" t="s">
        <v>2278</v>
      </c>
      <c r="C557" s="2" t="s">
        <v>2279</v>
      </c>
      <c r="D557" s="13" t="n">
        <v>45888.3395833333</v>
      </c>
      <c r="E557" s="2" t="s">
        <v>37</v>
      </c>
      <c r="F557" s="2" t="s">
        <v>27</v>
      </c>
      <c r="G557" s="2" t="n">
        <v>27267.51</v>
      </c>
      <c r="H557" s="2" t="n">
        <v>230.86</v>
      </c>
      <c r="I557" s="2" t="s">
        <v>26</v>
      </c>
      <c r="J557" s="2" t="s">
        <v>2280</v>
      </c>
      <c r="K557" s="2" t="s">
        <v>89</v>
      </c>
      <c r="L557" s="2"/>
      <c r="M557" s="2" t="s">
        <v>817</v>
      </c>
    </row>
    <row r="558" customFormat="false" ht="15" hidden="false" customHeight="false" outlineLevel="0" collapsed="false">
      <c r="A558" s="2" t="s">
        <v>2281</v>
      </c>
      <c r="B558" s="2" t="s">
        <v>2282</v>
      </c>
      <c r="C558" s="2" t="s">
        <v>2283</v>
      </c>
      <c r="D558" s="13" t="n">
        <v>45561.5430555556</v>
      </c>
      <c r="E558" s="2" t="s">
        <v>41</v>
      </c>
      <c r="F558" s="2" t="s">
        <v>29</v>
      </c>
      <c r="G558" s="2" t="n">
        <v>472.66</v>
      </c>
      <c r="H558" s="2" t="n">
        <v>5</v>
      </c>
      <c r="I558" s="2" t="s">
        <v>26</v>
      </c>
      <c r="J558" s="2" t="s">
        <v>2284</v>
      </c>
      <c r="K558" s="2" t="s">
        <v>95</v>
      </c>
      <c r="L558" s="2" t="s">
        <v>607</v>
      </c>
      <c r="M558" s="2"/>
    </row>
    <row r="559" customFormat="false" ht="15" hidden="false" customHeight="false" outlineLevel="0" collapsed="false">
      <c r="A559" s="2" t="s">
        <v>2285</v>
      </c>
      <c r="B559" s="2" t="s">
        <v>2286</v>
      </c>
      <c r="C559" s="2" t="s">
        <v>2287</v>
      </c>
      <c r="D559" s="13" t="n">
        <v>45864.64375</v>
      </c>
      <c r="E559" s="2" t="s">
        <v>41</v>
      </c>
      <c r="F559" s="2" t="s">
        <v>32</v>
      </c>
      <c r="G559" s="2" t="n">
        <v>3201.28</v>
      </c>
      <c r="H559" s="2" t="n">
        <v>30.46</v>
      </c>
      <c r="I559" s="2" t="s">
        <v>26</v>
      </c>
      <c r="J559" s="2" t="s">
        <v>2288</v>
      </c>
      <c r="K559" s="2" t="s">
        <v>95</v>
      </c>
      <c r="L559" s="2" t="s">
        <v>612</v>
      </c>
      <c r="M559" s="2"/>
    </row>
    <row r="560" customFormat="false" ht="15" hidden="false" customHeight="false" outlineLevel="0" collapsed="false">
      <c r="A560" s="2" t="s">
        <v>2289</v>
      </c>
      <c r="B560" s="2" t="s">
        <v>2290</v>
      </c>
      <c r="C560" s="2" t="s">
        <v>2291</v>
      </c>
      <c r="D560" s="13" t="n">
        <v>45448.5833333333</v>
      </c>
      <c r="E560" s="2" t="s">
        <v>39</v>
      </c>
      <c r="F560" s="2" t="s">
        <v>32</v>
      </c>
      <c r="G560" s="2" t="n">
        <v>1956.93</v>
      </c>
      <c r="H560" s="2" t="n">
        <v>11.77</v>
      </c>
      <c r="I560" s="2" t="s">
        <v>26</v>
      </c>
      <c r="J560" s="2" t="s">
        <v>2292</v>
      </c>
      <c r="K560" s="2" t="s">
        <v>89</v>
      </c>
      <c r="L560" s="2" t="s">
        <v>1232</v>
      </c>
      <c r="M560" s="2"/>
    </row>
    <row r="561" customFormat="false" ht="15" hidden="false" customHeight="false" outlineLevel="0" collapsed="false">
      <c r="A561" s="2" t="s">
        <v>2293</v>
      </c>
      <c r="B561" s="2" t="s">
        <v>2294</v>
      </c>
      <c r="C561" s="2" t="s">
        <v>2295</v>
      </c>
      <c r="D561" s="13" t="n">
        <v>45314.5916666667</v>
      </c>
      <c r="E561" s="2" t="s">
        <v>39</v>
      </c>
      <c r="F561" s="2" t="s">
        <v>27</v>
      </c>
      <c r="G561" s="2" t="n">
        <v>1816.92</v>
      </c>
      <c r="H561" s="2" t="n">
        <v>5</v>
      </c>
      <c r="I561" s="2" t="s">
        <v>26</v>
      </c>
      <c r="J561" s="2" t="s">
        <v>2296</v>
      </c>
      <c r="K561" s="2" t="s">
        <v>101</v>
      </c>
      <c r="L561" s="2"/>
      <c r="M561" s="2" t="s">
        <v>378</v>
      </c>
    </row>
    <row r="562" customFormat="false" ht="15" hidden="false" customHeight="false" outlineLevel="0" collapsed="false">
      <c r="A562" s="2" t="s">
        <v>2297</v>
      </c>
      <c r="B562" s="2" t="s">
        <v>2298</v>
      </c>
      <c r="C562" s="2" t="s">
        <v>2299</v>
      </c>
      <c r="D562" s="13" t="n">
        <v>45302.9125</v>
      </c>
      <c r="E562" s="2" t="s">
        <v>35</v>
      </c>
      <c r="F562" s="2" t="s">
        <v>29</v>
      </c>
      <c r="G562" s="2" t="n">
        <v>2298.81</v>
      </c>
      <c r="H562" s="2" t="n">
        <v>18.61</v>
      </c>
      <c r="I562" s="2" t="s">
        <v>26</v>
      </c>
      <c r="J562" s="2" t="s">
        <v>2300</v>
      </c>
      <c r="K562" s="2" t="s">
        <v>89</v>
      </c>
      <c r="L562" s="2" t="s">
        <v>1241</v>
      </c>
      <c r="M562" s="2"/>
    </row>
    <row r="563" customFormat="false" ht="15" hidden="false" customHeight="false" outlineLevel="0" collapsed="false">
      <c r="A563" s="2" t="s">
        <v>2301</v>
      </c>
      <c r="B563" s="2" t="s">
        <v>2302</v>
      </c>
      <c r="C563" s="2" t="s">
        <v>2303</v>
      </c>
      <c r="D563" s="13" t="n">
        <v>45576.7590277778</v>
      </c>
      <c r="E563" s="2" t="s">
        <v>35</v>
      </c>
      <c r="F563" s="2" t="s">
        <v>27</v>
      </c>
      <c r="G563" s="2" t="n">
        <v>1940.62</v>
      </c>
      <c r="H563" s="2" t="n">
        <v>15.17</v>
      </c>
      <c r="I563" s="2" t="s">
        <v>26</v>
      </c>
      <c r="J563" s="2" t="s">
        <v>2304</v>
      </c>
      <c r="K563" s="2" t="s">
        <v>95</v>
      </c>
      <c r="L563" s="2"/>
      <c r="M563" s="2" t="s">
        <v>388</v>
      </c>
    </row>
    <row r="564" customFormat="false" ht="15" hidden="false" customHeight="false" outlineLevel="0" collapsed="false">
      <c r="A564" s="2" t="s">
        <v>2305</v>
      </c>
      <c r="B564" s="2" t="s">
        <v>2306</v>
      </c>
      <c r="C564" s="2" t="s">
        <v>2307</v>
      </c>
      <c r="D564" s="13" t="n">
        <v>45513.65625</v>
      </c>
      <c r="E564" s="2" t="s">
        <v>43</v>
      </c>
      <c r="F564" s="2" t="s">
        <v>31</v>
      </c>
      <c r="G564" s="2" t="n">
        <v>741.49</v>
      </c>
      <c r="H564" s="2" t="n">
        <v>5</v>
      </c>
      <c r="I564" s="2" t="s">
        <v>26</v>
      </c>
      <c r="J564" s="2" t="s">
        <v>2308</v>
      </c>
      <c r="K564" s="2" t="s">
        <v>122</v>
      </c>
      <c r="L564" s="2"/>
      <c r="M564" s="2" t="s">
        <v>1623</v>
      </c>
    </row>
    <row r="565" customFormat="false" ht="15" hidden="false" customHeight="false" outlineLevel="0" collapsed="false">
      <c r="A565" s="2" t="s">
        <v>2309</v>
      </c>
      <c r="B565" s="2" t="s">
        <v>1918</v>
      </c>
      <c r="C565" s="2" t="s">
        <v>1919</v>
      </c>
      <c r="D565" s="13" t="n">
        <v>45458.5291666667</v>
      </c>
      <c r="E565" s="2" t="s">
        <v>39</v>
      </c>
      <c r="F565" s="2" t="s">
        <v>27</v>
      </c>
      <c r="G565" s="2" t="n">
        <v>8270.93</v>
      </c>
      <c r="H565" s="2" t="n">
        <v>89.42</v>
      </c>
      <c r="I565" s="2" t="s">
        <v>30</v>
      </c>
      <c r="J565" s="2" t="s">
        <v>2310</v>
      </c>
      <c r="K565" s="2" t="s">
        <v>122</v>
      </c>
      <c r="L565" s="2"/>
      <c r="M565" s="2" t="s">
        <v>398</v>
      </c>
    </row>
    <row r="566" customFormat="false" ht="15" hidden="false" customHeight="false" outlineLevel="0" collapsed="false">
      <c r="A566" s="2" t="s">
        <v>2311</v>
      </c>
      <c r="B566" s="2" t="s">
        <v>764</v>
      </c>
      <c r="C566" s="2" t="s">
        <v>765</v>
      </c>
      <c r="D566" s="13" t="n">
        <v>45557.9069444445</v>
      </c>
      <c r="E566" s="2" t="s">
        <v>37</v>
      </c>
      <c r="F566" s="2" t="s">
        <v>29</v>
      </c>
      <c r="G566" s="2" t="n">
        <v>6818.43</v>
      </c>
      <c r="H566" s="2" t="n">
        <v>76.19</v>
      </c>
      <c r="I566" s="2" t="s">
        <v>26</v>
      </c>
      <c r="J566" s="2" t="s">
        <v>2312</v>
      </c>
      <c r="K566" s="2" t="s">
        <v>122</v>
      </c>
      <c r="L566" s="2" t="s">
        <v>645</v>
      </c>
      <c r="M566" s="2"/>
    </row>
    <row r="567" customFormat="false" ht="15" hidden="false" customHeight="false" outlineLevel="0" collapsed="false">
      <c r="A567" s="2" t="s">
        <v>2313</v>
      </c>
      <c r="B567" s="2" t="s">
        <v>2314</v>
      </c>
      <c r="C567" s="2" t="s">
        <v>2315</v>
      </c>
      <c r="D567" s="13" t="n">
        <v>45929.5409722222</v>
      </c>
      <c r="E567" s="2" t="s">
        <v>41</v>
      </c>
      <c r="F567" s="2" t="s">
        <v>27</v>
      </c>
      <c r="G567" s="2" t="n">
        <v>2078.62</v>
      </c>
      <c r="H567" s="2" t="n">
        <v>17.46</v>
      </c>
      <c r="I567" s="2" t="s">
        <v>26</v>
      </c>
      <c r="J567" s="2" t="s">
        <v>2316</v>
      </c>
      <c r="K567" s="2" t="s">
        <v>122</v>
      </c>
      <c r="L567" s="2"/>
      <c r="M567" s="2" t="s">
        <v>857</v>
      </c>
    </row>
    <row r="568" customFormat="false" ht="15" hidden="false" customHeight="false" outlineLevel="0" collapsed="false">
      <c r="A568" s="2" t="s">
        <v>2317</v>
      </c>
      <c r="B568" s="2" t="s">
        <v>2318</v>
      </c>
      <c r="C568" s="2" t="s">
        <v>2319</v>
      </c>
      <c r="D568" s="13" t="n">
        <v>45443.7305555556</v>
      </c>
      <c r="E568" s="2" t="s">
        <v>43</v>
      </c>
      <c r="F568" s="2" t="s">
        <v>29</v>
      </c>
      <c r="G568" s="2" t="n">
        <v>922.56</v>
      </c>
      <c r="H568" s="2" t="n">
        <v>9.25</v>
      </c>
      <c r="I568" s="2" t="s">
        <v>26</v>
      </c>
      <c r="J568" s="2" t="s">
        <v>2320</v>
      </c>
      <c r="K568" s="2" t="s">
        <v>122</v>
      </c>
      <c r="L568" s="2"/>
      <c r="M568" s="2" t="s">
        <v>862</v>
      </c>
    </row>
    <row r="569" customFormat="false" ht="15" hidden="false" customHeight="false" outlineLevel="0" collapsed="false">
      <c r="A569" s="2" t="s">
        <v>2321</v>
      </c>
      <c r="B569" s="2" t="s">
        <v>2322</v>
      </c>
      <c r="C569" s="2" t="s">
        <v>2323</v>
      </c>
      <c r="D569" s="13" t="n">
        <v>45838.6979166667</v>
      </c>
      <c r="E569" s="2" t="s">
        <v>41</v>
      </c>
      <c r="F569" s="2" t="s">
        <v>27</v>
      </c>
      <c r="G569" s="2" t="n">
        <v>1713.44</v>
      </c>
      <c r="H569" s="2" t="n">
        <v>16.1</v>
      </c>
      <c r="I569" s="2" t="s">
        <v>26</v>
      </c>
      <c r="J569" s="2" t="s">
        <v>2324</v>
      </c>
      <c r="K569" s="2" t="s">
        <v>95</v>
      </c>
      <c r="L569" s="2"/>
      <c r="M569" s="2" t="s">
        <v>2325</v>
      </c>
    </row>
    <row r="570" customFormat="false" ht="15" hidden="false" customHeight="false" outlineLevel="0" collapsed="false">
      <c r="A570" s="2" t="s">
        <v>2326</v>
      </c>
      <c r="B570" s="2" t="s">
        <v>1214</v>
      </c>
      <c r="C570" s="2" t="s">
        <v>1215</v>
      </c>
      <c r="D570" s="13" t="n">
        <v>45879.4097222222</v>
      </c>
      <c r="E570" s="2" t="s">
        <v>39</v>
      </c>
      <c r="F570" s="2" t="s">
        <v>31</v>
      </c>
      <c r="G570" s="2" t="n">
        <v>2167.75</v>
      </c>
      <c r="H570" s="2" t="n">
        <v>6.2</v>
      </c>
      <c r="I570" s="2" t="s">
        <v>28</v>
      </c>
      <c r="J570" s="2" t="s">
        <v>2327</v>
      </c>
      <c r="K570" s="2" t="s">
        <v>122</v>
      </c>
      <c r="L570" s="2" t="s">
        <v>1272</v>
      </c>
      <c r="M570" s="2"/>
    </row>
    <row r="571" customFormat="false" ht="15" hidden="false" customHeight="false" outlineLevel="0" collapsed="false">
      <c r="A571" s="2" t="s">
        <v>2328</v>
      </c>
      <c r="B571" s="2" t="s">
        <v>2143</v>
      </c>
      <c r="C571" s="2" t="s">
        <v>2144</v>
      </c>
      <c r="D571" s="13" t="n">
        <v>45817.34375</v>
      </c>
      <c r="E571" s="2" t="s">
        <v>39</v>
      </c>
      <c r="F571" s="2" t="s">
        <v>31</v>
      </c>
      <c r="G571" s="2" t="n">
        <v>6439.14</v>
      </c>
      <c r="H571" s="2" t="n">
        <v>60.7</v>
      </c>
      <c r="I571" s="2" t="s">
        <v>26</v>
      </c>
      <c r="J571" s="2" t="s">
        <v>2329</v>
      </c>
      <c r="K571" s="2" t="s">
        <v>89</v>
      </c>
      <c r="L571" s="2" t="s">
        <v>1277</v>
      </c>
      <c r="M571" s="2"/>
    </row>
    <row r="572" customFormat="false" ht="15" hidden="false" customHeight="false" outlineLevel="0" collapsed="false">
      <c r="A572" s="2" t="s">
        <v>2330</v>
      </c>
      <c r="B572" s="2" t="s">
        <v>1470</v>
      </c>
      <c r="C572" s="2" t="s">
        <v>1471</v>
      </c>
      <c r="D572" s="13" t="n">
        <v>45788.6972222222</v>
      </c>
      <c r="E572" s="2" t="s">
        <v>43</v>
      </c>
      <c r="F572" s="2" t="s">
        <v>29</v>
      </c>
      <c r="G572" s="2" t="n">
        <v>2310.85</v>
      </c>
      <c r="H572" s="2" t="n">
        <v>7.02</v>
      </c>
      <c r="I572" s="2" t="s">
        <v>30</v>
      </c>
      <c r="J572" s="2" t="s">
        <v>2331</v>
      </c>
      <c r="K572" s="2" t="s">
        <v>101</v>
      </c>
      <c r="L572" s="2"/>
      <c r="M572" s="2" t="s">
        <v>1282</v>
      </c>
    </row>
    <row r="573" customFormat="false" ht="15" hidden="false" customHeight="false" outlineLevel="0" collapsed="false">
      <c r="A573" s="2" t="s">
        <v>2332</v>
      </c>
      <c r="B573" s="2" t="s">
        <v>2333</v>
      </c>
      <c r="C573" s="2" t="s">
        <v>2334</v>
      </c>
      <c r="D573" s="13" t="n">
        <v>45904.7409722222</v>
      </c>
      <c r="E573" s="2" t="s">
        <v>37</v>
      </c>
      <c r="F573" s="2" t="s">
        <v>27</v>
      </c>
      <c r="G573" s="2" t="n">
        <v>3974.05</v>
      </c>
      <c r="H573" s="2" t="n">
        <v>13.6</v>
      </c>
      <c r="I573" s="2" t="s">
        <v>30</v>
      </c>
      <c r="J573" s="2" t="s">
        <v>2335</v>
      </c>
      <c r="K573" s="2" t="s">
        <v>101</v>
      </c>
      <c r="L573" s="2"/>
      <c r="M573" s="2" t="s">
        <v>1287</v>
      </c>
    </row>
    <row r="574" customFormat="false" ht="15" hidden="false" customHeight="false" outlineLevel="0" collapsed="false">
      <c r="A574" s="2" t="s">
        <v>2336</v>
      </c>
      <c r="B574" s="2" t="s">
        <v>2337</v>
      </c>
      <c r="C574" s="2" t="s">
        <v>2338</v>
      </c>
      <c r="D574" s="13" t="n">
        <v>45517.8826388889</v>
      </c>
      <c r="E574" s="2" t="s">
        <v>41</v>
      </c>
      <c r="F574" s="2" t="s">
        <v>31</v>
      </c>
      <c r="G574" s="2" t="n">
        <v>1631.3</v>
      </c>
      <c r="H574" s="2" t="n">
        <v>7.98</v>
      </c>
      <c r="I574" s="2" t="s">
        <v>26</v>
      </c>
      <c r="J574" s="2" t="s">
        <v>2339</v>
      </c>
      <c r="K574" s="2" t="s">
        <v>95</v>
      </c>
      <c r="L574" s="2" t="s">
        <v>681</v>
      </c>
      <c r="M574" s="2"/>
    </row>
    <row r="575" customFormat="false" ht="15" hidden="false" customHeight="false" outlineLevel="0" collapsed="false">
      <c r="A575" s="2" t="s">
        <v>2340</v>
      </c>
      <c r="B575" s="2" t="s">
        <v>2341</v>
      </c>
      <c r="C575" s="2" t="s">
        <v>2342</v>
      </c>
      <c r="D575" s="13" t="n">
        <v>45987.7381944444</v>
      </c>
      <c r="E575" s="2" t="s">
        <v>41</v>
      </c>
      <c r="F575" s="2" t="s">
        <v>32</v>
      </c>
      <c r="G575" s="2" t="n">
        <v>14830.15</v>
      </c>
      <c r="H575" s="2" t="n">
        <v>125.47</v>
      </c>
      <c r="I575" s="2" t="s">
        <v>30</v>
      </c>
      <c r="J575" s="2" t="s">
        <v>2343</v>
      </c>
      <c r="K575" s="2" t="s">
        <v>89</v>
      </c>
      <c r="L575" s="2" t="s">
        <v>1294</v>
      </c>
      <c r="M575" s="2"/>
    </row>
    <row r="576" customFormat="false" ht="15" hidden="false" customHeight="false" outlineLevel="0" collapsed="false">
      <c r="A576" s="2" t="s">
        <v>2344</v>
      </c>
      <c r="B576" s="2" t="s">
        <v>2345</v>
      </c>
      <c r="C576" s="2" t="s">
        <v>2346</v>
      </c>
      <c r="D576" s="13" t="n">
        <v>45844.55</v>
      </c>
      <c r="E576" s="2" t="s">
        <v>39</v>
      </c>
      <c r="F576" s="2" t="s">
        <v>29</v>
      </c>
      <c r="G576" s="2" t="n">
        <v>12806.9</v>
      </c>
      <c r="H576" s="2" t="n">
        <v>82.33</v>
      </c>
      <c r="I576" s="2" t="s">
        <v>28</v>
      </c>
      <c r="J576" s="2" t="s">
        <v>2347</v>
      </c>
      <c r="K576" s="2" t="s">
        <v>122</v>
      </c>
      <c r="L576" s="2" t="s">
        <v>1299</v>
      </c>
      <c r="M576" s="2"/>
    </row>
    <row r="577" customFormat="false" ht="15" hidden="false" customHeight="false" outlineLevel="0" collapsed="false">
      <c r="A577" s="2" t="s">
        <v>2348</v>
      </c>
      <c r="B577" s="2" t="s">
        <v>2349</v>
      </c>
      <c r="C577" s="2" t="s">
        <v>2350</v>
      </c>
      <c r="D577" s="13" t="n">
        <v>45905.7083333333</v>
      </c>
      <c r="E577" s="2" t="s">
        <v>35</v>
      </c>
      <c r="F577" s="2" t="s">
        <v>31</v>
      </c>
      <c r="G577" s="2" t="n">
        <v>5506.95</v>
      </c>
      <c r="H577" s="2" t="n">
        <v>38.96</v>
      </c>
      <c r="I577" s="2" t="s">
        <v>28</v>
      </c>
      <c r="J577" s="2" t="s">
        <v>2351</v>
      </c>
      <c r="K577" s="2" t="s">
        <v>101</v>
      </c>
      <c r="L577" s="2" t="s">
        <v>1854</v>
      </c>
      <c r="M577" s="2"/>
    </row>
    <row r="578" customFormat="false" ht="15" hidden="false" customHeight="false" outlineLevel="0" collapsed="false">
      <c r="A578" s="2" t="s">
        <v>2352</v>
      </c>
      <c r="B578" s="2" t="s">
        <v>2353</v>
      </c>
      <c r="C578" s="2" t="s">
        <v>2354</v>
      </c>
      <c r="D578" s="13" t="n">
        <v>45990.8965277778</v>
      </c>
      <c r="E578" s="2" t="s">
        <v>37</v>
      </c>
      <c r="F578" s="2" t="s">
        <v>32</v>
      </c>
      <c r="G578" s="2" t="n">
        <v>995.57</v>
      </c>
      <c r="H578" s="2" t="n">
        <v>5</v>
      </c>
      <c r="I578" s="2" t="s">
        <v>26</v>
      </c>
      <c r="J578" s="2" t="s">
        <v>2355</v>
      </c>
      <c r="K578" s="2" t="s">
        <v>101</v>
      </c>
      <c r="L578" s="2" t="s">
        <v>697</v>
      </c>
      <c r="M578" s="2"/>
    </row>
    <row r="579" customFormat="false" ht="15" hidden="false" customHeight="false" outlineLevel="0" collapsed="false">
      <c r="A579" s="2" t="s">
        <v>2356</v>
      </c>
      <c r="B579" s="2" t="s">
        <v>2357</v>
      </c>
      <c r="C579" s="2" t="s">
        <v>2358</v>
      </c>
      <c r="D579" s="13" t="n">
        <v>45530.6326388889</v>
      </c>
      <c r="E579" s="2" t="s">
        <v>41</v>
      </c>
      <c r="F579" s="2" t="s">
        <v>32</v>
      </c>
      <c r="G579" s="2" t="n">
        <v>3419.2</v>
      </c>
      <c r="H579" s="2" t="n">
        <v>17.74</v>
      </c>
      <c r="I579" s="2" t="s">
        <v>26</v>
      </c>
      <c r="J579" s="2" t="s">
        <v>2359</v>
      </c>
      <c r="K579" s="2" t="s">
        <v>95</v>
      </c>
      <c r="L579" s="2" t="s">
        <v>1311</v>
      </c>
      <c r="M579" s="2"/>
    </row>
    <row r="580" customFormat="false" ht="15" hidden="false" customHeight="false" outlineLevel="0" collapsed="false">
      <c r="A580" s="2" t="s">
        <v>2360</v>
      </c>
      <c r="B580" s="2" t="s">
        <v>1515</v>
      </c>
      <c r="C580" s="2" t="s">
        <v>1516</v>
      </c>
      <c r="D580" s="13" t="n">
        <v>45720.4138888889</v>
      </c>
      <c r="E580" s="2" t="s">
        <v>43</v>
      </c>
      <c r="F580" s="2" t="s">
        <v>32</v>
      </c>
      <c r="G580" s="2" t="n">
        <v>2758.53</v>
      </c>
      <c r="H580" s="2" t="n">
        <v>9.43</v>
      </c>
      <c r="I580" s="2" t="s">
        <v>26</v>
      </c>
      <c r="J580" s="2" t="s">
        <v>2361</v>
      </c>
      <c r="K580" s="2" t="s">
        <v>101</v>
      </c>
      <c r="L580" s="2"/>
      <c r="M580" s="2" t="s">
        <v>906</v>
      </c>
    </row>
    <row r="581" customFormat="false" ht="15" hidden="false" customHeight="false" outlineLevel="0" collapsed="false">
      <c r="A581" s="2" t="s">
        <v>2362</v>
      </c>
      <c r="B581" s="2" t="s">
        <v>1251</v>
      </c>
      <c r="C581" s="2" t="s">
        <v>1252</v>
      </c>
      <c r="D581" s="13" t="n">
        <v>45453.4840277778</v>
      </c>
      <c r="E581" s="2" t="s">
        <v>37</v>
      </c>
      <c r="F581" s="2" t="s">
        <v>32</v>
      </c>
      <c r="G581" s="2" t="n">
        <v>2709.11</v>
      </c>
      <c r="H581" s="2" t="n">
        <v>30.45</v>
      </c>
      <c r="I581" s="2" t="s">
        <v>26</v>
      </c>
      <c r="J581" s="2" t="s">
        <v>2363</v>
      </c>
      <c r="K581" s="2" t="s">
        <v>95</v>
      </c>
      <c r="L581" s="2" t="s">
        <v>1320</v>
      </c>
      <c r="M581" s="2"/>
    </row>
    <row r="582" customFormat="false" ht="15" hidden="false" customHeight="false" outlineLevel="0" collapsed="false">
      <c r="A582" s="2" t="s">
        <v>2364</v>
      </c>
      <c r="B582" s="2" t="s">
        <v>2365</v>
      </c>
      <c r="C582" s="2" t="s">
        <v>2366</v>
      </c>
      <c r="D582" s="13" t="n">
        <v>45617.7416666667</v>
      </c>
      <c r="E582" s="2" t="s">
        <v>41</v>
      </c>
      <c r="F582" s="2" t="s">
        <v>27</v>
      </c>
      <c r="G582" s="2" t="n">
        <v>7909.54</v>
      </c>
      <c r="H582" s="2" t="n">
        <v>34.22</v>
      </c>
      <c r="I582" s="2" t="s">
        <v>30</v>
      </c>
      <c r="J582" s="2" t="s">
        <v>2367</v>
      </c>
      <c r="K582" s="2" t="s">
        <v>95</v>
      </c>
      <c r="L582" s="2"/>
      <c r="M582" s="2" t="s">
        <v>2044</v>
      </c>
    </row>
    <row r="583" customFormat="false" ht="15" hidden="false" customHeight="false" outlineLevel="0" collapsed="false">
      <c r="A583" s="2" t="s">
        <v>2368</v>
      </c>
      <c r="B583" s="2" t="s">
        <v>425</v>
      </c>
      <c r="C583" s="2" t="s">
        <v>426</v>
      </c>
      <c r="D583" s="13" t="n">
        <v>45710.5361111111</v>
      </c>
      <c r="E583" s="2" t="s">
        <v>41</v>
      </c>
      <c r="F583" s="2" t="s">
        <v>31</v>
      </c>
      <c r="G583" s="2" t="n">
        <v>5424.08</v>
      </c>
      <c r="H583" s="2" t="n">
        <v>52.29</v>
      </c>
      <c r="I583" s="2" t="s">
        <v>26</v>
      </c>
      <c r="J583" s="2" t="s">
        <v>2369</v>
      </c>
      <c r="K583" s="2" t="s">
        <v>122</v>
      </c>
      <c r="L583" s="2" t="s">
        <v>1330</v>
      </c>
      <c r="M583" s="2"/>
    </row>
    <row r="584" customFormat="false" ht="15" hidden="false" customHeight="false" outlineLevel="0" collapsed="false">
      <c r="A584" s="2" t="s">
        <v>2370</v>
      </c>
      <c r="B584" s="2" t="s">
        <v>2371</v>
      </c>
      <c r="C584" s="2" t="s">
        <v>2372</v>
      </c>
      <c r="D584" s="13" t="n">
        <v>45635.6520833333</v>
      </c>
      <c r="E584" s="2" t="s">
        <v>39</v>
      </c>
      <c r="F584" s="2" t="s">
        <v>32</v>
      </c>
      <c r="G584" s="2" t="n">
        <v>4314.38</v>
      </c>
      <c r="H584" s="2" t="n">
        <v>32.41</v>
      </c>
      <c r="I584" s="2" t="s">
        <v>26</v>
      </c>
      <c r="J584" s="2" t="s">
        <v>2373</v>
      </c>
      <c r="K584" s="2" t="s">
        <v>89</v>
      </c>
      <c r="L584" s="2" t="s">
        <v>1877</v>
      </c>
      <c r="M584" s="2"/>
    </row>
    <row r="585" customFormat="false" ht="15" hidden="false" customHeight="false" outlineLevel="0" collapsed="false">
      <c r="A585" s="2" t="s">
        <v>2374</v>
      </c>
      <c r="B585" s="2" t="s">
        <v>2375</v>
      </c>
      <c r="C585" s="2" t="s">
        <v>2376</v>
      </c>
      <c r="D585" s="13" t="n">
        <v>45962.3347222222</v>
      </c>
      <c r="E585" s="2" t="s">
        <v>41</v>
      </c>
      <c r="F585" s="2" t="s">
        <v>31</v>
      </c>
      <c r="G585" s="2" t="n">
        <v>1740.83</v>
      </c>
      <c r="H585" s="2" t="n">
        <v>18.3</v>
      </c>
      <c r="I585" s="2" t="s">
        <v>30</v>
      </c>
      <c r="J585" s="2" t="s">
        <v>2377</v>
      </c>
      <c r="K585" s="2" t="s">
        <v>89</v>
      </c>
      <c r="L585" s="2" t="s">
        <v>1339</v>
      </c>
      <c r="M585" s="2"/>
    </row>
    <row r="586" customFormat="false" ht="15" hidden="false" customHeight="false" outlineLevel="0" collapsed="false">
      <c r="A586" s="2" t="s">
        <v>2378</v>
      </c>
      <c r="B586" s="2" t="s">
        <v>801</v>
      </c>
      <c r="C586" s="2" t="s">
        <v>802</v>
      </c>
      <c r="D586" s="13" t="n">
        <v>45447.4534722222</v>
      </c>
      <c r="E586" s="2" t="s">
        <v>39</v>
      </c>
      <c r="F586" s="2" t="s">
        <v>29</v>
      </c>
      <c r="G586" s="2" t="n">
        <v>9651.24</v>
      </c>
      <c r="H586" s="2" t="n">
        <v>107.29</v>
      </c>
      <c r="I586" s="2" t="s">
        <v>28</v>
      </c>
      <c r="J586" s="2" t="s">
        <v>2379</v>
      </c>
      <c r="K586" s="2" t="s">
        <v>95</v>
      </c>
      <c r="L586" s="2" t="s">
        <v>1344</v>
      </c>
      <c r="M586" s="2"/>
    </row>
    <row r="587" customFormat="false" ht="15" hidden="false" customHeight="false" outlineLevel="0" collapsed="false">
      <c r="A587" s="2" t="s">
        <v>2380</v>
      </c>
      <c r="B587" s="2" t="s">
        <v>1223</v>
      </c>
      <c r="C587" s="2" t="s">
        <v>1224</v>
      </c>
      <c r="D587" s="13" t="n">
        <v>45737.8569444444</v>
      </c>
      <c r="E587" s="2" t="s">
        <v>39</v>
      </c>
      <c r="F587" s="2" t="s">
        <v>31</v>
      </c>
      <c r="G587" s="2" t="n">
        <v>4018.15</v>
      </c>
      <c r="H587" s="2" t="n">
        <v>43.94</v>
      </c>
      <c r="I587" s="2" t="s">
        <v>28</v>
      </c>
      <c r="J587" s="2" t="s">
        <v>2381</v>
      </c>
      <c r="K587" s="2" t="s">
        <v>101</v>
      </c>
      <c r="L587" s="2" t="s">
        <v>731</v>
      </c>
      <c r="M587" s="2"/>
    </row>
    <row r="588" customFormat="false" ht="15" hidden="false" customHeight="false" outlineLevel="0" collapsed="false">
      <c r="A588" s="2" t="s">
        <v>2382</v>
      </c>
      <c r="B588" s="2" t="s">
        <v>2383</v>
      </c>
      <c r="C588" s="2" t="s">
        <v>2384</v>
      </c>
      <c r="D588" s="13" t="n">
        <v>45861.35</v>
      </c>
      <c r="E588" s="2" t="s">
        <v>39</v>
      </c>
      <c r="F588" s="2" t="s">
        <v>31</v>
      </c>
      <c r="G588" s="2" t="n">
        <v>2512.13</v>
      </c>
      <c r="H588" s="2" t="n">
        <v>8.38</v>
      </c>
      <c r="I588" s="2" t="s">
        <v>26</v>
      </c>
      <c r="J588" s="2" t="s">
        <v>2385</v>
      </c>
      <c r="K588" s="2" t="s">
        <v>95</v>
      </c>
      <c r="L588" s="2" t="s">
        <v>1888</v>
      </c>
      <c r="M588" s="2"/>
    </row>
    <row r="589" customFormat="false" ht="15" hidden="false" customHeight="false" outlineLevel="0" collapsed="false">
      <c r="A589" s="2" t="s">
        <v>2386</v>
      </c>
      <c r="B589" s="2" t="s">
        <v>2387</v>
      </c>
      <c r="C589" s="2" t="s">
        <v>2388</v>
      </c>
      <c r="D589" s="13" t="n">
        <v>45806.9361111111</v>
      </c>
      <c r="E589" s="2" t="s">
        <v>43</v>
      </c>
      <c r="F589" s="2" t="s">
        <v>29</v>
      </c>
      <c r="G589" s="2" t="n">
        <v>6352.41</v>
      </c>
      <c r="H589" s="2" t="n">
        <v>65.55</v>
      </c>
      <c r="I589" s="2" t="s">
        <v>30</v>
      </c>
      <c r="J589" s="2" t="s">
        <v>2389</v>
      </c>
      <c r="K589" s="2" t="s">
        <v>122</v>
      </c>
      <c r="L589" s="2"/>
      <c r="M589" s="2" t="s">
        <v>2390</v>
      </c>
    </row>
    <row r="590" customFormat="false" ht="15" hidden="false" customHeight="false" outlineLevel="0" collapsed="false">
      <c r="A590" s="2" t="s">
        <v>2391</v>
      </c>
      <c r="B590" s="2" t="s">
        <v>2392</v>
      </c>
      <c r="C590" s="2" t="s">
        <v>2393</v>
      </c>
      <c r="D590" s="13" t="n">
        <v>45703.7048611111</v>
      </c>
      <c r="E590" s="2" t="s">
        <v>43</v>
      </c>
      <c r="F590" s="2" t="s">
        <v>27</v>
      </c>
      <c r="G590" s="2" t="n">
        <v>3131.71</v>
      </c>
      <c r="H590" s="2" t="n">
        <v>29.61</v>
      </c>
      <c r="I590" s="2" t="s">
        <v>30</v>
      </c>
      <c r="J590" s="2" t="s">
        <v>2394</v>
      </c>
      <c r="K590" s="2" t="s">
        <v>95</v>
      </c>
      <c r="L590" s="2"/>
      <c r="M590" s="2" t="s">
        <v>950</v>
      </c>
    </row>
    <row r="591" customFormat="false" ht="15" hidden="false" customHeight="false" outlineLevel="0" collapsed="false">
      <c r="A591" s="2" t="s">
        <v>2395</v>
      </c>
      <c r="B591" s="2" t="s">
        <v>2396</v>
      </c>
      <c r="C591" s="2" t="s">
        <v>2397</v>
      </c>
      <c r="D591" s="13" t="n">
        <v>45595.5048611111</v>
      </c>
      <c r="E591" s="2" t="s">
        <v>41</v>
      </c>
      <c r="F591" s="2" t="s">
        <v>32</v>
      </c>
      <c r="G591" s="2" t="n">
        <v>7823.64</v>
      </c>
      <c r="H591" s="2" t="n">
        <v>49.77</v>
      </c>
      <c r="I591" s="2" t="s">
        <v>26</v>
      </c>
      <c r="J591" s="2" t="s">
        <v>2398</v>
      </c>
      <c r="K591" s="2" t="s">
        <v>95</v>
      </c>
      <c r="L591" s="2" t="s">
        <v>1901</v>
      </c>
      <c r="M591" s="2"/>
    </row>
    <row r="592" customFormat="false" ht="15" hidden="false" customHeight="false" outlineLevel="0" collapsed="false">
      <c r="A592" s="2" t="s">
        <v>2399</v>
      </c>
      <c r="B592" s="2" t="s">
        <v>614</v>
      </c>
      <c r="C592" s="2" t="s">
        <v>615</v>
      </c>
      <c r="D592" s="13" t="n">
        <v>45309.6972222222</v>
      </c>
      <c r="E592" s="2" t="s">
        <v>43</v>
      </c>
      <c r="F592" s="2" t="s">
        <v>32</v>
      </c>
      <c r="G592" s="2" t="n">
        <v>1414.87</v>
      </c>
      <c r="H592" s="2" t="n">
        <v>11.48</v>
      </c>
      <c r="I592" s="2" t="s">
        <v>26</v>
      </c>
      <c r="J592" s="2" t="s">
        <v>2400</v>
      </c>
      <c r="K592" s="2" t="s">
        <v>101</v>
      </c>
      <c r="L592" s="2"/>
      <c r="M592" s="2" t="s">
        <v>531</v>
      </c>
    </row>
    <row r="593" customFormat="false" ht="15" hidden="false" customHeight="false" outlineLevel="0" collapsed="false">
      <c r="A593" s="2" t="s">
        <v>2401</v>
      </c>
      <c r="B593" s="2" t="s">
        <v>1348</v>
      </c>
      <c r="C593" s="2" t="s">
        <v>1349</v>
      </c>
      <c r="D593" s="13" t="n">
        <v>45789.4201388889</v>
      </c>
      <c r="E593" s="2" t="s">
        <v>37</v>
      </c>
      <c r="F593" s="2" t="s">
        <v>29</v>
      </c>
      <c r="G593" s="2" t="n">
        <v>3537.04</v>
      </c>
      <c r="H593" s="2" t="n">
        <v>12.5</v>
      </c>
      <c r="I593" s="2" t="s">
        <v>28</v>
      </c>
      <c r="J593" s="2" t="s">
        <v>2402</v>
      </c>
      <c r="K593" s="2" t="s">
        <v>89</v>
      </c>
      <c r="L593" s="2" t="s">
        <v>757</v>
      </c>
      <c r="M593" s="2"/>
    </row>
    <row r="594" customFormat="false" ht="15" hidden="false" customHeight="false" outlineLevel="0" collapsed="false">
      <c r="A594" s="2" t="s">
        <v>2403</v>
      </c>
      <c r="B594" s="2" t="s">
        <v>969</v>
      </c>
      <c r="C594" s="2" t="s">
        <v>970</v>
      </c>
      <c r="D594" s="13" t="n">
        <v>45456.5465277778</v>
      </c>
      <c r="E594" s="2" t="s">
        <v>41</v>
      </c>
      <c r="F594" s="2" t="s">
        <v>31</v>
      </c>
      <c r="G594" s="2" t="n">
        <v>1723.89</v>
      </c>
      <c r="H594" s="2" t="n">
        <v>10.51</v>
      </c>
      <c r="I594" s="2" t="s">
        <v>26</v>
      </c>
      <c r="J594" s="2" t="s">
        <v>2404</v>
      </c>
      <c r="K594" s="2" t="s">
        <v>89</v>
      </c>
      <c r="L594" s="2" t="s">
        <v>1912</v>
      </c>
      <c r="M594" s="2"/>
    </row>
    <row r="595" customFormat="false" ht="15" hidden="false" customHeight="false" outlineLevel="0" collapsed="false">
      <c r="A595" s="2" t="s">
        <v>2405</v>
      </c>
      <c r="B595" s="2" t="s">
        <v>2406</v>
      </c>
      <c r="C595" s="2" t="s">
        <v>2407</v>
      </c>
      <c r="D595" s="13" t="n">
        <v>45493.5236111111</v>
      </c>
      <c r="E595" s="2" t="s">
        <v>39</v>
      </c>
      <c r="F595" s="2" t="s">
        <v>31</v>
      </c>
      <c r="G595" s="2" t="n">
        <v>2176.63</v>
      </c>
      <c r="H595" s="2" t="n">
        <v>8.46</v>
      </c>
      <c r="I595" s="2" t="s">
        <v>26</v>
      </c>
      <c r="J595" s="2" t="s">
        <v>2408</v>
      </c>
      <c r="K595" s="2" t="s">
        <v>89</v>
      </c>
      <c r="L595" s="2" t="s">
        <v>1374</v>
      </c>
      <c r="M595" s="2"/>
    </row>
    <row r="596" customFormat="false" ht="15" hidden="false" customHeight="false" outlineLevel="0" collapsed="false">
      <c r="A596" s="2" t="s">
        <v>2409</v>
      </c>
      <c r="B596" s="2" t="s">
        <v>2410</v>
      </c>
      <c r="C596" s="2" t="s">
        <v>2411</v>
      </c>
      <c r="D596" s="13" t="n">
        <v>45475.6354166667</v>
      </c>
      <c r="E596" s="2" t="s">
        <v>41</v>
      </c>
      <c r="F596" s="2" t="s">
        <v>27</v>
      </c>
      <c r="G596" s="2" t="n">
        <v>4383.73</v>
      </c>
      <c r="H596" s="2" t="n">
        <v>24.34</v>
      </c>
      <c r="I596" s="2" t="s">
        <v>28</v>
      </c>
      <c r="J596" s="2" t="s">
        <v>2412</v>
      </c>
      <c r="K596" s="2" t="s">
        <v>95</v>
      </c>
      <c r="L596" s="2"/>
      <c r="M596" s="2" t="s">
        <v>551</v>
      </c>
    </row>
    <row r="597" customFormat="false" ht="15" hidden="false" customHeight="false" outlineLevel="0" collapsed="false">
      <c r="A597" s="2" t="s">
        <v>2413</v>
      </c>
      <c r="B597" s="2" t="s">
        <v>2414</v>
      </c>
      <c r="C597" s="2" t="s">
        <v>2415</v>
      </c>
      <c r="D597" s="13" t="n">
        <v>45870.3354166667</v>
      </c>
      <c r="E597" s="2" t="s">
        <v>37</v>
      </c>
      <c r="F597" s="2" t="s">
        <v>27</v>
      </c>
      <c r="G597" s="2" t="n">
        <v>3361</v>
      </c>
      <c r="H597" s="2" t="n">
        <v>21.25</v>
      </c>
      <c r="I597" s="2" t="s">
        <v>26</v>
      </c>
      <c r="J597" s="2" t="s">
        <v>2416</v>
      </c>
      <c r="K597" s="2" t="s">
        <v>95</v>
      </c>
      <c r="L597" s="2"/>
      <c r="M597" s="2" t="s">
        <v>981</v>
      </c>
    </row>
    <row r="598" customFormat="false" ht="15" hidden="false" customHeight="false" outlineLevel="0" collapsed="false">
      <c r="A598" s="2" t="s">
        <v>2417</v>
      </c>
      <c r="B598" s="2" t="s">
        <v>801</v>
      </c>
      <c r="C598" s="2" t="s">
        <v>802</v>
      </c>
      <c r="D598" s="13" t="n">
        <v>45861.5805555556</v>
      </c>
      <c r="E598" s="2" t="s">
        <v>41</v>
      </c>
      <c r="F598" s="2" t="s">
        <v>32</v>
      </c>
      <c r="G598" s="2" t="n">
        <v>20624.77</v>
      </c>
      <c r="H598" s="2" t="n">
        <v>120.73</v>
      </c>
      <c r="I598" s="2" t="s">
        <v>26</v>
      </c>
      <c r="J598" s="2" t="s">
        <v>2418</v>
      </c>
      <c r="K598" s="2" t="s">
        <v>122</v>
      </c>
      <c r="L598" s="2" t="s">
        <v>779</v>
      </c>
      <c r="M598" s="2"/>
    </row>
    <row r="599" customFormat="false" ht="15" hidden="false" customHeight="false" outlineLevel="0" collapsed="false">
      <c r="A599" s="2" t="s">
        <v>2419</v>
      </c>
      <c r="B599" s="2" t="s">
        <v>1380</v>
      </c>
      <c r="C599" s="2" t="s">
        <v>1381</v>
      </c>
      <c r="D599" s="13" t="n">
        <v>45377.7361111111</v>
      </c>
      <c r="E599" s="2" t="s">
        <v>37</v>
      </c>
      <c r="F599" s="2" t="s">
        <v>32</v>
      </c>
      <c r="G599" s="2" t="n">
        <v>668.56</v>
      </c>
      <c r="H599" s="2" t="n">
        <v>5</v>
      </c>
      <c r="I599" s="2" t="s">
        <v>26</v>
      </c>
      <c r="J599" s="2" t="s">
        <v>2420</v>
      </c>
      <c r="K599" s="2" t="s">
        <v>122</v>
      </c>
      <c r="L599" s="2" t="s">
        <v>1389</v>
      </c>
      <c r="M599" s="2"/>
    </row>
    <row r="600" customFormat="false" ht="15" hidden="false" customHeight="false" outlineLevel="0" collapsed="false">
      <c r="A600" s="2" t="s">
        <v>2421</v>
      </c>
      <c r="B600" s="2" t="s">
        <v>2422</v>
      </c>
      <c r="C600" s="2" t="s">
        <v>2423</v>
      </c>
      <c r="D600" s="13" t="n">
        <v>45545.8576388889</v>
      </c>
      <c r="E600" s="2" t="s">
        <v>39</v>
      </c>
      <c r="F600" s="2" t="s">
        <v>32</v>
      </c>
      <c r="G600" s="2" t="n">
        <v>895.86</v>
      </c>
      <c r="H600" s="2" t="n">
        <v>5</v>
      </c>
      <c r="I600" s="2" t="s">
        <v>26</v>
      </c>
      <c r="J600" s="2" t="s">
        <v>2424</v>
      </c>
      <c r="K600" s="2" t="s">
        <v>95</v>
      </c>
      <c r="L600" s="2" t="s">
        <v>1935</v>
      </c>
      <c r="M600" s="2"/>
    </row>
    <row r="601" customFormat="false" ht="15" hidden="false" customHeight="false" outlineLevel="0" collapsed="false">
      <c r="A601" s="2" t="s">
        <v>2425</v>
      </c>
      <c r="B601" s="2" t="s">
        <v>2076</v>
      </c>
      <c r="C601" s="2" t="s">
        <v>2077</v>
      </c>
      <c r="D601" s="13" t="n">
        <v>45523.4625</v>
      </c>
      <c r="E601" s="2" t="s">
        <v>41</v>
      </c>
      <c r="F601" s="2" t="s">
        <v>29</v>
      </c>
      <c r="G601" s="2" t="n">
        <v>28788.04</v>
      </c>
      <c r="H601" s="2" t="n">
        <v>268.04</v>
      </c>
      <c r="I601" s="2" t="s">
        <v>26</v>
      </c>
      <c r="J601" s="2" t="s">
        <v>2426</v>
      </c>
      <c r="K601" s="2" t="s">
        <v>122</v>
      </c>
      <c r="L601" s="2" t="s">
        <v>1396</v>
      </c>
      <c r="M601" s="2"/>
    </row>
    <row r="602" customFormat="false" ht="15" hidden="false" customHeight="false" outlineLevel="0" collapsed="false">
      <c r="A602" s="2" t="s">
        <v>2427</v>
      </c>
      <c r="B602" s="2" t="s">
        <v>215</v>
      </c>
      <c r="C602" s="2" t="s">
        <v>216</v>
      </c>
      <c r="D602" s="13" t="n">
        <v>45906.3979166667</v>
      </c>
      <c r="E602" s="2" t="s">
        <v>39</v>
      </c>
      <c r="F602" s="2" t="s">
        <v>27</v>
      </c>
      <c r="G602" s="2" t="n">
        <v>3512.2</v>
      </c>
      <c r="H602" s="2" t="n">
        <v>33.87</v>
      </c>
      <c r="I602" s="2" t="s">
        <v>26</v>
      </c>
      <c r="J602" s="2" t="s">
        <v>2428</v>
      </c>
      <c r="K602" s="2" t="s">
        <v>122</v>
      </c>
      <c r="L602" s="2"/>
      <c r="M602" s="2" t="s">
        <v>581</v>
      </c>
    </row>
    <row r="603" customFormat="false" ht="15" hidden="false" customHeight="false" outlineLevel="0" collapsed="false">
      <c r="A603" s="2" t="s">
        <v>2429</v>
      </c>
      <c r="B603" s="2" t="s">
        <v>2099</v>
      </c>
      <c r="C603" s="2" t="s">
        <v>2100</v>
      </c>
      <c r="D603" s="13" t="n">
        <v>45389.3520833333</v>
      </c>
      <c r="E603" s="2" t="s">
        <v>41</v>
      </c>
      <c r="F603" s="2" t="s">
        <v>31</v>
      </c>
      <c r="G603" s="2" t="n">
        <v>19623.71</v>
      </c>
      <c r="H603" s="2" t="n">
        <v>201.25</v>
      </c>
      <c r="I603" s="2" t="s">
        <v>30</v>
      </c>
      <c r="J603" s="2" t="s">
        <v>2430</v>
      </c>
      <c r="K603" s="2" t="s">
        <v>89</v>
      </c>
      <c r="L603" s="2" t="s">
        <v>96</v>
      </c>
      <c r="M603" s="2"/>
    </row>
    <row r="604" customFormat="false" ht="15" hidden="false" customHeight="false" outlineLevel="0" collapsed="false">
      <c r="A604" s="2" t="s">
        <v>2431</v>
      </c>
      <c r="B604" s="2" t="s">
        <v>2432</v>
      </c>
      <c r="C604" s="2" t="s">
        <v>2433</v>
      </c>
      <c r="D604" s="13" t="n">
        <v>45961.6354166667</v>
      </c>
      <c r="E604" s="2" t="s">
        <v>37</v>
      </c>
      <c r="F604" s="2" t="s">
        <v>27</v>
      </c>
      <c r="G604" s="2" t="n">
        <v>13686.45</v>
      </c>
      <c r="H604" s="2" t="n">
        <v>91.3</v>
      </c>
      <c r="I604" s="2" t="s">
        <v>26</v>
      </c>
      <c r="J604" s="2" t="s">
        <v>2434</v>
      </c>
      <c r="K604" s="2" t="s">
        <v>122</v>
      </c>
      <c r="L604" s="2"/>
      <c r="M604" s="2" t="s">
        <v>2435</v>
      </c>
    </row>
    <row r="605" customFormat="false" ht="15" hidden="false" customHeight="false" outlineLevel="0" collapsed="false">
      <c r="A605" s="2" t="s">
        <v>2436</v>
      </c>
      <c r="B605" s="2" t="s">
        <v>2437</v>
      </c>
      <c r="C605" s="2" t="s">
        <v>2438</v>
      </c>
      <c r="D605" s="13" t="n">
        <v>45807.4319444444</v>
      </c>
      <c r="E605" s="2" t="s">
        <v>41</v>
      </c>
      <c r="F605" s="2" t="s">
        <v>29</v>
      </c>
      <c r="G605" s="2" t="n">
        <v>16116.33</v>
      </c>
      <c r="H605" s="2" t="n">
        <v>169.74</v>
      </c>
      <c r="I605" s="2" t="s">
        <v>26</v>
      </c>
      <c r="J605" s="2" t="s">
        <v>2439</v>
      </c>
      <c r="K605" s="2" t="s">
        <v>122</v>
      </c>
      <c r="L605" s="2" t="s">
        <v>107</v>
      </c>
      <c r="M605" s="2"/>
    </row>
    <row r="606" customFormat="false" ht="15" hidden="false" customHeight="false" outlineLevel="0" collapsed="false">
      <c r="A606" s="2" t="s">
        <v>2440</v>
      </c>
      <c r="B606" s="2" t="s">
        <v>2333</v>
      </c>
      <c r="C606" s="2" t="s">
        <v>2334</v>
      </c>
      <c r="D606" s="13" t="n">
        <v>45983.3229166667</v>
      </c>
      <c r="E606" s="2" t="s">
        <v>35</v>
      </c>
      <c r="F606" s="2" t="s">
        <v>27</v>
      </c>
      <c r="G606" s="2" t="n">
        <v>7709.55</v>
      </c>
      <c r="H606" s="2" t="n">
        <v>45.55</v>
      </c>
      <c r="I606" s="2" t="s">
        <v>28</v>
      </c>
      <c r="J606" s="2" t="s">
        <v>2441</v>
      </c>
      <c r="K606" s="2" t="s">
        <v>122</v>
      </c>
      <c r="L606" s="2"/>
      <c r="M606" s="2" t="s">
        <v>112</v>
      </c>
    </row>
    <row r="607" customFormat="false" ht="15" hidden="false" customHeight="false" outlineLevel="0" collapsed="false">
      <c r="A607" s="2" t="s">
        <v>2442</v>
      </c>
      <c r="B607" s="2" t="s">
        <v>2443</v>
      </c>
      <c r="C607" s="2" t="s">
        <v>2444</v>
      </c>
      <c r="D607" s="13" t="n">
        <v>45466.775</v>
      </c>
      <c r="E607" s="2" t="s">
        <v>35</v>
      </c>
      <c r="F607" s="2" t="s">
        <v>32</v>
      </c>
      <c r="G607" s="2" t="n">
        <v>7753.55</v>
      </c>
      <c r="H607" s="2" t="n">
        <v>50.26</v>
      </c>
      <c r="I607" s="2" t="s">
        <v>26</v>
      </c>
      <c r="J607" s="2" t="s">
        <v>2445</v>
      </c>
      <c r="K607" s="2" t="s">
        <v>101</v>
      </c>
      <c r="L607" s="2" t="s">
        <v>117</v>
      </c>
      <c r="M607" s="2"/>
    </row>
    <row r="608" customFormat="false" ht="15" hidden="false" customHeight="false" outlineLevel="0" collapsed="false">
      <c r="A608" s="2" t="s">
        <v>2446</v>
      </c>
      <c r="B608" s="2" t="s">
        <v>2375</v>
      </c>
      <c r="C608" s="2" t="s">
        <v>2376</v>
      </c>
      <c r="D608" s="13" t="n">
        <v>45908.6541666667</v>
      </c>
      <c r="E608" s="2" t="s">
        <v>35</v>
      </c>
      <c r="F608" s="2" t="s">
        <v>32</v>
      </c>
      <c r="G608" s="2" t="n">
        <v>2963.12</v>
      </c>
      <c r="H608" s="2" t="n">
        <v>28.56</v>
      </c>
      <c r="I608" s="2" t="s">
        <v>28</v>
      </c>
      <c r="J608" s="2" t="s">
        <v>2447</v>
      </c>
      <c r="K608" s="2" t="s">
        <v>89</v>
      </c>
      <c r="L608" s="2" t="s">
        <v>123</v>
      </c>
      <c r="M608" s="2"/>
    </row>
    <row r="609" customFormat="false" ht="15" hidden="false" customHeight="false" outlineLevel="0" collapsed="false">
      <c r="A609" s="2" t="s">
        <v>2448</v>
      </c>
      <c r="B609" s="2" t="s">
        <v>2449</v>
      </c>
      <c r="C609" s="2" t="s">
        <v>2450</v>
      </c>
      <c r="D609" s="13" t="n">
        <v>45566.9229166667</v>
      </c>
      <c r="E609" s="2" t="s">
        <v>35</v>
      </c>
      <c r="F609" s="2" t="s">
        <v>31</v>
      </c>
      <c r="G609" s="2" t="n">
        <v>8713.88</v>
      </c>
      <c r="H609" s="2" t="n">
        <v>68.86</v>
      </c>
      <c r="I609" s="2" t="s">
        <v>26</v>
      </c>
      <c r="J609" s="2" t="s">
        <v>2451</v>
      </c>
      <c r="K609" s="2" t="s">
        <v>122</v>
      </c>
      <c r="L609" s="2" t="s">
        <v>128</v>
      </c>
      <c r="M609" s="2"/>
    </row>
    <row r="610" customFormat="false" ht="15" hidden="false" customHeight="false" outlineLevel="0" collapsed="false">
      <c r="A610" s="2" t="s">
        <v>2452</v>
      </c>
      <c r="B610" s="2" t="s">
        <v>325</v>
      </c>
      <c r="C610" s="2" t="s">
        <v>326</v>
      </c>
      <c r="D610" s="13" t="n">
        <v>45314.3159722222</v>
      </c>
      <c r="E610" s="2" t="s">
        <v>37</v>
      </c>
      <c r="F610" s="2" t="s">
        <v>29</v>
      </c>
      <c r="G610" s="2" t="n">
        <v>9807.67</v>
      </c>
      <c r="H610" s="2" t="n">
        <v>86.9</v>
      </c>
      <c r="I610" s="2" t="s">
        <v>28</v>
      </c>
      <c r="J610" s="2" t="s">
        <v>2453</v>
      </c>
      <c r="K610" s="2" t="s">
        <v>101</v>
      </c>
      <c r="L610" s="2" t="s">
        <v>133</v>
      </c>
      <c r="M610" s="2"/>
    </row>
    <row r="611" customFormat="false" ht="15" hidden="false" customHeight="false" outlineLevel="0" collapsed="false">
      <c r="A611" s="2" t="s">
        <v>2454</v>
      </c>
      <c r="B611" s="2" t="s">
        <v>2007</v>
      </c>
      <c r="C611" s="2" t="s">
        <v>2008</v>
      </c>
      <c r="D611" s="13" t="n">
        <v>45924.6840277778</v>
      </c>
      <c r="E611" s="2" t="s">
        <v>35</v>
      </c>
      <c r="F611" s="2" t="s">
        <v>31</v>
      </c>
      <c r="G611" s="2" t="n">
        <v>1051.46</v>
      </c>
      <c r="H611" s="2" t="n">
        <v>7.4</v>
      </c>
      <c r="I611" s="2" t="s">
        <v>26</v>
      </c>
      <c r="J611" s="2" t="s">
        <v>2455</v>
      </c>
      <c r="K611" s="2" t="s">
        <v>122</v>
      </c>
      <c r="L611" s="2" t="s">
        <v>138</v>
      </c>
      <c r="M611" s="2"/>
    </row>
    <row r="612" customFormat="false" ht="15" hidden="false" customHeight="false" outlineLevel="0" collapsed="false">
      <c r="A612" s="2" t="s">
        <v>2456</v>
      </c>
      <c r="B612" s="2" t="s">
        <v>1730</v>
      </c>
      <c r="C612" s="2" t="s">
        <v>1731</v>
      </c>
      <c r="D612" s="13" t="n">
        <v>45587.8979166667</v>
      </c>
      <c r="E612" s="2" t="s">
        <v>43</v>
      </c>
      <c r="F612" s="2" t="s">
        <v>31</v>
      </c>
      <c r="G612" s="2" t="n">
        <v>12826.53</v>
      </c>
      <c r="H612" s="2" t="n">
        <v>76.79</v>
      </c>
      <c r="I612" s="2" t="s">
        <v>26</v>
      </c>
      <c r="J612" s="2" t="s">
        <v>2457</v>
      </c>
      <c r="K612" s="2" t="s">
        <v>101</v>
      </c>
      <c r="L612" s="2"/>
      <c r="M612" s="2" t="s">
        <v>627</v>
      </c>
    </row>
    <row r="613" customFormat="false" ht="15" hidden="false" customHeight="false" outlineLevel="0" collapsed="false">
      <c r="A613" s="2" t="s">
        <v>2458</v>
      </c>
      <c r="B613" s="2" t="s">
        <v>2103</v>
      </c>
      <c r="C613" s="2" t="s">
        <v>2104</v>
      </c>
      <c r="D613" s="13" t="n">
        <v>45890.3027777778</v>
      </c>
      <c r="E613" s="2" t="s">
        <v>37</v>
      </c>
      <c r="F613" s="2" t="s">
        <v>31</v>
      </c>
      <c r="G613" s="2" t="n">
        <v>6863.39</v>
      </c>
      <c r="H613" s="2" t="n">
        <v>49.06</v>
      </c>
      <c r="I613" s="2" t="s">
        <v>26</v>
      </c>
      <c r="J613" s="2" t="s">
        <v>2459</v>
      </c>
      <c r="K613" s="2" t="s">
        <v>95</v>
      </c>
      <c r="L613" s="2" t="s">
        <v>841</v>
      </c>
      <c r="M613" s="2"/>
    </row>
    <row r="614" customFormat="false" ht="15" hidden="false" customHeight="false" outlineLevel="0" collapsed="false">
      <c r="A614" s="2" t="s">
        <v>2460</v>
      </c>
      <c r="B614" s="2" t="s">
        <v>2461</v>
      </c>
      <c r="C614" s="2" t="s">
        <v>2462</v>
      </c>
      <c r="D614" s="13" t="n">
        <v>45324.5173611111</v>
      </c>
      <c r="E614" s="2" t="s">
        <v>35</v>
      </c>
      <c r="F614" s="2" t="s">
        <v>31</v>
      </c>
      <c r="G614" s="2" t="n">
        <v>1283.89</v>
      </c>
      <c r="H614" s="2" t="n">
        <v>7.66</v>
      </c>
      <c r="I614" s="2" t="s">
        <v>26</v>
      </c>
      <c r="J614" s="2" t="s">
        <v>2463</v>
      </c>
      <c r="K614" s="2" t="s">
        <v>95</v>
      </c>
      <c r="L614" s="2" t="s">
        <v>147</v>
      </c>
      <c r="M614" s="2"/>
    </row>
    <row r="615" customFormat="false" ht="15" hidden="false" customHeight="false" outlineLevel="0" collapsed="false">
      <c r="A615" s="2" t="s">
        <v>2464</v>
      </c>
      <c r="B615" s="2" t="s">
        <v>2465</v>
      </c>
      <c r="C615" s="2" t="s">
        <v>2466</v>
      </c>
      <c r="D615" s="13" t="n">
        <v>45839.6402777778</v>
      </c>
      <c r="E615" s="2" t="s">
        <v>43</v>
      </c>
      <c r="F615" s="2" t="s">
        <v>32</v>
      </c>
      <c r="G615" s="2" t="n">
        <v>4674.66</v>
      </c>
      <c r="H615" s="2" t="n">
        <v>9.37</v>
      </c>
      <c r="I615" s="2" t="s">
        <v>30</v>
      </c>
      <c r="J615" s="2" t="s">
        <v>2467</v>
      </c>
      <c r="K615" s="2" t="s">
        <v>89</v>
      </c>
      <c r="L615" s="2"/>
      <c r="M615" s="2" t="s">
        <v>1053</v>
      </c>
    </row>
    <row r="616" customFormat="false" ht="15" hidden="false" customHeight="false" outlineLevel="0" collapsed="false">
      <c r="A616" s="2" t="s">
        <v>2468</v>
      </c>
      <c r="B616" s="2" t="s">
        <v>2469</v>
      </c>
      <c r="C616" s="2" t="s">
        <v>2470</v>
      </c>
      <c r="D616" s="13" t="n">
        <v>45786.6958333333</v>
      </c>
      <c r="E616" s="2" t="s">
        <v>37</v>
      </c>
      <c r="F616" s="2" t="s">
        <v>29</v>
      </c>
      <c r="G616" s="2" t="n">
        <v>13399.44</v>
      </c>
      <c r="H616" s="2" t="n">
        <v>109.72</v>
      </c>
      <c r="I616" s="2" t="s">
        <v>30</v>
      </c>
      <c r="J616" s="2" t="s">
        <v>2471</v>
      </c>
      <c r="K616" s="2" t="s">
        <v>89</v>
      </c>
      <c r="L616" s="2" t="s">
        <v>153</v>
      </c>
      <c r="M616" s="2"/>
    </row>
    <row r="617" customFormat="false" ht="15" hidden="false" customHeight="false" outlineLevel="0" collapsed="false">
      <c r="A617" s="2" t="s">
        <v>2472</v>
      </c>
      <c r="B617" s="2" t="s">
        <v>568</v>
      </c>
      <c r="C617" s="2" t="s">
        <v>569</v>
      </c>
      <c r="D617" s="13" t="n">
        <v>45647.8715277778</v>
      </c>
      <c r="E617" s="2" t="s">
        <v>35</v>
      </c>
      <c r="F617" s="2" t="s">
        <v>31</v>
      </c>
      <c r="G617" s="2" t="n">
        <v>2365.4</v>
      </c>
      <c r="H617" s="2" t="n">
        <v>27.44</v>
      </c>
      <c r="I617" s="2" t="s">
        <v>26</v>
      </c>
      <c r="J617" s="2" t="s">
        <v>2473</v>
      </c>
      <c r="K617" s="2" t="s">
        <v>89</v>
      </c>
      <c r="L617" s="2" t="s">
        <v>158</v>
      </c>
      <c r="M617" s="2"/>
    </row>
    <row r="618" customFormat="false" ht="15" hidden="false" customHeight="false" outlineLevel="0" collapsed="false">
      <c r="A618" s="2" t="s">
        <v>2474</v>
      </c>
      <c r="B618" s="2" t="s">
        <v>2475</v>
      </c>
      <c r="C618" s="2" t="s">
        <v>2476</v>
      </c>
      <c r="D618" s="13" t="n">
        <v>45339.7819444445</v>
      </c>
      <c r="E618" s="2" t="s">
        <v>43</v>
      </c>
      <c r="F618" s="2" t="s">
        <v>29</v>
      </c>
      <c r="G618" s="2" t="n">
        <v>2240.51</v>
      </c>
      <c r="H618" s="2" t="n">
        <v>6.76</v>
      </c>
      <c r="I618" s="2" t="s">
        <v>30</v>
      </c>
      <c r="J618" s="2" t="s">
        <v>2477</v>
      </c>
      <c r="K618" s="2" t="s">
        <v>95</v>
      </c>
      <c r="L618" s="2"/>
      <c r="M618" s="2" t="s">
        <v>163</v>
      </c>
    </row>
    <row r="619" customFormat="false" ht="15" hidden="false" customHeight="false" outlineLevel="0" collapsed="false">
      <c r="A619" s="2" t="s">
        <v>2478</v>
      </c>
      <c r="B619" s="2" t="s">
        <v>1515</v>
      </c>
      <c r="C619" s="2" t="s">
        <v>1516</v>
      </c>
      <c r="D619" s="13" t="n">
        <v>45658.8041666667</v>
      </c>
      <c r="E619" s="2" t="s">
        <v>37</v>
      </c>
      <c r="F619" s="2" t="s">
        <v>29</v>
      </c>
      <c r="G619" s="2" t="n">
        <v>1579.09</v>
      </c>
      <c r="H619" s="2" t="n">
        <v>12.09</v>
      </c>
      <c r="I619" s="2" t="s">
        <v>26</v>
      </c>
      <c r="J619" s="2" t="s">
        <v>2479</v>
      </c>
      <c r="K619" s="2" t="s">
        <v>122</v>
      </c>
      <c r="L619" s="2" t="s">
        <v>168</v>
      </c>
      <c r="M619" s="2"/>
    </row>
    <row r="620" customFormat="false" ht="15" hidden="false" customHeight="false" outlineLevel="0" collapsed="false">
      <c r="A620" s="2" t="s">
        <v>2480</v>
      </c>
      <c r="B620" s="2" t="s">
        <v>2387</v>
      </c>
      <c r="C620" s="2" t="s">
        <v>2388</v>
      </c>
      <c r="D620" s="13" t="n">
        <v>45345.9569444444</v>
      </c>
      <c r="E620" s="2" t="s">
        <v>39</v>
      </c>
      <c r="F620" s="2" t="s">
        <v>31</v>
      </c>
      <c r="G620" s="2" t="n">
        <v>1164</v>
      </c>
      <c r="H620" s="2" t="n">
        <v>7.15</v>
      </c>
      <c r="I620" s="2" t="s">
        <v>26</v>
      </c>
      <c r="J620" s="2" t="s">
        <v>2481</v>
      </c>
      <c r="K620" s="2" t="s">
        <v>95</v>
      </c>
      <c r="L620" s="2" t="s">
        <v>173</v>
      </c>
      <c r="M620" s="2"/>
    </row>
    <row r="621" customFormat="false" ht="15" hidden="false" customHeight="false" outlineLevel="0" collapsed="false">
      <c r="A621" s="2" t="s">
        <v>2482</v>
      </c>
      <c r="B621" s="2" t="s">
        <v>2483</v>
      </c>
      <c r="C621" s="2" t="s">
        <v>2484</v>
      </c>
      <c r="D621" s="13" t="n">
        <v>45673.41875</v>
      </c>
      <c r="E621" s="2" t="s">
        <v>37</v>
      </c>
      <c r="F621" s="2" t="s">
        <v>29</v>
      </c>
      <c r="G621" s="2" t="n">
        <v>843.88</v>
      </c>
      <c r="H621" s="2" t="n">
        <v>5</v>
      </c>
      <c r="I621" s="2" t="s">
        <v>30</v>
      </c>
      <c r="J621" s="2" t="s">
        <v>2485</v>
      </c>
      <c r="K621" s="2" t="s">
        <v>101</v>
      </c>
      <c r="L621" s="2" t="s">
        <v>178</v>
      </c>
      <c r="M621" s="2"/>
    </row>
    <row r="622" customFormat="false" ht="15" hidden="false" customHeight="false" outlineLevel="0" collapsed="false">
      <c r="A622" s="2" t="s">
        <v>2486</v>
      </c>
      <c r="B622" s="2" t="s">
        <v>375</v>
      </c>
      <c r="C622" s="2" t="s">
        <v>376</v>
      </c>
      <c r="D622" s="13" t="n">
        <v>45724.8277777778</v>
      </c>
      <c r="E622" s="2" t="s">
        <v>41</v>
      </c>
      <c r="F622" s="2" t="s">
        <v>31</v>
      </c>
      <c r="G622" s="2" t="n">
        <v>13537.52</v>
      </c>
      <c r="H622" s="2" t="n">
        <v>133.67</v>
      </c>
      <c r="I622" s="2" t="s">
        <v>26</v>
      </c>
      <c r="J622" s="2" t="s">
        <v>2487</v>
      </c>
      <c r="K622" s="2" t="s">
        <v>101</v>
      </c>
      <c r="L622" s="2" t="s">
        <v>874</v>
      </c>
      <c r="M622" s="2"/>
    </row>
    <row r="623" customFormat="false" ht="15" hidden="false" customHeight="false" outlineLevel="0" collapsed="false">
      <c r="A623" s="2" t="s">
        <v>2488</v>
      </c>
      <c r="B623" s="2" t="s">
        <v>1625</v>
      </c>
      <c r="C623" s="2" t="s">
        <v>1626</v>
      </c>
      <c r="D623" s="13" t="n">
        <v>45903.8715277778</v>
      </c>
      <c r="E623" s="2" t="s">
        <v>41</v>
      </c>
      <c r="F623" s="2" t="s">
        <v>32</v>
      </c>
      <c r="G623" s="2" t="n">
        <v>3805.05</v>
      </c>
      <c r="H623" s="2" t="n">
        <v>23.8</v>
      </c>
      <c r="I623" s="2" t="s">
        <v>26</v>
      </c>
      <c r="J623" s="2" t="s">
        <v>2489</v>
      </c>
      <c r="K623" s="2" t="s">
        <v>89</v>
      </c>
      <c r="L623" s="2" t="s">
        <v>188</v>
      </c>
      <c r="M623" s="2"/>
    </row>
    <row r="624" customFormat="false" ht="15" hidden="false" customHeight="false" outlineLevel="0" collapsed="false">
      <c r="A624" s="2" t="s">
        <v>2490</v>
      </c>
      <c r="B624" s="2" t="s">
        <v>2491</v>
      </c>
      <c r="C624" s="2" t="s">
        <v>2492</v>
      </c>
      <c r="D624" s="13" t="n">
        <v>45300.71875</v>
      </c>
      <c r="E624" s="2" t="s">
        <v>37</v>
      </c>
      <c r="F624" s="2" t="s">
        <v>31</v>
      </c>
      <c r="G624" s="2" t="n">
        <v>1055.61</v>
      </c>
      <c r="H624" s="2" t="n">
        <v>9.08</v>
      </c>
      <c r="I624" s="2" t="s">
        <v>26</v>
      </c>
      <c r="J624" s="2" t="s">
        <v>2493</v>
      </c>
      <c r="K624" s="2" t="s">
        <v>122</v>
      </c>
      <c r="L624" s="2" t="s">
        <v>193</v>
      </c>
      <c r="M624" s="2"/>
    </row>
    <row r="625" customFormat="false" ht="15" hidden="false" customHeight="false" outlineLevel="0" collapsed="false">
      <c r="A625" s="2" t="s">
        <v>2494</v>
      </c>
      <c r="B625" s="2" t="s">
        <v>1410</v>
      </c>
      <c r="C625" s="2" t="s">
        <v>1411</v>
      </c>
      <c r="D625" s="13" t="n">
        <v>45783.8048611111</v>
      </c>
      <c r="E625" s="2" t="s">
        <v>43</v>
      </c>
      <c r="F625" s="2" t="s">
        <v>32</v>
      </c>
      <c r="G625" s="2" t="n">
        <v>5034.67</v>
      </c>
      <c r="H625" s="2" t="n">
        <v>26.47</v>
      </c>
      <c r="I625" s="2" t="s">
        <v>28</v>
      </c>
      <c r="J625" s="2" t="s">
        <v>2495</v>
      </c>
      <c r="K625" s="2" t="s">
        <v>122</v>
      </c>
      <c r="L625" s="2"/>
      <c r="M625" s="2" t="s">
        <v>198</v>
      </c>
    </row>
    <row r="626" customFormat="false" ht="15" hidden="false" customHeight="false" outlineLevel="0" collapsed="false">
      <c r="A626" s="2" t="s">
        <v>2496</v>
      </c>
      <c r="B626" s="2" t="s">
        <v>2410</v>
      </c>
      <c r="C626" s="2" t="s">
        <v>2411</v>
      </c>
      <c r="D626" s="13" t="n">
        <v>45466.4541666667</v>
      </c>
      <c r="E626" s="2" t="s">
        <v>39</v>
      </c>
      <c r="F626" s="2" t="s">
        <v>27</v>
      </c>
      <c r="G626" s="2" t="n">
        <v>8297.52</v>
      </c>
      <c r="H626" s="2" t="n">
        <v>35.28</v>
      </c>
      <c r="I626" s="2" t="s">
        <v>26</v>
      </c>
      <c r="J626" s="2" t="s">
        <v>2497</v>
      </c>
      <c r="K626" s="2" t="s">
        <v>95</v>
      </c>
      <c r="L626" s="2"/>
      <c r="M626" s="2" t="s">
        <v>203</v>
      </c>
    </row>
    <row r="627" customFormat="false" ht="15" hidden="false" customHeight="false" outlineLevel="0" collapsed="false">
      <c r="A627" s="2" t="s">
        <v>2498</v>
      </c>
      <c r="B627" s="2" t="s">
        <v>2499</v>
      </c>
      <c r="C627" s="2" t="s">
        <v>2500</v>
      </c>
      <c r="D627" s="13" t="n">
        <v>45633.7590277778</v>
      </c>
      <c r="E627" s="2" t="s">
        <v>41</v>
      </c>
      <c r="F627" s="2" t="s">
        <v>27</v>
      </c>
      <c r="G627" s="2" t="n">
        <v>18700.34</v>
      </c>
      <c r="H627" s="2" t="n">
        <v>38.02</v>
      </c>
      <c r="I627" s="2" t="s">
        <v>26</v>
      </c>
      <c r="J627" s="2" t="s">
        <v>2501</v>
      </c>
      <c r="K627" s="2" t="s">
        <v>95</v>
      </c>
      <c r="L627" s="2"/>
      <c r="M627" s="2" t="s">
        <v>692</v>
      </c>
    </row>
    <row r="628" customFormat="false" ht="15" hidden="false" customHeight="false" outlineLevel="0" collapsed="false">
      <c r="A628" s="2" t="s">
        <v>2502</v>
      </c>
      <c r="B628" s="2" t="s">
        <v>2503</v>
      </c>
      <c r="C628" s="2" t="s">
        <v>2504</v>
      </c>
      <c r="D628" s="13" t="n">
        <v>45385.4159722222</v>
      </c>
      <c r="E628" s="2" t="s">
        <v>41</v>
      </c>
      <c r="F628" s="2" t="s">
        <v>27</v>
      </c>
      <c r="G628" s="2" t="n">
        <v>8150.91</v>
      </c>
      <c r="H628" s="2" t="n">
        <v>91.55</v>
      </c>
      <c r="I628" s="2" t="s">
        <v>26</v>
      </c>
      <c r="J628" s="2" t="s">
        <v>2505</v>
      </c>
      <c r="K628" s="2" t="s">
        <v>95</v>
      </c>
      <c r="L628" s="2"/>
      <c r="M628" s="2" t="s">
        <v>1495</v>
      </c>
    </row>
    <row r="629" customFormat="false" ht="15" hidden="false" customHeight="false" outlineLevel="0" collapsed="false">
      <c r="A629" s="2" t="s">
        <v>2506</v>
      </c>
      <c r="B629" s="2" t="s">
        <v>2507</v>
      </c>
      <c r="C629" s="2" t="s">
        <v>2508</v>
      </c>
      <c r="D629" s="13" t="n">
        <v>45569.6104166667</v>
      </c>
      <c r="E629" s="2" t="s">
        <v>43</v>
      </c>
      <c r="F629" s="2" t="s">
        <v>29</v>
      </c>
      <c r="G629" s="2" t="n">
        <v>2730.38</v>
      </c>
      <c r="H629" s="2" t="n">
        <v>23.89</v>
      </c>
      <c r="I629" s="2" t="s">
        <v>26</v>
      </c>
      <c r="J629" s="2" t="s">
        <v>2509</v>
      </c>
      <c r="K629" s="2" t="s">
        <v>95</v>
      </c>
      <c r="L629" s="2"/>
      <c r="M629" s="2" t="s">
        <v>700</v>
      </c>
    </row>
    <row r="630" customFormat="false" ht="15" hidden="false" customHeight="false" outlineLevel="0" collapsed="false">
      <c r="A630" s="2" t="s">
        <v>2510</v>
      </c>
      <c r="B630" s="2" t="s">
        <v>2511</v>
      </c>
      <c r="C630" s="2" t="s">
        <v>2512</v>
      </c>
      <c r="D630" s="13" t="n">
        <v>45976.6736111111</v>
      </c>
      <c r="E630" s="2" t="s">
        <v>35</v>
      </c>
      <c r="F630" s="2" t="s">
        <v>31</v>
      </c>
      <c r="G630" s="2" t="n">
        <v>6474.91</v>
      </c>
      <c r="H630" s="2" t="n">
        <v>59.1</v>
      </c>
      <c r="I630" s="2" t="s">
        <v>26</v>
      </c>
      <c r="J630" s="2" t="s">
        <v>2513</v>
      </c>
      <c r="K630" s="2" t="s">
        <v>89</v>
      </c>
      <c r="L630" s="2" t="s">
        <v>1504</v>
      </c>
      <c r="M630" s="2"/>
    </row>
    <row r="631" customFormat="false" ht="15" hidden="false" customHeight="false" outlineLevel="0" collapsed="false">
      <c r="A631" s="2" t="s">
        <v>2514</v>
      </c>
      <c r="B631" s="2" t="s">
        <v>2515</v>
      </c>
      <c r="C631" s="2" t="s">
        <v>2516</v>
      </c>
      <c r="D631" s="13" t="n">
        <v>45627.9326388889</v>
      </c>
      <c r="E631" s="2" t="s">
        <v>39</v>
      </c>
      <c r="F631" s="2" t="s">
        <v>31</v>
      </c>
      <c r="G631" s="2" t="n">
        <v>5753.97</v>
      </c>
      <c r="H631" s="2" t="n">
        <v>14.66</v>
      </c>
      <c r="I631" s="2" t="s">
        <v>26</v>
      </c>
      <c r="J631" s="2" t="s">
        <v>2517</v>
      </c>
      <c r="K631" s="2" t="s">
        <v>101</v>
      </c>
      <c r="L631" s="2" t="s">
        <v>911</v>
      </c>
      <c r="M631" s="2"/>
    </row>
    <row r="632" customFormat="false" ht="15" hidden="false" customHeight="false" outlineLevel="0" collapsed="false">
      <c r="A632" s="2" t="s">
        <v>2518</v>
      </c>
      <c r="B632" s="2" t="s">
        <v>1406</v>
      </c>
      <c r="C632" s="2" t="s">
        <v>1407</v>
      </c>
      <c r="D632" s="13" t="n">
        <v>45386.6444444444</v>
      </c>
      <c r="E632" s="2" t="s">
        <v>35</v>
      </c>
      <c r="F632" s="2" t="s">
        <v>32</v>
      </c>
      <c r="G632" s="2" t="n">
        <v>3612.89</v>
      </c>
      <c r="H632" s="2" t="n">
        <v>15.55</v>
      </c>
      <c r="I632" s="2" t="s">
        <v>26</v>
      </c>
      <c r="J632" s="2" t="s">
        <v>2519</v>
      </c>
      <c r="K632" s="2" t="s">
        <v>95</v>
      </c>
      <c r="L632" s="2" t="s">
        <v>916</v>
      </c>
      <c r="M632" s="2"/>
    </row>
    <row r="633" customFormat="false" ht="15" hidden="false" customHeight="false" outlineLevel="0" collapsed="false">
      <c r="A633" s="2" t="s">
        <v>2520</v>
      </c>
      <c r="B633" s="2" t="s">
        <v>2521</v>
      </c>
      <c r="C633" s="2" t="s">
        <v>2522</v>
      </c>
      <c r="D633" s="13" t="n">
        <v>45740.6715277778</v>
      </c>
      <c r="E633" s="2" t="s">
        <v>43</v>
      </c>
      <c r="F633" s="2" t="s">
        <v>27</v>
      </c>
      <c r="G633" s="2" t="n">
        <v>847.21</v>
      </c>
      <c r="H633" s="2" t="n">
        <v>7.64</v>
      </c>
      <c r="I633" s="2" t="s">
        <v>26</v>
      </c>
      <c r="J633" s="2" t="s">
        <v>2523</v>
      </c>
      <c r="K633" s="2" t="s">
        <v>101</v>
      </c>
      <c r="L633" s="2"/>
      <c r="M633" s="2" t="s">
        <v>238</v>
      </c>
    </row>
    <row r="634" customFormat="false" ht="15" hidden="false" customHeight="false" outlineLevel="0" collapsed="false">
      <c r="A634" s="2" t="s">
        <v>2524</v>
      </c>
      <c r="B634" s="2" t="s">
        <v>2525</v>
      </c>
      <c r="C634" s="2" t="s">
        <v>2526</v>
      </c>
      <c r="D634" s="13" t="n">
        <v>45909.5430555556</v>
      </c>
      <c r="E634" s="2" t="s">
        <v>41</v>
      </c>
      <c r="F634" s="2" t="s">
        <v>32</v>
      </c>
      <c r="G634" s="2" t="n">
        <v>2301.51</v>
      </c>
      <c r="H634" s="2" t="n">
        <v>16.9</v>
      </c>
      <c r="I634" s="2" t="s">
        <v>26</v>
      </c>
      <c r="J634" s="2" t="s">
        <v>2527</v>
      </c>
      <c r="K634" s="2" t="s">
        <v>95</v>
      </c>
      <c r="L634" s="2" t="s">
        <v>243</v>
      </c>
      <c r="M634" s="2"/>
    </row>
    <row r="635" customFormat="false" ht="15" hidden="false" customHeight="false" outlineLevel="0" collapsed="false">
      <c r="A635" s="2" t="s">
        <v>2528</v>
      </c>
      <c r="B635" s="2" t="s">
        <v>2529</v>
      </c>
      <c r="C635" s="2" t="s">
        <v>2530</v>
      </c>
      <c r="D635" s="13" t="n">
        <v>45377.4055555556</v>
      </c>
      <c r="E635" s="2" t="s">
        <v>39</v>
      </c>
      <c r="F635" s="2" t="s">
        <v>27</v>
      </c>
      <c r="G635" s="2" t="n">
        <v>4407.11</v>
      </c>
      <c r="H635" s="2" t="n">
        <v>16.84</v>
      </c>
      <c r="I635" s="2" t="s">
        <v>28</v>
      </c>
      <c r="J635" s="2" t="s">
        <v>2531</v>
      </c>
      <c r="K635" s="2" t="s">
        <v>95</v>
      </c>
      <c r="L635" s="2"/>
      <c r="M635" s="2" t="s">
        <v>723</v>
      </c>
    </row>
    <row r="636" customFormat="false" ht="15" hidden="false" customHeight="false" outlineLevel="0" collapsed="false">
      <c r="A636" s="2" t="s">
        <v>2532</v>
      </c>
      <c r="B636" s="2" t="s">
        <v>624</v>
      </c>
      <c r="C636" s="2" t="s">
        <v>625</v>
      </c>
      <c r="D636" s="13" t="n">
        <v>45862.3902777778</v>
      </c>
      <c r="E636" s="2" t="s">
        <v>39</v>
      </c>
      <c r="F636" s="2" t="s">
        <v>29</v>
      </c>
      <c r="G636" s="2" t="n">
        <v>10626.59</v>
      </c>
      <c r="H636" s="2" t="n">
        <v>71.75</v>
      </c>
      <c r="I636" s="2" t="s">
        <v>28</v>
      </c>
      <c r="J636" s="2" t="s">
        <v>2533</v>
      </c>
      <c r="K636" s="2" t="s">
        <v>122</v>
      </c>
      <c r="L636" s="2" t="s">
        <v>253</v>
      </c>
      <c r="M636" s="2"/>
    </row>
    <row r="637" customFormat="false" ht="15" hidden="false" customHeight="false" outlineLevel="0" collapsed="false">
      <c r="A637" s="2" t="s">
        <v>2534</v>
      </c>
      <c r="B637" s="2" t="s">
        <v>2535</v>
      </c>
      <c r="C637" s="2" t="s">
        <v>2536</v>
      </c>
      <c r="D637" s="13" t="n">
        <v>45615.3888888889</v>
      </c>
      <c r="E637" s="2" t="s">
        <v>35</v>
      </c>
      <c r="F637" s="2" t="s">
        <v>32</v>
      </c>
      <c r="G637" s="2" t="n">
        <v>1503.16</v>
      </c>
      <c r="H637" s="2" t="n">
        <v>7.6</v>
      </c>
      <c r="I637" s="2" t="s">
        <v>26</v>
      </c>
      <c r="J637" s="2" t="s">
        <v>2537</v>
      </c>
      <c r="K637" s="2" t="s">
        <v>95</v>
      </c>
      <c r="L637" s="2" t="s">
        <v>258</v>
      </c>
      <c r="M637" s="2"/>
    </row>
    <row r="638" customFormat="false" ht="15" hidden="false" customHeight="false" outlineLevel="0" collapsed="false">
      <c r="A638" s="2" t="s">
        <v>2538</v>
      </c>
      <c r="B638" s="2" t="s">
        <v>2539</v>
      </c>
      <c r="C638" s="2" t="s">
        <v>2540</v>
      </c>
      <c r="D638" s="13" t="n">
        <v>45816.3375</v>
      </c>
      <c r="E638" s="2" t="s">
        <v>37</v>
      </c>
      <c r="F638" s="2" t="s">
        <v>32</v>
      </c>
      <c r="G638" s="2" t="n">
        <v>4671.96</v>
      </c>
      <c r="H638" s="2" t="n">
        <v>25.99</v>
      </c>
      <c r="I638" s="2" t="s">
        <v>26</v>
      </c>
      <c r="J638" s="2" t="s">
        <v>2541</v>
      </c>
      <c r="K638" s="2" t="s">
        <v>101</v>
      </c>
      <c r="L638" s="2" t="s">
        <v>940</v>
      </c>
      <c r="M638" s="2"/>
    </row>
    <row r="639" customFormat="false" ht="15" hidden="false" customHeight="false" outlineLevel="0" collapsed="false">
      <c r="A639" s="2" t="s">
        <v>2542</v>
      </c>
      <c r="B639" s="2" t="s">
        <v>1223</v>
      </c>
      <c r="C639" s="2" t="s">
        <v>1224</v>
      </c>
      <c r="D639" s="13" t="n">
        <v>45682.9201388889</v>
      </c>
      <c r="E639" s="2" t="s">
        <v>41</v>
      </c>
      <c r="F639" s="2" t="s">
        <v>27</v>
      </c>
      <c r="G639" s="2" t="n">
        <v>8300.47</v>
      </c>
      <c r="H639" s="2" t="n">
        <v>48.05</v>
      </c>
      <c r="I639" s="2" t="s">
        <v>28</v>
      </c>
      <c r="J639" s="2" t="s">
        <v>2543</v>
      </c>
      <c r="K639" s="2" t="s">
        <v>89</v>
      </c>
      <c r="L639" s="2"/>
      <c r="M639" s="2" t="s">
        <v>268</v>
      </c>
    </row>
    <row r="640" customFormat="false" ht="15" hidden="false" customHeight="false" outlineLevel="0" collapsed="false">
      <c r="A640" s="2" t="s">
        <v>2544</v>
      </c>
      <c r="B640" s="2" t="s">
        <v>410</v>
      </c>
      <c r="C640" s="2" t="s">
        <v>411</v>
      </c>
      <c r="D640" s="13" t="n">
        <v>45521.5777777778</v>
      </c>
      <c r="E640" s="2" t="s">
        <v>37</v>
      </c>
      <c r="F640" s="2" t="s">
        <v>27</v>
      </c>
      <c r="G640" s="2" t="n">
        <v>2611.12</v>
      </c>
      <c r="H640" s="2" t="n">
        <v>20.25</v>
      </c>
      <c r="I640" s="2" t="s">
        <v>26</v>
      </c>
      <c r="J640" s="2" t="s">
        <v>2545</v>
      </c>
      <c r="K640" s="2" t="s">
        <v>101</v>
      </c>
      <c r="L640" s="2"/>
      <c r="M640" s="2" t="s">
        <v>273</v>
      </c>
    </row>
    <row r="641" customFormat="false" ht="15" hidden="false" customHeight="false" outlineLevel="0" collapsed="false">
      <c r="A641" s="2" t="s">
        <v>2546</v>
      </c>
      <c r="B641" s="2" t="s">
        <v>2547</v>
      </c>
      <c r="C641" s="2" t="s">
        <v>2548</v>
      </c>
      <c r="D641" s="13" t="n">
        <v>45916.3222222222</v>
      </c>
      <c r="E641" s="2" t="s">
        <v>39</v>
      </c>
      <c r="F641" s="2" t="s">
        <v>32</v>
      </c>
      <c r="G641" s="2" t="n">
        <v>5159.22</v>
      </c>
      <c r="H641" s="2" t="n">
        <v>22.07</v>
      </c>
      <c r="I641" s="2" t="s">
        <v>30</v>
      </c>
      <c r="J641" s="2" t="s">
        <v>2549</v>
      </c>
      <c r="K641" s="2" t="s">
        <v>101</v>
      </c>
      <c r="L641" s="2" t="s">
        <v>1543</v>
      </c>
      <c r="M641" s="2"/>
    </row>
    <row r="642" customFormat="false" ht="15" hidden="false" customHeight="false" outlineLevel="0" collapsed="false">
      <c r="A642" s="2" t="s">
        <v>2550</v>
      </c>
      <c r="B642" s="2" t="s">
        <v>2551</v>
      </c>
      <c r="C642" s="2" t="s">
        <v>2552</v>
      </c>
      <c r="D642" s="13" t="n">
        <v>45389.3986111111</v>
      </c>
      <c r="E642" s="2" t="s">
        <v>35</v>
      </c>
      <c r="F642" s="2" t="s">
        <v>32</v>
      </c>
      <c r="G642" s="2" t="n">
        <v>6513.47</v>
      </c>
      <c r="H642" s="2" t="n">
        <v>31.95</v>
      </c>
      <c r="I642" s="2" t="s">
        <v>30</v>
      </c>
      <c r="J642" s="2" t="s">
        <v>2553</v>
      </c>
      <c r="K642" s="2" t="s">
        <v>101</v>
      </c>
      <c r="L642" s="2" t="s">
        <v>283</v>
      </c>
      <c r="M642" s="2"/>
    </row>
    <row r="643" customFormat="false" ht="15" hidden="false" customHeight="false" outlineLevel="0" collapsed="false">
      <c r="A643" s="2" t="s">
        <v>2554</v>
      </c>
      <c r="B643" s="2" t="s">
        <v>2555</v>
      </c>
      <c r="C643" s="2" t="s">
        <v>2556</v>
      </c>
      <c r="D643" s="13" t="n">
        <v>45575.69375</v>
      </c>
      <c r="E643" s="2" t="s">
        <v>37</v>
      </c>
      <c r="F643" s="2" t="s">
        <v>32</v>
      </c>
      <c r="G643" s="2" t="n">
        <v>11583.89</v>
      </c>
      <c r="H643" s="2" t="n">
        <v>90.68</v>
      </c>
      <c r="I643" s="2" t="s">
        <v>28</v>
      </c>
      <c r="J643" s="2" t="s">
        <v>2557</v>
      </c>
      <c r="K643" s="2" t="s">
        <v>101</v>
      </c>
      <c r="L643" s="2" t="s">
        <v>963</v>
      </c>
      <c r="M643" s="2"/>
    </row>
    <row r="644" customFormat="false" ht="15" hidden="false" customHeight="false" outlineLevel="0" collapsed="false">
      <c r="A644" s="2" t="s">
        <v>2558</v>
      </c>
      <c r="B644" s="2" t="s">
        <v>2559</v>
      </c>
      <c r="C644" s="2" t="s">
        <v>2560</v>
      </c>
      <c r="D644" s="13" t="n">
        <v>45794.7361111111</v>
      </c>
      <c r="E644" s="2" t="s">
        <v>43</v>
      </c>
      <c r="F644" s="2" t="s">
        <v>31</v>
      </c>
      <c r="G644" s="2" t="n">
        <v>6994.93</v>
      </c>
      <c r="H644" s="2" t="n">
        <v>50.36</v>
      </c>
      <c r="I644" s="2" t="s">
        <v>28</v>
      </c>
      <c r="J644" s="2" t="s">
        <v>2561</v>
      </c>
      <c r="K644" s="2" t="s">
        <v>89</v>
      </c>
      <c r="L644" s="2"/>
      <c r="M644" s="2" t="s">
        <v>762</v>
      </c>
    </row>
    <row r="645" customFormat="false" ht="15" hidden="false" customHeight="false" outlineLevel="0" collapsed="false">
      <c r="A645" s="2" t="s">
        <v>2562</v>
      </c>
      <c r="B645" s="2" t="s">
        <v>2563</v>
      </c>
      <c r="C645" s="2" t="s">
        <v>2564</v>
      </c>
      <c r="D645" s="13" t="n">
        <v>45438.3944444444</v>
      </c>
      <c r="E645" s="2" t="s">
        <v>39</v>
      </c>
      <c r="F645" s="2" t="s">
        <v>32</v>
      </c>
      <c r="G645" s="2" t="n">
        <v>8803.95</v>
      </c>
      <c r="H645" s="2" t="n">
        <v>65.04</v>
      </c>
      <c r="I645" s="2" t="s">
        <v>26</v>
      </c>
      <c r="J645" s="2" t="s">
        <v>2565</v>
      </c>
      <c r="K645" s="2" t="s">
        <v>95</v>
      </c>
      <c r="L645" s="2" t="s">
        <v>972</v>
      </c>
      <c r="M645" s="2"/>
    </row>
    <row r="646" customFormat="false" ht="15" hidden="false" customHeight="false" outlineLevel="0" collapsed="false">
      <c r="A646" s="2" t="s">
        <v>2566</v>
      </c>
      <c r="B646" s="2" t="s">
        <v>1322</v>
      </c>
      <c r="C646" s="2" t="s">
        <v>1323</v>
      </c>
      <c r="D646" s="13" t="n">
        <v>45915.9145833333</v>
      </c>
      <c r="E646" s="2" t="s">
        <v>35</v>
      </c>
      <c r="F646" s="2" t="s">
        <v>29</v>
      </c>
      <c r="G646" s="2" t="n">
        <v>1992.46</v>
      </c>
      <c r="H646" s="2" t="n">
        <v>9.95</v>
      </c>
      <c r="I646" s="2" t="s">
        <v>26</v>
      </c>
      <c r="J646" s="2" t="s">
        <v>2567</v>
      </c>
      <c r="K646" s="2" t="s">
        <v>101</v>
      </c>
      <c r="L646" s="2" t="s">
        <v>303</v>
      </c>
      <c r="M646" s="2"/>
    </row>
    <row r="647" customFormat="false" ht="15" hidden="false" customHeight="false" outlineLevel="0" collapsed="false">
      <c r="A647" s="2" t="s">
        <v>2568</v>
      </c>
      <c r="B647" s="2" t="s">
        <v>2569</v>
      </c>
      <c r="C647" s="2" t="s">
        <v>2570</v>
      </c>
      <c r="D647" s="13" t="n">
        <v>45503.8548611111</v>
      </c>
      <c r="E647" s="2" t="s">
        <v>43</v>
      </c>
      <c r="F647" s="2" t="s">
        <v>31</v>
      </c>
      <c r="G647" s="2" t="n">
        <v>6850.25</v>
      </c>
      <c r="H647" s="2" t="n">
        <v>81.85</v>
      </c>
      <c r="I647" s="2" t="s">
        <v>26</v>
      </c>
      <c r="J647" s="2" t="s">
        <v>2571</v>
      </c>
      <c r="K647" s="2" t="s">
        <v>95</v>
      </c>
      <c r="L647" s="2"/>
      <c r="M647" s="2" t="s">
        <v>774</v>
      </c>
    </row>
    <row r="648" customFormat="false" ht="15" hidden="false" customHeight="false" outlineLevel="0" collapsed="false">
      <c r="A648" s="2" t="s">
        <v>2572</v>
      </c>
      <c r="B648" s="2" t="s">
        <v>2573</v>
      </c>
      <c r="C648" s="2" t="s">
        <v>2574</v>
      </c>
      <c r="D648" s="13" t="n">
        <v>45514.3006944444</v>
      </c>
      <c r="E648" s="2" t="s">
        <v>43</v>
      </c>
      <c r="F648" s="2" t="s">
        <v>31</v>
      </c>
      <c r="G648" s="2" t="n">
        <v>4330.31</v>
      </c>
      <c r="H648" s="2" t="n">
        <v>27.47</v>
      </c>
      <c r="I648" s="2" t="s">
        <v>26</v>
      </c>
      <c r="J648" s="2" t="s">
        <v>2575</v>
      </c>
      <c r="K648" s="2" t="s">
        <v>95</v>
      </c>
      <c r="L648" s="2"/>
      <c r="M648" s="2" t="s">
        <v>313</v>
      </c>
    </row>
    <row r="649" customFormat="false" ht="15" hidden="false" customHeight="false" outlineLevel="0" collapsed="false">
      <c r="A649" s="2" t="s">
        <v>2576</v>
      </c>
      <c r="B649" s="2" t="s">
        <v>650</v>
      </c>
      <c r="C649" s="2" t="s">
        <v>651</v>
      </c>
      <c r="D649" s="13" t="n">
        <v>45795.3868055556</v>
      </c>
      <c r="E649" s="2" t="s">
        <v>39</v>
      </c>
      <c r="F649" s="2" t="s">
        <v>32</v>
      </c>
      <c r="G649" s="2" t="n">
        <v>12725.4</v>
      </c>
      <c r="H649" s="2" t="n">
        <v>26.9</v>
      </c>
      <c r="I649" s="2" t="s">
        <v>26</v>
      </c>
      <c r="J649" s="2" t="s">
        <v>2577</v>
      </c>
      <c r="K649" s="2" t="s">
        <v>122</v>
      </c>
      <c r="L649" s="2" t="s">
        <v>318</v>
      </c>
      <c r="M649" s="2"/>
    </row>
    <row r="650" customFormat="false" ht="15" hidden="false" customHeight="false" outlineLevel="0" collapsed="false">
      <c r="A650" s="2" t="s">
        <v>2578</v>
      </c>
      <c r="B650" s="2" t="s">
        <v>2579</v>
      </c>
      <c r="C650" s="2" t="s">
        <v>2580</v>
      </c>
      <c r="D650" s="13" t="n">
        <v>45882.3493055556</v>
      </c>
      <c r="E650" s="2" t="s">
        <v>37</v>
      </c>
      <c r="F650" s="2" t="s">
        <v>32</v>
      </c>
      <c r="G650" s="2" t="n">
        <v>1959.96</v>
      </c>
      <c r="H650" s="2" t="n">
        <v>12.25</v>
      </c>
      <c r="I650" s="2" t="s">
        <v>26</v>
      </c>
      <c r="J650" s="2" t="s">
        <v>2581</v>
      </c>
      <c r="K650" s="2" t="s">
        <v>101</v>
      </c>
      <c r="L650" s="2" t="s">
        <v>995</v>
      </c>
      <c r="M650" s="2"/>
    </row>
    <row r="651" customFormat="false" ht="15" hidden="false" customHeight="false" outlineLevel="0" collapsed="false">
      <c r="A651" s="2" t="s">
        <v>2582</v>
      </c>
      <c r="B651" s="2" t="s">
        <v>2583</v>
      </c>
      <c r="C651" s="2" t="s">
        <v>2584</v>
      </c>
      <c r="D651" s="13" t="n">
        <v>45935.7409722222</v>
      </c>
      <c r="E651" s="2" t="s">
        <v>37</v>
      </c>
      <c r="F651" s="2" t="s">
        <v>31</v>
      </c>
      <c r="G651" s="2" t="n">
        <v>4153.15</v>
      </c>
      <c r="H651" s="2" t="n">
        <v>39.64</v>
      </c>
      <c r="I651" s="2" t="s">
        <v>30</v>
      </c>
      <c r="J651" s="2" t="s">
        <v>2585</v>
      </c>
      <c r="K651" s="2" t="s">
        <v>101</v>
      </c>
      <c r="L651" s="2" t="s">
        <v>1000</v>
      </c>
      <c r="M651" s="2"/>
    </row>
    <row r="652" customFormat="false" ht="15" hidden="false" customHeight="false" outlineLevel="0" collapsed="false">
      <c r="A652" s="2" t="s">
        <v>2586</v>
      </c>
      <c r="B652" s="2" t="s">
        <v>2587</v>
      </c>
      <c r="C652" s="2" t="s">
        <v>2588</v>
      </c>
      <c r="D652" s="13" t="n">
        <v>45421.7923611111</v>
      </c>
      <c r="E652" s="2" t="s">
        <v>43</v>
      </c>
      <c r="F652" s="2" t="s">
        <v>31</v>
      </c>
      <c r="G652" s="2" t="n">
        <v>6507.16</v>
      </c>
      <c r="H652" s="2" t="n">
        <v>50.47</v>
      </c>
      <c r="I652" s="2" t="s">
        <v>26</v>
      </c>
      <c r="J652" s="2" t="s">
        <v>2589</v>
      </c>
      <c r="K652" s="2" t="s">
        <v>95</v>
      </c>
      <c r="L652" s="2"/>
      <c r="M652" s="2" t="s">
        <v>795</v>
      </c>
    </row>
    <row r="653" customFormat="false" ht="15" hidden="false" customHeight="false" outlineLevel="0" collapsed="false">
      <c r="A653" s="2" t="s">
        <v>2590</v>
      </c>
      <c r="B653" s="2" t="s">
        <v>2591</v>
      </c>
      <c r="C653" s="2" t="s">
        <v>2592</v>
      </c>
      <c r="D653" s="13" t="n">
        <v>45837.4958333333</v>
      </c>
      <c r="E653" s="2" t="s">
        <v>35</v>
      </c>
      <c r="F653" s="2" t="s">
        <v>29</v>
      </c>
      <c r="G653" s="2" t="n">
        <v>5114.71</v>
      </c>
      <c r="H653" s="2" t="n">
        <v>17.1</v>
      </c>
      <c r="I653" s="2" t="s">
        <v>26</v>
      </c>
      <c r="J653" s="2" t="s">
        <v>2593</v>
      </c>
      <c r="K653" s="2" t="s">
        <v>95</v>
      </c>
      <c r="L653" s="2" t="s">
        <v>338</v>
      </c>
      <c r="M653" s="2"/>
    </row>
    <row r="654" customFormat="false" ht="15" hidden="false" customHeight="false" outlineLevel="0" collapsed="false">
      <c r="A654" s="2" t="s">
        <v>2594</v>
      </c>
      <c r="B654" s="2" t="s">
        <v>2595</v>
      </c>
      <c r="C654" s="2" t="s">
        <v>2596</v>
      </c>
      <c r="D654" s="13" t="n">
        <v>45728.3583333333</v>
      </c>
      <c r="E654" s="2" t="s">
        <v>39</v>
      </c>
      <c r="F654" s="2" t="s">
        <v>31</v>
      </c>
      <c r="G654" s="2" t="n">
        <v>801.71</v>
      </c>
      <c r="H654" s="2" t="n">
        <v>8.23</v>
      </c>
      <c r="I654" s="2" t="s">
        <v>26</v>
      </c>
      <c r="J654" s="2" t="s">
        <v>2597</v>
      </c>
      <c r="K654" s="2" t="s">
        <v>101</v>
      </c>
      <c r="L654" s="2" t="s">
        <v>343</v>
      </c>
      <c r="M654" s="2"/>
    </row>
    <row r="655" customFormat="false" ht="15" hidden="false" customHeight="false" outlineLevel="0" collapsed="false">
      <c r="A655" s="2" t="s">
        <v>2598</v>
      </c>
      <c r="B655" s="2" t="s">
        <v>2599</v>
      </c>
      <c r="C655" s="2" t="s">
        <v>2600</v>
      </c>
      <c r="D655" s="13" t="n">
        <v>45354.4715277778</v>
      </c>
      <c r="E655" s="2" t="s">
        <v>35</v>
      </c>
      <c r="F655" s="2" t="s">
        <v>27</v>
      </c>
      <c r="G655" s="2" t="n">
        <v>1609.78</v>
      </c>
      <c r="H655" s="2" t="n">
        <v>9.67</v>
      </c>
      <c r="I655" s="2" t="s">
        <v>26</v>
      </c>
      <c r="J655" s="2" t="s">
        <v>2601</v>
      </c>
      <c r="K655" s="2" t="s">
        <v>122</v>
      </c>
      <c r="L655" s="2"/>
      <c r="M655" s="2" t="s">
        <v>348</v>
      </c>
    </row>
    <row r="656" customFormat="false" ht="15" hidden="false" customHeight="false" outlineLevel="0" collapsed="false">
      <c r="A656" s="2" t="s">
        <v>2602</v>
      </c>
      <c r="B656" s="2" t="s">
        <v>2603</v>
      </c>
      <c r="C656" s="2" t="s">
        <v>2604</v>
      </c>
      <c r="D656" s="13" t="n">
        <v>45703.4986111111</v>
      </c>
      <c r="E656" s="2" t="s">
        <v>43</v>
      </c>
      <c r="F656" s="2" t="s">
        <v>27</v>
      </c>
      <c r="G656" s="2" t="n">
        <v>3527.18</v>
      </c>
      <c r="H656" s="2" t="n">
        <v>19.35</v>
      </c>
      <c r="I656" s="2" t="s">
        <v>28</v>
      </c>
      <c r="J656" s="2" t="s">
        <v>2605</v>
      </c>
      <c r="K656" s="2" t="s">
        <v>95</v>
      </c>
      <c r="L656" s="2"/>
      <c r="M656" s="2" t="s">
        <v>1217</v>
      </c>
    </row>
    <row r="657" customFormat="false" ht="15" hidden="false" customHeight="false" outlineLevel="0" collapsed="false">
      <c r="A657" s="2" t="s">
        <v>2606</v>
      </c>
      <c r="B657" s="2" t="s">
        <v>2113</v>
      </c>
      <c r="C657" s="2" t="s">
        <v>2114</v>
      </c>
      <c r="D657" s="13" t="n">
        <v>45653.61875</v>
      </c>
      <c r="E657" s="2" t="s">
        <v>43</v>
      </c>
      <c r="F657" s="2" t="s">
        <v>29</v>
      </c>
      <c r="G657" s="2" t="n">
        <v>8011.05</v>
      </c>
      <c r="H657" s="2" t="n">
        <v>66.22</v>
      </c>
      <c r="I657" s="2" t="s">
        <v>26</v>
      </c>
      <c r="J657" s="2" t="s">
        <v>2607</v>
      </c>
      <c r="K657" s="2" t="s">
        <v>89</v>
      </c>
      <c r="L657" s="2"/>
      <c r="M657" s="2" t="s">
        <v>817</v>
      </c>
    </row>
    <row r="658" customFormat="false" ht="15" hidden="false" customHeight="false" outlineLevel="0" collapsed="false">
      <c r="A658" s="2" t="s">
        <v>2608</v>
      </c>
      <c r="B658" s="2" t="s">
        <v>538</v>
      </c>
      <c r="C658" s="2" t="s">
        <v>539</v>
      </c>
      <c r="D658" s="13" t="n">
        <v>45940.6861111111</v>
      </c>
      <c r="E658" s="2" t="s">
        <v>37</v>
      </c>
      <c r="F658" s="2" t="s">
        <v>27</v>
      </c>
      <c r="G658" s="2" t="n">
        <v>5491.27</v>
      </c>
      <c r="H658" s="2" t="n">
        <v>29.34</v>
      </c>
      <c r="I658" s="2" t="s">
        <v>26</v>
      </c>
      <c r="J658" s="2" t="s">
        <v>2609</v>
      </c>
      <c r="K658" s="2" t="s">
        <v>122</v>
      </c>
      <c r="L658" s="2"/>
      <c r="M658" s="2" t="s">
        <v>363</v>
      </c>
    </row>
    <row r="659" customFormat="false" ht="15" hidden="false" customHeight="false" outlineLevel="0" collapsed="false">
      <c r="A659" s="2" t="s">
        <v>2610</v>
      </c>
      <c r="B659" s="2" t="s">
        <v>2611</v>
      </c>
      <c r="C659" s="2" t="s">
        <v>2612</v>
      </c>
      <c r="D659" s="13" t="n">
        <v>45482.7652777778</v>
      </c>
      <c r="E659" s="2" t="s">
        <v>41</v>
      </c>
      <c r="F659" s="2" t="s">
        <v>27</v>
      </c>
      <c r="G659" s="2" t="n">
        <v>7060.74</v>
      </c>
      <c r="H659" s="2" t="n">
        <v>40.94</v>
      </c>
      <c r="I659" s="2" t="s">
        <v>30</v>
      </c>
      <c r="J659" s="2" t="s">
        <v>2613</v>
      </c>
      <c r="K659" s="2" t="s">
        <v>89</v>
      </c>
      <c r="L659" s="2"/>
      <c r="M659" s="2" t="s">
        <v>1606</v>
      </c>
    </row>
    <row r="660" customFormat="false" ht="15" hidden="false" customHeight="false" outlineLevel="0" collapsed="false">
      <c r="A660" s="2" t="s">
        <v>2614</v>
      </c>
      <c r="B660" s="2" t="s">
        <v>2414</v>
      </c>
      <c r="C660" s="2" t="s">
        <v>2415</v>
      </c>
      <c r="D660" s="13" t="n">
        <v>45429.6041666667</v>
      </c>
      <c r="E660" s="2" t="s">
        <v>43</v>
      </c>
      <c r="F660" s="2" t="s">
        <v>27</v>
      </c>
      <c r="G660" s="2" t="n">
        <v>3851.73</v>
      </c>
      <c r="H660" s="2" t="n">
        <v>40.65</v>
      </c>
      <c r="I660" s="2" t="s">
        <v>30</v>
      </c>
      <c r="J660" s="2" t="s">
        <v>2615</v>
      </c>
      <c r="K660" s="2" t="s">
        <v>122</v>
      </c>
      <c r="L660" s="2"/>
      <c r="M660" s="2" t="s">
        <v>828</v>
      </c>
    </row>
    <row r="661" customFormat="false" ht="15" hidden="false" customHeight="false" outlineLevel="0" collapsed="false">
      <c r="A661" s="2" t="s">
        <v>2616</v>
      </c>
      <c r="B661" s="2" t="s">
        <v>2617</v>
      </c>
      <c r="C661" s="2" t="s">
        <v>2618</v>
      </c>
      <c r="D661" s="13" t="n">
        <v>45296.7486111111</v>
      </c>
      <c r="E661" s="2" t="s">
        <v>35</v>
      </c>
      <c r="F661" s="2" t="s">
        <v>29</v>
      </c>
      <c r="G661" s="2" t="n">
        <v>2386.35</v>
      </c>
      <c r="H661" s="2" t="n">
        <v>6.73</v>
      </c>
      <c r="I661" s="2" t="s">
        <v>26</v>
      </c>
      <c r="J661" s="2" t="s">
        <v>2619</v>
      </c>
      <c r="K661" s="2" t="s">
        <v>122</v>
      </c>
      <c r="L661" s="2" t="s">
        <v>1034</v>
      </c>
      <c r="M661" s="2"/>
    </row>
    <row r="662" customFormat="false" ht="15" hidden="false" customHeight="false" outlineLevel="0" collapsed="false">
      <c r="A662" s="2" t="s">
        <v>2620</v>
      </c>
      <c r="B662" s="2" t="s">
        <v>2621</v>
      </c>
      <c r="C662" s="2" t="s">
        <v>2622</v>
      </c>
      <c r="D662" s="13" t="n">
        <v>45327.44375</v>
      </c>
      <c r="E662" s="2" t="s">
        <v>35</v>
      </c>
      <c r="F662" s="2" t="s">
        <v>27</v>
      </c>
      <c r="G662" s="2" t="n">
        <v>1352.51</v>
      </c>
      <c r="H662" s="2" t="n">
        <v>13.77</v>
      </c>
      <c r="I662" s="2" t="s">
        <v>26</v>
      </c>
      <c r="J662" s="2" t="s">
        <v>2623</v>
      </c>
      <c r="K662" s="2" t="s">
        <v>89</v>
      </c>
      <c r="L662" s="2"/>
      <c r="M662" s="2" t="s">
        <v>383</v>
      </c>
    </row>
    <row r="663" customFormat="false" ht="15" hidden="false" customHeight="false" outlineLevel="0" collapsed="false">
      <c r="A663" s="2" t="s">
        <v>2624</v>
      </c>
      <c r="B663" s="2" t="s">
        <v>2625</v>
      </c>
      <c r="C663" s="2" t="s">
        <v>2626</v>
      </c>
      <c r="D663" s="13" t="n">
        <v>45674.4180555556</v>
      </c>
      <c r="E663" s="2" t="s">
        <v>37</v>
      </c>
      <c r="F663" s="2" t="s">
        <v>32</v>
      </c>
      <c r="G663" s="2" t="n">
        <v>1195.7</v>
      </c>
      <c r="H663" s="2" t="n">
        <v>5</v>
      </c>
      <c r="I663" s="2" t="s">
        <v>26</v>
      </c>
      <c r="J663" s="2" t="s">
        <v>2627</v>
      </c>
      <c r="K663" s="2" t="s">
        <v>101</v>
      </c>
      <c r="L663" s="2" t="s">
        <v>1044</v>
      </c>
      <c r="M663" s="2"/>
    </row>
    <row r="664" customFormat="false" ht="15" hidden="false" customHeight="false" outlineLevel="0" collapsed="false">
      <c r="A664" s="2" t="s">
        <v>2628</v>
      </c>
      <c r="B664" s="2" t="s">
        <v>2629</v>
      </c>
      <c r="C664" s="2" t="s">
        <v>2630</v>
      </c>
      <c r="D664" s="13" t="n">
        <v>45790.8423611111</v>
      </c>
      <c r="E664" s="2" t="s">
        <v>39</v>
      </c>
      <c r="F664" s="2" t="s">
        <v>29</v>
      </c>
      <c r="G664" s="2" t="n">
        <v>538.97</v>
      </c>
      <c r="H664" s="2" t="n">
        <v>5</v>
      </c>
      <c r="I664" s="2" t="s">
        <v>30</v>
      </c>
      <c r="J664" s="2" t="s">
        <v>2631</v>
      </c>
      <c r="K664" s="2" t="s">
        <v>101</v>
      </c>
      <c r="L664" s="2" t="s">
        <v>393</v>
      </c>
      <c r="M664" s="2"/>
    </row>
    <row r="665" customFormat="false" ht="15" hidden="false" customHeight="false" outlineLevel="0" collapsed="false">
      <c r="A665" s="2" t="s">
        <v>2632</v>
      </c>
      <c r="B665" s="2" t="s">
        <v>2633</v>
      </c>
      <c r="C665" s="2" t="s">
        <v>2634</v>
      </c>
      <c r="D665" s="13" t="n">
        <v>45569.8798611111</v>
      </c>
      <c r="E665" s="2" t="s">
        <v>41</v>
      </c>
      <c r="F665" s="2" t="s">
        <v>31</v>
      </c>
      <c r="G665" s="2" t="n">
        <v>4526.21</v>
      </c>
      <c r="H665" s="2" t="n">
        <v>35.85</v>
      </c>
      <c r="I665" s="2" t="s">
        <v>28</v>
      </c>
      <c r="J665" s="2" t="s">
        <v>2635</v>
      </c>
      <c r="K665" s="2" t="s">
        <v>122</v>
      </c>
      <c r="L665" s="2" t="s">
        <v>1628</v>
      </c>
      <c r="M665" s="2"/>
    </row>
    <row r="666" customFormat="false" ht="15" hidden="false" customHeight="false" outlineLevel="0" collapsed="false">
      <c r="A666" s="2" t="s">
        <v>2636</v>
      </c>
      <c r="B666" s="2" t="s">
        <v>1885</v>
      </c>
      <c r="C666" s="2" t="s">
        <v>1886</v>
      </c>
      <c r="D666" s="13" t="n">
        <v>45337.8548611111</v>
      </c>
      <c r="E666" s="2" t="s">
        <v>43</v>
      </c>
      <c r="F666" s="2" t="s">
        <v>31</v>
      </c>
      <c r="G666" s="2" t="n">
        <v>2319.74</v>
      </c>
      <c r="H666" s="2" t="n">
        <v>24.6</v>
      </c>
      <c r="I666" s="2" t="s">
        <v>28</v>
      </c>
      <c r="J666" s="2" t="s">
        <v>2637</v>
      </c>
      <c r="K666" s="2" t="s">
        <v>95</v>
      </c>
      <c r="L666" s="2"/>
      <c r="M666" s="2" t="s">
        <v>852</v>
      </c>
    </row>
    <row r="667" customFormat="false" ht="15" hidden="false" customHeight="false" outlineLevel="0" collapsed="false">
      <c r="A667" s="2" t="s">
        <v>2638</v>
      </c>
      <c r="B667" s="2" t="s">
        <v>2302</v>
      </c>
      <c r="C667" s="2" t="s">
        <v>2303</v>
      </c>
      <c r="D667" s="13" t="n">
        <v>45809.6520833333</v>
      </c>
      <c r="E667" s="2" t="s">
        <v>35</v>
      </c>
      <c r="F667" s="2" t="s">
        <v>31</v>
      </c>
      <c r="G667" s="2" t="n">
        <v>4302.07</v>
      </c>
      <c r="H667" s="2" t="n">
        <v>46.08</v>
      </c>
      <c r="I667" s="2" t="s">
        <v>30</v>
      </c>
      <c r="J667" s="2" t="s">
        <v>2639</v>
      </c>
      <c r="K667" s="2" t="s">
        <v>95</v>
      </c>
      <c r="L667" s="2" t="s">
        <v>408</v>
      </c>
      <c r="M667" s="2"/>
    </row>
    <row r="668" customFormat="false" ht="15" hidden="false" customHeight="false" outlineLevel="0" collapsed="false">
      <c r="A668" s="2" t="s">
        <v>2640</v>
      </c>
      <c r="B668" s="2" t="s">
        <v>2641</v>
      </c>
      <c r="C668" s="2" t="s">
        <v>2642</v>
      </c>
      <c r="D668" s="13" t="n">
        <v>45628.8805555556</v>
      </c>
      <c r="E668" s="2" t="s">
        <v>41</v>
      </c>
      <c r="F668" s="2" t="s">
        <v>31</v>
      </c>
      <c r="G668" s="2" t="n">
        <v>7916.98</v>
      </c>
      <c r="H668" s="2" t="n">
        <v>36.88</v>
      </c>
      <c r="I668" s="2" t="s">
        <v>30</v>
      </c>
      <c r="J668" s="2" t="s">
        <v>2643</v>
      </c>
      <c r="K668" s="2" t="s">
        <v>122</v>
      </c>
      <c r="L668" s="2" t="s">
        <v>413</v>
      </c>
      <c r="M668" s="2"/>
    </row>
    <row r="669" customFormat="false" ht="15" hidden="false" customHeight="false" outlineLevel="0" collapsed="false">
      <c r="A669" s="2" t="s">
        <v>2644</v>
      </c>
      <c r="B669" s="2" t="s">
        <v>2645</v>
      </c>
      <c r="C669" s="2" t="s">
        <v>2646</v>
      </c>
      <c r="D669" s="13" t="n">
        <v>45858.4513888889</v>
      </c>
      <c r="E669" s="2" t="s">
        <v>35</v>
      </c>
      <c r="F669" s="2" t="s">
        <v>31</v>
      </c>
      <c r="G669" s="2" t="n">
        <v>1342.42</v>
      </c>
      <c r="H669" s="2" t="n">
        <v>13.86</v>
      </c>
      <c r="I669" s="2" t="s">
        <v>26</v>
      </c>
      <c r="J669" s="2" t="s">
        <v>2647</v>
      </c>
      <c r="K669" s="2" t="s">
        <v>101</v>
      </c>
      <c r="L669" s="2" t="s">
        <v>418</v>
      </c>
      <c r="M669" s="2"/>
    </row>
    <row r="670" customFormat="false" ht="15" hidden="false" customHeight="false" outlineLevel="0" collapsed="false">
      <c r="A670" s="2" t="s">
        <v>2648</v>
      </c>
      <c r="B670" s="2" t="s">
        <v>2503</v>
      </c>
      <c r="C670" s="2" t="s">
        <v>2504</v>
      </c>
      <c r="D670" s="13" t="n">
        <v>45505.3972222222</v>
      </c>
      <c r="E670" s="2" t="s">
        <v>35</v>
      </c>
      <c r="F670" s="2" t="s">
        <v>32</v>
      </c>
      <c r="G670" s="2" t="n">
        <v>3924.51</v>
      </c>
      <c r="H670" s="2" t="n">
        <v>25.24</v>
      </c>
      <c r="I670" s="2" t="s">
        <v>30</v>
      </c>
      <c r="J670" s="2" t="s">
        <v>2649</v>
      </c>
      <c r="K670" s="2" t="s">
        <v>95</v>
      </c>
      <c r="L670" s="2" t="s">
        <v>423</v>
      </c>
      <c r="M670" s="2"/>
    </row>
    <row r="671" customFormat="false" ht="15" hidden="false" customHeight="false" outlineLevel="0" collapsed="false">
      <c r="A671" s="2" t="s">
        <v>2650</v>
      </c>
      <c r="B671" s="2" t="s">
        <v>2651</v>
      </c>
      <c r="C671" s="2" t="s">
        <v>2652</v>
      </c>
      <c r="D671" s="13" t="n">
        <v>45706.7</v>
      </c>
      <c r="E671" s="2" t="s">
        <v>41</v>
      </c>
      <c r="F671" s="2" t="s">
        <v>31</v>
      </c>
      <c r="G671" s="2" t="n">
        <v>3851.92</v>
      </c>
      <c r="H671" s="2" t="n">
        <v>17.37</v>
      </c>
      <c r="I671" s="2" t="s">
        <v>28</v>
      </c>
      <c r="J671" s="2" t="s">
        <v>2653</v>
      </c>
      <c r="K671" s="2" t="s">
        <v>89</v>
      </c>
      <c r="L671" s="2" t="s">
        <v>428</v>
      </c>
      <c r="M671" s="2"/>
    </row>
    <row r="672" customFormat="false" ht="15" hidden="false" customHeight="false" outlineLevel="0" collapsed="false">
      <c r="A672" s="2" t="s">
        <v>2654</v>
      </c>
      <c r="B672" s="2" t="s">
        <v>2655</v>
      </c>
      <c r="C672" s="2" t="s">
        <v>2656</v>
      </c>
      <c r="D672" s="13" t="n">
        <v>45407.7583333333</v>
      </c>
      <c r="E672" s="2" t="s">
        <v>39</v>
      </c>
      <c r="F672" s="2" t="s">
        <v>32</v>
      </c>
      <c r="G672" s="2" t="n">
        <v>4271.73</v>
      </c>
      <c r="H672" s="2" t="n">
        <v>26.45</v>
      </c>
      <c r="I672" s="2" t="s">
        <v>28</v>
      </c>
      <c r="J672" s="2" t="s">
        <v>2657</v>
      </c>
      <c r="K672" s="2" t="s">
        <v>95</v>
      </c>
      <c r="L672" s="2" t="s">
        <v>433</v>
      </c>
      <c r="M672" s="2"/>
    </row>
    <row r="673" customFormat="false" ht="15" hidden="false" customHeight="false" outlineLevel="0" collapsed="false">
      <c r="A673" s="2" t="s">
        <v>2658</v>
      </c>
      <c r="B673" s="2" t="s">
        <v>2659</v>
      </c>
      <c r="C673" s="2" t="s">
        <v>2660</v>
      </c>
      <c r="D673" s="13" t="n">
        <v>45428.7611111111</v>
      </c>
      <c r="E673" s="2" t="s">
        <v>35</v>
      </c>
      <c r="F673" s="2" t="s">
        <v>27</v>
      </c>
      <c r="G673" s="2" t="n">
        <v>2437.53</v>
      </c>
      <c r="H673" s="2" t="n">
        <v>5.72</v>
      </c>
      <c r="I673" s="2" t="s">
        <v>26</v>
      </c>
      <c r="J673" s="2" t="s">
        <v>2661</v>
      </c>
      <c r="K673" s="2" t="s">
        <v>95</v>
      </c>
      <c r="L673" s="2"/>
      <c r="M673" s="2" t="s">
        <v>1287</v>
      </c>
    </row>
    <row r="674" customFormat="false" ht="15" hidden="false" customHeight="false" outlineLevel="0" collapsed="false">
      <c r="A674" s="2" t="s">
        <v>2662</v>
      </c>
      <c r="B674" s="2" t="s">
        <v>125</v>
      </c>
      <c r="C674" s="2" t="s">
        <v>126</v>
      </c>
      <c r="D674" s="13" t="n">
        <v>45566.6277777778</v>
      </c>
      <c r="E674" s="2" t="s">
        <v>39</v>
      </c>
      <c r="F674" s="2" t="s">
        <v>32</v>
      </c>
      <c r="G674" s="2" t="n">
        <v>3936.08</v>
      </c>
      <c r="H674" s="2" t="n">
        <v>35.59</v>
      </c>
      <c r="I674" s="2" t="s">
        <v>26</v>
      </c>
      <c r="J674" s="2" t="s">
        <v>2663</v>
      </c>
      <c r="K674" s="2" t="s">
        <v>101</v>
      </c>
      <c r="L674" s="2" t="s">
        <v>443</v>
      </c>
      <c r="M674" s="2"/>
    </row>
    <row r="675" customFormat="false" ht="15" hidden="false" customHeight="false" outlineLevel="0" collapsed="false">
      <c r="A675" s="2" t="s">
        <v>2664</v>
      </c>
      <c r="B675" s="2" t="s">
        <v>2665</v>
      </c>
      <c r="C675" s="2" t="s">
        <v>2666</v>
      </c>
      <c r="D675" s="13" t="n">
        <v>45537.3770833333</v>
      </c>
      <c r="E675" s="2" t="s">
        <v>41</v>
      </c>
      <c r="F675" s="2" t="s">
        <v>32</v>
      </c>
      <c r="G675" s="2" t="n">
        <v>8346.54</v>
      </c>
      <c r="H675" s="2" t="n">
        <v>42.53</v>
      </c>
      <c r="I675" s="2" t="s">
        <v>26</v>
      </c>
      <c r="J675" s="2" t="s">
        <v>2667</v>
      </c>
      <c r="K675" s="2" t="s">
        <v>122</v>
      </c>
      <c r="L675" s="2" t="s">
        <v>2186</v>
      </c>
      <c r="M675" s="2"/>
    </row>
    <row r="676" customFormat="false" ht="15" hidden="false" customHeight="false" outlineLevel="0" collapsed="false">
      <c r="A676" s="2" t="s">
        <v>2668</v>
      </c>
      <c r="B676" s="2" t="s">
        <v>2669</v>
      </c>
      <c r="C676" s="2" t="s">
        <v>2670</v>
      </c>
      <c r="D676" s="13" t="n">
        <v>45893.9229166667</v>
      </c>
      <c r="E676" s="2" t="s">
        <v>41</v>
      </c>
      <c r="F676" s="2" t="s">
        <v>29</v>
      </c>
      <c r="G676" s="2" t="n">
        <v>17557.83</v>
      </c>
      <c r="H676" s="2" t="n">
        <v>71.05</v>
      </c>
      <c r="I676" s="2" t="s">
        <v>26</v>
      </c>
      <c r="J676" s="2" t="s">
        <v>2671</v>
      </c>
      <c r="K676" s="2" t="s">
        <v>122</v>
      </c>
      <c r="L676" s="2" t="s">
        <v>453</v>
      </c>
      <c r="M676" s="2"/>
    </row>
    <row r="677" customFormat="false" ht="15" hidden="false" customHeight="false" outlineLevel="0" collapsed="false">
      <c r="A677" s="2" t="s">
        <v>2672</v>
      </c>
      <c r="B677" s="2" t="s">
        <v>2673</v>
      </c>
      <c r="C677" s="2" t="s">
        <v>2674</v>
      </c>
      <c r="D677" s="13" t="n">
        <v>45597.4659722222</v>
      </c>
      <c r="E677" s="2" t="s">
        <v>41</v>
      </c>
      <c r="F677" s="2" t="s">
        <v>32</v>
      </c>
      <c r="G677" s="2" t="n">
        <v>2462.51</v>
      </c>
      <c r="H677" s="2" t="n">
        <v>26.84</v>
      </c>
      <c r="I677" s="2" t="s">
        <v>26</v>
      </c>
      <c r="J677" s="2" t="s">
        <v>2675</v>
      </c>
      <c r="K677" s="2" t="s">
        <v>89</v>
      </c>
      <c r="L677" s="2" t="s">
        <v>458</v>
      </c>
      <c r="M677" s="2"/>
    </row>
    <row r="678" customFormat="false" ht="15" hidden="false" customHeight="false" outlineLevel="0" collapsed="false">
      <c r="A678" s="2" t="s">
        <v>2676</v>
      </c>
      <c r="B678" s="2" t="s">
        <v>1683</v>
      </c>
      <c r="C678" s="2" t="s">
        <v>1684</v>
      </c>
      <c r="D678" s="13" t="n">
        <v>45838.3347222222</v>
      </c>
      <c r="E678" s="2" t="s">
        <v>37</v>
      </c>
      <c r="F678" s="2" t="s">
        <v>32</v>
      </c>
      <c r="G678" s="2" t="n">
        <v>1711.94</v>
      </c>
      <c r="H678" s="2" t="n">
        <v>10.81</v>
      </c>
      <c r="I678" s="2" t="s">
        <v>26</v>
      </c>
      <c r="J678" s="2" t="s">
        <v>2677</v>
      </c>
      <c r="K678" s="2" t="s">
        <v>122</v>
      </c>
      <c r="L678" s="2" t="s">
        <v>1105</v>
      </c>
      <c r="M678" s="2"/>
    </row>
    <row r="679" customFormat="false" ht="15" hidden="false" customHeight="false" outlineLevel="0" collapsed="false">
      <c r="A679" s="2" t="s">
        <v>2678</v>
      </c>
      <c r="B679" s="2" t="s">
        <v>2679</v>
      </c>
      <c r="C679" s="2" t="s">
        <v>2680</v>
      </c>
      <c r="D679" s="13" t="n">
        <v>45444.8111111111</v>
      </c>
      <c r="E679" s="2" t="s">
        <v>41</v>
      </c>
      <c r="F679" s="2" t="s">
        <v>31</v>
      </c>
      <c r="G679" s="2" t="n">
        <v>6014.01</v>
      </c>
      <c r="H679" s="2" t="n">
        <v>68.21</v>
      </c>
      <c r="I679" s="2" t="s">
        <v>26</v>
      </c>
      <c r="J679" s="2" t="s">
        <v>2681</v>
      </c>
      <c r="K679" s="2" t="s">
        <v>101</v>
      </c>
      <c r="L679" s="2" t="s">
        <v>468</v>
      </c>
      <c r="M679" s="2"/>
    </row>
    <row r="680" customFormat="false" ht="15" hidden="false" customHeight="false" outlineLevel="0" collapsed="false">
      <c r="A680" s="2" t="s">
        <v>2682</v>
      </c>
      <c r="B680" s="2" t="s">
        <v>2683</v>
      </c>
      <c r="C680" s="2" t="s">
        <v>2684</v>
      </c>
      <c r="D680" s="13" t="n">
        <v>45534.83125</v>
      </c>
      <c r="E680" s="2" t="s">
        <v>35</v>
      </c>
      <c r="F680" s="2" t="s">
        <v>32</v>
      </c>
      <c r="G680" s="2" t="n">
        <v>25939.31</v>
      </c>
      <c r="H680" s="2" t="n">
        <v>70.06</v>
      </c>
      <c r="I680" s="2" t="s">
        <v>26</v>
      </c>
      <c r="J680" s="2" t="s">
        <v>2685</v>
      </c>
      <c r="K680" s="2" t="s">
        <v>89</v>
      </c>
      <c r="L680" s="2" t="s">
        <v>473</v>
      </c>
      <c r="M680" s="2"/>
    </row>
    <row r="681" customFormat="false" ht="15" hidden="false" customHeight="false" outlineLevel="0" collapsed="false">
      <c r="A681" s="2" t="s">
        <v>2686</v>
      </c>
      <c r="B681" s="2" t="s">
        <v>495</v>
      </c>
      <c r="C681" s="2" t="s">
        <v>496</v>
      </c>
      <c r="D681" s="13" t="n">
        <v>45639.8958333333</v>
      </c>
      <c r="E681" s="2" t="s">
        <v>41</v>
      </c>
      <c r="F681" s="2" t="s">
        <v>32</v>
      </c>
      <c r="G681" s="2" t="n">
        <v>4844.29</v>
      </c>
      <c r="H681" s="2" t="n">
        <v>14.33</v>
      </c>
      <c r="I681" s="2" t="s">
        <v>26</v>
      </c>
      <c r="J681" s="2" t="s">
        <v>2687</v>
      </c>
      <c r="K681" s="2" t="s">
        <v>89</v>
      </c>
      <c r="L681" s="2" t="s">
        <v>478</v>
      </c>
      <c r="M681" s="2"/>
    </row>
    <row r="682" customFormat="false" ht="15" hidden="false" customHeight="false" outlineLevel="0" collapsed="false">
      <c r="A682" s="2" t="s">
        <v>2688</v>
      </c>
      <c r="B682" s="2" t="s">
        <v>2689</v>
      </c>
      <c r="C682" s="2" t="s">
        <v>2690</v>
      </c>
      <c r="D682" s="13" t="n">
        <v>45764.56875</v>
      </c>
      <c r="E682" s="2" t="s">
        <v>37</v>
      </c>
      <c r="F682" s="2" t="s">
        <v>32</v>
      </c>
      <c r="G682" s="2" t="n">
        <v>3708.8</v>
      </c>
      <c r="H682" s="2" t="n">
        <v>36.3</v>
      </c>
      <c r="I682" s="2" t="s">
        <v>26</v>
      </c>
      <c r="J682" s="2" t="s">
        <v>2691</v>
      </c>
      <c r="K682" s="2" t="s">
        <v>89</v>
      </c>
      <c r="L682" s="2" t="s">
        <v>483</v>
      </c>
      <c r="M682" s="2"/>
    </row>
    <row r="683" customFormat="false" ht="15" hidden="false" customHeight="false" outlineLevel="0" collapsed="false">
      <c r="A683" s="2" t="s">
        <v>2692</v>
      </c>
      <c r="B683" s="2" t="s">
        <v>2693</v>
      </c>
      <c r="C683" s="2" t="s">
        <v>2694</v>
      </c>
      <c r="D683" s="13" t="n">
        <v>45501.8166666667</v>
      </c>
      <c r="E683" s="2" t="s">
        <v>37</v>
      </c>
      <c r="F683" s="2" t="s">
        <v>27</v>
      </c>
      <c r="G683" s="2" t="n">
        <v>809.28</v>
      </c>
      <c r="H683" s="2" t="n">
        <v>8.78</v>
      </c>
      <c r="I683" s="2" t="s">
        <v>26</v>
      </c>
      <c r="J683" s="2" t="s">
        <v>2695</v>
      </c>
      <c r="K683" s="2" t="s">
        <v>95</v>
      </c>
      <c r="L683" s="2"/>
      <c r="M683" s="2" t="s">
        <v>921</v>
      </c>
    </row>
    <row r="684" customFormat="false" ht="15" hidden="false" customHeight="false" outlineLevel="0" collapsed="false">
      <c r="A684" s="2" t="s">
        <v>2696</v>
      </c>
      <c r="B684" s="2" t="s">
        <v>2697</v>
      </c>
      <c r="C684" s="2" t="s">
        <v>2698</v>
      </c>
      <c r="D684" s="13" t="n">
        <v>45317.6388888889</v>
      </c>
      <c r="E684" s="2" t="s">
        <v>37</v>
      </c>
      <c r="F684" s="2" t="s">
        <v>31</v>
      </c>
      <c r="G684" s="2" t="n">
        <v>35924.84</v>
      </c>
      <c r="H684" s="2" t="n">
        <v>172.2</v>
      </c>
      <c r="I684" s="2" t="s">
        <v>26</v>
      </c>
      <c r="J684" s="2" t="s">
        <v>2699</v>
      </c>
      <c r="K684" s="2" t="s">
        <v>89</v>
      </c>
      <c r="L684" s="2" t="s">
        <v>1122</v>
      </c>
      <c r="M684" s="2"/>
    </row>
    <row r="685" customFormat="false" ht="15" hidden="false" customHeight="false" outlineLevel="0" collapsed="false">
      <c r="A685" s="2" t="s">
        <v>2700</v>
      </c>
      <c r="B685" s="2" t="s">
        <v>2387</v>
      </c>
      <c r="C685" s="2" t="s">
        <v>2388</v>
      </c>
      <c r="D685" s="13" t="n">
        <v>45463.3958333333</v>
      </c>
      <c r="E685" s="2" t="s">
        <v>37</v>
      </c>
      <c r="F685" s="2" t="s">
        <v>31</v>
      </c>
      <c r="G685" s="2" t="n">
        <v>11518.16</v>
      </c>
      <c r="H685" s="2" t="n">
        <v>58.33</v>
      </c>
      <c r="I685" s="2" t="s">
        <v>26</v>
      </c>
      <c r="J685" s="2" t="s">
        <v>2701</v>
      </c>
      <c r="K685" s="2" t="s">
        <v>95</v>
      </c>
      <c r="L685" s="2" t="s">
        <v>1127</v>
      </c>
      <c r="M685" s="2"/>
    </row>
    <row r="686" customFormat="false" ht="15" hidden="false" customHeight="false" outlineLevel="0" collapsed="false">
      <c r="A686" s="2" t="s">
        <v>2702</v>
      </c>
      <c r="B686" s="2" t="s">
        <v>1501</v>
      </c>
      <c r="C686" s="2" t="s">
        <v>1502</v>
      </c>
      <c r="D686" s="13" t="n">
        <v>45600.7041666667</v>
      </c>
      <c r="E686" s="2" t="s">
        <v>39</v>
      </c>
      <c r="F686" s="2" t="s">
        <v>32</v>
      </c>
      <c r="G686" s="2" t="n">
        <v>2134.24</v>
      </c>
      <c r="H686" s="2" t="n">
        <v>18.1</v>
      </c>
      <c r="I686" s="2" t="s">
        <v>26</v>
      </c>
      <c r="J686" s="2" t="s">
        <v>2703</v>
      </c>
      <c r="K686" s="2" t="s">
        <v>95</v>
      </c>
      <c r="L686" s="2" t="s">
        <v>503</v>
      </c>
      <c r="M686" s="2"/>
    </row>
    <row r="687" customFormat="false" ht="15" hidden="false" customHeight="false" outlineLevel="0" collapsed="false">
      <c r="A687" s="2" t="s">
        <v>2704</v>
      </c>
      <c r="B687" s="2" t="s">
        <v>2651</v>
      </c>
      <c r="C687" s="2" t="s">
        <v>2652</v>
      </c>
      <c r="D687" s="13" t="n">
        <v>45893.6583333333</v>
      </c>
      <c r="E687" s="2" t="s">
        <v>41</v>
      </c>
      <c r="F687" s="2" t="s">
        <v>27</v>
      </c>
      <c r="G687" s="2" t="n">
        <v>8511.74</v>
      </c>
      <c r="H687" s="2" t="n">
        <v>88.74</v>
      </c>
      <c r="I687" s="2" t="s">
        <v>28</v>
      </c>
      <c r="J687" s="2" t="s">
        <v>2705</v>
      </c>
      <c r="K687" s="2" t="s">
        <v>89</v>
      </c>
      <c r="L687" s="2"/>
      <c r="M687" s="2" t="s">
        <v>2706</v>
      </c>
    </row>
    <row r="688" customFormat="false" ht="15" hidden="false" customHeight="false" outlineLevel="0" collapsed="false">
      <c r="A688" s="2" t="s">
        <v>2707</v>
      </c>
      <c r="B688" s="2" t="s">
        <v>2708</v>
      </c>
      <c r="C688" s="2" t="s">
        <v>2709</v>
      </c>
      <c r="D688" s="13" t="n">
        <v>45982.5180555556</v>
      </c>
      <c r="E688" s="2" t="s">
        <v>41</v>
      </c>
      <c r="F688" s="2" t="s">
        <v>27</v>
      </c>
      <c r="G688" s="2" t="n">
        <v>5857.04</v>
      </c>
      <c r="H688" s="2" t="n">
        <v>17.24</v>
      </c>
      <c r="I688" s="2" t="s">
        <v>26</v>
      </c>
      <c r="J688" s="2" t="s">
        <v>2710</v>
      </c>
      <c r="K688" s="2" t="s">
        <v>89</v>
      </c>
      <c r="L688" s="2"/>
      <c r="M688" s="2" t="s">
        <v>513</v>
      </c>
    </row>
    <row r="689" customFormat="false" ht="15" hidden="false" customHeight="false" outlineLevel="0" collapsed="false">
      <c r="A689" s="2" t="s">
        <v>2711</v>
      </c>
      <c r="B689" s="2" t="s">
        <v>969</v>
      </c>
      <c r="C689" s="2" t="s">
        <v>970</v>
      </c>
      <c r="D689" s="13" t="n">
        <v>45768.6986111111</v>
      </c>
      <c r="E689" s="2" t="s">
        <v>35</v>
      </c>
      <c r="F689" s="2" t="s">
        <v>29</v>
      </c>
      <c r="G689" s="2" t="n">
        <v>112101.05</v>
      </c>
      <c r="H689" s="2" t="n">
        <v>983.27</v>
      </c>
      <c r="I689" s="2" t="s">
        <v>30</v>
      </c>
      <c r="J689" s="2" t="s">
        <v>2712</v>
      </c>
      <c r="K689" s="2" t="s">
        <v>101</v>
      </c>
      <c r="L689" s="2" t="s">
        <v>518</v>
      </c>
      <c r="M689" s="2"/>
    </row>
    <row r="690" customFormat="false" ht="15" hidden="false" customHeight="false" outlineLevel="0" collapsed="false">
      <c r="A690" s="2" t="s">
        <v>2713</v>
      </c>
      <c r="B690" s="2" t="s">
        <v>2511</v>
      </c>
      <c r="C690" s="2" t="s">
        <v>2512</v>
      </c>
      <c r="D690" s="13" t="n">
        <v>45845.7548611111</v>
      </c>
      <c r="E690" s="2" t="s">
        <v>39</v>
      </c>
      <c r="F690" s="2" t="s">
        <v>29</v>
      </c>
      <c r="G690" s="2" t="n">
        <v>3189</v>
      </c>
      <c r="H690" s="2" t="n">
        <v>9.77</v>
      </c>
      <c r="I690" s="2" t="s">
        <v>28</v>
      </c>
      <c r="J690" s="2" t="s">
        <v>2714</v>
      </c>
      <c r="K690" s="2" t="s">
        <v>89</v>
      </c>
      <c r="L690" s="2" t="s">
        <v>523</v>
      </c>
      <c r="M690" s="2"/>
    </row>
    <row r="691" customFormat="false" ht="15" hidden="false" customHeight="false" outlineLevel="0" collapsed="false">
      <c r="A691" s="2" t="s">
        <v>2715</v>
      </c>
      <c r="B691" s="2" t="s">
        <v>2716</v>
      </c>
      <c r="C691" s="2" t="s">
        <v>2717</v>
      </c>
      <c r="D691" s="13" t="n">
        <v>45732.825</v>
      </c>
      <c r="E691" s="2" t="s">
        <v>37</v>
      </c>
      <c r="F691" s="2" t="s">
        <v>29</v>
      </c>
      <c r="G691" s="2" t="n">
        <v>14804.28</v>
      </c>
      <c r="H691" s="2" t="n">
        <v>148.39</v>
      </c>
      <c r="I691" s="2" t="s">
        <v>26</v>
      </c>
      <c r="J691" s="2" t="s">
        <v>2718</v>
      </c>
      <c r="K691" s="2" t="s">
        <v>122</v>
      </c>
      <c r="L691" s="2" t="s">
        <v>1152</v>
      </c>
      <c r="M691" s="2"/>
    </row>
    <row r="692" customFormat="false" ht="15" hidden="false" customHeight="false" outlineLevel="0" collapsed="false">
      <c r="A692" s="2" t="s">
        <v>2719</v>
      </c>
      <c r="B692" s="2" t="s">
        <v>1649</v>
      </c>
      <c r="C692" s="2" t="s">
        <v>1650</v>
      </c>
      <c r="D692" s="13" t="n">
        <v>45818.8388888889</v>
      </c>
      <c r="E692" s="2" t="s">
        <v>39</v>
      </c>
      <c r="F692" s="2" t="s">
        <v>29</v>
      </c>
      <c r="G692" s="2" t="n">
        <v>1824.67</v>
      </c>
      <c r="H692" s="2" t="n">
        <v>5</v>
      </c>
      <c r="I692" s="2" t="s">
        <v>26</v>
      </c>
      <c r="J692" s="2" t="s">
        <v>2720</v>
      </c>
      <c r="K692" s="2" t="s">
        <v>122</v>
      </c>
      <c r="L692" s="2" t="s">
        <v>1726</v>
      </c>
      <c r="M692" s="2"/>
    </row>
    <row r="693" customFormat="false" ht="15" hidden="false" customHeight="false" outlineLevel="0" collapsed="false">
      <c r="A693" s="2" t="s">
        <v>2721</v>
      </c>
      <c r="B693" s="2" t="s">
        <v>2722</v>
      </c>
      <c r="C693" s="2" t="s">
        <v>2723</v>
      </c>
      <c r="D693" s="13" t="n">
        <v>45316.6027777778</v>
      </c>
      <c r="E693" s="2" t="s">
        <v>43</v>
      </c>
      <c r="F693" s="2" t="s">
        <v>31</v>
      </c>
      <c r="G693" s="2" t="n">
        <v>13959.72</v>
      </c>
      <c r="H693" s="2" t="n">
        <v>40.28</v>
      </c>
      <c r="I693" s="2" t="s">
        <v>28</v>
      </c>
      <c r="J693" s="2" t="s">
        <v>2724</v>
      </c>
      <c r="K693" s="2" t="s">
        <v>89</v>
      </c>
      <c r="L693" s="2"/>
      <c r="M693" s="2" t="s">
        <v>536</v>
      </c>
    </row>
    <row r="694" customFormat="false" ht="15" hidden="false" customHeight="false" outlineLevel="0" collapsed="false">
      <c r="A694" s="2" t="s">
        <v>2725</v>
      </c>
      <c r="B694" s="2" t="s">
        <v>2726</v>
      </c>
      <c r="C694" s="2" t="s">
        <v>2727</v>
      </c>
      <c r="D694" s="13" t="n">
        <v>45590.4618055556</v>
      </c>
      <c r="E694" s="2" t="s">
        <v>43</v>
      </c>
      <c r="F694" s="2" t="s">
        <v>32</v>
      </c>
      <c r="G694" s="2" t="n">
        <v>3595.08</v>
      </c>
      <c r="H694" s="2" t="n">
        <v>21.7</v>
      </c>
      <c r="I694" s="2" t="s">
        <v>26</v>
      </c>
      <c r="J694" s="2" t="s">
        <v>2728</v>
      </c>
      <c r="K694" s="2" t="s">
        <v>95</v>
      </c>
      <c r="L694" s="2"/>
      <c r="M694" s="2" t="s">
        <v>1371</v>
      </c>
    </row>
    <row r="695" customFormat="false" ht="15" hidden="false" customHeight="false" outlineLevel="0" collapsed="false">
      <c r="A695" s="2" t="s">
        <v>2729</v>
      </c>
      <c r="B695" s="2" t="s">
        <v>1264</v>
      </c>
      <c r="C695" s="2" t="s">
        <v>1265</v>
      </c>
      <c r="D695" s="13" t="n">
        <v>45494.7180555556</v>
      </c>
      <c r="E695" s="2" t="s">
        <v>37</v>
      </c>
      <c r="F695" s="2" t="s">
        <v>31</v>
      </c>
      <c r="G695" s="2" t="n">
        <v>2393.25</v>
      </c>
      <c r="H695" s="2" t="n">
        <v>15.25</v>
      </c>
      <c r="I695" s="2" t="s">
        <v>28</v>
      </c>
      <c r="J695" s="2" t="s">
        <v>2730</v>
      </c>
      <c r="K695" s="2" t="s">
        <v>95</v>
      </c>
      <c r="L695" s="2" t="s">
        <v>1169</v>
      </c>
      <c r="M695" s="2"/>
    </row>
    <row r="696" customFormat="false" ht="15" hidden="false" customHeight="false" outlineLevel="0" collapsed="false">
      <c r="A696" s="2" t="s">
        <v>2731</v>
      </c>
      <c r="B696" s="2" t="s">
        <v>2732</v>
      </c>
      <c r="C696" s="2" t="s">
        <v>2733</v>
      </c>
      <c r="D696" s="13" t="n">
        <v>45521.8472222222</v>
      </c>
      <c r="E696" s="2" t="s">
        <v>39</v>
      </c>
      <c r="F696" s="2" t="s">
        <v>32</v>
      </c>
      <c r="G696" s="2" t="n">
        <v>2498.64</v>
      </c>
      <c r="H696" s="2" t="n">
        <v>22.85</v>
      </c>
      <c r="I696" s="2" t="s">
        <v>26</v>
      </c>
      <c r="J696" s="2" t="s">
        <v>2734</v>
      </c>
      <c r="K696" s="2" t="s">
        <v>95</v>
      </c>
      <c r="L696" s="2" t="s">
        <v>2735</v>
      </c>
      <c r="M696" s="2"/>
    </row>
    <row r="697" customFormat="false" ht="15" hidden="false" customHeight="false" outlineLevel="0" collapsed="false">
      <c r="A697" s="2" t="s">
        <v>2736</v>
      </c>
      <c r="B697" s="2" t="s">
        <v>2737</v>
      </c>
      <c r="C697" s="2" t="s">
        <v>2738</v>
      </c>
      <c r="D697" s="13" t="n">
        <v>45795.4965277778</v>
      </c>
      <c r="E697" s="2" t="s">
        <v>37</v>
      </c>
      <c r="F697" s="2" t="s">
        <v>27</v>
      </c>
      <c r="G697" s="2" t="n">
        <v>2189.15</v>
      </c>
      <c r="H697" s="2" t="n">
        <v>20.02</v>
      </c>
      <c r="I697" s="2" t="s">
        <v>26</v>
      </c>
      <c r="J697" s="2" t="s">
        <v>2739</v>
      </c>
      <c r="K697" s="2" t="s">
        <v>89</v>
      </c>
      <c r="L697" s="2"/>
      <c r="M697" s="2" t="s">
        <v>981</v>
      </c>
    </row>
    <row r="698" customFormat="false" ht="15" hidden="false" customHeight="false" outlineLevel="0" collapsed="false">
      <c r="A698" s="2" t="s">
        <v>2740</v>
      </c>
      <c r="B698" s="2" t="s">
        <v>2741</v>
      </c>
      <c r="C698" s="2" t="s">
        <v>2742</v>
      </c>
      <c r="D698" s="13" t="n">
        <v>45296.3145833333</v>
      </c>
      <c r="E698" s="2" t="s">
        <v>39</v>
      </c>
      <c r="F698" s="2" t="s">
        <v>31</v>
      </c>
      <c r="G698" s="2" t="n">
        <v>4703.43</v>
      </c>
      <c r="H698" s="2" t="n">
        <v>36.13</v>
      </c>
      <c r="I698" s="2" t="s">
        <v>26</v>
      </c>
      <c r="J698" s="2" t="s">
        <v>2743</v>
      </c>
      <c r="K698" s="2" t="s">
        <v>89</v>
      </c>
      <c r="L698" s="2" t="s">
        <v>1183</v>
      </c>
      <c r="M698" s="2"/>
    </row>
    <row r="699" customFormat="false" ht="15" hidden="false" customHeight="false" outlineLevel="0" collapsed="false">
      <c r="A699" s="2" t="s">
        <v>2744</v>
      </c>
      <c r="B699" s="2" t="s">
        <v>792</v>
      </c>
      <c r="C699" s="2" t="s">
        <v>793</v>
      </c>
      <c r="D699" s="13" t="n">
        <v>45294.3173611111</v>
      </c>
      <c r="E699" s="2" t="s">
        <v>41</v>
      </c>
      <c r="F699" s="2" t="s">
        <v>32</v>
      </c>
      <c r="G699" s="2" t="n">
        <v>1804.04</v>
      </c>
      <c r="H699" s="2" t="n">
        <v>14.93</v>
      </c>
      <c r="I699" s="2" t="s">
        <v>30</v>
      </c>
      <c r="J699" s="2" t="s">
        <v>2745</v>
      </c>
      <c r="K699" s="2" t="s">
        <v>122</v>
      </c>
      <c r="L699" s="2" t="s">
        <v>566</v>
      </c>
      <c r="M699" s="2"/>
    </row>
    <row r="700" customFormat="false" ht="15" hidden="false" customHeight="false" outlineLevel="0" collapsed="false">
      <c r="A700" s="2" t="s">
        <v>2746</v>
      </c>
      <c r="B700" s="2" t="s">
        <v>2747</v>
      </c>
      <c r="C700" s="2" t="s">
        <v>2748</v>
      </c>
      <c r="D700" s="13" t="n">
        <v>45759.9076388889</v>
      </c>
      <c r="E700" s="2" t="s">
        <v>35</v>
      </c>
      <c r="F700" s="2" t="s">
        <v>29</v>
      </c>
      <c r="G700" s="2" t="n">
        <v>5934.59</v>
      </c>
      <c r="H700" s="2" t="n">
        <v>12.4</v>
      </c>
      <c r="I700" s="2" t="s">
        <v>28</v>
      </c>
      <c r="J700" s="2" t="s">
        <v>2749</v>
      </c>
      <c r="K700" s="2" t="s">
        <v>89</v>
      </c>
      <c r="L700" s="2" t="s">
        <v>1190</v>
      </c>
      <c r="M700" s="2"/>
    </row>
    <row r="701" customFormat="false" ht="15" hidden="false" customHeight="false" outlineLevel="0" collapsed="false">
      <c r="A701" s="2" t="s">
        <v>2750</v>
      </c>
      <c r="B701" s="2" t="s">
        <v>2751</v>
      </c>
      <c r="C701" s="2" t="s">
        <v>2752</v>
      </c>
      <c r="D701" s="13" t="n">
        <v>45852.8541666667</v>
      </c>
      <c r="E701" s="2" t="s">
        <v>35</v>
      </c>
      <c r="F701" s="2" t="s">
        <v>32</v>
      </c>
      <c r="G701" s="2" t="n">
        <v>11437.47</v>
      </c>
      <c r="H701" s="2" t="n">
        <v>90.3</v>
      </c>
      <c r="I701" s="2" t="s">
        <v>26</v>
      </c>
      <c r="J701" s="2" t="s">
        <v>2753</v>
      </c>
      <c r="K701" s="2" t="s">
        <v>122</v>
      </c>
      <c r="L701" s="2" t="s">
        <v>1759</v>
      </c>
      <c r="M701" s="2"/>
    </row>
    <row r="702" customFormat="false" ht="15" hidden="false" customHeight="false" outlineLevel="0" collapsed="false">
      <c r="A702" s="2" t="s">
        <v>2754</v>
      </c>
      <c r="B702" s="2" t="s">
        <v>2461</v>
      </c>
      <c r="C702" s="2" t="s">
        <v>2462</v>
      </c>
      <c r="D702" s="13" t="n">
        <v>45391.6027777778</v>
      </c>
      <c r="E702" s="2" t="s">
        <v>43</v>
      </c>
      <c r="F702" s="2" t="s">
        <v>29</v>
      </c>
      <c r="G702" s="2" t="n">
        <v>10533.7</v>
      </c>
      <c r="H702" s="2" t="n">
        <v>90.82</v>
      </c>
      <c r="I702" s="2" t="s">
        <v>30</v>
      </c>
      <c r="J702" s="2" t="s">
        <v>2755</v>
      </c>
      <c r="K702" s="2" t="s">
        <v>101</v>
      </c>
      <c r="L702" s="2"/>
      <c r="M702" s="2" t="s">
        <v>581</v>
      </c>
    </row>
    <row r="703" customFormat="false" ht="15" hidden="false" customHeight="false" outlineLevel="0" collapsed="false">
      <c r="A703" s="2" t="s">
        <v>2756</v>
      </c>
      <c r="B703" s="2" t="s">
        <v>2469</v>
      </c>
      <c r="C703" s="2" t="s">
        <v>2470</v>
      </c>
      <c r="D703" s="13" t="n">
        <v>45805.4916666667</v>
      </c>
      <c r="E703" s="2" t="s">
        <v>39</v>
      </c>
      <c r="F703" s="2" t="s">
        <v>32</v>
      </c>
      <c r="G703" s="2" t="n">
        <v>7666.84</v>
      </c>
      <c r="H703" s="2" t="n">
        <v>26.84</v>
      </c>
      <c r="I703" s="2" t="s">
        <v>30</v>
      </c>
      <c r="J703" s="2" t="s">
        <v>2757</v>
      </c>
      <c r="K703" s="2" t="s">
        <v>101</v>
      </c>
      <c r="L703" s="2" t="s">
        <v>584</v>
      </c>
      <c r="M703" s="2"/>
    </row>
    <row r="704" customFormat="false" ht="15" hidden="false" customHeight="false" outlineLevel="0" collapsed="false">
      <c r="A704" s="2" t="s">
        <v>2758</v>
      </c>
      <c r="B704" s="2" t="s">
        <v>1905</v>
      </c>
      <c r="C704" s="2" t="s">
        <v>1906</v>
      </c>
      <c r="D704" s="13" t="n">
        <v>45972.2944444444</v>
      </c>
      <c r="E704" s="2" t="s">
        <v>37</v>
      </c>
      <c r="F704" s="2" t="s">
        <v>27</v>
      </c>
      <c r="G704" s="2" t="n">
        <v>2842.4</v>
      </c>
      <c r="H704" s="2" t="n">
        <v>12.48</v>
      </c>
      <c r="I704" s="2" t="s">
        <v>26</v>
      </c>
      <c r="J704" s="2" t="s">
        <v>2759</v>
      </c>
      <c r="K704" s="2" t="s">
        <v>122</v>
      </c>
      <c r="L704" s="2"/>
      <c r="M704" s="2" t="s">
        <v>2435</v>
      </c>
    </row>
    <row r="705" customFormat="false" ht="15" hidden="false" customHeight="false" outlineLevel="0" collapsed="false">
      <c r="A705" s="2" t="s">
        <v>2760</v>
      </c>
      <c r="B705" s="2" t="s">
        <v>2761</v>
      </c>
      <c r="C705" s="2" t="s">
        <v>2762</v>
      </c>
      <c r="D705" s="13" t="n">
        <v>45676.6375</v>
      </c>
      <c r="E705" s="2" t="s">
        <v>37</v>
      </c>
      <c r="F705" s="2" t="s">
        <v>27</v>
      </c>
      <c r="G705" s="2" t="n">
        <v>6472.78</v>
      </c>
      <c r="H705" s="2" t="n">
        <v>68.82</v>
      </c>
      <c r="I705" s="2" t="s">
        <v>26</v>
      </c>
      <c r="J705" s="2" t="s">
        <v>2763</v>
      </c>
      <c r="K705" s="2" t="s">
        <v>89</v>
      </c>
      <c r="L705" s="2"/>
      <c r="M705" s="2" t="s">
        <v>594</v>
      </c>
    </row>
    <row r="706" customFormat="false" ht="15" hidden="false" customHeight="false" outlineLevel="0" collapsed="false">
      <c r="A706" s="2" t="s">
        <v>2764</v>
      </c>
      <c r="B706" s="2" t="s">
        <v>515</v>
      </c>
      <c r="C706" s="2" t="s">
        <v>516</v>
      </c>
      <c r="D706" s="13" t="n">
        <v>45351.4701388889</v>
      </c>
      <c r="E706" s="2" t="s">
        <v>39</v>
      </c>
      <c r="F706" s="2" t="s">
        <v>32</v>
      </c>
      <c r="G706" s="2" t="n">
        <v>24628.16</v>
      </c>
      <c r="H706" s="2" t="n">
        <v>182.02</v>
      </c>
      <c r="I706" s="2" t="s">
        <v>26</v>
      </c>
      <c r="J706" s="2" t="s">
        <v>2765</v>
      </c>
      <c r="K706" s="2" t="s">
        <v>95</v>
      </c>
      <c r="L706" s="2" t="s">
        <v>599</v>
      </c>
      <c r="M706" s="2"/>
    </row>
    <row r="707" customFormat="false" ht="15" hidden="false" customHeight="false" outlineLevel="0" collapsed="false">
      <c r="A707" s="2" t="s">
        <v>2766</v>
      </c>
      <c r="B707" s="2" t="s">
        <v>2767</v>
      </c>
      <c r="C707" s="2" t="s">
        <v>2768</v>
      </c>
      <c r="D707" s="13" t="n">
        <v>45749.6666666667</v>
      </c>
      <c r="E707" s="2" t="s">
        <v>39</v>
      </c>
      <c r="F707" s="2" t="s">
        <v>27</v>
      </c>
      <c r="G707" s="2" t="n">
        <v>1081.62</v>
      </c>
      <c r="H707" s="2" t="n">
        <v>7.58</v>
      </c>
      <c r="I707" s="2" t="s">
        <v>26</v>
      </c>
      <c r="J707" s="2" t="s">
        <v>2769</v>
      </c>
      <c r="K707" s="2" t="s">
        <v>101</v>
      </c>
      <c r="L707" s="2"/>
      <c r="M707" s="2" t="s">
        <v>1778</v>
      </c>
    </row>
    <row r="708" customFormat="false" ht="15" hidden="false" customHeight="false" outlineLevel="0" collapsed="false">
      <c r="A708" s="2" t="s">
        <v>2770</v>
      </c>
      <c r="B708" s="2" t="s">
        <v>2771</v>
      </c>
      <c r="C708" s="2" t="s">
        <v>2772</v>
      </c>
      <c r="D708" s="13" t="n">
        <v>45431.8847222222</v>
      </c>
      <c r="E708" s="2" t="s">
        <v>37</v>
      </c>
      <c r="F708" s="2" t="s">
        <v>29</v>
      </c>
      <c r="G708" s="2" t="n">
        <v>8731.2</v>
      </c>
      <c r="H708" s="2" t="n">
        <v>102.24</v>
      </c>
      <c r="I708" s="2" t="s">
        <v>26</v>
      </c>
      <c r="J708" s="2" t="s">
        <v>2773</v>
      </c>
      <c r="K708" s="2" t="s">
        <v>95</v>
      </c>
      <c r="L708" s="2" t="s">
        <v>607</v>
      </c>
      <c r="M708" s="2"/>
    </row>
    <row r="709" customFormat="false" ht="15" hidden="false" customHeight="false" outlineLevel="0" collapsed="false">
      <c r="A709" s="2" t="s">
        <v>2774</v>
      </c>
      <c r="B709" s="2" t="s">
        <v>2039</v>
      </c>
      <c r="C709" s="2" t="s">
        <v>2040</v>
      </c>
      <c r="D709" s="13" t="n">
        <v>45757.2916666667</v>
      </c>
      <c r="E709" s="2" t="s">
        <v>43</v>
      </c>
      <c r="F709" s="2" t="s">
        <v>32</v>
      </c>
      <c r="G709" s="2" t="n">
        <v>2646.25</v>
      </c>
      <c r="H709" s="2" t="n">
        <v>7.8</v>
      </c>
      <c r="I709" s="2" t="s">
        <v>28</v>
      </c>
      <c r="J709" s="2" t="s">
        <v>2775</v>
      </c>
      <c r="K709" s="2" t="s">
        <v>101</v>
      </c>
      <c r="L709" s="2"/>
      <c r="M709" s="2" t="s">
        <v>1425</v>
      </c>
    </row>
    <row r="710" customFormat="false" ht="15" hidden="false" customHeight="false" outlineLevel="0" collapsed="false">
      <c r="A710" s="2" t="s">
        <v>2776</v>
      </c>
      <c r="B710" s="2" t="s">
        <v>2777</v>
      </c>
      <c r="C710" s="2" t="s">
        <v>2778</v>
      </c>
      <c r="D710" s="13" t="n">
        <v>45854.4465277778</v>
      </c>
      <c r="E710" s="2" t="s">
        <v>35</v>
      </c>
      <c r="F710" s="2" t="s">
        <v>29</v>
      </c>
      <c r="G710" s="2" t="n">
        <v>3463.62</v>
      </c>
      <c r="H710" s="2" t="n">
        <v>13.05</v>
      </c>
      <c r="I710" s="2" t="s">
        <v>28</v>
      </c>
      <c r="J710" s="2" t="s">
        <v>2779</v>
      </c>
      <c r="K710" s="2" t="s">
        <v>89</v>
      </c>
      <c r="L710" s="2" t="s">
        <v>1232</v>
      </c>
      <c r="M710" s="2"/>
    </row>
    <row r="711" customFormat="false" ht="15" hidden="false" customHeight="false" outlineLevel="0" collapsed="false">
      <c r="A711" s="2" t="s">
        <v>2780</v>
      </c>
      <c r="B711" s="2" t="s">
        <v>450</v>
      </c>
      <c r="C711" s="2" t="s">
        <v>451</v>
      </c>
      <c r="D711" s="13" t="n">
        <v>45973.7965277778</v>
      </c>
      <c r="E711" s="2" t="s">
        <v>37</v>
      </c>
      <c r="F711" s="2" t="s">
        <v>31</v>
      </c>
      <c r="G711" s="2" t="n">
        <v>5030.24</v>
      </c>
      <c r="H711" s="2" t="n">
        <v>23.37</v>
      </c>
      <c r="I711" s="2" t="s">
        <v>26</v>
      </c>
      <c r="J711" s="2" t="s">
        <v>2781</v>
      </c>
      <c r="K711" s="2" t="s">
        <v>89</v>
      </c>
      <c r="L711" s="2" t="s">
        <v>622</v>
      </c>
      <c r="M711" s="2"/>
    </row>
    <row r="712" customFormat="false" ht="15" hidden="false" customHeight="false" outlineLevel="0" collapsed="false">
      <c r="A712" s="2" t="s">
        <v>2782</v>
      </c>
      <c r="B712" s="2" t="s">
        <v>2783</v>
      </c>
      <c r="C712" s="2" t="s">
        <v>2784</v>
      </c>
      <c r="D712" s="13" t="n">
        <v>45867.60625</v>
      </c>
      <c r="E712" s="2" t="s">
        <v>43</v>
      </c>
      <c r="F712" s="2" t="s">
        <v>27</v>
      </c>
      <c r="G712" s="2" t="n">
        <v>9644.38</v>
      </c>
      <c r="H712" s="2" t="n">
        <v>106.48</v>
      </c>
      <c r="I712" s="2" t="s">
        <v>26</v>
      </c>
      <c r="J712" s="2" t="s">
        <v>2785</v>
      </c>
      <c r="K712" s="2" t="s">
        <v>101</v>
      </c>
      <c r="L712" s="2"/>
      <c r="M712" s="2" t="s">
        <v>627</v>
      </c>
    </row>
    <row r="713" customFormat="false" ht="15" hidden="false" customHeight="false" outlineLevel="0" collapsed="false">
      <c r="A713" s="2" t="s">
        <v>2786</v>
      </c>
      <c r="B713" s="2" t="s">
        <v>2583</v>
      </c>
      <c r="C713" s="2" t="s">
        <v>2584</v>
      </c>
      <c r="D713" s="13" t="n">
        <v>45420.3201388889</v>
      </c>
      <c r="E713" s="2" t="s">
        <v>35</v>
      </c>
      <c r="F713" s="2" t="s">
        <v>29</v>
      </c>
      <c r="G713" s="2" t="n">
        <v>8226.58</v>
      </c>
      <c r="H713" s="2" t="n">
        <v>43.2</v>
      </c>
      <c r="I713" s="2" t="s">
        <v>26</v>
      </c>
      <c r="J713" s="2" t="s">
        <v>2787</v>
      </c>
      <c r="K713" s="2" t="s">
        <v>89</v>
      </c>
      <c r="L713" s="2" t="s">
        <v>632</v>
      </c>
      <c r="M713" s="2"/>
    </row>
    <row r="714" customFormat="false" ht="15" hidden="false" customHeight="false" outlineLevel="0" collapsed="false">
      <c r="A714" s="2" t="s">
        <v>2788</v>
      </c>
      <c r="B714" s="2" t="s">
        <v>2789</v>
      </c>
      <c r="C714" s="2" t="s">
        <v>2790</v>
      </c>
      <c r="D714" s="13" t="n">
        <v>45604.5395833333</v>
      </c>
      <c r="E714" s="2" t="s">
        <v>35</v>
      </c>
      <c r="F714" s="2" t="s">
        <v>27</v>
      </c>
      <c r="G714" s="2" t="n">
        <v>1353.96</v>
      </c>
      <c r="H714" s="2" t="n">
        <v>16.08</v>
      </c>
      <c r="I714" s="2" t="s">
        <v>26</v>
      </c>
      <c r="J714" s="2" t="s">
        <v>2791</v>
      </c>
      <c r="K714" s="2" t="s">
        <v>89</v>
      </c>
      <c r="L714" s="2"/>
      <c r="M714" s="2" t="s">
        <v>1806</v>
      </c>
    </row>
    <row r="715" customFormat="false" ht="15" hidden="false" customHeight="false" outlineLevel="0" collapsed="false">
      <c r="A715" s="2" t="s">
        <v>2792</v>
      </c>
      <c r="B715" s="2" t="s">
        <v>2793</v>
      </c>
      <c r="C715" s="2" t="s">
        <v>2794</v>
      </c>
      <c r="D715" s="13" t="n">
        <v>45382.71875</v>
      </c>
      <c r="E715" s="2" t="s">
        <v>35</v>
      </c>
      <c r="F715" s="2" t="s">
        <v>27</v>
      </c>
      <c r="G715" s="2" t="n">
        <v>12293.09</v>
      </c>
      <c r="H715" s="2" t="n">
        <v>49.78</v>
      </c>
      <c r="I715" s="2" t="s">
        <v>26</v>
      </c>
      <c r="J715" s="2" t="s">
        <v>2795</v>
      </c>
      <c r="K715" s="2" t="s">
        <v>101</v>
      </c>
      <c r="L715" s="2"/>
      <c r="M715" s="2" t="s">
        <v>1053</v>
      </c>
    </row>
    <row r="716" customFormat="false" ht="15" hidden="false" customHeight="false" outlineLevel="0" collapsed="false">
      <c r="A716" s="2" t="s">
        <v>2796</v>
      </c>
      <c r="B716" s="2" t="s">
        <v>1632</v>
      </c>
      <c r="C716" s="2" t="s">
        <v>1633</v>
      </c>
      <c r="D716" s="13" t="n">
        <v>45650.8368055556</v>
      </c>
      <c r="E716" s="2" t="s">
        <v>35</v>
      </c>
      <c r="F716" s="2" t="s">
        <v>31</v>
      </c>
      <c r="G716" s="2" t="n">
        <v>3921.89</v>
      </c>
      <c r="H716" s="2" t="n">
        <v>14.47</v>
      </c>
      <c r="I716" s="2" t="s">
        <v>30</v>
      </c>
      <c r="J716" s="2" t="s">
        <v>2797</v>
      </c>
      <c r="K716" s="2" t="s">
        <v>95</v>
      </c>
      <c r="L716" s="2" t="s">
        <v>645</v>
      </c>
      <c r="M716" s="2"/>
    </row>
    <row r="717" customFormat="false" ht="15" hidden="false" customHeight="false" outlineLevel="0" collapsed="false">
      <c r="A717" s="2" t="s">
        <v>2798</v>
      </c>
      <c r="B717" s="2" t="s">
        <v>2799</v>
      </c>
      <c r="C717" s="2" t="s">
        <v>2800</v>
      </c>
      <c r="D717" s="13" t="n">
        <v>45761.5173611111</v>
      </c>
      <c r="E717" s="2" t="s">
        <v>37</v>
      </c>
      <c r="F717" s="2" t="s">
        <v>27</v>
      </c>
      <c r="G717" s="2" t="n">
        <v>3711.43</v>
      </c>
      <c r="H717" s="2" t="n">
        <v>21.97</v>
      </c>
      <c r="I717" s="2" t="s">
        <v>26</v>
      </c>
      <c r="J717" s="2" t="s">
        <v>2801</v>
      </c>
      <c r="K717" s="2" t="s">
        <v>122</v>
      </c>
      <c r="L717" s="2"/>
      <c r="M717" s="2" t="s">
        <v>1453</v>
      </c>
    </row>
    <row r="718" customFormat="false" ht="15" hidden="false" customHeight="false" outlineLevel="0" collapsed="false">
      <c r="A718" s="2" t="s">
        <v>2802</v>
      </c>
      <c r="B718" s="2" t="s">
        <v>285</v>
      </c>
      <c r="C718" s="2" t="s">
        <v>286</v>
      </c>
      <c r="D718" s="13" t="n">
        <v>45448.4701388889</v>
      </c>
      <c r="E718" s="2" t="s">
        <v>43</v>
      </c>
      <c r="F718" s="2" t="s">
        <v>27</v>
      </c>
      <c r="G718" s="2" t="n">
        <v>5844.12</v>
      </c>
      <c r="H718" s="2" t="n">
        <v>70</v>
      </c>
      <c r="I718" s="2" t="s">
        <v>28</v>
      </c>
      <c r="J718" s="2" t="s">
        <v>2803</v>
      </c>
      <c r="K718" s="2" t="s">
        <v>101</v>
      </c>
      <c r="L718" s="2"/>
      <c r="M718" s="2" t="s">
        <v>163</v>
      </c>
    </row>
    <row r="719" customFormat="false" ht="15" hidden="false" customHeight="false" outlineLevel="0" collapsed="false">
      <c r="A719" s="2" t="s">
        <v>2804</v>
      </c>
      <c r="B719" s="2" t="s">
        <v>2805</v>
      </c>
      <c r="C719" s="2" t="s">
        <v>2806</v>
      </c>
      <c r="D719" s="13" t="n">
        <v>45930.6875</v>
      </c>
      <c r="E719" s="2" t="s">
        <v>39</v>
      </c>
      <c r="F719" s="2" t="s">
        <v>32</v>
      </c>
      <c r="G719" s="2" t="n">
        <v>3784.17</v>
      </c>
      <c r="H719" s="2" t="n">
        <v>13.61</v>
      </c>
      <c r="I719" s="2" t="s">
        <v>26</v>
      </c>
      <c r="J719" s="2" t="s">
        <v>2807</v>
      </c>
      <c r="K719" s="2" t="s">
        <v>89</v>
      </c>
      <c r="L719" s="2" t="s">
        <v>1267</v>
      </c>
      <c r="M719" s="2"/>
    </row>
    <row r="720" customFormat="false" ht="15" hidden="false" customHeight="false" outlineLevel="0" collapsed="false">
      <c r="A720" s="2" t="s">
        <v>2808</v>
      </c>
      <c r="B720" s="2" t="s">
        <v>2809</v>
      </c>
      <c r="C720" s="2" t="s">
        <v>2810</v>
      </c>
      <c r="D720" s="13" t="n">
        <v>45714.4520833333</v>
      </c>
      <c r="E720" s="2" t="s">
        <v>35</v>
      </c>
      <c r="F720" s="2" t="s">
        <v>32</v>
      </c>
      <c r="G720" s="2" t="n">
        <v>4168.22</v>
      </c>
      <c r="H720" s="2" t="n">
        <v>28.48</v>
      </c>
      <c r="I720" s="2" t="s">
        <v>26</v>
      </c>
      <c r="J720" s="2" t="s">
        <v>2811</v>
      </c>
      <c r="K720" s="2" t="s">
        <v>95</v>
      </c>
      <c r="L720" s="2" t="s">
        <v>1272</v>
      </c>
      <c r="M720" s="2"/>
    </row>
    <row r="721" customFormat="false" ht="15" hidden="false" customHeight="false" outlineLevel="0" collapsed="false">
      <c r="A721" s="2" t="s">
        <v>2812</v>
      </c>
      <c r="B721" s="2" t="s">
        <v>601</v>
      </c>
      <c r="C721" s="2" t="s">
        <v>602</v>
      </c>
      <c r="D721" s="13" t="n">
        <v>45570.5548611111</v>
      </c>
      <c r="E721" s="2" t="s">
        <v>35</v>
      </c>
      <c r="F721" s="2" t="s">
        <v>27</v>
      </c>
      <c r="G721" s="2" t="n">
        <v>19098.89</v>
      </c>
      <c r="H721" s="2" t="n">
        <v>67</v>
      </c>
      <c r="I721" s="2" t="s">
        <v>26</v>
      </c>
      <c r="J721" s="2" t="s">
        <v>2813</v>
      </c>
      <c r="K721" s="2" t="s">
        <v>101</v>
      </c>
      <c r="L721" s="2"/>
      <c r="M721" s="2" t="s">
        <v>667</v>
      </c>
    </row>
    <row r="722" customFormat="false" ht="15" hidden="false" customHeight="false" outlineLevel="0" collapsed="false">
      <c r="A722" s="2" t="s">
        <v>2814</v>
      </c>
      <c r="B722" s="2" t="s">
        <v>2551</v>
      </c>
      <c r="C722" s="2" t="s">
        <v>2552</v>
      </c>
      <c r="D722" s="13" t="n">
        <v>45657.65</v>
      </c>
      <c r="E722" s="2" t="s">
        <v>39</v>
      </c>
      <c r="F722" s="2" t="s">
        <v>31</v>
      </c>
      <c r="G722" s="2" t="n">
        <v>2305.51</v>
      </c>
      <c r="H722" s="2" t="n">
        <v>23.08</v>
      </c>
      <c r="I722" s="2" t="s">
        <v>26</v>
      </c>
      <c r="J722" s="2" t="s">
        <v>2815</v>
      </c>
      <c r="K722" s="2" t="s">
        <v>122</v>
      </c>
      <c r="L722" s="2" t="s">
        <v>1837</v>
      </c>
      <c r="M722" s="2"/>
    </row>
    <row r="723" customFormat="false" ht="15" hidden="false" customHeight="false" outlineLevel="0" collapsed="false">
      <c r="A723" s="2" t="s">
        <v>2816</v>
      </c>
      <c r="B723" s="2" t="s">
        <v>1274</v>
      </c>
      <c r="C723" s="2" t="s">
        <v>1275</v>
      </c>
      <c r="D723" s="13" t="n">
        <v>45492.3979166667</v>
      </c>
      <c r="E723" s="2" t="s">
        <v>37</v>
      </c>
      <c r="F723" s="2" t="s">
        <v>32</v>
      </c>
      <c r="G723" s="2" t="n">
        <v>1795.4</v>
      </c>
      <c r="H723" s="2" t="n">
        <v>18.98</v>
      </c>
      <c r="I723" s="2" t="s">
        <v>26</v>
      </c>
      <c r="J723" s="2" t="s">
        <v>2817</v>
      </c>
      <c r="K723" s="2" t="s">
        <v>95</v>
      </c>
      <c r="L723" s="2" t="s">
        <v>676</v>
      </c>
      <c r="M723" s="2"/>
    </row>
    <row r="724" customFormat="false" ht="15" hidden="false" customHeight="false" outlineLevel="0" collapsed="false">
      <c r="A724" s="2" t="s">
        <v>2818</v>
      </c>
      <c r="B724" s="2" t="s">
        <v>275</v>
      </c>
      <c r="C724" s="2" t="s">
        <v>276</v>
      </c>
      <c r="D724" s="13" t="n">
        <v>45985.6888888889</v>
      </c>
      <c r="E724" s="2" t="s">
        <v>39</v>
      </c>
      <c r="F724" s="2" t="s">
        <v>29</v>
      </c>
      <c r="G724" s="2" t="n">
        <v>14641.93</v>
      </c>
      <c r="H724" s="2" t="n">
        <v>55.46</v>
      </c>
      <c r="I724" s="2" t="s">
        <v>28</v>
      </c>
      <c r="J724" s="2" t="s">
        <v>2819</v>
      </c>
      <c r="K724" s="2" t="s">
        <v>122</v>
      </c>
      <c r="L724" s="2" t="s">
        <v>681</v>
      </c>
      <c r="M724" s="2"/>
    </row>
    <row r="725" customFormat="false" ht="15" hidden="false" customHeight="false" outlineLevel="0" collapsed="false">
      <c r="A725" s="2" t="s">
        <v>2820</v>
      </c>
      <c r="B725" s="2" t="s">
        <v>2821</v>
      </c>
      <c r="C725" s="2" t="s">
        <v>2822</v>
      </c>
      <c r="D725" s="13" t="n">
        <v>45315.8090277778</v>
      </c>
      <c r="E725" s="2" t="s">
        <v>39</v>
      </c>
      <c r="F725" s="2" t="s">
        <v>31</v>
      </c>
      <c r="G725" s="2" t="n">
        <v>648.48</v>
      </c>
      <c r="H725" s="2" t="n">
        <v>5</v>
      </c>
      <c r="I725" s="2" t="s">
        <v>26</v>
      </c>
      <c r="J725" s="2" t="s">
        <v>2823</v>
      </c>
      <c r="K725" s="2" t="s">
        <v>95</v>
      </c>
      <c r="L725" s="2" t="s">
        <v>1294</v>
      </c>
      <c r="M725" s="2"/>
    </row>
    <row r="726" customFormat="false" ht="15" hidden="false" customHeight="false" outlineLevel="0" collapsed="false">
      <c r="A726" s="2" t="s">
        <v>2824</v>
      </c>
      <c r="B726" s="2" t="s">
        <v>596</v>
      </c>
      <c r="C726" s="2" t="s">
        <v>597</v>
      </c>
      <c r="D726" s="13" t="n">
        <v>45456.7631944444</v>
      </c>
      <c r="E726" s="2" t="s">
        <v>41</v>
      </c>
      <c r="F726" s="2" t="s">
        <v>32</v>
      </c>
      <c r="G726" s="2" t="n">
        <v>500.94</v>
      </c>
      <c r="H726" s="2" t="n">
        <v>5</v>
      </c>
      <c r="I726" s="2" t="s">
        <v>26</v>
      </c>
      <c r="J726" s="2" t="s">
        <v>2825</v>
      </c>
      <c r="K726" s="2" t="s">
        <v>89</v>
      </c>
      <c r="L726" s="2" t="s">
        <v>1299</v>
      </c>
      <c r="M726" s="2"/>
    </row>
    <row r="727" customFormat="false" ht="15" hidden="false" customHeight="false" outlineLevel="0" collapsed="false">
      <c r="A727" s="2" t="s">
        <v>2826</v>
      </c>
      <c r="B727" s="2" t="s">
        <v>2827</v>
      </c>
      <c r="C727" s="2" t="s">
        <v>2828</v>
      </c>
      <c r="D727" s="13" t="n">
        <v>45703.3465277778</v>
      </c>
      <c r="E727" s="2" t="s">
        <v>41</v>
      </c>
      <c r="F727" s="2" t="s">
        <v>31</v>
      </c>
      <c r="G727" s="2" t="n">
        <v>1917.8</v>
      </c>
      <c r="H727" s="2" t="n">
        <v>8.43</v>
      </c>
      <c r="I727" s="2" t="s">
        <v>30</v>
      </c>
      <c r="J727" s="2" t="s">
        <v>2829</v>
      </c>
      <c r="K727" s="2" t="s">
        <v>122</v>
      </c>
      <c r="L727" s="2" t="s">
        <v>1854</v>
      </c>
      <c r="M727" s="2"/>
    </row>
    <row r="728" customFormat="false" ht="15" hidden="false" customHeight="false" outlineLevel="0" collapsed="false">
      <c r="A728" s="2" t="s">
        <v>2830</v>
      </c>
      <c r="B728" s="2" t="s">
        <v>2831</v>
      </c>
      <c r="C728" s="2" t="s">
        <v>2832</v>
      </c>
      <c r="D728" s="13" t="n">
        <v>45351.5486111111</v>
      </c>
      <c r="E728" s="2" t="s">
        <v>43</v>
      </c>
      <c r="F728" s="2" t="s">
        <v>31</v>
      </c>
      <c r="G728" s="2" t="n">
        <v>1182.45</v>
      </c>
      <c r="H728" s="2" t="n">
        <v>12.16</v>
      </c>
      <c r="I728" s="2" t="s">
        <v>26</v>
      </c>
      <c r="J728" s="2" t="s">
        <v>2833</v>
      </c>
      <c r="K728" s="2" t="s">
        <v>89</v>
      </c>
      <c r="L728" s="2"/>
      <c r="M728" s="2" t="s">
        <v>1495</v>
      </c>
    </row>
    <row r="729" customFormat="false" ht="15" hidden="false" customHeight="false" outlineLevel="0" collapsed="false">
      <c r="A729" s="2" t="s">
        <v>2834</v>
      </c>
      <c r="B729" s="2" t="s">
        <v>2835</v>
      </c>
      <c r="C729" s="2" t="s">
        <v>2836</v>
      </c>
      <c r="D729" s="13" t="n">
        <v>45574.3333333333</v>
      </c>
      <c r="E729" s="2" t="s">
        <v>37</v>
      </c>
      <c r="F729" s="2" t="s">
        <v>31</v>
      </c>
      <c r="G729" s="2" t="n">
        <v>3831.98</v>
      </c>
      <c r="H729" s="2" t="n">
        <v>11.76</v>
      </c>
      <c r="I729" s="2" t="s">
        <v>28</v>
      </c>
      <c r="J729" s="2" t="s">
        <v>2837</v>
      </c>
      <c r="K729" s="2" t="s">
        <v>122</v>
      </c>
      <c r="L729" s="2" t="s">
        <v>1311</v>
      </c>
      <c r="M729" s="2"/>
    </row>
    <row r="730" customFormat="false" ht="15" hidden="false" customHeight="false" outlineLevel="0" collapsed="false">
      <c r="A730" s="2" t="s">
        <v>2838</v>
      </c>
      <c r="B730" s="2" t="s">
        <v>1555</v>
      </c>
      <c r="C730" s="2" t="s">
        <v>1556</v>
      </c>
      <c r="D730" s="13" t="n">
        <v>45959.8347222222</v>
      </c>
      <c r="E730" s="2" t="s">
        <v>37</v>
      </c>
      <c r="F730" s="2" t="s">
        <v>32</v>
      </c>
      <c r="G730" s="2" t="n">
        <v>6891</v>
      </c>
      <c r="H730" s="2" t="n">
        <v>57.22</v>
      </c>
      <c r="I730" s="2" t="s">
        <v>26</v>
      </c>
      <c r="J730" s="2" t="s">
        <v>2839</v>
      </c>
      <c r="K730" s="2" t="s">
        <v>89</v>
      </c>
      <c r="L730" s="2" t="s">
        <v>703</v>
      </c>
      <c r="M730" s="2"/>
    </row>
    <row r="731" customFormat="false" ht="15" hidden="false" customHeight="false" outlineLevel="0" collapsed="false">
      <c r="A731" s="2" t="s">
        <v>2840</v>
      </c>
      <c r="B731" s="2" t="s">
        <v>1391</v>
      </c>
      <c r="C731" s="2" t="s">
        <v>1392</v>
      </c>
      <c r="D731" s="13" t="n">
        <v>45811.6291666667</v>
      </c>
      <c r="E731" s="2" t="s">
        <v>37</v>
      </c>
      <c r="F731" s="2" t="s">
        <v>29</v>
      </c>
      <c r="G731" s="2" t="n">
        <v>4896.71</v>
      </c>
      <c r="H731" s="2" t="n">
        <v>57.69</v>
      </c>
      <c r="I731" s="2" t="s">
        <v>26</v>
      </c>
      <c r="J731" s="2" t="s">
        <v>2841</v>
      </c>
      <c r="K731" s="2" t="s">
        <v>89</v>
      </c>
      <c r="L731" s="2" t="s">
        <v>1320</v>
      </c>
      <c r="M731" s="2"/>
    </row>
    <row r="732" customFormat="false" ht="15" hidden="false" customHeight="false" outlineLevel="0" collapsed="false">
      <c r="A732" s="2" t="s">
        <v>2842</v>
      </c>
      <c r="B732" s="2" t="s">
        <v>350</v>
      </c>
      <c r="C732" s="2" t="s">
        <v>351</v>
      </c>
      <c r="D732" s="13" t="n">
        <v>45415.3840277778</v>
      </c>
      <c r="E732" s="2" t="s">
        <v>41</v>
      </c>
      <c r="F732" s="2" t="s">
        <v>31</v>
      </c>
      <c r="G732" s="2" t="n">
        <v>13257.46</v>
      </c>
      <c r="H732" s="2" t="n">
        <v>71.28</v>
      </c>
      <c r="I732" s="2" t="s">
        <v>26</v>
      </c>
      <c r="J732" s="2" t="s">
        <v>2843</v>
      </c>
      <c r="K732" s="2" t="s">
        <v>122</v>
      </c>
      <c r="L732" s="2" t="s">
        <v>1325</v>
      </c>
      <c r="M732" s="2"/>
    </row>
    <row r="733" customFormat="false" ht="15" hidden="false" customHeight="false" outlineLevel="0" collapsed="false">
      <c r="A733" s="2" t="s">
        <v>2844</v>
      </c>
      <c r="B733" s="2" t="s">
        <v>2845</v>
      </c>
      <c r="C733" s="2" t="s">
        <v>2846</v>
      </c>
      <c r="D733" s="13" t="n">
        <v>45462.8979166667</v>
      </c>
      <c r="E733" s="2" t="s">
        <v>43</v>
      </c>
      <c r="F733" s="2" t="s">
        <v>31</v>
      </c>
      <c r="G733" s="2" t="n">
        <v>8906.1</v>
      </c>
      <c r="H733" s="2" t="n">
        <v>87.23</v>
      </c>
      <c r="I733" s="2" t="s">
        <v>30</v>
      </c>
      <c r="J733" s="2" t="s">
        <v>2847</v>
      </c>
      <c r="K733" s="2" t="s">
        <v>95</v>
      </c>
      <c r="L733" s="2"/>
      <c r="M733" s="2" t="s">
        <v>238</v>
      </c>
    </row>
    <row r="734" customFormat="false" ht="15" hidden="false" customHeight="false" outlineLevel="0" collapsed="false">
      <c r="A734" s="2" t="s">
        <v>2848</v>
      </c>
      <c r="B734" s="2" t="s">
        <v>2579</v>
      </c>
      <c r="C734" s="2" t="s">
        <v>2580</v>
      </c>
      <c r="D734" s="13" t="n">
        <v>45406.8375</v>
      </c>
      <c r="E734" s="2" t="s">
        <v>43</v>
      </c>
      <c r="F734" s="2" t="s">
        <v>27</v>
      </c>
      <c r="G734" s="2" t="n">
        <v>3038.69</v>
      </c>
      <c r="H734" s="2" t="n">
        <v>21.64</v>
      </c>
      <c r="I734" s="2" t="s">
        <v>26</v>
      </c>
      <c r="J734" s="2" t="s">
        <v>2849</v>
      </c>
      <c r="K734" s="2" t="s">
        <v>95</v>
      </c>
      <c r="L734" s="2"/>
      <c r="M734" s="2" t="s">
        <v>718</v>
      </c>
    </row>
    <row r="735" customFormat="false" ht="15" hidden="false" customHeight="false" outlineLevel="0" collapsed="false">
      <c r="A735" s="2" t="s">
        <v>2850</v>
      </c>
      <c r="B735" s="2" t="s">
        <v>2851</v>
      </c>
      <c r="C735" s="2" t="s">
        <v>2852</v>
      </c>
      <c r="D735" s="13" t="n">
        <v>45499.8027777778</v>
      </c>
      <c r="E735" s="2" t="s">
        <v>37</v>
      </c>
      <c r="F735" s="2" t="s">
        <v>29</v>
      </c>
      <c r="G735" s="2" t="n">
        <v>3484.67</v>
      </c>
      <c r="H735" s="2" t="n">
        <v>25.63</v>
      </c>
      <c r="I735" s="2" t="s">
        <v>26</v>
      </c>
      <c r="J735" s="2" t="s">
        <v>2853</v>
      </c>
      <c r="K735" s="2" t="s">
        <v>89</v>
      </c>
      <c r="L735" s="2" t="s">
        <v>1339</v>
      </c>
      <c r="M735" s="2"/>
    </row>
    <row r="736" customFormat="false" ht="15" hidden="false" customHeight="false" outlineLevel="0" collapsed="false">
      <c r="A736" s="2" t="s">
        <v>2854</v>
      </c>
      <c r="B736" s="2" t="s">
        <v>1583</v>
      </c>
      <c r="C736" s="2" t="s">
        <v>1584</v>
      </c>
      <c r="D736" s="13" t="n">
        <v>45721.45625</v>
      </c>
      <c r="E736" s="2" t="s">
        <v>39</v>
      </c>
      <c r="F736" s="2" t="s">
        <v>29</v>
      </c>
      <c r="G736" s="2" t="n">
        <v>9368.56</v>
      </c>
      <c r="H736" s="2" t="n">
        <v>45.61</v>
      </c>
      <c r="I736" s="2" t="s">
        <v>26</v>
      </c>
      <c r="J736" s="2" t="s">
        <v>2855</v>
      </c>
      <c r="K736" s="2" t="s">
        <v>122</v>
      </c>
      <c r="L736" s="2" t="s">
        <v>1344</v>
      </c>
      <c r="M736" s="2"/>
    </row>
    <row r="737" customFormat="false" ht="15" hidden="false" customHeight="false" outlineLevel="0" collapsed="false">
      <c r="A737" s="2" t="s">
        <v>2856</v>
      </c>
      <c r="B737" s="2" t="s">
        <v>1386</v>
      </c>
      <c r="C737" s="2" t="s">
        <v>1387</v>
      </c>
      <c r="D737" s="13" t="n">
        <v>45804.3333333333</v>
      </c>
      <c r="E737" s="2" t="s">
        <v>41</v>
      </c>
      <c r="F737" s="2" t="s">
        <v>32</v>
      </c>
      <c r="G737" s="2" t="n">
        <v>1877.15</v>
      </c>
      <c r="H737" s="2" t="n">
        <v>20.05</v>
      </c>
      <c r="I737" s="2" t="s">
        <v>26</v>
      </c>
      <c r="J737" s="2" t="s">
        <v>2857</v>
      </c>
      <c r="K737" s="2" t="s">
        <v>122</v>
      </c>
      <c r="L737" s="2" t="s">
        <v>731</v>
      </c>
      <c r="M737" s="2"/>
    </row>
    <row r="738" customFormat="false" ht="15" hidden="false" customHeight="false" outlineLevel="0" collapsed="false">
      <c r="A738" s="2" t="s">
        <v>2858</v>
      </c>
      <c r="B738" s="2" t="s">
        <v>1433</v>
      </c>
      <c r="C738" s="2" t="s">
        <v>1434</v>
      </c>
      <c r="D738" s="13" t="n">
        <v>45482.5361111111</v>
      </c>
      <c r="E738" s="2" t="s">
        <v>37</v>
      </c>
      <c r="F738" s="2" t="s">
        <v>27</v>
      </c>
      <c r="G738" s="2" t="n">
        <v>841.53</v>
      </c>
      <c r="H738" s="2" t="n">
        <v>8.33</v>
      </c>
      <c r="I738" s="2" t="s">
        <v>28</v>
      </c>
      <c r="J738" s="2" t="s">
        <v>2859</v>
      </c>
      <c r="K738" s="2" t="s">
        <v>101</v>
      </c>
      <c r="L738" s="2"/>
      <c r="M738" s="2" t="s">
        <v>263</v>
      </c>
    </row>
    <row r="739" customFormat="false" ht="15" hidden="false" customHeight="false" outlineLevel="0" collapsed="false">
      <c r="A739" s="2" t="s">
        <v>2860</v>
      </c>
      <c r="B739" s="2" t="s">
        <v>2861</v>
      </c>
      <c r="C739" s="2" t="s">
        <v>2862</v>
      </c>
      <c r="D739" s="13" t="n">
        <v>45758.6423611111</v>
      </c>
      <c r="E739" s="2" t="s">
        <v>37</v>
      </c>
      <c r="F739" s="2" t="s">
        <v>31</v>
      </c>
      <c r="G739" s="2" t="n">
        <v>20418.96</v>
      </c>
      <c r="H739" s="2" t="n">
        <v>113.63</v>
      </c>
      <c r="I739" s="2" t="s">
        <v>26</v>
      </c>
      <c r="J739" s="2" t="s">
        <v>2863</v>
      </c>
      <c r="K739" s="2" t="s">
        <v>101</v>
      </c>
      <c r="L739" s="2" t="s">
        <v>738</v>
      </c>
      <c r="M739" s="2"/>
    </row>
    <row r="740" customFormat="false" ht="15" hidden="false" customHeight="false" outlineLevel="0" collapsed="false">
      <c r="A740" s="2" t="s">
        <v>2864</v>
      </c>
      <c r="B740" s="2" t="s">
        <v>2865</v>
      </c>
      <c r="C740" s="2" t="s">
        <v>2866</v>
      </c>
      <c r="D740" s="13" t="n">
        <v>45437.3888888889</v>
      </c>
      <c r="E740" s="2" t="s">
        <v>39</v>
      </c>
      <c r="F740" s="2" t="s">
        <v>31</v>
      </c>
      <c r="G740" s="2" t="n">
        <v>3202.29</v>
      </c>
      <c r="H740" s="2" t="n">
        <v>11.05</v>
      </c>
      <c r="I740" s="2" t="s">
        <v>26</v>
      </c>
      <c r="J740" s="2" t="s">
        <v>2867</v>
      </c>
      <c r="K740" s="2" t="s">
        <v>89</v>
      </c>
      <c r="L740" s="2" t="s">
        <v>743</v>
      </c>
      <c r="M740" s="2"/>
    </row>
    <row r="741" customFormat="false" ht="15" hidden="false" customHeight="false" outlineLevel="0" collapsed="false">
      <c r="A741" s="2" t="s">
        <v>2868</v>
      </c>
      <c r="B741" s="2" t="s">
        <v>2396</v>
      </c>
      <c r="C741" s="2" t="s">
        <v>2397</v>
      </c>
      <c r="D741" s="13" t="n">
        <v>45494.7513888889</v>
      </c>
      <c r="E741" s="2" t="s">
        <v>41</v>
      </c>
      <c r="F741" s="2" t="s">
        <v>29</v>
      </c>
      <c r="G741" s="2" t="n">
        <v>12024.29</v>
      </c>
      <c r="H741" s="2" t="n">
        <v>131.4</v>
      </c>
      <c r="I741" s="2" t="s">
        <v>26</v>
      </c>
      <c r="J741" s="2" t="s">
        <v>2869</v>
      </c>
      <c r="K741" s="2" t="s">
        <v>89</v>
      </c>
      <c r="L741" s="2" t="s">
        <v>1901</v>
      </c>
      <c r="M741" s="2"/>
    </row>
    <row r="742" customFormat="false" ht="15" hidden="false" customHeight="false" outlineLevel="0" collapsed="false">
      <c r="A742" s="2" t="s">
        <v>2870</v>
      </c>
      <c r="B742" s="2" t="s">
        <v>2871</v>
      </c>
      <c r="C742" s="2" t="s">
        <v>2872</v>
      </c>
      <c r="D742" s="13" t="n">
        <v>45843.6083333333</v>
      </c>
      <c r="E742" s="2" t="s">
        <v>39</v>
      </c>
      <c r="F742" s="2" t="s">
        <v>32</v>
      </c>
      <c r="G742" s="2" t="n">
        <v>1033.44</v>
      </c>
      <c r="H742" s="2" t="n">
        <v>5.09</v>
      </c>
      <c r="I742" s="2" t="s">
        <v>26</v>
      </c>
      <c r="J742" s="2" t="s">
        <v>2873</v>
      </c>
      <c r="K742" s="2" t="s">
        <v>89</v>
      </c>
      <c r="L742" s="2" t="s">
        <v>752</v>
      </c>
      <c r="M742" s="2"/>
    </row>
    <row r="743" customFormat="false" ht="15" hidden="false" customHeight="false" outlineLevel="0" collapsed="false">
      <c r="A743" s="2" t="s">
        <v>2874</v>
      </c>
      <c r="B743" s="2" t="s">
        <v>2875</v>
      </c>
      <c r="C743" s="2" t="s">
        <v>2876</v>
      </c>
      <c r="D743" s="13" t="n">
        <v>45401.8597222222</v>
      </c>
      <c r="E743" s="2" t="s">
        <v>43</v>
      </c>
      <c r="F743" s="2" t="s">
        <v>27</v>
      </c>
      <c r="G743" s="2" t="n">
        <v>12500.03</v>
      </c>
      <c r="H743" s="2" t="n">
        <v>114.96</v>
      </c>
      <c r="I743" s="2" t="s">
        <v>30</v>
      </c>
      <c r="J743" s="2" t="s">
        <v>2877</v>
      </c>
      <c r="K743" s="2" t="s">
        <v>101</v>
      </c>
      <c r="L743" s="2"/>
      <c r="M743" s="2" t="s">
        <v>288</v>
      </c>
    </row>
    <row r="744" customFormat="false" ht="15" hidden="false" customHeight="false" outlineLevel="0" collapsed="false">
      <c r="A744" s="2" t="s">
        <v>2878</v>
      </c>
      <c r="B744" s="2" t="s">
        <v>745</v>
      </c>
      <c r="C744" s="2" t="s">
        <v>746</v>
      </c>
      <c r="D744" s="13" t="n">
        <v>45542.6125</v>
      </c>
      <c r="E744" s="2" t="s">
        <v>35</v>
      </c>
      <c r="F744" s="2" t="s">
        <v>31</v>
      </c>
      <c r="G744" s="2" t="n">
        <v>20667.64</v>
      </c>
      <c r="H744" s="2" t="n">
        <v>109.54</v>
      </c>
      <c r="I744" s="2" t="s">
        <v>26</v>
      </c>
      <c r="J744" s="2" t="s">
        <v>2879</v>
      </c>
      <c r="K744" s="2" t="s">
        <v>89</v>
      </c>
      <c r="L744" s="2" t="s">
        <v>1912</v>
      </c>
      <c r="M744" s="2"/>
    </row>
    <row r="745" customFormat="false" ht="15" hidden="false" customHeight="false" outlineLevel="0" collapsed="false">
      <c r="A745" s="2" t="s">
        <v>2880</v>
      </c>
      <c r="B745" s="2" t="s">
        <v>2881</v>
      </c>
      <c r="C745" s="2" t="s">
        <v>2882</v>
      </c>
      <c r="D745" s="13" t="n">
        <v>45309.4555555556</v>
      </c>
      <c r="E745" s="2" t="s">
        <v>43</v>
      </c>
      <c r="F745" s="2" t="s">
        <v>27</v>
      </c>
      <c r="G745" s="2" t="n">
        <v>2233.14</v>
      </c>
      <c r="H745" s="2" t="n">
        <v>7.94</v>
      </c>
      <c r="I745" s="2" t="s">
        <v>26</v>
      </c>
      <c r="J745" s="2" t="s">
        <v>2883</v>
      </c>
      <c r="K745" s="2" t="s">
        <v>101</v>
      </c>
      <c r="L745" s="2"/>
      <c r="M745" s="2" t="s">
        <v>298</v>
      </c>
    </row>
    <row r="746" customFormat="false" ht="15" hidden="false" customHeight="false" outlineLevel="0" collapsed="false">
      <c r="A746" s="2" t="s">
        <v>2884</v>
      </c>
      <c r="B746" s="2" t="s">
        <v>2885</v>
      </c>
      <c r="C746" s="2" t="s">
        <v>2886</v>
      </c>
      <c r="D746" s="13" t="n">
        <v>45544.7222222222</v>
      </c>
      <c r="E746" s="2" t="s">
        <v>37</v>
      </c>
      <c r="F746" s="2" t="s">
        <v>27</v>
      </c>
      <c r="G746" s="2" t="n">
        <v>925.83</v>
      </c>
      <c r="H746" s="2" t="n">
        <v>5</v>
      </c>
      <c r="I746" s="2" t="s">
        <v>26</v>
      </c>
      <c r="J746" s="2" t="s">
        <v>2887</v>
      </c>
      <c r="K746" s="2" t="s">
        <v>89</v>
      </c>
      <c r="L746" s="2"/>
      <c r="M746" s="2" t="s">
        <v>1174</v>
      </c>
    </row>
    <row r="747" customFormat="false" ht="15" hidden="false" customHeight="false" outlineLevel="0" collapsed="false">
      <c r="A747" s="2" t="s">
        <v>2888</v>
      </c>
      <c r="B747" s="2" t="s">
        <v>2889</v>
      </c>
      <c r="C747" s="2" t="s">
        <v>2890</v>
      </c>
      <c r="D747" s="13" t="n">
        <v>45531.7833333333</v>
      </c>
      <c r="E747" s="2" t="s">
        <v>35</v>
      </c>
      <c r="F747" s="2" t="s">
        <v>32</v>
      </c>
      <c r="G747" s="2" t="n">
        <v>5005.78</v>
      </c>
      <c r="H747" s="2" t="n">
        <v>27.1</v>
      </c>
      <c r="I747" s="2" t="s">
        <v>26</v>
      </c>
      <c r="J747" s="2" t="s">
        <v>2891</v>
      </c>
      <c r="K747" s="2" t="s">
        <v>89</v>
      </c>
      <c r="L747" s="2" t="s">
        <v>2892</v>
      </c>
      <c r="M747" s="2"/>
    </row>
    <row r="748" customFormat="false" ht="15" hidden="false" customHeight="false" outlineLevel="0" collapsed="false">
      <c r="A748" s="2" t="s">
        <v>2893</v>
      </c>
      <c r="B748" s="2" t="s">
        <v>1555</v>
      </c>
      <c r="C748" s="2" t="s">
        <v>1556</v>
      </c>
      <c r="D748" s="13" t="n">
        <v>45979.8819444445</v>
      </c>
      <c r="E748" s="2" t="s">
        <v>35</v>
      </c>
      <c r="F748" s="2" t="s">
        <v>27</v>
      </c>
      <c r="G748" s="2" t="n">
        <v>1883.22</v>
      </c>
      <c r="H748" s="2" t="n">
        <v>6.66</v>
      </c>
      <c r="I748" s="2" t="s">
        <v>30</v>
      </c>
      <c r="J748" s="2" t="s">
        <v>2894</v>
      </c>
      <c r="K748" s="2" t="s">
        <v>101</v>
      </c>
      <c r="L748" s="2"/>
      <c r="M748" s="2" t="s">
        <v>313</v>
      </c>
    </row>
    <row r="749" customFormat="false" ht="15" hidden="false" customHeight="false" outlineLevel="0" collapsed="false">
      <c r="A749" s="2" t="s">
        <v>2895</v>
      </c>
      <c r="B749" s="2" t="s">
        <v>849</v>
      </c>
      <c r="C749" s="2" t="s">
        <v>850</v>
      </c>
      <c r="D749" s="13" t="n">
        <v>45578.8673611111</v>
      </c>
      <c r="E749" s="2" t="s">
        <v>37</v>
      </c>
      <c r="F749" s="2" t="s">
        <v>31</v>
      </c>
      <c r="G749" s="2" t="n">
        <v>3733.98</v>
      </c>
      <c r="H749" s="2" t="n">
        <v>20.84</v>
      </c>
      <c r="I749" s="2" t="s">
        <v>26</v>
      </c>
      <c r="J749" s="2" t="s">
        <v>2896</v>
      </c>
      <c r="K749" s="2" t="s">
        <v>122</v>
      </c>
      <c r="L749" s="2" t="s">
        <v>1389</v>
      </c>
      <c r="M749" s="2"/>
    </row>
    <row r="750" customFormat="false" ht="15" hidden="false" customHeight="false" outlineLevel="0" collapsed="false">
      <c r="A750" s="2" t="s">
        <v>2897</v>
      </c>
      <c r="B750" s="2" t="s">
        <v>1957</v>
      </c>
      <c r="C750" s="2" t="s">
        <v>1958</v>
      </c>
      <c r="D750" s="13" t="n">
        <v>45354.8798611111</v>
      </c>
      <c r="E750" s="2" t="s">
        <v>37</v>
      </c>
      <c r="F750" s="2" t="s">
        <v>32</v>
      </c>
      <c r="G750" s="2" t="n">
        <v>1187.62</v>
      </c>
      <c r="H750" s="2" t="n">
        <v>11.34</v>
      </c>
      <c r="I750" s="2" t="s">
        <v>26</v>
      </c>
      <c r="J750" s="2" t="s">
        <v>2898</v>
      </c>
      <c r="K750" s="2" t="s">
        <v>89</v>
      </c>
      <c r="L750" s="2" t="s">
        <v>1935</v>
      </c>
      <c r="M750" s="2"/>
    </row>
    <row r="751" customFormat="false" ht="15" hidden="false" customHeight="false" outlineLevel="0" collapsed="false">
      <c r="A751" s="2" t="s">
        <v>2899</v>
      </c>
      <c r="B751" s="2" t="s">
        <v>2900</v>
      </c>
      <c r="C751" s="2" t="s">
        <v>2901</v>
      </c>
      <c r="D751" s="13" t="n">
        <v>45392.9305555556</v>
      </c>
      <c r="E751" s="2" t="s">
        <v>41</v>
      </c>
      <c r="F751" s="2" t="s">
        <v>27</v>
      </c>
      <c r="G751" s="2" t="n">
        <v>2619.49</v>
      </c>
      <c r="H751" s="2" t="n">
        <v>5.66</v>
      </c>
      <c r="I751" s="2" t="s">
        <v>26</v>
      </c>
      <c r="J751" s="2" t="s">
        <v>2902</v>
      </c>
      <c r="K751" s="2" t="s">
        <v>89</v>
      </c>
      <c r="L751" s="2"/>
      <c r="M751" s="2" t="s">
        <v>328</v>
      </c>
    </row>
    <row r="752" customFormat="false" ht="15" hidden="false" customHeight="false" outlineLevel="0" collapsed="false">
      <c r="A752" s="2" t="s">
        <v>2903</v>
      </c>
      <c r="B752" s="2" t="s">
        <v>642</v>
      </c>
      <c r="C752" s="2" t="s">
        <v>643</v>
      </c>
      <c r="D752" s="13" t="n">
        <v>45600.7395833333</v>
      </c>
      <c r="E752" s="2" t="s">
        <v>43</v>
      </c>
      <c r="F752" s="2" t="s">
        <v>32</v>
      </c>
      <c r="G752" s="2" t="n">
        <v>3692.84</v>
      </c>
      <c r="H752" s="2" t="n">
        <v>9.23</v>
      </c>
      <c r="I752" s="2" t="s">
        <v>26</v>
      </c>
      <c r="J752" s="2" t="s">
        <v>2904</v>
      </c>
      <c r="K752" s="2" t="s">
        <v>101</v>
      </c>
      <c r="L752" s="2"/>
      <c r="M752" s="2" t="s">
        <v>795</v>
      </c>
    </row>
    <row r="753" customFormat="false" ht="15" hidden="false" customHeight="false" outlineLevel="0" collapsed="false">
      <c r="A753" s="2" t="s">
        <v>2905</v>
      </c>
      <c r="B753" s="2" t="s">
        <v>2906</v>
      </c>
      <c r="C753" s="2" t="s">
        <v>2907</v>
      </c>
      <c r="D753" s="13" t="n">
        <v>45695.7979166667</v>
      </c>
      <c r="E753" s="2" t="s">
        <v>35</v>
      </c>
      <c r="F753" s="2" t="s">
        <v>31</v>
      </c>
      <c r="G753" s="2" t="n">
        <v>9221.14</v>
      </c>
      <c r="H753" s="2" t="n">
        <v>66.04</v>
      </c>
      <c r="I753" s="2" t="s">
        <v>26</v>
      </c>
      <c r="J753" s="2" t="s">
        <v>2908</v>
      </c>
      <c r="K753" s="2" t="s">
        <v>122</v>
      </c>
      <c r="L753" s="2" t="s">
        <v>96</v>
      </c>
      <c r="M753" s="2"/>
    </row>
    <row r="754" customFormat="false" ht="15" hidden="false" customHeight="false" outlineLevel="0" collapsed="false">
      <c r="A754" s="2" t="s">
        <v>2909</v>
      </c>
      <c r="B754" s="2" t="s">
        <v>2190</v>
      </c>
      <c r="C754" s="2" t="s">
        <v>2191</v>
      </c>
      <c r="D754" s="13" t="n">
        <v>45548.4583333333</v>
      </c>
      <c r="E754" s="2" t="s">
        <v>41</v>
      </c>
      <c r="F754" s="2" t="s">
        <v>27</v>
      </c>
      <c r="G754" s="2" t="n">
        <v>1683.21</v>
      </c>
      <c r="H754" s="2" t="n">
        <v>14.87</v>
      </c>
      <c r="I754" s="2" t="s">
        <v>26</v>
      </c>
      <c r="J754" s="2" t="s">
        <v>2910</v>
      </c>
      <c r="K754" s="2" t="s">
        <v>95</v>
      </c>
      <c r="L754" s="2"/>
      <c r="M754" s="2" t="s">
        <v>1588</v>
      </c>
    </row>
    <row r="755" customFormat="false" ht="15" hidden="false" customHeight="false" outlineLevel="0" collapsed="false">
      <c r="A755" s="2" t="s">
        <v>2911</v>
      </c>
      <c r="B755" s="2" t="s">
        <v>2751</v>
      </c>
      <c r="C755" s="2" t="s">
        <v>2752</v>
      </c>
      <c r="D755" s="13" t="n">
        <v>45638.5736111111</v>
      </c>
      <c r="E755" s="2" t="s">
        <v>41</v>
      </c>
      <c r="F755" s="2" t="s">
        <v>29</v>
      </c>
      <c r="G755" s="2" t="n">
        <v>11509.71</v>
      </c>
      <c r="H755" s="2" t="n">
        <v>77.79</v>
      </c>
      <c r="I755" s="2" t="s">
        <v>28</v>
      </c>
      <c r="J755" s="2" t="s">
        <v>2912</v>
      </c>
      <c r="K755" s="2" t="s">
        <v>95</v>
      </c>
      <c r="L755" s="2" t="s">
        <v>107</v>
      </c>
      <c r="M755" s="2"/>
    </row>
    <row r="756" customFormat="false" ht="15" hidden="false" customHeight="false" outlineLevel="0" collapsed="false">
      <c r="A756" s="2" t="s">
        <v>2913</v>
      </c>
      <c r="B756" s="2" t="s">
        <v>240</v>
      </c>
      <c r="C756" s="2" t="s">
        <v>241</v>
      </c>
      <c r="D756" s="13" t="n">
        <v>45833.8652777778</v>
      </c>
      <c r="E756" s="2" t="s">
        <v>39</v>
      </c>
      <c r="F756" s="2" t="s">
        <v>29</v>
      </c>
      <c r="G756" s="2" t="n">
        <v>4076.16</v>
      </c>
      <c r="H756" s="2" t="n">
        <v>10.28</v>
      </c>
      <c r="I756" s="2" t="s">
        <v>28</v>
      </c>
      <c r="J756" s="2" t="s">
        <v>2914</v>
      </c>
      <c r="K756" s="2" t="s">
        <v>122</v>
      </c>
      <c r="L756" s="2" t="s">
        <v>812</v>
      </c>
      <c r="M756" s="2"/>
    </row>
    <row r="757" customFormat="false" ht="15" hidden="false" customHeight="false" outlineLevel="0" collapsed="false">
      <c r="A757" s="2" t="s">
        <v>2915</v>
      </c>
      <c r="B757" s="2" t="s">
        <v>2365</v>
      </c>
      <c r="C757" s="2" t="s">
        <v>2366</v>
      </c>
      <c r="D757" s="13" t="n">
        <v>45987.5909722222</v>
      </c>
      <c r="E757" s="2" t="s">
        <v>41</v>
      </c>
      <c r="F757" s="2" t="s">
        <v>29</v>
      </c>
      <c r="G757" s="2" t="n">
        <v>1285.91</v>
      </c>
      <c r="H757" s="2" t="n">
        <v>7.34</v>
      </c>
      <c r="I757" s="2" t="s">
        <v>26</v>
      </c>
      <c r="J757" s="2" t="s">
        <v>2916</v>
      </c>
      <c r="K757" s="2" t="s">
        <v>101</v>
      </c>
      <c r="L757" s="2" t="s">
        <v>117</v>
      </c>
      <c r="M757" s="2"/>
    </row>
    <row r="758" customFormat="false" ht="15" hidden="false" customHeight="false" outlineLevel="0" collapsed="false">
      <c r="A758" s="2" t="s">
        <v>2917</v>
      </c>
      <c r="B758" s="2" t="s">
        <v>1129</v>
      </c>
      <c r="C758" s="2" t="s">
        <v>1130</v>
      </c>
      <c r="D758" s="13" t="n">
        <v>45318.4791666667</v>
      </c>
      <c r="E758" s="2" t="s">
        <v>35</v>
      </c>
      <c r="F758" s="2" t="s">
        <v>27</v>
      </c>
      <c r="G758" s="2" t="n">
        <v>1661.65</v>
      </c>
      <c r="H758" s="2" t="n">
        <v>5</v>
      </c>
      <c r="I758" s="2" t="s">
        <v>26</v>
      </c>
      <c r="J758" s="2" t="s">
        <v>2918</v>
      </c>
      <c r="K758" s="2" t="s">
        <v>101</v>
      </c>
      <c r="L758" s="2"/>
      <c r="M758" s="2" t="s">
        <v>363</v>
      </c>
    </row>
    <row r="759" customFormat="false" ht="15" hidden="false" customHeight="false" outlineLevel="0" collapsed="false">
      <c r="A759" s="2" t="s">
        <v>2919</v>
      </c>
      <c r="B759" s="2" t="s">
        <v>2103</v>
      </c>
      <c r="C759" s="2" t="s">
        <v>2104</v>
      </c>
      <c r="D759" s="13" t="n">
        <v>45301.7166666667</v>
      </c>
      <c r="E759" s="2" t="s">
        <v>39</v>
      </c>
      <c r="F759" s="2" t="s">
        <v>27</v>
      </c>
      <c r="G759" s="2" t="n">
        <v>13224.97</v>
      </c>
      <c r="H759" s="2" t="n">
        <v>80.87</v>
      </c>
      <c r="I759" s="2" t="s">
        <v>28</v>
      </c>
      <c r="J759" s="2" t="s">
        <v>2920</v>
      </c>
      <c r="K759" s="2" t="s">
        <v>122</v>
      </c>
      <c r="L759" s="2"/>
      <c r="M759" s="2" t="s">
        <v>1606</v>
      </c>
    </row>
    <row r="760" customFormat="false" ht="15" hidden="false" customHeight="false" outlineLevel="0" collapsed="false">
      <c r="A760" s="2" t="s">
        <v>2921</v>
      </c>
      <c r="B760" s="2" t="s">
        <v>664</v>
      </c>
      <c r="C760" s="2" t="s">
        <v>665</v>
      </c>
      <c r="D760" s="13" t="n">
        <v>46019.7236111111</v>
      </c>
      <c r="E760" s="2" t="s">
        <v>39</v>
      </c>
      <c r="F760" s="2" t="s">
        <v>32</v>
      </c>
      <c r="G760" s="2" t="n">
        <v>1907.21</v>
      </c>
      <c r="H760" s="2" t="n">
        <v>5.28</v>
      </c>
      <c r="I760" s="2" t="s">
        <v>28</v>
      </c>
      <c r="J760" s="2" t="s">
        <v>2922</v>
      </c>
      <c r="K760" s="2" t="s">
        <v>101</v>
      </c>
      <c r="L760" s="2" t="s">
        <v>133</v>
      </c>
      <c r="M760" s="2"/>
    </row>
    <row r="761" customFormat="false" ht="15" hidden="false" customHeight="false" outlineLevel="0" collapsed="false">
      <c r="A761" s="2" t="s">
        <v>2923</v>
      </c>
      <c r="B761" s="2" t="s">
        <v>2924</v>
      </c>
      <c r="C761" s="2" t="s">
        <v>2925</v>
      </c>
      <c r="D761" s="13" t="n">
        <v>45477.9256944444</v>
      </c>
      <c r="E761" s="2" t="s">
        <v>41</v>
      </c>
      <c r="F761" s="2" t="s">
        <v>27</v>
      </c>
      <c r="G761" s="2" t="n">
        <v>622.18</v>
      </c>
      <c r="H761" s="2" t="n">
        <v>5</v>
      </c>
      <c r="I761" s="2" t="s">
        <v>26</v>
      </c>
      <c r="J761" s="2" t="s">
        <v>2926</v>
      </c>
      <c r="K761" s="2" t="s">
        <v>89</v>
      </c>
      <c r="L761" s="2"/>
      <c r="M761" s="2" t="s">
        <v>378</v>
      </c>
    </row>
    <row r="762" customFormat="false" ht="15" hidden="false" customHeight="false" outlineLevel="0" collapsed="false">
      <c r="A762" s="2" t="s">
        <v>2927</v>
      </c>
      <c r="B762" s="2" t="s">
        <v>2928</v>
      </c>
      <c r="C762" s="2" t="s">
        <v>2929</v>
      </c>
      <c r="D762" s="13" t="n">
        <v>45368.9118055556</v>
      </c>
      <c r="E762" s="2" t="s">
        <v>39</v>
      </c>
      <c r="F762" s="2" t="s">
        <v>27</v>
      </c>
      <c r="G762" s="2" t="n">
        <v>567.54</v>
      </c>
      <c r="H762" s="2" t="n">
        <v>5</v>
      </c>
      <c r="I762" s="2" t="s">
        <v>26</v>
      </c>
      <c r="J762" s="2" t="s">
        <v>2930</v>
      </c>
      <c r="K762" s="2" t="s">
        <v>122</v>
      </c>
      <c r="L762" s="2"/>
      <c r="M762" s="2" t="s">
        <v>383</v>
      </c>
    </row>
    <row r="763" customFormat="false" ht="15" hidden="false" customHeight="false" outlineLevel="0" collapsed="false">
      <c r="A763" s="2" t="s">
        <v>2931</v>
      </c>
      <c r="B763" s="2" t="s">
        <v>2932</v>
      </c>
      <c r="C763" s="2" t="s">
        <v>2933</v>
      </c>
      <c r="D763" s="13" t="n">
        <v>45350.6736111111</v>
      </c>
      <c r="E763" s="2" t="s">
        <v>35</v>
      </c>
      <c r="F763" s="2" t="s">
        <v>27</v>
      </c>
      <c r="G763" s="2" t="n">
        <v>6239.14</v>
      </c>
      <c r="H763" s="2" t="n">
        <v>19.59</v>
      </c>
      <c r="I763" s="2" t="s">
        <v>28</v>
      </c>
      <c r="J763" s="2" t="s">
        <v>2934</v>
      </c>
      <c r="K763" s="2" t="s">
        <v>95</v>
      </c>
      <c r="L763" s="2"/>
      <c r="M763" s="2" t="s">
        <v>388</v>
      </c>
    </row>
    <row r="764" customFormat="false" ht="15" hidden="false" customHeight="false" outlineLevel="0" collapsed="false">
      <c r="A764" s="2" t="s">
        <v>2935</v>
      </c>
      <c r="B764" s="2" t="s">
        <v>2222</v>
      </c>
      <c r="C764" s="2" t="s">
        <v>2223</v>
      </c>
      <c r="D764" s="13" t="n">
        <v>45675.5041666667</v>
      </c>
      <c r="E764" s="2" t="s">
        <v>37</v>
      </c>
      <c r="F764" s="2" t="s">
        <v>31</v>
      </c>
      <c r="G764" s="2" t="n">
        <v>7683.54</v>
      </c>
      <c r="H764" s="2" t="n">
        <v>84.4</v>
      </c>
      <c r="I764" s="2" t="s">
        <v>26</v>
      </c>
      <c r="J764" s="2" t="s">
        <v>2936</v>
      </c>
      <c r="K764" s="2" t="s">
        <v>101</v>
      </c>
      <c r="L764" s="2" t="s">
        <v>147</v>
      </c>
      <c r="M764" s="2"/>
    </row>
    <row r="765" customFormat="false" ht="15" hidden="false" customHeight="false" outlineLevel="0" collapsed="false">
      <c r="A765" s="2" t="s">
        <v>2937</v>
      </c>
      <c r="B765" s="2" t="s">
        <v>2535</v>
      </c>
      <c r="C765" s="2" t="s">
        <v>2536</v>
      </c>
      <c r="D765" s="13" t="n">
        <v>45986.8034722222</v>
      </c>
      <c r="E765" s="2" t="s">
        <v>39</v>
      </c>
      <c r="F765" s="2" t="s">
        <v>31</v>
      </c>
      <c r="G765" s="2" t="n">
        <v>3990.01</v>
      </c>
      <c r="H765" s="2" t="n">
        <v>24.83</v>
      </c>
      <c r="I765" s="2" t="s">
        <v>26</v>
      </c>
      <c r="J765" s="2" t="s">
        <v>2938</v>
      </c>
      <c r="K765" s="2" t="s">
        <v>122</v>
      </c>
      <c r="L765" s="2" t="s">
        <v>150</v>
      </c>
      <c r="M765" s="2"/>
    </row>
    <row r="766" customFormat="false" ht="15" hidden="false" customHeight="false" outlineLevel="0" collapsed="false">
      <c r="A766" s="2" t="s">
        <v>2939</v>
      </c>
      <c r="B766" s="2" t="s">
        <v>355</v>
      </c>
      <c r="C766" s="2" t="s">
        <v>356</v>
      </c>
      <c r="D766" s="13" t="n">
        <v>45311.5770833333</v>
      </c>
      <c r="E766" s="2" t="s">
        <v>39</v>
      </c>
      <c r="F766" s="2" t="s">
        <v>29</v>
      </c>
      <c r="G766" s="2" t="n">
        <v>16704.63</v>
      </c>
      <c r="H766" s="2" t="n">
        <v>65.82</v>
      </c>
      <c r="I766" s="2" t="s">
        <v>30</v>
      </c>
      <c r="J766" s="2" t="s">
        <v>2940</v>
      </c>
      <c r="K766" s="2" t="s">
        <v>89</v>
      </c>
      <c r="L766" s="2" t="s">
        <v>153</v>
      </c>
      <c r="M766" s="2"/>
    </row>
    <row r="767" customFormat="false" ht="15" hidden="false" customHeight="false" outlineLevel="0" collapsed="false">
      <c r="A767" s="2" t="s">
        <v>2941</v>
      </c>
      <c r="B767" s="2" t="s">
        <v>2942</v>
      </c>
      <c r="C767" s="2" t="s">
        <v>2943</v>
      </c>
      <c r="D767" s="13" t="n">
        <v>45325.6923611111</v>
      </c>
      <c r="E767" s="2" t="s">
        <v>41</v>
      </c>
      <c r="F767" s="2" t="s">
        <v>29</v>
      </c>
      <c r="G767" s="2" t="n">
        <v>2132.61</v>
      </c>
      <c r="H767" s="2" t="n">
        <v>22.08</v>
      </c>
      <c r="I767" s="2" t="s">
        <v>26</v>
      </c>
      <c r="J767" s="2" t="s">
        <v>2944</v>
      </c>
      <c r="K767" s="2" t="s">
        <v>122</v>
      </c>
      <c r="L767" s="2" t="s">
        <v>158</v>
      </c>
      <c r="M767" s="2"/>
    </row>
    <row r="768" customFormat="false" ht="15" hidden="false" customHeight="false" outlineLevel="0" collapsed="false">
      <c r="A768" s="2" t="s">
        <v>2945</v>
      </c>
      <c r="B768" s="2" t="s">
        <v>305</v>
      </c>
      <c r="C768" s="2" t="s">
        <v>306</v>
      </c>
      <c r="D768" s="13" t="n">
        <v>45521.4548611111</v>
      </c>
      <c r="E768" s="2" t="s">
        <v>37</v>
      </c>
      <c r="F768" s="2" t="s">
        <v>27</v>
      </c>
      <c r="G768" s="2" t="n">
        <v>7552.65</v>
      </c>
      <c r="H768" s="2" t="n">
        <v>36.15</v>
      </c>
      <c r="I768" s="2" t="s">
        <v>26</v>
      </c>
      <c r="J768" s="2" t="s">
        <v>2946</v>
      </c>
      <c r="K768" s="2" t="s">
        <v>89</v>
      </c>
      <c r="L768" s="2"/>
      <c r="M768" s="2" t="s">
        <v>862</v>
      </c>
    </row>
    <row r="769" customFormat="false" ht="15" hidden="false" customHeight="false" outlineLevel="0" collapsed="false">
      <c r="A769" s="2" t="s">
        <v>2947</v>
      </c>
      <c r="B769" s="2" t="s">
        <v>2948</v>
      </c>
      <c r="C769" s="2" t="s">
        <v>2949</v>
      </c>
      <c r="D769" s="13" t="n">
        <v>45519.3659722222</v>
      </c>
      <c r="E769" s="2" t="s">
        <v>41</v>
      </c>
      <c r="F769" s="2" t="s">
        <v>29</v>
      </c>
      <c r="G769" s="2" t="n">
        <v>332.32</v>
      </c>
      <c r="H769" s="2" t="n">
        <v>5</v>
      </c>
      <c r="I769" s="2" t="s">
        <v>28</v>
      </c>
      <c r="J769" s="2" t="s">
        <v>2950</v>
      </c>
      <c r="K769" s="2" t="s">
        <v>101</v>
      </c>
      <c r="L769" s="2" t="s">
        <v>168</v>
      </c>
      <c r="M769" s="2"/>
    </row>
    <row r="770" customFormat="false" ht="15" hidden="false" customHeight="false" outlineLevel="0" collapsed="false">
      <c r="A770" s="2" t="s">
        <v>2951</v>
      </c>
      <c r="B770" s="2" t="s">
        <v>2693</v>
      </c>
      <c r="C770" s="2" t="s">
        <v>2694</v>
      </c>
      <c r="D770" s="13" t="n">
        <v>46007.6159722222</v>
      </c>
      <c r="E770" s="2" t="s">
        <v>37</v>
      </c>
      <c r="F770" s="2" t="s">
        <v>32</v>
      </c>
      <c r="G770" s="2" t="n">
        <v>4943.45</v>
      </c>
      <c r="H770" s="2" t="n">
        <v>44.53</v>
      </c>
      <c r="I770" s="2" t="s">
        <v>28</v>
      </c>
      <c r="J770" s="2" t="s">
        <v>2952</v>
      </c>
      <c r="K770" s="2" t="s">
        <v>89</v>
      </c>
      <c r="L770" s="2" t="s">
        <v>173</v>
      </c>
      <c r="M770" s="2"/>
    </row>
    <row r="771" customFormat="false" ht="15" hidden="false" customHeight="false" outlineLevel="0" collapsed="false">
      <c r="A771" s="2" t="s">
        <v>2953</v>
      </c>
      <c r="B771" s="2" t="s">
        <v>2954</v>
      </c>
      <c r="C771" s="2" t="s">
        <v>2955</v>
      </c>
      <c r="D771" s="13" t="n">
        <v>45878.4527777778</v>
      </c>
      <c r="E771" s="2" t="s">
        <v>43</v>
      </c>
      <c r="F771" s="2" t="s">
        <v>27</v>
      </c>
      <c r="G771" s="2" t="n">
        <v>2993.72</v>
      </c>
      <c r="H771" s="2" t="n">
        <v>7.42</v>
      </c>
      <c r="I771" s="2" t="s">
        <v>26</v>
      </c>
      <c r="J771" s="2" t="s">
        <v>2956</v>
      </c>
      <c r="K771" s="2" t="s">
        <v>95</v>
      </c>
      <c r="L771" s="2"/>
      <c r="M771" s="2" t="s">
        <v>871</v>
      </c>
    </row>
    <row r="772" customFormat="false" ht="15" hidden="false" customHeight="false" outlineLevel="0" collapsed="false">
      <c r="A772" s="2" t="s">
        <v>2957</v>
      </c>
      <c r="B772" s="2" t="s">
        <v>1620</v>
      </c>
      <c r="C772" s="2" t="s">
        <v>1621</v>
      </c>
      <c r="D772" s="13" t="n">
        <v>45732.8527777778</v>
      </c>
      <c r="E772" s="2" t="s">
        <v>41</v>
      </c>
      <c r="F772" s="2" t="s">
        <v>29</v>
      </c>
      <c r="G772" s="2" t="n">
        <v>3074.93</v>
      </c>
      <c r="H772" s="2" t="n">
        <v>11.43</v>
      </c>
      <c r="I772" s="2" t="s">
        <v>26</v>
      </c>
      <c r="J772" s="2" t="s">
        <v>2958</v>
      </c>
      <c r="K772" s="2" t="s">
        <v>95</v>
      </c>
      <c r="L772" s="2" t="s">
        <v>874</v>
      </c>
      <c r="M772" s="2"/>
    </row>
    <row r="773" customFormat="false" ht="15" hidden="false" customHeight="false" outlineLevel="0" collapsed="false">
      <c r="A773" s="2" t="s">
        <v>2959</v>
      </c>
      <c r="B773" s="2" t="s">
        <v>1653</v>
      </c>
      <c r="C773" s="2" t="s">
        <v>1654</v>
      </c>
      <c r="D773" s="13" t="n">
        <v>45792.6520833333</v>
      </c>
      <c r="E773" s="2" t="s">
        <v>39</v>
      </c>
      <c r="F773" s="2" t="s">
        <v>27</v>
      </c>
      <c r="G773" s="2" t="n">
        <v>11298.48</v>
      </c>
      <c r="H773" s="2" t="n">
        <v>25.24</v>
      </c>
      <c r="I773" s="2" t="s">
        <v>26</v>
      </c>
      <c r="J773" s="2" t="s">
        <v>2960</v>
      </c>
      <c r="K773" s="2" t="s">
        <v>89</v>
      </c>
      <c r="L773" s="2"/>
      <c r="M773" s="2" t="s">
        <v>1287</v>
      </c>
    </row>
    <row r="774" customFormat="false" ht="15" hidden="false" customHeight="false" outlineLevel="0" collapsed="false">
      <c r="A774" s="2" t="s">
        <v>2961</v>
      </c>
      <c r="B774" s="2" t="s">
        <v>1642</v>
      </c>
      <c r="C774" s="2" t="s">
        <v>1643</v>
      </c>
      <c r="D774" s="13" t="n">
        <v>45799.7833333333</v>
      </c>
      <c r="E774" s="2" t="s">
        <v>43</v>
      </c>
      <c r="F774" s="2" t="s">
        <v>31</v>
      </c>
      <c r="G774" s="2" t="n">
        <v>1261.17</v>
      </c>
      <c r="H774" s="2" t="n">
        <v>5</v>
      </c>
      <c r="I774" s="2" t="s">
        <v>30</v>
      </c>
      <c r="J774" s="2" t="s">
        <v>2962</v>
      </c>
      <c r="K774" s="2" t="s">
        <v>89</v>
      </c>
      <c r="L774" s="2"/>
      <c r="M774" s="2" t="s">
        <v>1658</v>
      </c>
    </row>
    <row r="775" customFormat="false" ht="15" hidden="false" customHeight="false" outlineLevel="0" collapsed="false">
      <c r="A775" s="2" t="s">
        <v>2963</v>
      </c>
      <c r="B775" s="2" t="s">
        <v>2964</v>
      </c>
      <c r="C775" s="2" t="s">
        <v>2965</v>
      </c>
      <c r="D775" s="13" t="n">
        <v>45467.3402777778</v>
      </c>
      <c r="E775" s="2" t="s">
        <v>41</v>
      </c>
      <c r="F775" s="2" t="s">
        <v>31</v>
      </c>
      <c r="G775" s="2" t="n">
        <v>1138.37</v>
      </c>
      <c r="H775" s="2" t="n">
        <v>5.68</v>
      </c>
      <c r="I775" s="2" t="s">
        <v>26</v>
      </c>
      <c r="J775" s="2" t="s">
        <v>2966</v>
      </c>
      <c r="K775" s="2" t="s">
        <v>101</v>
      </c>
      <c r="L775" s="2" t="s">
        <v>1482</v>
      </c>
      <c r="M775" s="2"/>
    </row>
    <row r="776" customFormat="false" ht="15" hidden="false" customHeight="false" outlineLevel="0" collapsed="false">
      <c r="A776" s="2" t="s">
        <v>2967</v>
      </c>
      <c r="B776" s="2" t="s">
        <v>2968</v>
      </c>
      <c r="C776" s="2" t="s">
        <v>2969</v>
      </c>
      <c r="D776" s="13" t="n">
        <v>45878.3590277778</v>
      </c>
      <c r="E776" s="2" t="s">
        <v>39</v>
      </c>
      <c r="F776" s="2" t="s">
        <v>32</v>
      </c>
      <c r="G776" s="2" t="n">
        <v>2916.56</v>
      </c>
      <c r="H776" s="2" t="n">
        <v>11.85</v>
      </c>
      <c r="I776" s="2" t="s">
        <v>26</v>
      </c>
      <c r="J776" s="2" t="s">
        <v>2970</v>
      </c>
      <c r="K776" s="2" t="s">
        <v>101</v>
      </c>
      <c r="L776" s="2" t="s">
        <v>891</v>
      </c>
      <c r="M776" s="2"/>
    </row>
    <row r="777" customFormat="false" ht="15" hidden="false" customHeight="false" outlineLevel="0" collapsed="false">
      <c r="A777" s="2" t="s">
        <v>2971</v>
      </c>
      <c r="B777" s="2" t="s">
        <v>543</v>
      </c>
      <c r="C777" s="2" t="s">
        <v>544</v>
      </c>
      <c r="D777" s="13" t="n">
        <v>45333.49375</v>
      </c>
      <c r="E777" s="2" t="s">
        <v>39</v>
      </c>
      <c r="F777" s="2" t="s">
        <v>31</v>
      </c>
      <c r="G777" s="2" t="n">
        <v>2164.8</v>
      </c>
      <c r="H777" s="2" t="n">
        <v>11.5</v>
      </c>
      <c r="I777" s="2" t="s">
        <v>28</v>
      </c>
      <c r="J777" s="2" t="s">
        <v>2972</v>
      </c>
      <c r="K777" s="2" t="s">
        <v>95</v>
      </c>
      <c r="L777" s="2" t="s">
        <v>208</v>
      </c>
      <c r="M777" s="2"/>
    </row>
    <row r="778" customFormat="false" ht="15" hidden="false" customHeight="false" outlineLevel="0" collapsed="false">
      <c r="A778" s="2" t="s">
        <v>2973</v>
      </c>
      <c r="B778" s="2" t="s">
        <v>275</v>
      </c>
      <c r="C778" s="2" t="s">
        <v>276</v>
      </c>
      <c r="D778" s="13" t="n">
        <v>45582.7430555556</v>
      </c>
      <c r="E778" s="2" t="s">
        <v>43</v>
      </c>
      <c r="F778" s="2" t="s">
        <v>29</v>
      </c>
      <c r="G778" s="2" t="n">
        <v>1826.83</v>
      </c>
      <c r="H778" s="2" t="n">
        <v>12.87</v>
      </c>
      <c r="I778" s="2" t="s">
        <v>30</v>
      </c>
      <c r="J778" s="2" t="s">
        <v>2974</v>
      </c>
      <c r="K778" s="2" t="s">
        <v>95</v>
      </c>
      <c r="L778" s="2"/>
      <c r="M778" s="2" t="s">
        <v>463</v>
      </c>
    </row>
    <row r="779" customFormat="false" ht="15" hidden="false" customHeight="false" outlineLevel="0" collapsed="false">
      <c r="A779" s="2" t="s">
        <v>2975</v>
      </c>
      <c r="B779" s="2" t="s">
        <v>2976</v>
      </c>
      <c r="C779" s="2" t="s">
        <v>2977</v>
      </c>
      <c r="D779" s="13" t="n">
        <v>45490.5916666667</v>
      </c>
      <c r="E779" s="2" t="s">
        <v>41</v>
      </c>
      <c r="F779" s="2" t="s">
        <v>27</v>
      </c>
      <c r="G779" s="2" t="n">
        <v>10019.43</v>
      </c>
      <c r="H779" s="2" t="n">
        <v>44.72</v>
      </c>
      <c r="I779" s="2" t="s">
        <v>26</v>
      </c>
      <c r="J779" s="2" t="s">
        <v>2978</v>
      </c>
      <c r="K779" s="2" t="s">
        <v>89</v>
      </c>
      <c r="L779" s="2"/>
      <c r="M779" s="2" t="s">
        <v>1677</v>
      </c>
    </row>
    <row r="780" customFormat="false" ht="15" hidden="false" customHeight="false" outlineLevel="0" collapsed="false">
      <c r="A780" s="2" t="s">
        <v>2979</v>
      </c>
      <c r="B780" s="2" t="s">
        <v>624</v>
      </c>
      <c r="C780" s="2" t="s">
        <v>625</v>
      </c>
      <c r="D780" s="13" t="n">
        <v>45842.3069444444</v>
      </c>
      <c r="E780" s="2" t="s">
        <v>41</v>
      </c>
      <c r="F780" s="2" t="s">
        <v>31</v>
      </c>
      <c r="G780" s="2" t="n">
        <v>6155.8</v>
      </c>
      <c r="H780" s="2" t="n">
        <v>73.86</v>
      </c>
      <c r="I780" s="2" t="s">
        <v>26</v>
      </c>
      <c r="J780" s="2" t="s">
        <v>2980</v>
      </c>
      <c r="K780" s="2" t="s">
        <v>101</v>
      </c>
      <c r="L780" s="2" t="s">
        <v>1504</v>
      </c>
      <c r="M780" s="2"/>
    </row>
    <row r="781" customFormat="false" ht="15" hidden="false" customHeight="false" outlineLevel="0" collapsed="false">
      <c r="A781" s="2" t="s">
        <v>2981</v>
      </c>
      <c r="B781" s="2" t="s">
        <v>1527</v>
      </c>
      <c r="C781" s="2" t="s">
        <v>1528</v>
      </c>
      <c r="D781" s="13" t="n">
        <v>45568.3819444445</v>
      </c>
      <c r="E781" s="2" t="s">
        <v>43</v>
      </c>
      <c r="F781" s="2" t="s">
        <v>32</v>
      </c>
      <c r="G781" s="2" t="n">
        <v>27789.09</v>
      </c>
      <c r="H781" s="2" t="n">
        <v>164.74</v>
      </c>
      <c r="I781" s="2" t="s">
        <v>26</v>
      </c>
      <c r="J781" s="2" t="s">
        <v>2982</v>
      </c>
      <c r="K781" s="2" t="s">
        <v>89</v>
      </c>
      <c r="L781" s="2"/>
      <c r="M781" s="2" t="s">
        <v>1686</v>
      </c>
    </row>
    <row r="782" customFormat="false" ht="15" hidden="false" customHeight="false" outlineLevel="0" collapsed="false">
      <c r="A782" s="2" t="s">
        <v>2983</v>
      </c>
      <c r="B782" s="2" t="s">
        <v>2629</v>
      </c>
      <c r="C782" s="2" t="s">
        <v>2630</v>
      </c>
      <c r="D782" s="13" t="n">
        <v>45540.9340277778</v>
      </c>
      <c r="E782" s="2" t="s">
        <v>35</v>
      </c>
      <c r="F782" s="2" t="s">
        <v>29</v>
      </c>
      <c r="G782" s="2" t="n">
        <v>1482.98</v>
      </c>
      <c r="H782" s="2" t="n">
        <v>7.55</v>
      </c>
      <c r="I782" s="2" t="s">
        <v>26</v>
      </c>
      <c r="J782" s="2" t="s">
        <v>2984</v>
      </c>
      <c r="K782" s="2" t="s">
        <v>89</v>
      </c>
      <c r="L782" s="2" t="s">
        <v>916</v>
      </c>
      <c r="M782" s="2"/>
    </row>
    <row r="783" customFormat="false" ht="15" hidden="false" customHeight="false" outlineLevel="0" collapsed="false">
      <c r="A783" s="2" t="s">
        <v>2985</v>
      </c>
      <c r="B783" s="2" t="s">
        <v>2986</v>
      </c>
      <c r="C783" s="2" t="s">
        <v>2987</v>
      </c>
      <c r="D783" s="13" t="n">
        <v>45307.7993055556</v>
      </c>
      <c r="E783" s="2" t="s">
        <v>43</v>
      </c>
      <c r="F783" s="2" t="s">
        <v>32</v>
      </c>
      <c r="G783" s="2" t="n">
        <v>13751.24</v>
      </c>
      <c r="H783" s="2" t="n">
        <v>115.64</v>
      </c>
      <c r="I783" s="2" t="s">
        <v>26</v>
      </c>
      <c r="J783" s="2" t="s">
        <v>2988</v>
      </c>
      <c r="K783" s="2" t="s">
        <v>101</v>
      </c>
      <c r="L783" s="2"/>
      <c r="M783" s="2" t="s">
        <v>921</v>
      </c>
    </row>
    <row r="784" customFormat="false" ht="15" hidden="false" customHeight="false" outlineLevel="0" collapsed="false">
      <c r="A784" s="2" t="s">
        <v>2989</v>
      </c>
      <c r="B784" s="2" t="s">
        <v>2655</v>
      </c>
      <c r="C784" s="2" t="s">
        <v>2656</v>
      </c>
      <c r="D784" s="13" t="n">
        <v>45392.4659722222</v>
      </c>
      <c r="E784" s="2" t="s">
        <v>37</v>
      </c>
      <c r="F784" s="2" t="s">
        <v>29</v>
      </c>
      <c r="G784" s="2" t="n">
        <v>3314.37</v>
      </c>
      <c r="H784" s="2" t="n">
        <v>14.22</v>
      </c>
      <c r="I784" s="2" t="s">
        <v>26</v>
      </c>
      <c r="J784" s="2" t="s">
        <v>2990</v>
      </c>
      <c r="K784" s="2" t="s">
        <v>122</v>
      </c>
      <c r="L784" s="2" t="s">
        <v>243</v>
      </c>
      <c r="M784" s="2"/>
    </row>
    <row r="785" customFormat="false" ht="15" hidden="false" customHeight="false" outlineLevel="0" collapsed="false">
      <c r="A785" s="2" t="s">
        <v>2991</v>
      </c>
      <c r="B785" s="2" t="s">
        <v>1551</v>
      </c>
      <c r="C785" s="2" t="s">
        <v>1552</v>
      </c>
      <c r="D785" s="13" t="n">
        <v>45725.6458333333</v>
      </c>
      <c r="E785" s="2" t="s">
        <v>37</v>
      </c>
      <c r="F785" s="2" t="s">
        <v>29</v>
      </c>
      <c r="G785" s="2" t="n">
        <v>1576.2</v>
      </c>
      <c r="H785" s="2" t="n">
        <v>11.17</v>
      </c>
      <c r="I785" s="2" t="s">
        <v>26</v>
      </c>
      <c r="J785" s="2" t="s">
        <v>2992</v>
      </c>
      <c r="K785" s="2" t="s">
        <v>89</v>
      </c>
      <c r="L785" s="2" t="s">
        <v>248</v>
      </c>
      <c r="M785" s="2"/>
    </row>
    <row r="786" customFormat="false" ht="15" hidden="false" customHeight="false" outlineLevel="0" collapsed="false">
      <c r="A786" s="2" t="s">
        <v>2993</v>
      </c>
      <c r="B786" s="2" t="s">
        <v>2994</v>
      </c>
      <c r="C786" s="2" t="s">
        <v>2995</v>
      </c>
      <c r="D786" s="13" t="n">
        <v>45437.3305555556</v>
      </c>
      <c r="E786" s="2" t="s">
        <v>41</v>
      </c>
      <c r="F786" s="2" t="s">
        <v>31</v>
      </c>
      <c r="G786" s="2" t="n">
        <v>5093.09</v>
      </c>
      <c r="H786" s="2" t="n">
        <v>51.37</v>
      </c>
      <c r="I786" s="2" t="s">
        <v>26</v>
      </c>
      <c r="J786" s="2" t="s">
        <v>2996</v>
      </c>
      <c r="K786" s="2" t="s">
        <v>95</v>
      </c>
      <c r="L786" s="2" t="s">
        <v>253</v>
      </c>
      <c r="M786" s="2"/>
    </row>
    <row r="787" customFormat="false" ht="15" hidden="false" customHeight="false" outlineLevel="0" collapsed="false">
      <c r="A787" s="2" t="s">
        <v>2997</v>
      </c>
      <c r="B787" s="2" t="s">
        <v>2414</v>
      </c>
      <c r="C787" s="2" t="s">
        <v>2415</v>
      </c>
      <c r="D787" s="13" t="n">
        <v>45837.6388888889</v>
      </c>
      <c r="E787" s="2" t="s">
        <v>39</v>
      </c>
      <c r="F787" s="2" t="s">
        <v>31</v>
      </c>
      <c r="G787" s="2" t="n">
        <v>9709.03</v>
      </c>
      <c r="H787" s="2" t="n">
        <v>37.97</v>
      </c>
      <c r="I787" s="2" t="s">
        <v>26</v>
      </c>
      <c r="J787" s="2" t="s">
        <v>2998</v>
      </c>
      <c r="K787" s="2" t="s">
        <v>95</v>
      </c>
      <c r="L787" s="2" t="s">
        <v>258</v>
      </c>
      <c r="M787" s="2"/>
    </row>
    <row r="788" customFormat="false" ht="15" hidden="false" customHeight="false" outlineLevel="0" collapsed="false">
      <c r="A788" s="2" t="s">
        <v>2999</v>
      </c>
      <c r="B788" s="2" t="s">
        <v>3000</v>
      </c>
      <c r="C788" s="2" t="s">
        <v>3001</v>
      </c>
      <c r="D788" s="13" t="n">
        <v>45631.75</v>
      </c>
      <c r="E788" s="2" t="s">
        <v>41</v>
      </c>
      <c r="F788" s="2" t="s">
        <v>31</v>
      </c>
      <c r="G788" s="2" t="n">
        <v>2620.92</v>
      </c>
      <c r="H788" s="2" t="n">
        <v>24.11</v>
      </c>
      <c r="I788" s="2" t="s">
        <v>28</v>
      </c>
      <c r="J788" s="2" t="s">
        <v>3002</v>
      </c>
      <c r="K788" s="2" t="s">
        <v>89</v>
      </c>
      <c r="L788" s="2" t="s">
        <v>940</v>
      </c>
      <c r="M788" s="2"/>
    </row>
    <row r="789" customFormat="false" ht="15" hidden="false" customHeight="false" outlineLevel="0" collapsed="false">
      <c r="A789" s="2" t="s">
        <v>3003</v>
      </c>
      <c r="B789" s="2" t="s">
        <v>725</v>
      </c>
      <c r="C789" s="2" t="s">
        <v>726</v>
      </c>
      <c r="D789" s="13" t="n">
        <v>45535.35625</v>
      </c>
      <c r="E789" s="2" t="s">
        <v>41</v>
      </c>
      <c r="F789" s="2" t="s">
        <v>29</v>
      </c>
      <c r="G789" s="2" t="n">
        <v>12973.42</v>
      </c>
      <c r="H789" s="2" t="n">
        <v>102.66</v>
      </c>
      <c r="I789" s="2" t="s">
        <v>26</v>
      </c>
      <c r="J789" s="2" t="s">
        <v>3004</v>
      </c>
      <c r="K789" s="2" t="s">
        <v>95</v>
      </c>
      <c r="L789" s="2" t="s">
        <v>945</v>
      </c>
      <c r="M789" s="2"/>
    </row>
    <row r="790" customFormat="false" ht="15" hidden="false" customHeight="false" outlineLevel="0" collapsed="false">
      <c r="A790" s="2" t="s">
        <v>3005</v>
      </c>
      <c r="B790" s="2" t="s">
        <v>3006</v>
      </c>
      <c r="C790" s="2" t="s">
        <v>3007</v>
      </c>
      <c r="D790" s="13" t="n">
        <v>46001.6631944445</v>
      </c>
      <c r="E790" s="2" t="s">
        <v>35</v>
      </c>
      <c r="F790" s="2" t="s">
        <v>31</v>
      </c>
      <c r="G790" s="2" t="n">
        <v>4039.43</v>
      </c>
      <c r="H790" s="2" t="n">
        <v>41.15</v>
      </c>
      <c r="I790" s="2" t="s">
        <v>28</v>
      </c>
      <c r="J790" s="2" t="s">
        <v>3008</v>
      </c>
      <c r="K790" s="2" t="s">
        <v>95</v>
      </c>
      <c r="L790" s="2" t="s">
        <v>1538</v>
      </c>
      <c r="M790" s="2"/>
    </row>
    <row r="791" customFormat="false" ht="15" hidden="false" customHeight="false" outlineLevel="0" collapsed="false">
      <c r="A791" s="2" t="s">
        <v>3009</v>
      </c>
      <c r="B791" s="2" t="s">
        <v>330</v>
      </c>
      <c r="C791" s="2" t="s">
        <v>331</v>
      </c>
      <c r="D791" s="13" t="n">
        <v>45299.7006944444</v>
      </c>
      <c r="E791" s="2" t="s">
        <v>37</v>
      </c>
      <c r="F791" s="2" t="s">
        <v>32</v>
      </c>
      <c r="G791" s="2" t="n">
        <v>4649.37</v>
      </c>
      <c r="H791" s="2" t="n">
        <v>29.36</v>
      </c>
      <c r="I791" s="2" t="s">
        <v>26</v>
      </c>
      <c r="J791" s="2" t="s">
        <v>3010</v>
      </c>
      <c r="K791" s="2" t="s">
        <v>95</v>
      </c>
      <c r="L791" s="2" t="s">
        <v>1543</v>
      </c>
      <c r="M791" s="2"/>
    </row>
    <row r="792" customFormat="false" ht="15" hidden="false" customHeight="false" outlineLevel="0" collapsed="false">
      <c r="A792" s="2" t="s">
        <v>3011</v>
      </c>
      <c r="B792" s="2" t="s">
        <v>2603</v>
      </c>
      <c r="C792" s="2" t="s">
        <v>2604</v>
      </c>
      <c r="D792" s="13" t="n">
        <v>45466.8486111111</v>
      </c>
      <c r="E792" s="2" t="s">
        <v>37</v>
      </c>
      <c r="F792" s="2" t="s">
        <v>29</v>
      </c>
      <c r="G792" s="2" t="n">
        <v>3558.74</v>
      </c>
      <c r="H792" s="2" t="n">
        <v>17.43</v>
      </c>
      <c r="I792" s="2" t="s">
        <v>26</v>
      </c>
      <c r="J792" s="2" t="s">
        <v>3012</v>
      </c>
      <c r="K792" s="2" t="s">
        <v>101</v>
      </c>
      <c r="L792" s="2" t="s">
        <v>283</v>
      </c>
      <c r="M792" s="2"/>
    </row>
    <row r="793" customFormat="false" ht="15" hidden="false" customHeight="false" outlineLevel="0" collapsed="false">
      <c r="A793" s="2" t="s">
        <v>3013</v>
      </c>
      <c r="B793" s="2" t="s">
        <v>3014</v>
      </c>
      <c r="C793" s="2" t="s">
        <v>3015</v>
      </c>
      <c r="D793" s="13" t="n">
        <v>45807.7826388889</v>
      </c>
      <c r="E793" s="2" t="s">
        <v>41</v>
      </c>
      <c r="F793" s="2" t="s">
        <v>29</v>
      </c>
      <c r="G793" s="2" t="n">
        <v>4263.96</v>
      </c>
      <c r="H793" s="2" t="n">
        <v>40.03</v>
      </c>
      <c r="I793" s="2" t="s">
        <v>30</v>
      </c>
      <c r="J793" s="2" t="s">
        <v>3016</v>
      </c>
      <c r="K793" s="2" t="s">
        <v>122</v>
      </c>
      <c r="L793" s="2" t="s">
        <v>963</v>
      </c>
      <c r="M793" s="2"/>
    </row>
    <row r="794" customFormat="false" ht="15" hidden="false" customHeight="false" outlineLevel="0" collapsed="false">
      <c r="A794" s="2" t="s">
        <v>3017</v>
      </c>
      <c r="B794" s="2" t="s">
        <v>1803</v>
      </c>
      <c r="C794" s="2" t="s">
        <v>1804</v>
      </c>
      <c r="D794" s="13" t="n">
        <v>45781.4756944445</v>
      </c>
      <c r="E794" s="2" t="s">
        <v>43</v>
      </c>
      <c r="F794" s="2" t="s">
        <v>32</v>
      </c>
      <c r="G794" s="2" t="n">
        <v>4115.65</v>
      </c>
      <c r="H794" s="2" t="n">
        <v>13.39</v>
      </c>
      <c r="I794" s="2" t="s">
        <v>26</v>
      </c>
      <c r="J794" s="2" t="s">
        <v>3018</v>
      </c>
      <c r="K794" s="2" t="s">
        <v>101</v>
      </c>
      <c r="L794" s="2"/>
      <c r="M794" s="2" t="s">
        <v>1371</v>
      </c>
    </row>
    <row r="795" customFormat="false" ht="15" hidden="false" customHeight="false" outlineLevel="0" collapsed="false">
      <c r="A795" s="2" t="s">
        <v>3019</v>
      </c>
      <c r="B795" s="2" t="s">
        <v>3020</v>
      </c>
      <c r="C795" s="2" t="s">
        <v>3021</v>
      </c>
      <c r="D795" s="13" t="n">
        <v>45513.7409722222</v>
      </c>
      <c r="E795" s="2" t="s">
        <v>43</v>
      </c>
      <c r="F795" s="2" t="s">
        <v>32</v>
      </c>
      <c r="G795" s="2" t="n">
        <v>1458.29</v>
      </c>
      <c r="H795" s="2" t="n">
        <v>8.63</v>
      </c>
      <c r="I795" s="2" t="s">
        <v>26</v>
      </c>
      <c r="J795" s="2" t="s">
        <v>3022</v>
      </c>
      <c r="K795" s="2" t="s">
        <v>95</v>
      </c>
      <c r="L795" s="2"/>
      <c r="M795" s="2" t="s">
        <v>546</v>
      </c>
    </row>
    <row r="796" customFormat="false" ht="15" hidden="false" customHeight="false" outlineLevel="0" collapsed="false">
      <c r="A796" s="2" t="s">
        <v>3023</v>
      </c>
      <c r="B796" s="2" t="s">
        <v>1223</v>
      </c>
      <c r="C796" s="2" t="s">
        <v>1224</v>
      </c>
      <c r="D796" s="13" t="n">
        <v>45650.325</v>
      </c>
      <c r="E796" s="2" t="s">
        <v>37</v>
      </c>
      <c r="F796" s="2" t="s">
        <v>32</v>
      </c>
      <c r="G796" s="2" t="n">
        <v>1759.77</v>
      </c>
      <c r="H796" s="2" t="n">
        <v>16.35</v>
      </c>
      <c r="I796" s="2" t="s">
        <v>26</v>
      </c>
      <c r="J796" s="2" t="s">
        <v>3024</v>
      </c>
      <c r="K796" s="2" t="s">
        <v>122</v>
      </c>
      <c r="L796" s="2" t="s">
        <v>303</v>
      </c>
      <c r="M796" s="2"/>
    </row>
    <row r="797" customFormat="false" ht="15" hidden="false" customHeight="false" outlineLevel="0" collapsed="false">
      <c r="A797" s="2" t="s">
        <v>3025</v>
      </c>
      <c r="B797" s="2" t="s">
        <v>3026</v>
      </c>
      <c r="C797" s="2" t="s">
        <v>3027</v>
      </c>
      <c r="D797" s="13" t="n">
        <v>45857.8416666667</v>
      </c>
      <c r="E797" s="2" t="s">
        <v>39</v>
      </c>
      <c r="F797" s="2" t="s">
        <v>31</v>
      </c>
      <c r="G797" s="2" t="n">
        <v>4934.8</v>
      </c>
      <c r="H797" s="2" t="n">
        <v>18.77</v>
      </c>
      <c r="I797" s="2" t="s">
        <v>26</v>
      </c>
      <c r="J797" s="2" t="s">
        <v>3028</v>
      </c>
      <c r="K797" s="2" t="s">
        <v>95</v>
      </c>
      <c r="L797" s="2" t="s">
        <v>308</v>
      </c>
      <c r="M797" s="2"/>
    </row>
    <row r="798" customFormat="false" ht="15" hidden="false" customHeight="false" outlineLevel="0" collapsed="false">
      <c r="A798" s="2" t="s">
        <v>3029</v>
      </c>
      <c r="B798" s="2" t="s">
        <v>3030</v>
      </c>
      <c r="C798" s="2" t="s">
        <v>3031</v>
      </c>
      <c r="D798" s="13" t="n">
        <v>45572.3875</v>
      </c>
      <c r="E798" s="2" t="s">
        <v>39</v>
      </c>
      <c r="F798" s="2" t="s">
        <v>27</v>
      </c>
      <c r="G798" s="2" t="n">
        <v>4651.77</v>
      </c>
      <c r="H798" s="2" t="n">
        <v>9.84</v>
      </c>
      <c r="I798" s="2" t="s">
        <v>26</v>
      </c>
      <c r="J798" s="2" t="s">
        <v>3032</v>
      </c>
      <c r="K798" s="2" t="s">
        <v>95</v>
      </c>
      <c r="L798" s="2"/>
      <c r="M798" s="2" t="s">
        <v>561</v>
      </c>
    </row>
    <row r="799" customFormat="false" ht="15" hidden="false" customHeight="false" outlineLevel="0" collapsed="false">
      <c r="A799" s="2" t="s">
        <v>3033</v>
      </c>
      <c r="B799" s="2" t="s">
        <v>2641</v>
      </c>
      <c r="C799" s="2" t="s">
        <v>2642</v>
      </c>
      <c r="D799" s="13" t="n">
        <v>46002.8763888889</v>
      </c>
      <c r="E799" s="2" t="s">
        <v>35</v>
      </c>
      <c r="F799" s="2" t="s">
        <v>31</v>
      </c>
      <c r="G799" s="2" t="n">
        <v>1418.3</v>
      </c>
      <c r="H799" s="2" t="n">
        <v>6.56</v>
      </c>
      <c r="I799" s="2" t="s">
        <v>28</v>
      </c>
      <c r="J799" s="2" t="s">
        <v>3034</v>
      </c>
      <c r="K799" s="2" t="s">
        <v>101</v>
      </c>
      <c r="L799" s="2" t="s">
        <v>318</v>
      </c>
      <c r="M799" s="2"/>
    </row>
    <row r="800" customFormat="false" ht="15" hidden="false" customHeight="false" outlineLevel="0" collapsed="false">
      <c r="A800" s="2" t="s">
        <v>3035</v>
      </c>
      <c r="B800" s="2" t="s">
        <v>3036</v>
      </c>
      <c r="C800" s="2" t="s">
        <v>3037</v>
      </c>
      <c r="D800" s="13" t="n">
        <v>45490.5027777778</v>
      </c>
      <c r="E800" s="2" t="s">
        <v>41</v>
      </c>
      <c r="F800" s="2" t="s">
        <v>31</v>
      </c>
      <c r="G800" s="2" t="n">
        <v>3809.78</v>
      </c>
      <c r="H800" s="2" t="n">
        <v>9.12</v>
      </c>
      <c r="I800" s="2" t="s">
        <v>26</v>
      </c>
      <c r="J800" s="2" t="s">
        <v>3038</v>
      </c>
      <c r="K800" s="2" t="s">
        <v>89</v>
      </c>
      <c r="L800" s="2" t="s">
        <v>995</v>
      </c>
      <c r="M800" s="2"/>
    </row>
    <row r="801" customFormat="false" ht="15" hidden="false" customHeight="false" outlineLevel="0" collapsed="false">
      <c r="A801" s="2" t="s">
        <v>3039</v>
      </c>
      <c r="B801" s="2" t="s">
        <v>1885</v>
      </c>
      <c r="C801" s="2" t="s">
        <v>1886</v>
      </c>
      <c r="D801" s="13" t="n">
        <v>45516.5993055556</v>
      </c>
      <c r="E801" s="2" t="s">
        <v>41</v>
      </c>
      <c r="F801" s="2" t="s">
        <v>29</v>
      </c>
      <c r="G801" s="2" t="n">
        <v>10702.36</v>
      </c>
      <c r="H801" s="2" t="n">
        <v>40.42</v>
      </c>
      <c r="I801" s="2" t="s">
        <v>26</v>
      </c>
      <c r="J801" s="2" t="s">
        <v>3040</v>
      </c>
      <c r="K801" s="2" t="s">
        <v>89</v>
      </c>
      <c r="L801" s="2" t="s">
        <v>1000</v>
      </c>
      <c r="M801" s="2"/>
    </row>
    <row r="802" customFormat="false" ht="15" hidden="false" customHeight="false" outlineLevel="0" collapsed="false">
      <c r="A802" s="2" t="s">
        <v>3041</v>
      </c>
      <c r="B802" s="2" t="s">
        <v>3042</v>
      </c>
      <c r="C802" s="2" t="s">
        <v>3043</v>
      </c>
      <c r="D802" s="13" t="n">
        <v>45898.6</v>
      </c>
      <c r="E802" s="2" t="s">
        <v>39</v>
      </c>
      <c r="F802" s="2" t="s">
        <v>32</v>
      </c>
      <c r="G802" s="2" t="n">
        <v>29137.21</v>
      </c>
      <c r="H802" s="2" t="n">
        <v>180.61</v>
      </c>
      <c r="I802" s="2" t="s">
        <v>26</v>
      </c>
      <c r="J802" s="2" t="s">
        <v>3044</v>
      </c>
      <c r="K802" s="2" t="s">
        <v>122</v>
      </c>
      <c r="L802" s="2" t="s">
        <v>333</v>
      </c>
      <c r="M802" s="2"/>
    </row>
    <row r="803" customFormat="false" ht="15" hidden="false" customHeight="false" outlineLevel="0" collapsed="false">
      <c r="A803" s="2" t="s">
        <v>3045</v>
      </c>
      <c r="B803" s="2" t="s">
        <v>3046</v>
      </c>
      <c r="C803" s="2" t="s">
        <v>3047</v>
      </c>
      <c r="D803" s="13" t="n">
        <v>45330.7256944445</v>
      </c>
      <c r="E803" s="2" t="s">
        <v>37</v>
      </c>
      <c r="F803" s="2" t="s">
        <v>31</v>
      </c>
      <c r="G803" s="2" t="n">
        <v>2637.04</v>
      </c>
      <c r="H803" s="2" t="n">
        <v>23.34</v>
      </c>
      <c r="I803" s="2" t="s">
        <v>26</v>
      </c>
      <c r="J803" s="2" t="s">
        <v>3048</v>
      </c>
      <c r="K803" s="2" t="s">
        <v>122</v>
      </c>
      <c r="L803" s="2" t="s">
        <v>338</v>
      </c>
      <c r="M803" s="2"/>
    </row>
    <row r="804" customFormat="false" ht="15" hidden="false" customHeight="false" outlineLevel="0" collapsed="false">
      <c r="A804" s="2" t="s">
        <v>3049</v>
      </c>
      <c r="B804" s="2" t="s">
        <v>3050</v>
      </c>
      <c r="C804" s="2" t="s">
        <v>3051</v>
      </c>
      <c r="D804" s="13" t="n">
        <v>45424.8041666667</v>
      </c>
      <c r="E804" s="2" t="s">
        <v>39</v>
      </c>
      <c r="F804" s="2" t="s">
        <v>31</v>
      </c>
      <c r="G804" s="2" t="n">
        <v>1452.98</v>
      </c>
      <c r="H804" s="2" t="n">
        <v>16.56</v>
      </c>
      <c r="I804" s="2" t="s">
        <v>28</v>
      </c>
      <c r="J804" s="2" t="s">
        <v>3052</v>
      </c>
      <c r="K804" s="2" t="s">
        <v>101</v>
      </c>
      <c r="L804" s="2" t="s">
        <v>343</v>
      </c>
      <c r="M804" s="2"/>
    </row>
    <row r="805" customFormat="false" ht="15" hidden="false" customHeight="false" outlineLevel="0" collapsed="false">
      <c r="A805" s="2" t="s">
        <v>3053</v>
      </c>
      <c r="B805" s="2" t="s">
        <v>3054</v>
      </c>
      <c r="C805" s="2" t="s">
        <v>3055</v>
      </c>
      <c r="D805" s="13" t="n">
        <v>45766.5083333333</v>
      </c>
      <c r="E805" s="2" t="s">
        <v>41</v>
      </c>
      <c r="F805" s="2" t="s">
        <v>32</v>
      </c>
      <c r="G805" s="2" t="n">
        <v>2614.79</v>
      </c>
      <c r="H805" s="2" t="n">
        <v>26.83</v>
      </c>
      <c r="I805" s="2" t="s">
        <v>30</v>
      </c>
      <c r="J805" s="2" t="s">
        <v>3056</v>
      </c>
      <c r="K805" s="2" t="s">
        <v>89</v>
      </c>
      <c r="L805" s="2" t="s">
        <v>1012</v>
      </c>
      <c r="M805" s="2"/>
    </row>
    <row r="806" customFormat="false" ht="15" hidden="false" customHeight="false" outlineLevel="0" collapsed="false">
      <c r="A806" s="2" t="s">
        <v>3057</v>
      </c>
      <c r="B806" s="2" t="s">
        <v>3058</v>
      </c>
      <c r="C806" s="2" t="s">
        <v>3059</v>
      </c>
      <c r="D806" s="13" t="n">
        <v>45494.8381944444</v>
      </c>
      <c r="E806" s="2" t="s">
        <v>37</v>
      </c>
      <c r="F806" s="2" t="s">
        <v>29</v>
      </c>
      <c r="G806" s="2" t="n">
        <v>5326.8</v>
      </c>
      <c r="H806" s="2" t="n">
        <v>15.62</v>
      </c>
      <c r="I806" s="2" t="s">
        <v>26</v>
      </c>
      <c r="J806" s="2" t="s">
        <v>3060</v>
      </c>
      <c r="K806" s="2" t="s">
        <v>95</v>
      </c>
      <c r="L806" s="2" t="s">
        <v>353</v>
      </c>
      <c r="M806" s="2"/>
    </row>
    <row r="807" customFormat="false" ht="15" hidden="false" customHeight="false" outlineLevel="0" collapsed="false">
      <c r="A807" s="2" t="s">
        <v>3061</v>
      </c>
      <c r="B807" s="2" t="s">
        <v>3062</v>
      </c>
      <c r="C807" s="2" t="s">
        <v>3063</v>
      </c>
      <c r="D807" s="13" t="n">
        <v>45393.8069444444</v>
      </c>
      <c r="E807" s="2" t="s">
        <v>41</v>
      </c>
      <c r="F807" s="2" t="s">
        <v>27</v>
      </c>
      <c r="G807" s="2" t="n">
        <v>492.19</v>
      </c>
      <c r="H807" s="2" t="n">
        <v>5</v>
      </c>
      <c r="I807" s="2" t="s">
        <v>26</v>
      </c>
      <c r="J807" s="2" t="s">
        <v>3064</v>
      </c>
      <c r="K807" s="2" t="s">
        <v>122</v>
      </c>
      <c r="L807" s="2"/>
      <c r="M807" s="2" t="s">
        <v>1778</v>
      </c>
    </row>
    <row r="808" customFormat="false" ht="15" hidden="false" customHeight="false" outlineLevel="0" collapsed="false">
      <c r="A808" s="2" t="s">
        <v>3065</v>
      </c>
      <c r="B808" s="2" t="s">
        <v>3066</v>
      </c>
      <c r="C808" s="2" t="s">
        <v>3067</v>
      </c>
      <c r="D808" s="13" t="n">
        <v>45966.8145833333</v>
      </c>
      <c r="E808" s="2" t="s">
        <v>43</v>
      </c>
      <c r="F808" s="2" t="s">
        <v>29</v>
      </c>
      <c r="G808" s="2" t="n">
        <v>2603.78</v>
      </c>
      <c r="H808" s="2" t="n">
        <v>25.78</v>
      </c>
      <c r="I808" s="2" t="s">
        <v>26</v>
      </c>
      <c r="J808" s="2" t="s">
        <v>3068</v>
      </c>
      <c r="K808" s="2" t="s">
        <v>89</v>
      </c>
      <c r="L808" s="2"/>
      <c r="M808" s="2" t="s">
        <v>1023</v>
      </c>
    </row>
    <row r="809" customFormat="false" ht="15" hidden="false" customHeight="false" outlineLevel="0" collapsed="false">
      <c r="A809" s="2" t="s">
        <v>3069</v>
      </c>
      <c r="B809" s="2" t="s">
        <v>3070</v>
      </c>
      <c r="C809" s="2" t="s">
        <v>3071</v>
      </c>
      <c r="D809" s="13" t="n">
        <v>45576.86875</v>
      </c>
      <c r="E809" s="2" t="s">
        <v>43</v>
      </c>
      <c r="F809" s="2" t="s">
        <v>27</v>
      </c>
      <c r="G809" s="2" t="n">
        <v>1341.08</v>
      </c>
      <c r="H809" s="2" t="n">
        <v>7.24</v>
      </c>
      <c r="I809" s="2" t="s">
        <v>26</v>
      </c>
      <c r="J809" s="2" t="s">
        <v>3072</v>
      </c>
      <c r="K809" s="2" t="s">
        <v>89</v>
      </c>
      <c r="L809" s="2"/>
      <c r="M809" s="2" t="s">
        <v>1425</v>
      </c>
    </row>
    <row r="810" customFormat="false" ht="15" hidden="false" customHeight="false" outlineLevel="0" collapsed="false">
      <c r="A810" s="2" t="s">
        <v>3073</v>
      </c>
      <c r="B810" s="2" t="s">
        <v>3074</v>
      </c>
      <c r="C810" s="2" t="s">
        <v>3075</v>
      </c>
      <c r="D810" s="13" t="n">
        <v>45798.5493055556</v>
      </c>
      <c r="E810" s="2" t="s">
        <v>35</v>
      </c>
      <c r="F810" s="2" t="s">
        <v>32</v>
      </c>
      <c r="G810" s="2" t="n">
        <v>2643.1</v>
      </c>
      <c r="H810" s="2" t="n">
        <v>28.6</v>
      </c>
      <c r="I810" s="2" t="s">
        <v>26</v>
      </c>
      <c r="J810" s="2" t="s">
        <v>3076</v>
      </c>
      <c r="K810" s="2" t="s">
        <v>101</v>
      </c>
      <c r="L810" s="2" t="s">
        <v>373</v>
      </c>
      <c r="M810" s="2"/>
    </row>
    <row r="811" customFormat="false" ht="15" hidden="false" customHeight="false" outlineLevel="0" collapsed="false">
      <c r="A811" s="2" t="s">
        <v>3077</v>
      </c>
      <c r="B811" s="2" t="s">
        <v>1780</v>
      </c>
      <c r="C811" s="2" t="s">
        <v>1781</v>
      </c>
      <c r="D811" s="13" t="n">
        <v>45565.4090277778</v>
      </c>
      <c r="E811" s="2" t="s">
        <v>35</v>
      </c>
      <c r="F811" s="2" t="s">
        <v>32</v>
      </c>
      <c r="G811" s="2" t="n">
        <v>3990.51</v>
      </c>
      <c r="H811" s="2" t="n">
        <v>21.76</v>
      </c>
      <c r="I811" s="2" t="s">
        <v>28</v>
      </c>
      <c r="J811" s="2" t="s">
        <v>3078</v>
      </c>
      <c r="K811" s="2" t="s">
        <v>122</v>
      </c>
      <c r="L811" s="2" t="s">
        <v>1034</v>
      </c>
      <c r="M811" s="2"/>
    </row>
    <row r="812" customFormat="false" ht="15" hidden="false" customHeight="false" outlineLevel="0" collapsed="false">
      <c r="A812" s="2" t="s">
        <v>3079</v>
      </c>
      <c r="B812" s="2" t="s">
        <v>1251</v>
      </c>
      <c r="C812" s="2" t="s">
        <v>1252</v>
      </c>
      <c r="D812" s="13" t="n">
        <v>45553.9</v>
      </c>
      <c r="E812" s="2" t="s">
        <v>41</v>
      </c>
      <c r="F812" s="2" t="s">
        <v>27</v>
      </c>
      <c r="G812" s="2" t="n">
        <v>2856.93</v>
      </c>
      <c r="H812" s="2" t="n">
        <v>21.03</v>
      </c>
      <c r="I812" s="2" t="s">
        <v>26</v>
      </c>
      <c r="J812" s="2" t="s">
        <v>3080</v>
      </c>
      <c r="K812" s="2" t="s">
        <v>122</v>
      </c>
      <c r="L812" s="2"/>
      <c r="M812" s="2" t="s">
        <v>627</v>
      </c>
    </row>
    <row r="813" customFormat="false" ht="15" hidden="false" customHeight="false" outlineLevel="0" collapsed="false">
      <c r="A813" s="2" t="s">
        <v>3081</v>
      </c>
      <c r="B813" s="2" t="s">
        <v>3082</v>
      </c>
      <c r="C813" s="2" t="s">
        <v>3083</v>
      </c>
      <c r="D813" s="13" t="n">
        <v>45873.3451388889</v>
      </c>
      <c r="E813" s="2" t="s">
        <v>35</v>
      </c>
      <c r="F813" s="2" t="s">
        <v>31</v>
      </c>
      <c r="G813" s="2" t="n">
        <v>5945.63</v>
      </c>
      <c r="H813" s="2" t="n">
        <v>42.55</v>
      </c>
      <c r="I813" s="2" t="s">
        <v>30</v>
      </c>
      <c r="J813" s="2" t="s">
        <v>3084</v>
      </c>
      <c r="K813" s="2" t="s">
        <v>89</v>
      </c>
      <c r="L813" s="2" t="s">
        <v>1044</v>
      </c>
      <c r="M813" s="2"/>
    </row>
    <row r="814" customFormat="false" ht="15" hidden="false" customHeight="false" outlineLevel="0" collapsed="false">
      <c r="A814" s="2" t="s">
        <v>3085</v>
      </c>
      <c r="B814" s="2" t="s">
        <v>1989</v>
      </c>
      <c r="C814" s="2" t="s">
        <v>1990</v>
      </c>
      <c r="D814" s="13" t="n">
        <v>45295.7180555556</v>
      </c>
      <c r="E814" s="2" t="s">
        <v>37</v>
      </c>
      <c r="F814" s="2" t="s">
        <v>29</v>
      </c>
      <c r="G814" s="2" t="n">
        <v>4032.84</v>
      </c>
      <c r="H814" s="2" t="n">
        <v>43.78</v>
      </c>
      <c r="I814" s="2" t="s">
        <v>26</v>
      </c>
      <c r="J814" s="2" t="s">
        <v>3086</v>
      </c>
      <c r="K814" s="2" t="s">
        <v>89</v>
      </c>
      <c r="L814" s="2" t="s">
        <v>393</v>
      </c>
      <c r="M814" s="2"/>
    </row>
    <row r="815" customFormat="false" ht="15" hidden="false" customHeight="false" outlineLevel="0" collapsed="false">
      <c r="A815" s="2" t="s">
        <v>3087</v>
      </c>
      <c r="B815" s="2" t="s">
        <v>3088</v>
      </c>
      <c r="C815" s="2" t="s">
        <v>3089</v>
      </c>
      <c r="D815" s="13" t="n">
        <v>45577.5972222222</v>
      </c>
      <c r="E815" s="2" t="s">
        <v>39</v>
      </c>
      <c r="F815" s="2" t="s">
        <v>32</v>
      </c>
      <c r="G815" s="2" t="n">
        <v>13523.4</v>
      </c>
      <c r="H815" s="2" t="n">
        <v>140</v>
      </c>
      <c r="I815" s="2" t="s">
        <v>26</v>
      </c>
      <c r="J815" s="2" t="s">
        <v>3090</v>
      </c>
      <c r="K815" s="2" t="s">
        <v>89</v>
      </c>
      <c r="L815" s="2" t="s">
        <v>1628</v>
      </c>
      <c r="M815" s="2"/>
    </row>
    <row r="816" customFormat="false" ht="15" hidden="false" customHeight="false" outlineLevel="0" collapsed="false">
      <c r="A816" s="2" t="s">
        <v>3091</v>
      </c>
      <c r="B816" s="2" t="s">
        <v>2383</v>
      </c>
      <c r="C816" s="2" t="s">
        <v>2384</v>
      </c>
      <c r="D816" s="13" t="n">
        <v>45980.8354166667</v>
      </c>
      <c r="E816" s="2" t="s">
        <v>39</v>
      </c>
      <c r="F816" s="2" t="s">
        <v>29</v>
      </c>
      <c r="G816" s="2" t="n">
        <v>454.22</v>
      </c>
      <c r="H816" s="2" t="n">
        <v>5</v>
      </c>
      <c r="I816" s="2" t="s">
        <v>26</v>
      </c>
      <c r="J816" s="2" t="s">
        <v>3092</v>
      </c>
      <c r="K816" s="2" t="s">
        <v>122</v>
      </c>
      <c r="L816" s="2" t="s">
        <v>403</v>
      </c>
      <c r="M816" s="2"/>
    </row>
    <row r="817" customFormat="false" ht="15" hidden="false" customHeight="false" outlineLevel="0" collapsed="false">
      <c r="A817" s="2" t="s">
        <v>3093</v>
      </c>
      <c r="B817" s="2" t="s">
        <v>3094</v>
      </c>
      <c r="C817" s="2" t="s">
        <v>3095</v>
      </c>
      <c r="D817" s="13" t="n">
        <v>45827.6368055556</v>
      </c>
      <c r="E817" s="2" t="s">
        <v>35</v>
      </c>
      <c r="F817" s="2" t="s">
        <v>27</v>
      </c>
      <c r="G817" s="2" t="n">
        <v>6159.56</v>
      </c>
      <c r="H817" s="2" t="n">
        <v>58.67</v>
      </c>
      <c r="I817" s="2" t="s">
        <v>26</v>
      </c>
      <c r="J817" s="2" t="s">
        <v>3096</v>
      </c>
      <c r="K817" s="2" t="s">
        <v>122</v>
      </c>
      <c r="L817" s="2"/>
      <c r="M817" s="2" t="s">
        <v>1453</v>
      </c>
    </row>
    <row r="818" customFormat="false" ht="15" hidden="false" customHeight="false" outlineLevel="0" collapsed="false">
      <c r="A818" s="2" t="s">
        <v>3097</v>
      </c>
      <c r="B818" s="2" t="s">
        <v>3098</v>
      </c>
      <c r="C818" s="2" t="s">
        <v>3099</v>
      </c>
      <c r="D818" s="13" t="n">
        <v>45770.4881944444</v>
      </c>
      <c r="E818" s="2" t="s">
        <v>39</v>
      </c>
      <c r="F818" s="2" t="s">
        <v>29</v>
      </c>
      <c r="G818" s="2" t="n">
        <v>454.1</v>
      </c>
      <c r="H818" s="2" t="n">
        <v>5</v>
      </c>
      <c r="I818" s="2" t="s">
        <v>30</v>
      </c>
      <c r="J818" s="2" t="s">
        <v>3100</v>
      </c>
      <c r="K818" s="2" t="s">
        <v>101</v>
      </c>
      <c r="L818" s="2" t="s">
        <v>413</v>
      </c>
      <c r="M818" s="2"/>
    </row>
    <row r="819" customFormat="false" ht="15" hidden="false" customHeight="false" outlineLevel="0" collapsed="false">
      <c r="A819" s="2" t="s">
        <v>3101</v>
      </c>
      <c r="B819" s="2" t="s">
        <v>2066</v>
      </c>
      <c r="C819" s="2" t="s">
        <v>2067</v>
      </c>
      <c r="D819" s="13" t="n">
        <v>46002.3979166667</v>
      </c>
      <c r="E819" s="2" t="s">
        <v>39</v>
      </c>
      <c r="F819" s="2" t="s">
        <v>31</v>
      </c>
      <c r="G819" s="2" t="n">
        <v>2559.57</v>
      </c>
      <c r="H819" s="2" t="n">
        <v>20.71</v>
      </c>
      <c r="I819" s="2" t="s">
        <v>26</v>
      </c>
      <c r="J819" s="2" t="s">
        <v>3102</v>
      </c>
      <c r="K819" s="2" t="s">
        <v>122</v>
      </c>
      <c r="L819" s="2" t="s">
        <v>418</v>
      </c>
      <c r="M819" s="2"/>
    </row>
    <row r="820" customFormat="false" ht="15" hidden="false" customHeight="false" outlineLevel="0" collapsed="false">
      <c r="A820" s="2" t="s">
        <v>3103</v>
      </c>
      <c r="B820" s="2" t="s">
        <v>3104</v>
      </c>
      <c r="C820" s="2" t="s">
        <v>3105</v>
      </c>
      <c r="D820" s="13" t="n">
        <v>46004.525</v>
      </c>
      <c r="E820" s="2" t="s">
        <v>43</v>
      </c>
      <c r="F820" s="2" t="s">
        <v>27</v>
      </c>
      <c r="G820" s="2" t="n">
        <v>4204.39</v>
      </c>
      <c r="H820" s="2" t="n">
        <v>37.73</v>
      </c>
      <c r="I820" s="2" t="s">
        <v>26</v>
      </c>
      <c r="J820" s="2" t="s">
        <v>3106</v>
      </c>
      <c r="K820" s="2" t="s">
        <v>101</v>
      </c>
      <c r="L820" s="2"/>
      <c r="M820" s="2" t="s">
        <v>662</v>
      </c>
    </row>
    <row r="821" customFormat="false" ht="15" hidden="false" customHeight="false" outlineLevel="0" collapsed="false">
      <c r="A821" s="2" t="s">
        <v>3107</v>
      </c>
      <c r="B821" s="2" t="s">
        <v>899</v>
      </c>
      <c r="C821" s="2" t="s">
        <v>900</v>
      </c>
      <c r="D821" s="13" t="n">
        <v>45533.7680555556</v>
      </c>
      <c r="E821" s="2" t="s">
        <v>39</v>
      </c>
      <c r="F821" s="2" t="s">
        <v>32</v>
      </c>
      <c r="G821" s="2" t="n">
        <v>8595.76</v>
      </c>
      <c r="H821" s="2" t="n">
        <v>46.2</v>
      </c>
      <c r="I821" s="2" t="s">
        <v>30</v>
      </c>
      <c r="J821" s="2" t="s">
        <v>3108</v>
      </c>
      <c r="K821" s="2" t="s">
        <v>95</v>
      </c>
      <c r="L821" s="2" t="s">
        <v>428</v>
      </c>
      <c r="M821" s="2"/>
    </row>
    <row r="822" customFormat="false" ht="15" hidden="false" customHeight="false" outlineLevel="0" collapsed="false">
      <c r="A822" s="2" t="s">
        <v>3109</v>
      </c>
      <c r="B822" s="2" t="s">
        <v>3110</v>
      </c>
      <c r="C822" s="2" t="s">
        <v>3111</v>
      </c>
      <c r="D822" s="13" t="n">
        <v>45565.8590277778</v>
      </c>
      <c r="E822" s="2" t="s">
        <v>37</v>
      </c>
      <c r="F822" s="2" t="s">
        <v>32</v>
      </c>
      <c r="G822" s="2" t="n">
        <v>4105.17</v>
      </c>
      <c r="H822" s="2" t="n">
        <v>24.48</v>
      </c>
      <c r="I822" s="2" t="s">
        <v>26</v>
      </c>
      <c r="J822" s="2" t="s">
        <v>3112</v>
      </c>
      <c r="K822" s="2" t="s">
        <v>122</v>
      </c>
      <c r="L822" s="2" t="s">
        <v>433</v>
      </c>
      <c r="M822" s="2"/>
    </row>
    <row r="823" customFormat="false" ht="15" hidden="false" customHeight="false" outlineLevel="0" collapsed="false">
      <c r="A823" s="2" t="s">
        <v>3113</v>
      </c>
      <c r="B823" s="2" t="s">
        <v>1014</v>
      </c>
      <c r="C823" s="2" t="s">
        <v>1015</v>
      </c>
      <c r="D823" s="13" t="n">
        <v>46009.4409722222</v>
      </c>
      <c r="E823" s="2" t="s">
        <v>43</v>
      </c>
      <c r="F823" s="2" t="s">
        <v>29</v>
      </c>
      <c r="G823" s="2" t="n">
        <v>1601.94</v>
      </c>
      <c r="H823" s="2" t="n">
        <v>16.94</v>
      </c>
      <c r="I823" s="2" t="s">
        <v>26</v>
      </c>
      <c r="J823" s="2" t="s">
        <v>3114</v>
      </c>
      <c r="K823" s="2" t="s">
        <v>89</v>
      </c>
      <c r="L823" s="2"/>
      <c r="M823" s="2" t="s">
        <v>1084</v>
      </c>
    </row>
    <row r="824" customFormat="false" ht="15" hidden="false" customHeight="false" outlineLevel="0" collapsed="false">
      <c r="A824" s="2" t="s">
        <v>3115</v>
      </c>
      <c r="B824" s="2" t="s">
        <v>2906</v>
      </c>
      <c r="C824" s="2" t="s">
        <v>2907</v>
      </c>
      <c r="D824" s="13" t="n">
        <v>45816.8972222222</v>
      </c>
      <c r="E824" s="2" t="s">
        <v>35</v>
      </c>
      <c r="F824" s="2" t="s">
        <v>31</v>
      </c>
      <c r="G824" s="2" t="n">
        <v>6268.3</v>
      </c>
      <c r="H824" s="2" t="n">
        <v>26.2</v>
      </c>
      <c r="I824" s="2" t="s">
        <v>26</v>
      </c>
      <c r="J824" s="2" t="s">
        <v>3116</v>
      </c>
      <c r="K824" s="2" t="s">
        <v>122</v>
      </c>
      <c r="L824" s="2" t="s">
        <v>443</v>
      </c>
      <c r="M824" s="2"/>
    </row>
    <row r="825" customFormat="false" ht="15" hidden="false" customHeight="false" outlineLevel="0" collapsed="false">
      <c r="A825" s="2" t="s">
        <v>3117</v>
      </c>
      <c r="B825" s="2" t="s">
        <v>3118</v>
      </c>
      <c r="C825" s="2" t="s">
        <v>3119</v>
      </c>
      <c r="D825" s="13" t="n">
        <v>45502.8423611111</v>
      </c>
      <c r="E825" s="2" t="s">
        <v>43</v>
      </c>
      <c r="F825" s="2" t="s">
        <v>27</v>
      </c>
      <c r="G825" s="2" t="n">
        <v>669.25</v>
      </c>
      <c r="H825" s="2" t="n">
        <v>6</v>
      </c>
      <c r="I825" s="2" t="s">
        <v>26</v>
      </c>
      <c r="J825" s="2" t="s">
        <v>3120</v>
      </c>
      <c r="K825" s="2" t="s">
        <v>89</v>
      </c>
      <c r="L825" s="2"/>
      <c r="M825" s="2" t="s">
        <v>198</v>
      </c>
    </row>
    <row r="826" customFormat="false" ht="15" hidden="false" customHeight="false" outlineLevel="0" collapsed="false">
      <c r="A826" s="2" t="s">
        <v>3121</v>
      </c>
      <c r="B826" s="2" t="s">
        <v>3122</v>
      </c>
      <c r="C826" s="2" t="s">
        <v>3123</v>
      </c>
      <c r="D826" s="13" t="n">
        <v>45614.7458333333</v>
      </c>
      <c r="E826" s="2" t="s">
        <v>37</v>
      </c>
      <c r="F826" s="2" t="s">
        <v>31</v>
      </c>
      <c r="G826" s="2" t="n">
        <v>2717</v>
      </c>
      <c r="H826" s="2" t="n">
        <v>27.94</v>
      </c>
      <c r="I826" s="2" t="s">
        <v>26</v>
      </c>
      <c r="J826" s="2" t="s">
        <v>3124</v>
      </c>
      <c r="K826" s="2" t="s">
        <v>122</v>
      </c>
      <c r="L826" s="2" t="s">
        <v>453</v>
      </c>
      <c r="M826" s="2"/>
    </row>
    <row r="827" customFormat="false" ht="15" hidden="false" customHeight="false" outlineLevel="0" collapsed="false">
      <c r="A827" s="2" t="s">
        <v>3125</v>
      </c>
      <c r="B827" s="2" t="s">
        <v>3126</v>
      </c>
      <c r="C827" s="2" t="s">
        <v>3127</v>
      </c>
      <c r="D827" s="13" t="n">
        <v>46008.3986111111</v>
      </c>
      <c r="E827" s="2" t="s">
        <v>37</v>
      </c>
      <c r="F827" s="2" t="s">
        <v>27</v>
      </c>
      <c r="G827" s="2" t="n">
        <v>28863.24</v>
      </c>
      <c r="H827" s="2" t="n">
        <v>185.53</v>
      </c>
      <c r="I827" s="2" t="s">
        <v>26</v>
      </c>
      <c r="J827" s="2" t="s">
        <v>3128</v>
      </c>
      <c r="K827" s="2" t="s">
        <v>95</v>
      </c>
      <c r="L827" s="2"/>
      <c r="M827" s="2" t="s">
        <v>692</v>
      </c>
    </row>
    <row r="828" customFormat="false" ht="15" hidden="false" customHeight="false" outlineLevel="0" collapsed="false">
      <c r="A828" s="2" t="s">
        <v>3129</v>
      </c>
      <c r="B828" s="2" t="s">
        <v>3130</v>
      </c>
      <c r="C828" s="2" t="s">
        <v>3131</v>
      </c>
      <c r="D828" s="13" t="n">
        <v>45354.3923611111</v>
      </c>
      <c r="E828" s="2" t="s">
        <v>39</v>
      </c>
      <c r="F828" s="2" t="s">
        <v>27</v>
      </c>
      <c r="G828" s="2" t="n">
        <v>11717.95</v>
      </c>
      <c r="H828" s="2" t="n">
        <v>136.18</v>
      </c>
      <c r="I828" s="2" t="s">
        <v>26</v>
      </c>
      <c r="J828" s="2" t="s">
        <v>3132</v>
      </c>
      <c r="K828" s="2" t="s">
        <v>95</v>
      </c>
      <c r="L828" s="2"/>
      <c r="M828" s="2" t="s">
        <v>1495</v>
      </c>
    </row>
    <row r="829" customFormat="false" ht="15" hidden="false" customHeight="false" outlineLevel="0" collapsed="false">
      <c r="A829" s="2" t="s">
        <v>3133</v>
      </c>
      <c r="B829" s="2" t="s">
        <v>3134</v>
      </c>
      <c r="C829" s="2" t="s">
        <v>3135</v>
      </c>
      <c r="D829" s="13" t="n">
        <v>45813.4048611111</v>
      </c>
      <c r="E829" s="2" t="s">
        <v>37</v>
      </c>
      <c r="F829" s="2" t="s">
        <v>29</v>
      </c>
      <c r="G829" s="2" t="n">
        <v>17147.35</v>
      </c>
      <c r="H829" s="2" t="n">
        <v>130.64</v>
      </c>
      <c r="I829" s="2" t="s">
        <v>26</v>
      </c>
      <c r="J829" s="2" t="s">
        <v>3136</v>
      </c>
      <c r="K829" s="2" t="s">
        <v>95</v>
      </c>
      <c r="L829" s="2" t="s">
        <v>468</v>
      </c>
      <c r="M829" s="2"/>
    </row>
    <row r="830" customFormat="false" ht="15" hidden="false" customHeight="false" outlineLevel="0" collapsed="false">
      <c r="A830" s="2" t="s">
        <v>3137</v>
      </c>
      <c r="B830" s="2" t="s">
        <v>3138</v>
      </c>
      <c r="C830" s="2" t="s">
        <v>3139</v>
      </c>
      <c r="D830" s="13" t="n">
        <v>45384.9076388889</v>
      </c>
      <c r="E830" s="2" t="s">
        <v>41</v>
      </c>
      <c r="F830" s="2" t="s">
        <v>27</v>
      </c>
      <c r="G830" s="2" t="n">
        <v>1844.09</v>
      </c>
      <c r="H830" s="2" t="n">
        <v>14.95</v>
      </c>
      <c r="I830" s="2" t="s">
        <v>28</v>
      </c>
      <c r="J830" s="2" t="s">
        <v>3140</v>
      </c>
      <c r="K830" s="2" t="s">
        <v>101</v>
      </c>
      <c r="L830" s="2"/>
      <c r="M830" s="2" t="s">
        <v>223</v>
      </c>
    </row>
    <row r="831" customFormat="false" ht="15" hidden="false" customHeight="false" outlineLevel="0" collapsed="false">
      <c r="A831" s="2" t="s">
        <v>3141</v>
      </c>
      <c r="B831" s="2" t="s">
        <v>1943</v>
      </c>
      <c r="C831" s="2" t="s">
        <v>1944</v>
      </c>
      <c r="D831" s="13" t="n">
        <v>45322.5729166667</v>
      </c>
      <c r="E831" s="2" t="s">
        <v>41</v>
      </c>
      <c r="F831" s="2" t="s">
        <v>31</v>
      </c>
      <c r="G831" s="2" t="n">
        <v>8283.08</v>
      </c>
      <c r="H831" s="2" t="n">
        <v>95.56</v>
      </c>
      <c r="I831" s="2" t="s">
        <v>30</v>
      </c>
      <c r="J831" s="2" t="s">
        <v>3142</v>
      </c>
      <c r="K831" s="2" t="s">
        <v>95</v>
      </c>
      <c r="L831" s="2" t="s">
        <v>478</v>
      </c>
      <c r="M831" s="2"/>
    </row>
    <row r="832" customFormat="false" ht="15" hidden="false" customHeight="false" outlineLevel="0" collapsed="false">
      <c r="A832" s="2" t="s">
        <v>3143</v>
      </c>
      <c r="B832" s="2" t="s">
        <v>1989</v>
      </c>
      <c r="C832" s="2" t="s">
        <v>1990</v>
      </c>
      <c r="D832" s="13" t="n">
        <v>45626.6965277778</v>
      </c>
      <c r="E832" s="2" t="s">
        <v>43</v>
      </c>
      <c r="F832" s="2" t="s">
        <v>27</v>
      </c>
      <c r="G832" s="2" t="n">
        <v>1275.33</v>
      </c>
      <c r="H832" s="2" t="n">
        <v>12.44</v>
      </c>
      <c r="I832" s="2" t="s">
        <v>26</v>
      </c>
      <c r="J832" s="2" t="s">
        <v>3144</v>
      </c>
      <c r="K832" s="2" t="s">
        <v>89</v>
      </c>
      <c r="L832" s="2"/>
      <c r="M832" s="2" t="s">
        <v>233</v>
      </c>
    </row>
    <row r="833" customFormat="false" ht="15" hidden="false" customHeight="false" outlineLevel="0" collapsed="false">
      <c r="A833" s="2" t="s">
        <v>3145</v>
      </c>
      <c r="B833" s="2" t="s">
        <v>3146</v>
      </c>
      <c r="C833" s="2" t="s">
        <v>3147</v>
      </c>
      <c r="D833" s="13" t="n">
        <v>45905.5027777778</v>
      </c>
      <c r="E833" s="2" t="s">
        <v>39</v>
      </c>
      <c r="F833" s="2" t="s">
        <v>29</v>
      </c>
      <c r="G833" s="2" t="n">
        <v>12228.22</v>
      </c>
      <c r="H833" s="2" t="n">
        <v>78.16</v>
      </c>
      <c r="I833" s="2" t="s">
        <v>26</v>
      </c>
      <c r="J833" s="2" t="s">
        <v>3148</v>
      </c>
      <c r="K833" s="2" t="s">
        <v>95</v>
      </c>
      <c r="L833" s="2" t="s">
        <v>488</v>
      </c>
      <c r="M833" s="2"/>
    </row>
    <row r="834" customFormat="false" ht="15" hidden="false" customHeight="false" outlineLevel="0" collapsed="false">
      <c r="A834" s="2" t="s">
        <v>3149</v>
      </c>
      <c r="B834" s="2" t="s">
        <v>2591</v>
      </c>
      <c r="C834" s="2" t="s">
        <v>2592</v>
      </c>
      <c r="D834" s="13" t="n">
        <v>45570.6076388889</v>
      </c>
      <c r="E834" s="2" t="s">
        <v>41</v>
      </c>
      <c r="F834" s="2" t="s">
        <v>31</v>
      </c>
      <c r="G834" s="2" t="n">
        <v>676.49</v>
      </c>
      <c r="H834" s="2" t="n">
        <v>6.84</v>
      </c>
      <c r="I834" s="2" t="s">
        <v>26</v>
      </c>
      <c r="J834" s="2" t="s">
        <v>3150</v>
      </c>
      <c r="K834" s="2" t="s">
        <v>89</v>
      </c>
      <c r="L834" s="2" t="s">
        <v>1122</v>
      </c>
      <c r="M834" s="2"/>
    </row>
    <row r="835" customFormat="false" ht="15" hidden="false" customHeight="false" outlineLevel="0" collapsed="false">
      <c r="A835" s="2" t="s">
        <v>3151</v>
      </c>
      <c r="B835" s="2" t="s">
        <v>2357</v>
      </c>
      <c r="C835" s="2" t="s">
        <v>2358</v>
      </c>
      <c r="D835" s="13" t="n">
        <v>45774.3083333333</v>
      </c>
      <c r="E835" s="2" t="s">
        <v>43</v>
      </c>
      <c r="F835" s="2" t="s">
        <v>31</v>
      </c>
      <c r="G835" s="2" t="n">
        <v>2429.29</v>
      </c>
      <c r="H835" s="2" t="n">
        <v>7.63</v>
      </c>
      <c r="I835" s="2" t="s">
        <v>26</v>
      </c>
      <c r="J835" s="2" t="s">
        <v>3152</v>
      </c>
      <c r="K835" s="2" t="s">
        <v>122</v>
      </c>
      <c r="L835" s="2"/>
      <c r="M835" s="2" t="s">
        <v>723</v>
      </c>
    </row>
    <row r="836" customFormat="false" ht="15" hidden="false" customHeight="false" outlineLevel="0" collapsed="false">
      <c r="A836" s="2" t="s">
        <v>3153</v>
      </c>
      <c r="B836" s="2" t="s">
        <v>3154</v>
      </c>
      <c r="C836" s="2" t="s">
        <v>3155</v>
      </c>
      <c r="D836" s="13" t="n">
        <v>45550.4979166667</v>
      </c>
      <c r="E836" s="2" t="s">
        <v>41</v>
      </c>
      <c r="F836" s="2" t="s">
        <v>27</v>
      </c>
      <c r="G836" s="2" t="n">
        <v>13733.76</v>
      </c>
      <c r="H836" s="2" t="n">
        <v>72.59</v>
      </c>
      <c r="I836" s="2" t="s">
        <v>26</v>
      </c>
      <c r="J836" s="2" t="s">
        <v>3156</v>
      </c>
      <c r="K836" s="2" t="s">
        <v>89</v>
      </c>
      <c r="L836" s="2"/>
      <c r="M836" s="2" t="s">
        <v>728</v>
      </c>
    </row>
    <row r="837" customFormat="false" ht="15" hidden="false" customHeight="false" outlineLevel="0" collapsed="false">
      <c r="A837" s="2" t="s">
        <v>3157</v>
      </c>
      <c r="B837" s="2" t="s">
        <v>225</v>
      </c>
      <c r="C837" s="2" t="s">
        <v>226</v>
      </c>
      <c r="D837" s="13" t="n">
        <v>45347.4763888889</v>
      </c>
      <c r="E837" s="2" t="s">
        <v>41</v>
      </c>
      <c r="F837" s="2" t="s">
        <v>31</v>
      </c>
      <c r="G837" s="2" t="n">
        <v>5086.67</v>
      </c>
      <c r="H837" s="2" t="n">
        <v>54.93</v>
      </c>
      <c r="I837" s="2" t="s">
        <v>28</v>
      </c>
      <c r="J837" s="2" t="s">
        <v>3158</v>
      </c>
      <c r="K837" s="2" t="s">
        <v>89</v>
      </c>
      <c r="L837" s="2" t="s">
        <v>508</v>
      </c>
      <c r="M837" s="2"/>
    </row>
    <row r="838" customFormat="false" ht="15" hidden="false" customHeight="false" outlineLevel="0" collapsed="false">
      <c r="A838" s="2" t="s">
        <v>3159</v>
      </c>
      <c r="B838" s="2" t="s">
        <v>3160</v>
      </c>
      <c r="C838" s="2" t="s">
        <v>3161</v>
      </c>
      <c r="D838" s="13" t="n">
        <v>45947.3951388889</v>
      </c>
      <c r="E838" s="2" t="s">
        <v>37</v>
      </c>
      <c r="F838" s="2" t="s">
        <v>32</v>
      </c>
      <c r="G838" s="2" t="n">
        <v>2022.85</v>
      </c>
      <c r="H838" s="2" t="n">
        <v>7.4</v>
      </c>
      <c r="I838" s="2" t="s">
        <v>30</v>
      </c>
      <c r="J838" s="2" t="s">
        <v>3162</v>
      </c>
      <c r="K838" s="2" t="s">
        <v>101</v>
      </c>
      <c r="L838" s="2" t="s">
        <v>1139</v>
      </c>
      <c r="M838" s="2"/>
    </row>
    <row r="839" customFormat="false" ht="15" hidden="false" customHeight="false" outlineLevel="0" collapsed="false">
      <c r="A839" s="2" t="s">
        <v>3163</v>
      </c>
      <c r="B839" s="2" t="s">
        <v>3164</v>
      </c>
      <c r="C839" s="2" t="s">
        <v>3165</v>
      </c>
      <c r="D839" s="13" t="n">
        <v>45598.7416666667</v>
      </c>
      <c r="E839" s="2" t="s">
        <v>43</v>
      </c>
      <c r="F839" s="2" t="s">
        <v>32</v>
      </c>
      <c r="G839" s="2" t="n">
        <v>4151.29</v>
      </c>
      <c r="H839" s="2" t="n">
        <v>22.37</v>
      </c>
      <c r="I839" s="2" t="s">
        <v>30</v>
      </c>
      <c r="J839" s="2" t="s">
        <v>3166</v>
      </c>
      <c r="K839" s="2" t="s">
        <v>122</v>
      </c>
      <c r="L839" s="2"/>
      <c r="M839" s="2" t="s">
        <v>268</v>
      </c>
    </row>
    <row r="840" customFormat="false" ht="15" hidden="false" customHeight="false" outlineLevel="0" collapsed="false">
      <c r="A840" s="2" t="s">
        <v>3167</v>
      </c>
      <c r="B840" s="2" t="s">
        <v>3168</v>
      </c>
      <c r="C840" s="2" t="s">
        <v>3169</v>
      </c>
      <c r="D840" s="13" t="n">
        <v>45574.3777777778</v>
      </c>
      <c r="E840" s="2" t="s">
        <v>37</v>
      </c>
      <c r="F840" s="2" t="s">
        <v>27</v>
      </c>
      <c r="G840" s="2" t="n">
        <v>3222.95</v>
      </c>
      <c r="H840" s="2" t="n">
        <v>32.22</v>
      </c>
      <c r="I840" s="2" t="s">
        <v>26</v>
      </c>
      <c r="J840" s="2" t="s">
        <v>3170</v>
      </c>
      <c r="K840" s="2" t="s">
        <v>89</v>
      </c>
      <c r="L840" s="2"/>
      <c r="M840" s="2" t="s">
        <v>273</v>
      </c>
    </row>
    <row r="841" customFormat="false" ht="15" hidden="false" customHeight="false" outlineLevel="0" collapsed="false">
      <c r="A841" s="2" t="s">
        <v>3171</v>
      </c>
      <c r="B841" s="2" t="s">
        <v>3172</v>
      </c>
      <c r="C841" s="2" t="s">
        <v>3173</v>
      </c>
      <c r="D841" s="13" t="n">
        <v>45325.4951388889</v>
      </c>
      <c r="E841" s="2" t="s">
        <v>37</v>
      </c>
      <c r="F841" s="2" t="s">
        <v>32</v>
      </c>
      <c r="G841" s="2" t="n">
        <v>3275.47</v>
      </c>
      <c r="H841" s="2" t="n">
        <v>32.9</v>
      </c>
      <c r="I841" s="2" t="s">
        <v>30</v>
      </c>
      <c r="J841" s="2" t="s">
        <v>3174</v>
      </c>
      <c r="K841" s="2" t="s">
        <v>101</v>
      </c>
      <c r="L841" s="2" t="s">
        <v>1152</v>
      </c>
      <c r="M841" s="2"/>
    </row>
    <row r="842" customFormat="false" ht="15" hidden="false" customHeight="false" outlineLevel="0" collapsed="false">
      <c r="A842" s="2" t="s">
        <v>3175</v>
      </c>
      <c r="B842" s="2" t="s">
        <v>3176</v>
      </c>
      <c r="C842" s="2" t="s">
        <v>3177</v>
      </c>
      <c r="D842" s="13" t="n">
        <v>45567.5555555556</v>
      </c>
      <c r="E842" s="2" t="s">
        <v>35</v>
      </c>
      <c r="F842" s="2" t="s">
        <v>29</v>
      </c>
      <c r="G842" s="2" t="n">
        <v>9326.35</v>
      </c>
      <c r="H842" s="2" t="n">
        <v>79.36</v>
      </c>
      <c r="I842" s="2" t="s">
        <v>28</v>
      </c>
      <c r="J842" s="2" t="s">
        <v>3178</v>
      </c>
      <c r="K842" s="2" t="s">
        <v>122</v>
      </c>
      <c r="L842" s="2" t="s">
        <v>1726</v>
      </c>
      <c r="M842" s="2"/>
    </row>
    <row r="843" customFormat="false" ht="15" hidden="false" customHeight="false" outlineLevel="0" collapsed="false">
      <c r="A843" s="2" t="s">
        <v>3179</v>
      </c>
      <c r="B843" s="2" t="s">
        <v>1380</v>
      </c>
      <c r="C843" s="2" t="s">
        <v>1381</v>
      </c>
      <c r="D843" s="13" t="n">
        <v>45298.3826388889</v>
      </c>
      <c r="E843" s="2" t="s">
        <v>41</v>
      </c>
      <c r="F843" s="2" t="s">
        <v>27</v>
      </c>
      <c r="G843" s="2" t="n">
        <v>1935.43</v>
      </c>
      <c r="H843" s="2" t="n">
        <v>20.84</v>
      </c>
      <c r="I843" s="2" t="s">
        <v>28</v>
      </c>
      <c r="J843" s="2" t="s">
        <v>3180</v>
      </c>
      <c r="K843" s="2" t="s">
        <v>89</v>
      </c>
      <c r="L843" s="2"/>
      <c r="M843" s="2" t="s">
        <v>288</v>
      </c>
    </row>
    <row r="844" customFormat="false" ht="15" hidden="false" customHeight="false" outlineLevel="0" collapsed="false">
      <c r="A844" s="2" t="s">
        <v>3181</v>
      </c>
      <c r="B844" s="2" t="s">
        <v>3182</v>
      </c>
      <c r="C844" s="2" t="s">
        <v>3183</v>
      </c>
      <c r="D844" s="13" t="n">
        <v>45384.4680555556</v>
      </c>
      <c r="E844" s="2" t="s">
        <v>35</v>
      </c>
      <c r="F844" s="2" t="s">
        <v>27</v>
      </c>
      <c r="G844" s="2" t="n">
        <v>3660.34</v>
      </c>
      <c r="H844" s="2" t="n">
        <v>14.01</v>
      </c>
      <c r="I844" s="2" t="s">
        <v>26</v>
      </c>
      <c r="J844" s="2" t="s">
        <v>3184</v>
      </c>
      <c r="K844" s="2" t="s">
        <v>89</v>
      </c>
      <c r="L844" s="2"/>
      <c r="M844" s="2" t="s">
        <v>762</v>
      </c>
    </row>
    <row r="845" customFormat="false" ht="15" hidden="false" customHeight="false" outlineLevel="0" collapsed="false">
      <c r="A845" s="2" t="s">
        <v>3185</v>
      </c>
      <c r="B845" s="2" t="s">
        <v>2337</v>
      </c>
      <c r="C845" s="2" t="s">
        <v>2338</v>
      </c>
      <c r="D845" s="13" t="n">
        <v>45916.8201388889</v>
      </c>
      <c r="E845" s="2" t="s">
        <v>41</v>
      </c>
      <c r="F845" s="2" t="s">
        <v>29</v>
      </c>
      <c r="G845" s="2" t="n">
        <v>11113.36</v>
      </c>
      <c r="H845" s="2" t="n">
        <v>63.95</v>
      </c>
      <c r="I845" s="2" t="s">
        <v>26</v>
      </c>
      <c r="J845" s="2" t="s">
        <v>3186</v>
      </c>
      <c r="K845" s="2" t="s">
        <v>101</v>
      </c>
      <c r="L845" s="2" t="s">
        <v>1169</v>
      </c>
      <c r="M845" s="2"/>
    </row>
    <row r="846" customFormat="false" ht="15" hidden="false" customHeight="false" outlineLevel="0" collapsed="false">
      <c r="A846" s="2" t="s">
        <v>3187</v>
      </c>
      <c r="B846" s="2" t="s">
        <v>3188</v>
      </c>
      <c r="C846" s="2" t="s">
        <v>3189</v>
      </c>
      <c r="D846" s="13" t="n">
        <v>45519.8444444445</v>
      </c>
      <c r="E846" s="2" t="s">
        <v>37</v>
      </c>
      <c r="F846" s="2" t="s">
        <v>29</v>
      </c>
      <c r="G846" s="2" t="n">
        <v>4033.12</v>
      </c>
      <c r="H846" s="2" t="n">
        <v>29.55</v>
      </c>
      <c r="I846" s="2" t="s">
        <v>26</v>
      </c>
      <c r="J846" s="2" t="s">
        <v>3190</v>
      </c>
      <c r="K846" s="2" t="s">
        <v>89</v>
      </c>
      <c r="L846" s="2" t="s">
        <v>2735</v>
      </c>
      <c r="M846" s="2"/>
    </row>
    <row r="847" customFormat="false" ht="15" hidden="false" customHeight="false" outlineLevel="0" collapsed="false">
      <c r="A847" s="2" t="s">
        <v>3191</v>
      </c>
      <c r="B847" s="2" t="s">
        <v>1860</v>
      </c>
      <c r="C847" s="2" t="s">
        <v>1861</v>
      </c>
      <c r="D847" s="13" t="n">
        <v>45540.8277777778</v>
      </c>
      <c r="E847" s="2" t="s">
        <v>43</v>
      </c>
      <c r="F847" s="2" t="s">
        <v>32</v>
      </c>
      <c r="G847" s="2" t="n">
        <v>35168.74</v>
      </c>
      <c r="H847" s="2" t="n">
        <v>386.46</v>
      </c>
      <c r="I847" s="2" t="s">
        <v>26</v>
      </c>
      <c r="J847" s="2" t="s">
        <v>3192</v>
      </c>
      <c r="K847" s="2" t="s">
        <v>101</v>
      </c>
      <c r="L847" s="2"/>
      <c r="M847" s="2" t="s">
        <v>774</v>
      </c>
    </row>
    <row r="848" customFormat="false" ht="15" hidden="false" customHeight="false" outlineLevel="0" collapsed="false">
      <c r="A848" s="2" t="s">
        <v>3193</v>
      </c>
      <c r="B848" s="2" t="s">
        <v>1192</v>
      </c>
      <c r="C848" s="2" t="s">
        <v>1193</v>
      </c>
      <c r="D848" s="13" t="n">
        <v>45875.8965277778</v>
      </c>
      <c r="E848" s="2" t="s">
        <v>37</v>
      </c>
      <c r="F848" s="2" t="s">
        <v>27</v>
      </c>
      <c r="G848" s="2" t="n">
        <v>2031.43</v>
      </c>
      <c r="H848" s="2" t="n">
        <v>23.14</v>
      </c>
      <c r="I848" s="2" t="s">
        <v>26</v>
      </c>
      <c r="J848" s="2" t="s">
        <v>3194</v>
      </c>
      <c r="K848" s="2" t="s">
        <v>95</v>
      </c>
      <c r="L848" s="2"/>
      <c r="M848" s="2" t="s">
        <v>313</v>
      </c>
    </row>
    <row r="849" customFormat="false" ht="15" hidden="false" customHeight="false" outlineLevel="0" collapsed="false">
      <c r="A849" s="2" t="s">
        <v>3195</v>
      </c>
      <c r="B849" s="2" t="s">
        <v>673</v>
      </c>
      <c r="C849" s="2" t="s">
        <v>674</v>
      </c>
      <c r="D849" s="13" t="n">
        <v>45422.6020833333</v>
      </c>
      <c r="E849" s="2" t="s">
        <v>43</v>
      </c>
      <c r="F849" s="2" t="s">
        <v>27</v>
      </c>
      <c r="G849" s="2" t="n">
        <v>1067.59</v>
      </c>
      <c r="H849" s="2" t="n">
        <v>7.08</v>
      </c>
      <c r="I849" s="2" t="s">
        <v>26</v>
      </c>
      <c r="J849" s="2" t="s">
        <v>3196</v>
      </c>
      <c r="K849" s="2" t="s">
        <v>89</v>
      </c>
      <c r="L849" s="2"/>
      <c r="M849" s="2" t="s">
        <v>784</v>
      </c>
    </row>
    <row r="850" customFormat="false" ht="15" hidden="false" customHeight="false" outlineLevel="0" collapsed="false">
      <c r="A850" s="2" t="s">
        <v>3197</v>
      </c>
      <c r="B850" s="2" t="s">
        <v>1450</v>
      </c>
      <c r="C850" s="2" t="s">
        <v>1451</v>
      </c>
      <c r="D850" s="13" t="n">
        <v>45673.6916666667</v>
      </c>
      <c r="E850" s="2" t="s">
        <v>39</v>
      </c>
      <c r="F850" s="2" t="s">
        <v>29</v>
      </c>
      <c r="G850" s="2" t="n">
        <v>25039.01</v>
      </c>
      <c r="H850" s="2" t="n">
        <v>93.69</v>
      </c>
      <c r="I850" s="2" t="s">
        <v>26</v>
      </c>
      <c r="J850" s="2" t="s">
        <v>3198</v>
      </c>
      <c r="K850" s="2" t="s">
        <v>122</v>
      </c>
      <c r="L850" s="2" t="s">
        <v>1190</v>
      </c>
      <c r="M850" s="2"/>
    </row>
    <row r="851" customFormat="false" ht="15" hidden="false" customHeight="false" outlineLevel="0" collapsed="false">
      <c r="A851" s="2" t="s">
        <v>3199</v>
      </c>
      <c r="B851" s="2" t="s">
        <v>2535</v>
      </c>
      <c r="C851" s="2" t="s">
        <v>2536</v>
      </c>
      <c r="D851" s="13" t="n">
        <v>45461.8583333333</v>
      </c>
      <c r="E851" s="2" t="s">
        <v>39</v>
      </c>
      <c r="F851" s="2" t="s">
        <v>27</v>
      </c>
      <c r="G851" s="2" t="n">
        <v>4954.08</v>
      </c>
      <c r="H851" s="2" t="n">
        <v>30.56</v>
      </c>
      <c r="I851" s="2" t="s">
        <v>28</v>
      </c>
      <c r="J851" s="2" t="s">
        <v>3200</v>
      </c>
      <c r="K851" s="2" t="s">
        <v>122</v>
      </c>
      <c r="L851" s="2"/>
      <c r="M851" s="2" t="s">
        <v>328</v>
      </c>
    </row>
    <row r="852" customFormat="false" ht="15" hidden="false" customHeight="false" outlineLevel="0" collapsed="false">
      <c r="A852" s="2" t="s">
        <v>3201</v>
      </c>
      <c r="B852" s="2" t="s">
        <v>801</v>
      </c>
      <c r="C852" s="2" t="s">
        <v>802</v>
      </c>
      <c r="D852" s="13" t="n">
        <v>45485.7666666667</v>
      </c>
      <c r="E852" s="2" t="s">
        <v>43</v>
      </c>
      <c r="F852" s="2" t="s">
        <v>32</v>
      </c>
      <c r="G852" s="2" t="n">
        <v>6383.14</v>
      </c>
      <c r="H852" s="2" t="n">
        <v>69.56</v>
      </c>
      <c r="I852" s="2" t="s">
        <v>28</v>
      </c>
      <c r="J852" s="2" t="s">
        <v>3202</v>
      </c>
      <c r="K852" s="2" t="s">
        <v>95</v>
      </c>
      <c r="L852" s="2"/>
      <c r="M852" s="2" t="s">
        <v>795</v>
      </c>
    </row>
    <row r="853" customFormat="false" ht="15" hidden="false" customHeight="false" outlineLevel="0" collapsed="false">
      <c r="A853" s="2" t="s">
        <v>3203</v>
      </c>
      <c r="B853" s="2" t="s">
        <v>3204</v>
      </c>
      <c r="C853" s="2" t="s">
        <v>3205</v>
      </c>
      <c r="D853" s="13" t="n">
        <v>45620.9548611111</v>
      </c>
      <c r="E853" s="2" t="s">
        <v>35</v>
      </c>
      <c r="F853" s="2" t="s">
        <v>27</v>
      </c>
      <c r="G853" s="2" t="n">
        <v>3560.2</v>
      </c>
      <c r="H853" s="2" t="n">
        <v>28.87</v>
      </c>
      <c r="I853" s="2" t="s">
        <v>26</v>
      </c>
      <c r="J853" s="2" t="s">
        <v>3206</v>
      </c>
      <c r="K853" s="2" t="s">
        <v>101</v>
      </c>
      <c r="L853" s="2"/>
      <c r="M853" s="2" t="s">
        <v>3207</v>
      </c>
    </row>
    <row r="854" customFormat="false" ht="15" hidden="false" customHeight="false" outlineLevel="0" collapsed="false">
      <c r="A854" s="2" t="s">
        <v>3208</v>
      </c>
      <c r="B854" s="2" t="s">
        <v>3209</v>
      </c>
      <c r="C854" s="2" t="s">
        <v>3210</v>
      </c>
      <c r="D854" s="13" t="n">
        <v>45544.6479166667</v>
      </c>
      <c r="E854" s="2" t="s">
        <v>35</v>
      </c>
      <c r="F854" s="2" t="s">
        <v>32</v>
      </c>
      <c r="G854" s="2" t="n">
        <v>1239.06</v>
      </c>
      <c r="H854" s="2" t="n">
        <v>13.22</v>
      </c>
      <c r="I854" s="2" t="s">
        <v>26</v>
      </c>
      <c r="J854" s="2" t="s">
        <v>3211</v>
      </c>
      <c r="K854" s="2" t="s">
        <v>101</v>
      </c>
      <c r="L854" s="2" t="s">
        <v>589</v>
      </c>
      <c r="M854" s="2"/>
    </row>
    <row r="855" customFormat="false" ht="15" hidden="false" customHeight="false" outlineLevel="0" collapsed="false">
      <c r="A855" s="2" t="s">
        <v>3212</v>
      </c>
      <c r="B855" s="2" t="s">
        <v>2737</v>
      </c>
      <c r="C855" s="2" t="s">
        <v>2738</v>
      </c>
      <c r="D855" s="13" t="n">
        <v>45909.575</v>
      </c>
      <c r="E855" s="2" t="s">
        <v>39</v>
      </c>
      <c r="F855" s="2" t="s">
        <v>31</v>
      </c>
      <c r="G855" s="2" t="n">
        <v>4924.26</v>
      </c>
      <c r="H855" s="2" t="n">
        <v>16.06</v>
      </c>
      <c r="I855" s="2" t="s">
        <v>26</v>
      </c>
      <c r="J855" s="2" t="s">
        <v>3213</v>
      </c>
      <c r="K855" s="2" t="s">
        <v>89</v>
      </c>
      <c r="L855" s="2" t="s">
        <v>1212</v>
      </c>
      <c r="M855" s="2"/>
    </row>
    <row r="856" customFormat="false" ht="15" hidden="false" customHeight="false" outlineLevel="0" collapsed="false">
      <c r="A856" s="2" t="s">
        <v>3214</v>
      </c>
      <c r="B856" s="2" t="s">
        <v>2525</v>
      </c>
      <c r="C856" s="2" t="s">
        <v>2526</v>
      </c>
      <c r="D856" s="13" t="n">
        <v>45596.3618055556</v>
      </c>
      <c r="E856" s="2" t="s">
        <v>35</v>
      </c>
      <c r="F856" s="2" t="s">
        <v>32</v>
      </c>
      <c r="G856" s="2" t="n">
        <v>8892.08</v>
      </c>
      <c r="H856" s="2" t="n">
        <v>23.77</v>
      </c>
      <c r="I856" s="2" t="s">
        <v>26</v>
      </c>
      <c r="J856" s="2" t="s">
        <v>3215</v>
      </c>
      <c r="K856" s="2" t="s">
        <v>101</v>
      </c>
      <c r="L856" s="2" t="s">
        <v>599</v>
      </c>
      <c r="M856" s="2"/>
    </row>
    <row r="857" customFormat="false" ht="15" hidden="false" customHeight="false" outlineLevel="0" collapsed="false">
      <c r="A857" s="2" t="s">
        <v>3216</v>
      </c>
      <c r="B857" s="2" t="s">
        <v>3217</v>
      </c>
      <c r="C857" s="2" t="s">
        <v>3218</v>
      </c>
      <c r="D857" s="13" t="n">
        <v>45869.3840277778</v>
      </c>
      <c r="E857" s="2" t="s">
        <v>43</v>
      </c>
      <c r="F857" s="2" t="s">
        <v>27</v>
      </c>
      <c r="G857" s="2" t="n">
        <v>4302.44</v>
      </c>
      <c r="H857" s="2" t="n">
        <v>22.43</v>
      </c>
      <c r="I857" s="2" t="s">
        <v>26</v>
      </c>
      <c r="J857" s="2" t="s">
        <v>3219</v>
      </c>
      <c r="K857" s="2" t="s">
        <v>89</v>
      </c>
      <c r="L857" s="2"/>
      <c r="M857" s="2" t="s">
        <v>817</v>
      </c>
    </row>
    <row r="858" customFormat="false" ht="15" hidden="false" customHeight="false" outlineLevel="0" collapsed="false">
      <c r="A858" s="2" t="s">
        <v>3220</v>
      </c>
      <c r="B858" s="2" t="s">
        <v>2365</v>
      </c>
      <c r="C858" s="2" t="s">
        <v>2366</v>
      </c>
      <c r="D858" s="13" t="n">
        <v>45919.8618055556</v>
      </c>
      <c r="E858" s="2" t="s">
        <v>41</v>
      </c>
      <c r="F858" s="2" t="s">
        <v>29</v>
      </c>
      <c r="G858" s="2" t="n">
        <v>1632.87</v>
      </c>
      <c r="H858" s="2" t="n">
        <v>8.12</v>
      </c>
      <c r="I858" s="2" t="s">
        <v>26</v>
      </c>
      <c r="J858" s="2" t="s">
        <v>3221</v>
      </c>
      <c r="K858" s="2" t="s">
        <v>101</v>
      </c>
      <c r="L858" s="2" t="s">
        <v>607</v>
      </c>
      <c r="M858" s="2"/>
    </row>
    <row r="859" customFormat="false" ht="15" hidden="false" customHeight="false" outlineLevel="0" collapsed="false">
      <c r="A859" s="2" t="s">
        <v>3222</v>
      </c>
      <c r="B859" s="2" t="s">
        <v>694</v>
      </c>
      <c r="C859" s="2" t="s">
        <v>695</v>
      </c>
      <c r="D859" s="13" t="n">
        <v>46018.4604166667</v>
      </c>
      <c r="E859" s="2" t="s">
        <v>39</v>
      </c>
      <c r="F859" s="2" t="s">
        <v>27</v>
      </c>
      <c r="G859" s="2" t="n">
        <v>4194.83</v>
      </c>
      <c r="H859" s="2" t="n">
        <v>43.28</v>
      </c>
      <c r="I859" s="2" t="s">
        <v>26</v>
      </c>
      <c r="J859" s="2" t="s">
        <v>3223</v>
      </c>
      <c r="K859" s="2" t="s">
        <v>122</v>
      </c>
      <c r="L859" s="2"/>
      <c r="M859" s="2" t="s">
        <v>1606</v>
      </c>
    </row>
    <row r="860" customFormat="false" ht="15" hidden="false" customHeight="false" outlineLevel="0" collapsed="false">
      <c r="A860" s="2" t="s">
        <v>3224</v>
      </c>
      <c r="B860" s="2" t="s">
        <v>2491</v>
      </c>
      <c r="C860" s="2" t="s">
        <v>2492</v>
      </c>
      <c r="D860" s="13" t="n">
        <v>45396.6493055556</v>
      </c>
      <c r="E860" s="2" t="s">
        <v>43</v>
      </c>
      <c r="F860" s="2" t="s">
        <v>31</v>
      </c>
      <c r="G860" s="2" t="n">
        <v>12854.16</v>
      </c>
      <c r="H860" s="2" t="n">
        <v>143.37</v>
      </c>
      <c r="I860" s="2" t="s">
        <v>30</v>
      </c>
      <c r="J860" s="2" t="s">
        <v>3225</v>
      </c>
      <c r="K860" s="2" t="s">
        <v>101</v>
      </c>
      <c r="L860" s="2"/>
      <c r="M860" s="2" t="s">
        <v>828</v>
      </c>
    </row>
    <row r="861" customFormat="false" ht="15" hidden="false" customHeight="false" outlineLevel="0" collapsed="false">
      <c r="A861" s="2" t="s">
        <v>3226</v>
      </c>
      <c r="B861" s="2" t="s">
        <v>2086</v>
      </c>
      <c r="C861" s="2" t="s">
        <v>2087</v>
      </c>
      <c r="D861" s="13" t="n">
        <v>45838.4972222222</v>
      </c>
      <c r="E861" s="2" t="s">
        <v>43</v>
      </c>
      <c r="F861" s="2" t="s">
        <v>27</v>
      </c>
      <c r="G861" s="2" t="n">
        <v>2154.23</v>
      </c>
      <c r="H861" s="2" t="n">
        <v>5</v>
      </c>
      <c r="I861" s="2" t="s">
        <v>26</v>
      </c>
      <c r="J861" s="2" t="s">
        <v>3227</v>
      </c>
      <c r="K861" s="2" t="s">
        <v>89</v>
      </c>
      <c r="L861" s="2"/>
      <c r="M861" s="2" t="s">
        <v>378</v>
      </c>
    </row>
    <row r="862" customFormat="false" ht="15" hidden="false" customHeight="false" outlineLevel="0" collapsed="false">
      <c r="A862" s="2" t="s">
        <v>3228</v>
      </c>
      <c r="B862" s="2" t="s">
        <v>3229</v>
      </c>
      <c r="C862" s="2" t="s">
        <v>3230</v>
      </c>
      <c r="D862" s="13" t="n">
        <v>45830.8583333333</v>
      </c>
      <c r="E862" s="2" t="s">
        <v>35</v>
      </c>
      <c r="F862" s="2" t="s">
        <v>31</v>
      </c>
      <c r="G862" s="2" t="n">
        <v>2320.23</v>
      </c>
      <c r="H862" s="2" t="n">
        <v>22.22</v>
      </c>
      <c r="I862" s="2" t="s">
        <v>26</v>
      </c>
      <c r="J862" s="2" t="s">
        <v>3231</v>
      </c>
      <c r="K862" s="2" t="s">
        <v>95</v>
      </c>
      <c r="L862" s="2" t="s">
        <v>1241</v>
      </c>
      <c r="M862" s="2"/>
    </row>
    <row r="863" customFormat="false" ht="15" hidden="false" customHeight="false" outlineLevel="0" collapsed="false">
      <c r="A863" s="2" t="s">
        <v>3232</v>
      </c>
      <c r="B863" s="2" t="s">
        <v>3233</v>
      </c>
      <c r="C863" s="2" t="s">
        <v>3234</v>
      </c>
      <c r="D863" s="13" t="n">
        <v>45606.9277777778</v>
      </c>
      <c r="E863" s="2" t="s">
        <v>39</v>
      </c>
      <c r="F863" s="2" t="s">
        <v>32</v>
      </c>
      <c r="G863" s="2" t="n">
        <v>1848.01</v>
      </c>
      <c r="H863" s="2" t="n">
        <v>7.86</v>
      </c>
      <c r="I863" s="2" t="s">
        <v>26</v>
      </c>
      <c r="J863" s="2" t="s">
        <v>3235</v>
      </c>
      <c r="K863" s="2" t="s">
        <v>101</v>
      </c>
      <c r="L863" s="2" t="s">
        <v>632</v>
      </c>
      <c r="M863" s="2"/>
    </row>
    <row r="864" customFormat="false" ht="15" hidden="false" customHeight="false" outlineLevel="0" collapsed="false">
      <c r="A864" s="2" t="s">
        <v>3236</v>
      </c>
      <c r="B864" s="2" t="s">
        <v>3237</v>
      </c>
      <c r="C864" s="2" t="s">
        <v>3238</v>
      </c>
      <c r="D864" s="13" t="n">
        <v>45706.4166666667</v>
      </c>
      <c r="E864" s="2" t="s">
        <v>41</v>
      </c>
      <c r="F864" s="2" t="s">
        <v>31</v>
      </c>
      <c r="G864" s="2" t="n">
        <v>890.59</v>
      </c>
      <c r="H864" s="2" t="n">
        <v>5</v>
      </c>
      <c r="I864" s="2" t="s">
        <v>26</v>
      </c>
      <c r="J864" s="2" t="s">
        <v>3239</v>
      </c>
      <c r="K864" s="2" t="s">
        <v>101</v>
      </c>
      <c r="L864" s="2" t="s">
        <v>637</v>
      </c>
      <c r="M864" s="2"/>
    </row>
    <row r="865" customFormat="false" ht="15" hidden="false" customHeight="false" outlineLevel="0" collapsed="false">
      <c r="A865" s="2" t="s">
        <v>3240</v>
      </c>
      <c r="B865" s="2" t="s">
        <v>245</v>
      </c>
      <c r="C865" s="2" t="s">
        <v>246</v>
      </c>
      <c r="D865" s="13" t="n">
        <v>45523.8368055556</v>
      </c>
      <c r="E865" s="2" t="s">
        <v>39</v>
      </c>
      <c r="F865" s="2" t="s">
        <v>32</v>
      </c>
      <c r="G865" s="2" t="n">
        <v>25719.09</v>
      </c>
      <c r="H865" s="2" t="n">
        <v>97.56</v>
      </c>
      <c r="I865" s="2" t="s">
        <v>30</v>
      </c>
      <c r="J865" s="2" t="s">
        <v>3241</v>
      </c>
      <c r="K865" s="2" t="s">
        <v>101</v>
      </c>
      <c r="L865" s="2" t="s">
        <v>640</v>
      </c>
      <c r="M865" s="2"/>
    </row>
    <row r="866" customFormat="false" ht="15" hidden="false" customHeight="false" outlineLevel="0" collapsed="false">
      <c r="A866" s="2" t="s">
        <v>3242</v>
      </c>
      <c r="B866" s="2" t="s">
        <v>1264</v>
      </c>
      <c r="C866" s="2" t="s">
        <v>1265</v>
      </c>
      <c r="D866" s="13" t="n">
        <v>45928.4006944444</v>
      </c>
      <c r="E866" s="2" t="s">
        <v>39</v>
      </c>
      <c r="F866" s="2" t="s">
        <v>32</v>
      </c>
      <c r="G866" s="2" t="n">
        <v>1474.87</v>
      </c>
      <c r="H866" s="2" t="n">
        <v>6.05</v>
      </c>
      <c r="I866" s="2" t="s">
        <v>26</v>
      </c>
      <c r="J866" s="2" t="s">
        <v>3243</v>
      </c>
      <c r="K866" s="2" t="s">
        <v>95</v>
      </c>
      <c r="L866" s="2" t="s">
        <v>645</v>
      </c>
      <c r="M866" s="2"/>
    </row>
    <row r="867" customFormat="false" ht="15" hidden="false" customHeight="false" outlineLevel="0" collapsed="false">
      <c r="A867" s="2" t="s">
        <v>3244</v>
      </c>
      <c r="B867" s="2" t="s">
        <v>1894</v>
      </c>
      <c r="C867" s="2" t="s">
        <v>1895</v>
      </c>
      <c r="D867" s="13" t="n">
        <v>45592.6784722222</v>
      </c>
      <c r="E867" s="2" t="s">
        <v>35</v>
      </c>
      <c r="F867" s="2" t="s">
        <v>27</v>
      </c>
      <c r="G867" s="2" t="n">
        <v>9260.92</v>
      </c>
      <c r="H867" s="2" t="n">
        <v>74.91</v>
      </c>
      <c r="I867" s="2" t="s">
        <v>26</v>
      </c>
      <c r="J867" s="2" t="s">
        <v>3245</v>
      </c>
      <c r="K867" s="2" t="s">
        <v>89</v>
      </c>
      <c r="L867" s="2"/>
      <c r="M867" s="2" t="s">
        <v>857</v>
      </c>
    </row>
    <row r="868" customFormat="false" ht="15" hidden="false" customHeight="false" outlineLevel="0" collapsed="false">
      <c r="A868" s="2" t="s">
        <v>3246</v>
      </c>
      <c r="B868" s="2" t="s">
        <v>3110</v>
      </c>
      <c r="C868" s="2" t="s">
        <v>3111</v>
      </c>
      <c r="D868" s="13" t="n">
        <v>45839.8715277778</v>
      </c>
      <c r="E868" s="2" t="s">
        <v>39</v>
      </c>
      <c r="F868" s="2" t="s">
        <v>27</v>
      </c>
      <c r="G868" s="2" t="n">
        <v>1767.83</v>
      </c>
      <c r="H868" s="2" t="n">
        <v>20.97</v>
      </c>
      <c r="I868" s="2" t="s">
        <v>26</v>
      </c>
      <c r="J868" s="2" t="s">
        <v>3247</v>
      </c>
      <c r="K868" s="2" t="s">
        <v>101</v>
      </c>
      <c r="L868" s="2"/>
      <c r="M868" s="2" t="s">
        <v>862</v>
      </c>
    </row>
    <row r="869" customFormat="false" ht="15" hidden="false" customHeight="false" outlineLevel="0" collapsed="false">
      <c r="A869" s="2" t="s">
        <v>3248</v>
      </c>
      <c r="B869" s="2" t="s">
        <v>2621</v>
      </c>
      <c r="C869" s="2" t="s">
        <v>2622</v>
      </c>
      <c r="D869" s="13" t="n">
        <v>45914.4097222222</v>
      </c>
      <c r="E869" s="2" t="s">
        <v>43</v>
      </c>
      <c r="F869" s="2" t="s">
        <v>29</v>
      </c>
      <c r="G869" s="2" t="n">
        <v>3823.33</v>
      </c>
      <c r="H869" s="2" t="n">
        <v>42.78</v>
      </c>
      <c r="I869" s="2" t="s">
        <v>26</v>
      </c>
      <c r="J869" s="2" t="s">
        <v>3249</v>
      </c>
      <c r="K869" s="2" t="s">
        <v>122</v>
      </c>
      <c r="L869" s="2"/>
      <c r="M869" s="2" t="s">
        <v>2325</v>
      </c>
    </row>
    <row r="870" customFormat="false" ht="15" hidden="false" customHeight="false" outlineLevel="0" collapsed="false">
      <c r="A870" s="2" t="s">
        <v>3250</v>
      </c>
      <c r="B870" s="2" t="s">
        <v>200</v>
      </c>
      <c r="C870" s="2" t="s">
        <v>201</v>
      </c>
      <c r="D870" s="13" t="n">
        <v>45536.5381944445</v>
      </c>
      <c r="E870" s="2" t="s">
        <v>37</v>
      </c>
      <c r="F870" s="2" t="s">
        <v>32</v>
      </c>
      <c r="G870" s="2" t="n">
        <v>4448.88</v>
      </c>
      <c r="H870" s="2" t="n">
        <v>20.82</v>
      </c>
      <c r="I870" s="2" t="s">
        <v>26</v>
      </c>
      <c r="J870" s="2" t="s">
        <v>3251</v>
      </c>
      <c r="K870" s="2" t="s">
        <v>89</v>
      </c>
      <c r="L870" s="2" t="s">
        <v>1272</v>
      </c>
      <c r="M870" s="2"/>
    </row>
    <row r="871" customFormat="false" ht="15" hidden="false" customHeight="false" outlineLevel="0" collapsed="false">
      <c r="A871" s="2" t="s">
        <v>3252</v>
      </c>
      <c r="B871" s="2" t="s">
        <v>1422</v>
      </c>
      <c r="C871" s="2" t="s">
        <v>1423</v>
      </c>
      <c r="D871" s="13" t="n">
        <v>45367.7722222222</v>
      </c>
      <c r="E871" s="2" t="s">
        <v>35</v>
      </c>
      <c r="F871" s="2" t="s">
        <v>27</v>
      </c>
      <c r="G871" s="2" t="n">
        <v>18609.28</v>
      </c>
      <c r="H871" s="2" t="n">
        <v>187.54</v>
      </c>
      <c r="I871" s="2" t="s">
        <v>26</v>
      </c>
      <c r="J871" s="2" t="s">
        <v>3253</v>
      </c>
      <c r="K871" s="2" t="s">
        <v>101</v>
      </c>
      <c r="L871" s="2"/>
      <c r="M871" s="2" t="s">
        <v>871</v>
      </c>
    </row>
    <row r="872" customFormat="false" ht="15" hidden="false" customHeight="false" outlineLevel="0" collapsed="false">
      <c r="A872" s="2" t="s">
        <v>3254</v>
      </c>
      <c r="B872" s="2" t="s">
        <v>3255</v>
      </c>
      <c r="C872" s="2" t="s">
        <v>3256</v>
      </c>
      <c r="D872" s="13" t="n">
        <v>45926.8208333333</v>
      </c>
      <c r="E872" s="2" t="s">
        <v>37</v>
      </c>
      <c r="F872" s="2" t="s">
        <v>31</v>
      </c>
      <c r="G872" s="2" t="n">
        <v>2255.01</v>
      </c>
      <c r="H872" s="2" t="n">
        <v>7.15</v>
      </c>
      <c r="I872" s="2" t="s">
        <v>30</v>
      </c>
      <c r="J872" s="2" t="s">
        <v>3257</v>
      </c>
      <c r="K872" s="2" t="s">
        <v>122</v>
      </c>
      <c r="L872" s="2" t="s">
        <v>1837</v>
      </c>
      <c r="M872" s="2"/>
    </row>
    <row r="873" customFormat="false" ht="15" hidden="false" customHeight="false" outlineLevel="0" collapsed="false">
      <c r="A873" s="2" t="s">
        <v>3258</v>
      </c>
      <c r="B873" s="2" t="s">
        <v>3259</v>
      </c>
      <c r="C873" s="2" t="s">
        <v>3260</v>
      </c>
      <c r="D873" s="13" t="n">
        <v>45776.29375</v>
      </c>
      <c r="E873" s="2" t="s">
        <v>39</v>
      </c>
      <c r="F873" s="2" t="s">
        <v>29</v>
      </c>
      <c r="G873" s="2" t="n">
        <v>1644.78</v>
      </c>
      <c r="H873" s="2" t="n">
        <v>17.97</v>
      </c>
      <c r="I873" s="2" t="s">
        <v>26</v>
      </c>
      <c r="J873" s="2" t="s">
        <v>3261</v>
      </c>
      <c r="K873" s="2" t="s">
        <v>101</v>
      </c>
      <c r="L873" s="2" t="s">
        <v>676</v>
      </c>
      <c r="M873" s="2"/>
    </row>
    <row r="874" customFormat="false" ht="15" hidden="false" customHeight="false" outlineLevel="0" collapsed="false">
      <c r="A874" s="2" t="s">
        <v>3262</v>
      </c>
      <c r="B874" s="2" t="s">
        <v>2732</v>
      </c>
      <c r="C874" s="2" t="s">
        <v>2733</v>
      </c>
      <c r="D874" s="13" t="n">
        <v>45844.6256944445</v>
      </c>
      <c r="E874" s="2" t="s">
        <v>37</v>
      </c>
      <c r="F874" s="2" t="s">
        <v>32</v>
      </c>
      <c r="G874" s="2" t="n">
        <v>4979.54</v>
      </c>
      <c r="H874" s="2" t="n">
        <v>39.27</v>
      </c>
      <c r="I874" s="2" t="s">
        <v>30</v>
      </c>
      <c r="J874" s="2" t="s">
        <v>3263</v>
      </c>
      <c r="K874" s="2" t="s">
        <v>89</v>
      </c>
      <c r="L874" s="2" t="s">
        <v>681</v>
      </c>
      <c r="M874" s="2"/>
    </row>
    <row r="875" customFormat="false" ht="15" hidden="false" customHeight="false" outlineLevel="0" collapsed="false">
      <c r="A875" s="2" t="s">
        <v>3264</v>
      </c>
      <c r="B875" s="2" t="s">
        <v>3265</v>
      </c>
      <c r="C875" s="2" t="s">
        <v>3266</v>
      </c>
      <c r="D875" s="13" t="n">
        <v>45818.7902777778</v>
      </c>
      <c r="E875" s="2" t="s">
        <v>35</v>
      </c>
      <c r="F875" s="2" t="s">
        <v>31</v>
      </c>
      <c r="G875" s="2" t="n">
        <v>13845.52</v>
      </c>
      <c r="H875" s="2" t="n">
        <v>122.46</v>
      </c>
      <c r="I875" s="2" t="s">
        <v>30</v>
      </c>
      <c r="J875" s="2" t="s">
        <v>3267</v>
      </c>
      <c r="K875" s="2" t="s">
        <v>122</v>
      </c>
      <c r="L875" s="2" t="s">
        <v>1294</v>
      </c>
      <c r="M875" s="2"/>
    </row>
    <row r="876" customFormat="false" ht="15" hidden="false" customHeight="false" outlineLevel="0" collapsed="false">
      <c r="A876" s="2" t="s">
        <v>3268</v>
      </c>
      <c r="B876" s="2" t="s">
        <v>3269</v>
      </c>
      <c r="C876" s="2" t="s">
        <v>3270</v>
      </c>
      <c r="D876" s="13" t="n">
        <v>45845.2979166667</v>
      </c>
      <c r="E876" s="2" t="s">
        <v>39</v>
      </c>
      <c r="F876" s="2" t="s">
        <v>27</v>
      </c>
      <c r="G876" s="2" t="n">
        <v>3227.86</v>
      </c>
      <c r="H876" s="2" t="n">
        <v>28.98</v>
      </c>
      <c r="I876" s="2" t="s">
        <v>26</v>
      </c>
      <c r="J876" s="2" t="s">
        <v>3271</v>
      </c>
      <c r="K876" s="2" t="s">
        <v>122</v>
      </c>
      <c r="L876" s="2"/>
      <c r="M876" s="2" t="s">
        <v>3272</v>
      </c>
    </row>
    <row r="877" customFormat="false" ht="15" hidden="false" customHeight="false" outlineLevel="0" collapsed="false">
      <c r="A877" s="2" t="s">
        <v>3273</v>
      </c>
      <c r="B877" s="2" t="s">
        <v>3274</v>
      </c>
      <c r="C877" s="2" t="s">
        <v>3275</v>
      </c>
      <c r="D877" s="13" t="n">
        <v>45906.5798611111</v>
      </c>
      <c r="E877" s="2" t="s">
        <v>41</v>
      </c>
      <c r="F877" s="2" t="s">
        <v>32</v>
      </c>
      <c r="G877" s="2" t="n">
        <v>2067.49</v>
      </c>
      <c r="H877" s="2" t="n">
        <v>19.04</v>
      </c>
      <c r="I877" s="2" t="s">
        <v>26</v>
      </c>
      <c r="J877" s="2" t="s">
        <v>3276</v>
      </c>
      <c r="K877" s="2" t="s">
        <v>95</v>
      </c>
      <c r="L877" s="2" t="s">
        <v>1854</v>
      </c>
      <c r="M877" s="2"/>
    </row>
    <row r="878" customFormat="false" ht="15" hidden="false" customHeight="false" outlineLevel="0" collapsed="false">
      <c r="A878" s="2" t="s">
        <v>3277</v>
      </c>
      <c r="B878" s="2" t="s">
        <v>1422</v>
      </c>
      <c r="C878" s="2" t="s">
        <v>1423</v>
      </c>
      <c r="D878" s="13" t="n">
        <v>45771.6777777778</v>
      </c>
      <c r="E878" s="2" t="s">
        <v>39</v>
      </c>
      <c r="F878" s="2" t="s">
        <v>27</v>
      </c>
      <c r="G878" s="2" t="n">
        <v>13473.33</v>
      </c>
      <c r="H878" s="2" t="n">
        <v>95.29</v>
      </c>
      <c r="I878" s="2" t="s">
        <v>26</v>
      </c>
      <c r="J878" s="2" t="s">
        <v>3278</v>
      </c>
      <c r="K878" s="2" t="s">
        <v>89</v>
      </c>
      <c r="L878" s="2"/>
      <c r="M878" s="2" t="s">
        <v>463</v>
      </c>
    </row>
    <row r="879" customFormat="false" ht="15" hidden="false" customHeight="false" outlineLevel="0" collapsed="false">
      <c r="A879" s="2" t="s">
        <v>3279</v>
      </c>
      <c r="B879" s="2" t="s">
        <v>3094</v>
      </c>
      <c r="C879" s="2" t="s">
        <v>3095</v>
      </c>
      <c r="D879" s="13" t="n">
        <v>45911.9180555556</v>
      </c>
      <c r="E879" s="2" t="s">
        <v>39</v>
      </c>
      <c r="F879" s="2" t="s">
        <v>31</v>
      </c>
      <c r="G879" s="2" t="n">
        <v>4782.77</v>
      </c>
      <c r="H879" s="2" t="n">
        <v>42.06</v>
      </c>
      <c r="I879" s="2" t="s">
        <v>28</v>
      </c>
      <c r="J879" s="2" t="s">
        <v>3280</v>
      </c>
      <c r="K879" s="2" t="s">
        <v>101</v>
      </c>
      <c r="L879" s="2" t="s">
        <v>1311</v>
      </c>
      <c r="M879" s="2"/>
    </row>
    <row r="880" customFormat="false" ht="15" hidden="false" customHeight="false" outlineLevel="0" collapsed="false">
      <c r="A880" s="2" t="s">
        <v>3281</v>
      </c>
      <c r="B880" s="2" t="s">
        <v>3282</v>
      </c>
      <c r="C880" s="2" t="s">
        <v>3283</v>
      </c>
      <c r="D880" s="13" t="n">
        <v>45519.3784722222</v>
      </c>
      <c r="E880" s="2" t="s">
        <v>35</v>
      </c>
      <c r="F880" s="2" t="s">
        <v>29</v>
      </c>
      <c r="G880" s="2" t="n">
        <v>1484.27</v>
      </c>
      <c r="H880" s="2" t="n">
        <v>5</v>
      </c>
      <c r="I880" s="2" t="s">
        <v>28</v>
      </c>
      <c r="J880" s="2" t="s">
        <v>3284</v>
      </c>
      <c r="K880" s="2" t="s">
        <v>101</v>
      </c>
      <c r="L880" s="2" t="s">
        <v>703</v>
      </c>
      <c r="M880" s="2"/>
    </row>
    <row r="881" customFormat="false" ht="15" hidden="false" customHeight="false" outlineLevel="0" collapsed="false">
      <c r="A881" s="2" t="s">
        <v>3285</v>
      </c>
      <c r="B881" s="2" t="s">
        <v>3286</v>
      </c>
      <c r="C881" s="2" t="s">
        <v>3287</v>
      </c>
      <c r="D881" s="13" t="n">
        <v>45340.7152777778</v>
      </c>
      <c r="E881" s="2" t="s">
        <v>39</v>
      </c>
      <c r="F881" s="2" t="s">
        <v>27</v>
      </c>
      <c r="G881" s="2" t="n">
        <v>7933.27</v>
      </c>
      <c r="H881" s="2" t="n">
        <v>68.08</v>
      </c>
      <c r="I881" s="2" t="s">
        <v>26</v>
      </c>
      <c r="J881" s="2" t="s">
        <v>3288</v>
      </c>
      <c r="K881" s="2" t="s">
        <v>101</v>
      </c>
      <c r="L881" s="2"/>
      <c r="M881" s="2" t="s">
        <v>1686</v>
      </c>
    </row>
    <row r="882" customFormat="false" ht="15" hidden="false" customHeight="false" outlineLevel="0" collapsed="false">
      <c r="A882" s="2" t="s">
        <v>3289</v>
      </c>
      <c r="B882" s="2" t="s">
        <v>510</v>
      </c>
      <c r="C882" s="2" t="s">
        <v>511</v>
      </c>
      <c r="D882" s="13" t="n">
        <v>45992.50625</v>
      </c>
      <c r="E882" s="2" t="s">
        <v>35</v>
      </c>
      <c r="F882" s="2" t="s">
        <v>29</v>
      </c>
      <c r="G882" s="2" t="n">
        <v>1710.36</v>
      </c>
      <c r="H882" s="2" t="n">
        <v>9.64</v>
      </c>
      <c r="I882" s="2" t="s">
        <v>26</v>
      </c>
      <c r="J882" s="2" t="s">
        <v>3290</v>
      </c>
      <c r="K882" s="2" t="s">
        <v>89</v>
      </c>
      <c r="L882" s="2" t="s">
        <v>1325</v>
      </c>
      <c r="M882" s="2"/>
    </row>
    <row r="883" customFormat="false" ht="15" hidden="false" customHeight="false" outlineLevel="0" collapsed="false">
      <c r="A883" s="2" t="s">
        <v>3291</v>
      </c>
      <c r="B883" s="2" t="s">
        <v>3292</v>
      </c>
      <c r="C883" s="2" t="s">
        <v>3293</v>
      </c>
      <c r="D883" s="13" t="n">
        <v>45836.4986111111</v>
      </c>
      <c r="E883" s="2" t="s">
        <v>39</v>
      </c>
      <c r="F883" s="2" t="s">
        <v>29</v>
      </c>
      <c r="G883" s="2" t="n">
        <v>5432.75</v>
      </c>
      <c r="H883" s="2" t="n">
        <v>34.98</v>
      </c>
      <c r="I883" s="2" t="s">
        <v>26</v>
      </c>
      <c r="J883" s="2" t="s">
        <v>3294</v>
      </c>
      <c r="K883" s="2" t="s">
        <v>89</v>
      </c>
      <c r="L883" s="2" t="s">
        <v>1330</v>
      </c>
      <c r="M883" s="2"/>
    </row>
    <row r="884" customFormat="false" ht="15" hidden="false" customHeight="false" outlineLevel="0" collapsed="false">
      <c r="A884" s="2" t="s">
        <v>3295</v>
      </c>
      <c r="B884" s="2" t="s">
        <v>2260</v>
      </c>
      <c r="C884" s="2" t="s">
        <v>2261</v>
      </c>
      <c r="D884" s="13" t="n">
        <v>45924.7402777778</v>
      </c>
      <c r="E884" s="2" t="s">
        <v>37</v>
      </c>
      <c r="F884" s="2" t="s">
        <v>27</v>
      </c>
      <c r="G884" s="2" t="n">
        <v>2199.99</v>
      </c>
      <c r="H884" s="2" t="n">
        <v>23.68</v>
      </c>
      <c r="I884" s="2" t="s">
        <v>26</v>
      </c>
      <c r="J884" s="2" t="s">
        <v>3296</v>
      </c>
      <c r="K884" s="2" t="s">
        <v>95</v>
      </c>
      <c r="L884" s="2"/>
      <c r="M884" s="2" t="s">
        <v>493</v>
      </c>
    </row>
    <row r="885" customFormat="false" ht="15" hidden="false" customHeight="false" outlineLevel="0" collapsed="false">
      <c r="A885" s="2" t="s">
        <v>3297</v>
      </c>
      <c r="B885" s="2" t="s">
        <v>1692</v>
      </c>
      <c r="C885" s="2" t="s">
        <v>1693</v>
      </c>
      <c r="D885" s="13" t="n">
        <v>45709.5104166667</v>
      </c>
      <c r="E885" s="2" t="s">
        <v>39</v>
      </c>
      <c r="F885" s="2" t="s">
        <v>29</v>
      </c>
      <c r="G885" s="2" t="n">
        <v>1172.38</v>
      </c>
      <c r="H885" s="2" t="n">
        <v>6.75</v>
      </c>
      <c r="I885" s="2" t="s">
        <v>26</v>
      </c>
      <c r="J885" s="2" t="s">
        <v>3298</v>
      </c>
      <c r="K885" s="2" t="s">
        <v>89</v>
      </c>
      <c r="L885" s="2" t="s">
        <v>1339</v>
      </c>
      <c r="M885" s="2"/>
    </row>
    <row r="886" customFormat="false" ht="15" hidden="false" customHeight="false" outlineLevel="0" collapsed="false">
      <c r="A886" s="2" t="s">
        <v>3299</v>
      </c>
      <c r="B886" s="2" t="s">
        <v>3300</v>
      </c>
      <c r="C886" s="2" t="s">
        <v>3301</v>
      </c>
      <c r="D886" s="13" t="n">
        <v>45685.4076388889</v>
      </c>
      <c r="E886" s="2" t="s">
        <v>43</v>
      </c>
      <c r="F886" s="2" t="s">
        <v>27</v>
      </c>
      <c r="G886" s="2" t="n">
        <v>4274.34</v>
      </c>
      <c r="H886" s="2" t="n">
        <v>24.53</v>
      </c>
      <c r="I886" s="2" t="s">
        <v>26</v>
      </c>
      <c r="J886" s="2" t="s">
        <v>3302</v>
      </c>
      <c r="K886" s="2" t="s">
        <v>95</v>
      </c>
      <c r="L886" s="2"/>
      <c r="M886" s="2" t="s">
        <v>1703</v>
      </c>
    </row>
    <row r="887" customFormat="false" ht="15" hidden="false" customHeight="false" outlineLevel="0" collapsed="false">
      <c r="A887" s="2" t="s">
        <v>3303</v>
      </c>
      <c r="B887" s="2" t="s">
        <v>2986</v>
      </c>
      <c r="C887" s="2" t="s">
        <v>2987</v>
      </c>
      <c r="D887" s="13" t="n">
        <v>45689.79375</v>
      </c>
      <c r="E887" s="2" t="s">
        <v>39</v>
      </c>
      <c r="F887" s="2" t="s">
        <v>27</v>
      </c>
      <c r="G887" s="2" t="n">
        <v>853.76</v>
      </c>
      <c r="H887" s="2" t="n">
        <v>5.07</v>
      </c>
      <c r="I887" s="2" t="s">
        <v>26</v>
      </c>
      <c r="J887" s="2" t="s">
        <v>3304</v>
      </c>
      <c r="K887" s="2" t="s">
        <v>95</v>
      </c>
      <c r="L887" s="2"/>
      <c r="M887" s="2" t="s">
        <v>2706</v>
      </c>
    </row>
    <row r="888" customFormat="false" ht="15" hidden="false" customHeight="false" outlineLevel="0" collapsed="false">
      <c r="A888" s="2" t="s">
        <v>3305</v>
      </c>
      <c r="B888" s="2" t="s">
        <v>270</v>
      </c>
      <c r="C888" s="2" t="s">
        <v>271</v>
      </c>
      <c r="D888" s="13" t="n">
        <v>45300.7513888889</v>
      </c>
      <c r="E888" s="2" t="s">
        <v>37</v>
      </c>
      <c r="F888" s="2" t="s">
        <v>29</v>
      </c>
      <c r="G888" s="2" t="n">
        <v>1037.11</v>
      </c>
      <c r="H888" s="2" t="n">
        <v>8.72</v>
      </c>
      <c r="I888" s="2" t="s">
        <v>26</v>
      </c>
      <c r="J888" s="2" t="s">
        <v>3306</v>
      </c>
      <c r="K888" s="2" t="s">
        <v>89</v>
      </c>
      <c r="L888" s="2" t="s">
        <v>1888</v>
      </c>
      <c r="M888" s="2"/>
    </row>
    <row r="889" customFormat="false" ht="15" hidden="false" customHeight="false" outlineLevel="0" collapsed="false">
      <c r="A889" s="2" t="s">
        <v>3307</v>
      </c>
      <c r="B889" s="2" t="s">
        <v>558</v>
      </c>
      <c r="C889" s="2" t="s">
        <v>559</v>
      </c>
      <c r="D889" s="13" t="n">
        <v>45513.3590277778</v>
      </c>
      <c r="E889" s="2" t="s">
        <v>41</v>
      </c>
      <c r="F889" s="2" t="s">
        <v>31</v>
      </c>
      <c r="G889" s="2" t="n">
        <v>1836.84</v>
      </c>
      <c r="H889" s="2" t="n">
        <v>18.47</v>
      </c>
      <c r="I889" s="2" t="s">
        <v>26</v>
      </c>
      <c r="J889" s="2" t="s">
        <v>3308</v>
      </c>
      <c r="K889" s="2" t="s">
        <v>101</v>
      </c>
      <c r="L889" s="2" t="s">
        <v>738</v>
      </c>
      <c r="M889" s="2"/>
    </row>
    <row r="890" customFormat="false" ht="15" hidden="false" customHeight="false" outlineLevel="0" collapsed="false">
      <c r="A890" s="2" t="s">
        <v>3309</v>
      </c>
      <c r="B890" s="2" t="s">
        <v>1752</v>
      </c>
      <c r="C890" s="2" t="s">
        <v>1753</v>
      </c>
      <c r="D890" s="13" t="n">
        <v>45315.6395833333</v>
      </c>
      <c r="E890" s="2" t="s">
        <v>35</v>
      </c>
      <c r="F890" s="2" t="s">
        <v>27</v>
      </c>
      <c r="G890" s="2" t="n">
        <v>1932.86</v>
      </c>
      <c r="H890" s="2" t="n">
        <v>22.09</v>
      </c>
      <c r="I890" s="2" t="s">
        <v>30</v>
      </c>
      <c r="J890" s="2" t="s">
        <v>3310</v>
      </c>
      <c r="K890" s="2" t="s">
        <v>101</v>
      </c>
      <c r="L890" s="2"/>
      <c r="M890" s="2" t="s">
        <v>950</v>
      </c>
    </row>
    <row r="891" customFormat="false" ht="15" hidden="false" customHeight="false" outlineLevel="0" collapsed="false">
      <c r="A891" s="2" t="s">
        <v>3311</v>
      </c>
      <c r="B891" s="2" t="s">
        <v>965</v>
      </c>
      <c r="C891" s="2" t="s">
        <v>966</v>
      </c>
      <c r="D891" s="13" t="n">
        <v>45406.5173611111</v>
      </c>
      <c r="E891" s="2" t="s">
        <v>37</v>
      </c>
      <c r="F891" s="2" t="s">
        <v>29</v>
      </c>
      <c r="G891" s="2" t="n">
        <v>4272.51</v>
      </c>
      <c r="H891" s="2" t="n">
        <v>45.42</v>
      </c>
      <c r="I891" s="2" t="s">
        <v>26</v>
      </c>
      <c r="J891" s="2" t="s">
        <v>3312</v>
      </c>
      <c r="K891" s="2" t="s">
        <v>101</v>
      </c>
      <c r="L891" s="2" t="s">
        <v>1901</v>
      </c>
      <c r="M891" s="2"/>
    </row>
    <row r="892" customFormat="false" ht="15" hidden="false" customHeight="false" outlineLevel="0" collapsed="false">
      <c r="A892" s="2" t="s">
        <v>3313</v>
      </c>
      <c r="B892" s="2" t="s">
        <v>3314</v>
      </c>
      <c r="C892" s="2" t="s">
        <v>3315</v>
      </c>
      <c r="D892" s="13" t="n">
        <v>45621.6604166667</v>
      </c>
      <c r="E892" s="2" t="s">
        <v>39</v>
      </c>
      <c r="F892" s="2" t="s">
        <v>29</v>
      </c>
      <c r="G892" s="2" t="n">
        <v>1406.24</v>
      </c>
      <c r="H892" s="2" t="n">
        <v>16.2</v>
      </c>
      <c r="I892" s="2" t="s">
        <v>26</v>
      </c>
      <c r="J892" s="2" t="s">
        <v>3316</v>
      </c>
      <c r="K892" s="2" t="s">
        <v>101</v>
      </c>
      <c r="L892" s="2" t="s">
        <v>752</v>
      </c>
      <c r="M892" s="2"/>
    </row>
    <row r="893" customFormat="false" ht="15" hidden="false" customHeight="false" outlineLevel="0" collapsed="false">
      <c r="A893" s="2" t="s">
        <v>3317</v>
      </c>
      <c r="B893" s="2" t="s">
        <v>3318</v>
      </c>
      <c r="C893" s="2" t="s">
        <v>3319</v>
      </c>
      <c r="D893" s="13" t="n">
        <v>45584.7180555556</v>
      </c>
      <c r="E893" s="2" t="s">
        <v>43</v>
      </c>
      <c r="F893" s="2" t="s">
        <v>31</v>
      </c>
      <c r="G893" s="2" t="n">
        <v>4134.1</v>
      </c>
      <c r="H893" s="2" t="n">
        <v>8.94</v>
      </c>
      <c r="I893" s="2" t="s">
        <v>30</v>
      </c>
      <c r="J893" s="2" t="s">
        <v>3320</v>
      </c>
      <c r="K893" s="2" t="s">
        <v>122</v>
      </c>
      <c r="L893" s="2"/>
      <c r="M893" s="2" t="s">
        <v>536</v>
      </c>
    </row>
    <row r="894" customFormat="false" ht="15" hidden="false" customHeight="false" outlineLevel="0" collapsed="false">
      <c r="A894" s="2" t="s">
        <v>3321</v>
      </c>
      <c r="B894" s="2" t="s">
        <v>2406</v>
      </c>
      <c r="C894" s="2" t="s">
        <v>2407</v>
      </c>
      <c r="D894" s="13" t="n">
        <v>45936.7729166667</v>
      </c>
      <c r="E894" s="2" t="s">
        <v>43</v>
      </c>
      <c r="F894" s="2" t="s">
        <v>29</v>
      </c>
      <c r="G894" s="2" t="n">
        <v>2998.11</v>
      </c>
      <c r="H894" s="2" t="n">
        <v>31.99</v>
      </c>
      <c r="I894" s="2" t="s">
        <v>26</v>
      </c>
      <c r="J894" s="2" t="s">
        <v>3322</v>
      </c>
      <c r="K894" s="2" t="s">
        <v>89</v>
      </c>
      <c r="L894" s="2"/>
      <c r="M894" s="2" t="s">
        <v>1371</v>
      </c>
    </row>
    <row r="895" customFormat="false" ht="15" hidden="false" customHeight="false" outlineLevel="0" collapsed="false">
      <c r="A895" s="2" t="s">
        <v>3323</v>
      </c>
      <c r="B895" s="2" t="s">
        <v>3324</v>
      </c>
      <c r="C895" s="2" t="s">
        <v>3325</v>
      </c>
      <c r="D895" s="13" t="n">
        <v>45923.91875</v>
      </c>
      <c r="E895" s="2" t="s">
        <v>37</v>
      </c>
      <c r="F895" s="2" t="s">
        <v>31</v>
      </c>
      <c r="G895" s="2" t="n">
        <v>2354.64</v>
      </c>
      <c r="H895" s="2" t="n">
        <v>5</v>
      </c>
      <c r="I895" s="2" t="s">
        <v>26</v>
      </c>
      <c r="J895" s="2" t="s">
        <v>3326</v>
      </c>
      <c r="K895" s="2" t="s">
        <v>95</v>
      </c>
      <c r="L895" s="2" t="s">
        <v>1374</v>
      </c>
      <c r="M895" s="2"/>
    </row>
    <row r="896" customFormat="false" ht="15" hidden="false" customHeight="false" outlineLevel="0" collapsed="false">
      <c r="A896" s="2" t="s">
        <v>3327</v>
      </c>
      <c r="B896" s="2" t="s">
        <v>410</v>
      </c>
      <c r="C896" s="2" t="s">
        <v>411</v>
      </c>
      <c r="D896" s="13" t="n">
        <v>45846.8340277778</v>
      </c>
      <c r="E896" s="2" t="s">
        <v>41</v>
      </c>
      <c r="F896" s="2" t="s">
        <v>27</v>
      </c>
      <c r="G896" s="2" t="n">
        <v>3541.69</v>
      </c>
      <c r="H896" s="2" t="n">
        <v>37.67</v>
      </c>
      <c r="I896" s="2" t="s">
        <v>26</v>
      </c>
      <c r="J896" s="2" t="s">
        <v>3328</v>
      </c>
      <c r="K896" s="2" t="s">
        <v>89</v>
      </c>
      <c r="L896" s="2"/>
      <c r="M896" s="2" t="s">
        <v>551</v>
      </c>
    </row>
    <row r="897" customFormat="false" ht="15" hidden="false" customHeight="false" outlineLevel="0" collapsed="false">
      <c r="A897" s="2" t="s">
        <v>3329</v>
      </c>
      <c r="B897" s="2" t="s">
        <v>1441</v>
      </c>
      <c r="C897" s="2" t="s">
        <v>1442</v>
      </c>
      <c r="D897" s="13" t="n">
        <v>45493.7854166667</v>
      </c>
      <c r="E897" s="2" t="s">
        <v>39</v>
      </c>
      <c r="F897" s="2" t="s">
        <v>29</v>
      </c>
      <c r="G897" s="2" t="n">
        <v>15328.55</v>
      </c>
      <c r="H897" s="2" t="n">
        <v>86.63</v>
      </c>
      <c r="I897" s="2" t="s">
        <v>26</v>
      </c>
      <c r="J897" s="2" t="s">
        <v>3330</v>
      </c>
      <c r="K897" s="2" t="s">
        <v>89</v>
      </c>
      <c r="L897" s="2" t="s">
        <v>2892</v>
      </c>
      <c r="M897" s="2"/>
    </row>
    <row r="898" customFormat="false" ht="15" hidden="false" customHeight="false" outlineLevel="0" collapsed="false">
      <c r="A898" s="2" t="s">
        <v>3331</v>
      </c>
      <c r="B898" s="2" t="s">
        <v>3332</v>
      </c>
      <c r="C898" s="2" t="s">
        <v>3333</v>
      </c>
      <c r="D898" s="13" t="n">
        <v>45743.6131944444</v>
      </c>
      <c r="E898" s="2" t="s">
        <v>39</v>
      </c>
      <c r="F898" s="2" t="s">
        <v>29</v>
      </c>
      <c r="G898" s="2" t="n">
        <v>2018.22</v>
      </c>
      <c r="H898" s="2" t="n">
        <v>10.41</v>
      </c>
      <c r="I898" s="2" t="s">
        <v>28</v>
      </c>
      <c r="J898" s="2" t="s">
        <v>3334</v>
      </c>
      <c r="K898" s="2" t="s">
        <v>122</v>
      </c>
      <c r="L898" s="2" t="s">
        <v>779</v>
      </c>
      <c r="M898" s="2"/>
    </row>
    <row r="899" customFormat="false" ht="15" hidden="false" customHeight="false" outlineLevel="0" collapsed="false">
      <c r="A899" s="2" t="s">
        <v>3335</v>
      </c>
      <c r="B899" s="2" t="s">
        <v>3336</v>
      </c>
      <c r="C899" s="2" t="s">
        <v>3337</v>
      </c>
      <c r="D899" s="13" t="n">
        <v>45355.7555555556</v>
      </c>
      <c r="E899" s="2" t="s">
        <v>43</v>
      </c>
      <c r="F899" s="2" t="s">
        <v>29</v>
      </c>
      <c r="G899" s="2" t="n">
        <v>1828.77</v>
      </c>
      <c r="H899" s="2" t="n">
        <v>7.48</v>
      </c>
      <c r="I899" s="2" t="s">
        <v>26</v>
      </c>
      <c r="J899" s="2" t="s">
        <v>3338</v>
      </c>
      <c r="K899" s="2" t="s">
        <v>122</v>
      </c>
      <c r="L899" s="2"/>
      <c r="M899" s="2" t="s">
        <v>2097</v>
      </c>
    </row>
    <row r="900" customFormat="false" ht="15" hidden="false" customHeight="false" outlineLevel="0" collapsed="false">
      <c r="A900" s="2" t="s">
        <v>3339</v>
      </c>
      <c r="B900" s="2" t="s">
        <v>3340</v>
      </c>
      <c r="C900" s="2" t="s">
        <v>3341</v>
      </c>
      <c r="D900" s="13" t="n">
        <v>45563.3645833333</v>
      </c>
      <c r="E900" s="2" t="s">
        <v>41</v>
      </c>
      <c r="F900" s="2" t="s">
        <v>31</v>
      </c>
      <c r="G900" s="2" t="n">
        <v>3009.21</v>
      </c>
      <c r="H900" s="2" t="n">
        <v>28.45</v>
      </c>
      <c r="I900" s="2" t="s">
        <v>30</v>
      </c>
      <c r="J900" s="2" t="s">
        <v>3342</v>
      </c>
      <c r="K900" s="2" t="s">
        <v>101</v>
      </c>
      <c r="L900" s="2" t="s">
        <v>1935</v>
      </c>
      <c r="M900" s="2"/>
    </row>
    <row r="901" customFormat="false" ht="15" hidden="false" customHeight="false" outlineLevel="0" collapsed="false">
      <c r="A901" s="2" t="s">
        <v>3343</v>
      </c>
      <c r="B901" s="2" t="s">
        <v>200</v>
      </c>
      <c r="C901" s="2" t="s">
        <v>201</v>
      </c>
      <c r="D901" s="13" t="n">
        <v>45770.3472222222</v>
      </c>
      <c r="E901" s="2" t="s">
        <v>39</v>
      </c>
      <c r="F901" s="2" t="s">
        <v>27</v>
      </c>
      <c r="G901" s="2" t="n">
        <v>6220.77</v>
      </c>
      <c r="H901" s="2" t="n">
        <v>70.52</v>
      </c>
      <c r="I901" s="2" t="s">
        <v>26</v>
      </c>
      <c r="J901" s="2" t="s">
        <v>3344</v>
      </c>
      <c r="K901" s="2" t="s">
        <v>101</v>
      </c>
      <c r="L901" s="2"/>
      <c r="M901" s="2" t="s">
        <v>576</v>
      </c>
    </row>
    <row r="902" customFormat="false" ht="15" hidden="false" customHeight="false" outlineLevel="0" collapsed="false">
      <c r="A902" s="2" t="s">
        <v>3345</v>
      </c>
      <c r="B902" s="2" t="s">
        <v>2861</v>
      </c>
      <c r="C902" s="2" t="s">
        <v>2862</v>
      </c>
      <c r="D902" s="13" t="n">
        <v>45706.5604166667</v>
      </c>
      <c r="E902" s="2" t="s">
        <v>41</v>
      </c>
      <c r="F902" s="2" t="s">
        <v>29</v>
      </c>
      <c r="G902" s="2" t="n">
        <v>317.86</v>
      </c>
      <c r="H902" s="2" t="n">
        <v>5</v>
      </c>
      <c r="I902" s="2" t="s">
        <v>30</v>
      </c>
      <c r="J902" s="2" t="s">
        <v>3346</v>
      </c>
      <c r="K902" s="2" t="s">
        <v>122</v>
      </c>
      <c r="L902" s="2" t="s">
        <v>90</v>
      </c>
      <c r="M902" s="2"/>
    </row>
    <row r="903" customFormat="false" ht="15" hidden="false" customHeight="false" outlineLevel="0" collapsed="false">
      <c r="A903" s="2" t="s">
        <v>3347</v>
      </c>
      <c r="B903" s="2" t="s">
        <v>3348</v>
      </c>
      <c r="C903" s="2" t="s">
        <v>3349</v>
      </c>
      <c r="D903" s="13" t="n">
        <v>45934.8923611111</v>
      </c>
      <c r="E903" s="2" t="s">
        <v>39</v>
      </c>
      <c r="F903" s="2" t="s">
        <v>32</v>
      </c>
      <c r="G903" s="2" t="n">
        <v>4363.74</v>
      </c>
      <c r="H903" s="2" t="n">
        <v>38.69</v>
      </c>
      <c r="I903" s="2" t="s">
        <v>26</v>
      </c>
      <c r="J903" s="2" t="s">
        <v>3350</v>
      </c>
      <c r="K903" s="2" t="s">
        <v>122</v>
      </c>
      <c r="L903" s="2" t="s">
        <v>96</v>
      </c>
      <c r="M903" s="2"/>
    </row>
    <row r="904" customFormat="false" ht="15" hidden="false" customHeight="false" outlineLevel="0" collapsed="false">
      <c r="A904" s="2" t="s">
        <v>3351</v>
      </c>
      <c r="B904" s="2" t="s">
        <v>2861</v>
      </c>
      <c r="C904" s="2" t="s">
        <v>2862</v>
      </c>
      <c r="D904" s="13" t="n">
        <v>45777.3986111111</v>
      </c>
      <c r="E904" s="2" t="s">
        <v>39</v>
      </c>
      <c r="F904" s="2" t="s">
        <v>29</v>
      </c>
      <c r="G904" s="2" t="n">
        <v>7207.64</v>
      </c>
      <c r="H904" s="2" t="n">
        <v>27.79</v>
      </c>
      <c r="I904" s="2" t="s">
        <v>26</v>
      </c>
      <c r="J904" s="2" t="s">
        <v>3352</v>
      </c>
      <c r="K904" s="2" t="s">
        <v>122</v>
      </c>
      <c r="L904" s="2" t="s">
        <v>102</v>
      </c>
      <c r="M904" s="2"/>
    </row>
    <row r="905" customFormat="false" ht="15" hidden="false" customHeight="false" outlineLevel="0" collapsed="false">
      <c r="A905" s="2" t="s">
        <v>3353</v>
      </c>
      <c r="B905" s="2" t="s">
        <v>3354</v>
      </c>
      <c r="C905" s="2" t="s">
        <v>3355</v>
      </c>
      <c r="D905" s="13" t="n">
        <v>45514.5791666667</v>
      </c>
      <c r="E905" s="2" t="s">
        <v>37</v>
      </c>
      <c r="F905" s="2" t="s">
        <v>32</v>
      </c>
      <c r="G905" s="2" t="n">
        <v>23330.55</v>
      </c>
      <c r="H905" s="2" t="n">
        <v>187.51</v>
      </c>
      <c r="I905" s="2" t="s">
        <v>30</v>
      </c>
      <c r="J905" s="2" t="s">
        <v>3356</v>
      </c>
      <c r="K905" s="2" t="s">
        <v>95</v>
      </c>
      <c r="L905" s="2" t="s">
        <v>107</v>
      </c>
      <c r="M905" s="2"/>
    </row>
    <row r="906" customFormat="false" ht="15" hidden="false" customHeight="false" outlineLevel="0" collapsed="false">
      <c r="A906" s="2" t="s">
        <v>3357</v>
      </c>
      <c r="B906" s="2" t="s">
        <v>823</v>
      </c>
      <c r="C906" s="2" t="s">
        <v>824</v>
      </c>
      <c r="D906" s="13" t="n">
        <v>45871.8041666667</v>
      </c>
      <c r="E906" s="2" t="s">
        <v>41</v>
      </c>
      <c r="F906" s="2" t="s">
        <v>29</v>
      </c>
      <c r="G906" s="2" t="n">
        <v>2421.69</v>
      </c>
      <c r="H906" s="2" t="n">
        <v>18.42</v>
      </c>
      <c r="I906" s="2" t="s">
        <v>26</v>
      </c>
      <c r="J906" s="2" t="s">
        <v>3358</v>
      </c>
      <c r="K906" s="2" t="s">
        <v>95</v>
      </c>
      <c r="L906" s="2" t="s">
        <v>812</v>
      </c>
      <c r="M906" s="2"/>
    </row>
    <row r="907" customFormat="false" ht="15" hidden="false" customHeight="false" outlineLevel="0" collapsed="false">
      <c r="A907" s="2" t="s">
        <v>3359</v>
      </c>
      <c r="B907" s="2" t="s">
        <v>3360</v>
      </c>
      <c r="C907" s="2" t="s">
        <v>3361</v>
      </c>
      <c r="D907" s="13" t="n">
        <v>45696.8916666667</v>
      </c>
      <c r="E907" s="2" t="s">
        <v>41</v>
      </c>
      <c r="F907" s="2" t="s">
        <v>27</v>
      </c>
      <c r="G907" s="2" t="n">
        <v>6603.63</v>
      </c>
      <c r="H907" s="2" t="n">
        <v>25.54</v>
      </c>
      <c r="I907" s="2" t="s">
        <v>26</v>
      </c>
      <c r="J907" s="2" t="s">
        <v>3362</v>
      </c>
      <c r="K907" s="2" t="s">
        <v>95</v>
      </c>
      <c r="L907" s="2"/>
      <c r="M907" s="2" t="s">
        <v>1778</v>
      </c>
    </row>
    <row r="908" customFormat="false" ht="15" hidden="false" customHeight="false" outlineLevel="0" collapsed="false">
      <c r="A908" s="2" t="s">
        <v>3363</v>
      </c>
      <c r="B908" s="2" t="s">
        <v>2793</v>
      </c>
      <c r="C908" s="2" t="s">
        <v>2794</v>
      </c>
      <c r="D908" s="13" t="n">
        <v>46018.5097222222</v>
      </c>
      <c r="E908" s="2" t="s">
        <v>41</v>
      </c>
      <c r="F908" s="2" t="s">
        <v>31</v>
      </c>
      <c r="G908" s="2" t="n">
        <v>5287.04</v>
      </c>
      <c r="H908" s="2" t="n">
        <v>23.17</v>
      </c>
      <c r="I908" s="2" t="s">
        <v>28</v>
      </c>
      <c r="J908" s="2" t="s">
        <v>3364</v>
      </c>
      <c r="K908" s="2" t="s">
        <v>89</v>
      </c>
      <c r="L908" s="2" t="s">
        <v>123</v>
      </c>
      <c r="M908" s="2"/>
    </row>
    <row r="909" customFormat="false" ht="15" hidden="false" customHeight="false" outlineLevel="0" collapsed="false">
      <c r="A909" s="2" t="s">
        <v>3365</v>
      </c>
      <c r="B909" s="2" t="s">
        <v>3366</v>
      </c>
      <c r="C909" s="2" t="s">
        <v>3367</v>
      </c>
      <c r="D909" s="13" t="n">
        <v>45997.2944444444</v>
      </c>
      <c r="E909" s="2" t="s">
        <v>41</v>
      </c>
      <c r="F909" s="2" t="s">
        <v>29</v>
      </c>
      <c r="G909" s="2" t="n">
        <v>3421.15</v>
      </c>
      <c r="H909" s="2" t="n">
        <v>32.88</v>
      </c>
      <c r="I909" s="2" t="s">
        <v>26</v>
      </c>
      <c r="J909" s="2" t="s">
        <v>3368</v>
      </c>
      <c r="K909" s="2" t="s">
        <v>95</v>
      </c>
      <c r="L909" s="2" t="s">
        <v>128</v>
      </c>
      <c r="M909" s="2"/>
    </row>
    <row r="910" customFormat="false" ht="15" hidden="false" customHeight="false" outlineLevel="0" collapsed="false">
      <c r="A910" s="2" t="s">
        <v>3369</v>
      </c>
      <c r="B910" s="2" t="s">
        <v>2475</v>
      </c>
      <c r="C910" s="2" t="s">
        <v>2476</v>
      </c>
      <c r="D910" s="13" t="n">
        <v>45596.9458333333</v>
      </c>
      <c r="E910" s="2" t="s">
        <v>43</v>
      </c>
      <c r="F910" s="2" t="s">
        <v>31</v>
      </c>
      <c r="G910" s="2" t="n">
        <v>664.45</v>
      </c>
      <c r="H910" s="2" t="n">
        <v>5</v>
      </c>
      <c r="I910" s="2" t="s">
        <v>30</v>
      </c>
      <c r="J910" s="2" t="s">
        <v>3370</v>
      </c>
      <c r="K910" s="2" t="s">
        <v>122</v>
      </c>
      <c r="L910" s="2"/>
      <c r="M910" s="2" t="s">
        <v>617</v>
      </c>
    </row>
    <row r="911" customFormat="false" ht="15" hidden="false" customHeight="false" outlineLevel="0" collapsed="false">
      <c r="A911" s="2" t="s">
        <v>3371</v>
      </c>
      <c r="B911" s="2" t="s">
        <v>2019</v>
      </c>
      <c r="C911" s="2" t="s">
        <v>2020</v>
      </c>
      <c r="D911" s="13" t="n">
        <v>45620.3895833333</v>
      </c>
      <c r="E911" s="2" t="s">
        <v>37</v>
      </c>
      <c r="F911" s="2" t="s">
        <v>31</v>
      </c>
      <c r="G911" s="2" t="n">
        <v>26822.13</v>
      </c>
      <c r="H911" s="2" t="n">
        <v>87.66</v>
      </c>
      <c r="I911" s="2" t="s">
        <v>26</v>
      </c>
      <c r="J911" s="2" t="s">
        <v>3372</v>
      </c>
      <c r="K911" s="2" t="s">
        <v>101</v>
      </c>
      <c r="L911" s="2" t="s">
        <v>138</v>
      </c>
      <c r="M911" s="2"/>
    </row>
    <row r="912" customFormat="false" ht="15" hidden="false" customHeight="false" outlineLevel="0" collapsed="false">
      <c r="A912" s="2" t="s">
        <v>3373</v>
      </c>
      <c r="B912" s="2" t="s">
        <v>3374</v>
      </c>
      <c r="C912" s="2" t="s">
        <v>3375</v>
      </c>
      <c r="D912" s="13" t="n">
        <v>45874.3833333333</v>
      </c>
      <c r="E912" s="2" t="s">
        <v>37</v>
      </c>
      <c r="F912" s="2" t="s">
        <v>29</v>
      </c>
      <c r="G912" s="2" t="n">
        <v>4503.38</v>
      </c>
      <c r="H912" s="2" t="n">
        <v>10.33</v>
      </c>
      <c r="I912" s="2" t="s">
        <v>26</v>
      </c>
      <c r="J912" s="2" t="s">
        <v>3376</v>
      </c>
      <c r="K912" s="2" t="s">
        <v>95</v>
      </c>
      <c r="L912" s="2" t="s">
        <v>141</v>
      </c>
      <c r="M912" s="2"/>
    </row>
    <row r="913" customFormat="false" ht="15" hidden="false" customHeight="false" outlineLevel="0" collapsed="false">
      <c r="A913" s="2" t="s">
        <v>3377</v>
      </c>
      <c r="B913" s="2" t="s">
        <v>3378</v>
      </c>
      <c r="C913" s="2" t="s">
        <v>3379</v>
      </c>
      <c r="D913" s="13" t="n">
        <v>45450.5340277778</v>
      </c>
      <c r="E913" s="2" t="s">
        <v>37</v>
      </c>
      <c r="F913" s="2" t="s">
        <v>27</v>
      </c>
      <c r="G913" s="2" t="n">
        <v>6334.78</v>
      </c>
      <c r="H913" s="2" t="n">
        <v>20.8</v>
      </c>
      <c r="I913" s="2" t="s">
        <v>26</v>
      </c>
      <c r="J913" s="2" t="s">
        <v>3380</v>
      </c>
      <c r="K913" s="2" t="s">
        <v>95</v>
      </c>
      <c r="L913" s="2"/>
      <c r="M913" s="2" t="s">
        <v>144</v>
      </c>
    </row>
    <row r="914" customFormat="false" ht="15" hidden="false" customHeight="false" outlineLevel="0" collapsed="false">
      <c r="A914" s="2" t="s">
        <v>3381</v>
      </c>
      <c r="B914" s="2" t="s">
        <v>1957</v>
      </c>
      <c r="C914" s="2" t="s">
        <v>1958</v>
      </c>
      <c r="D914" s="13" t="n">
        <v>45369.8722222222</v>
      </c>
      <c r="E914" s="2" t="s">
        <v>37</v>
      </c>
      <c r="F914" s="2" t="s">
        <v>27</v>
      </c>
      <c r="G914" s="2" t="n">
        <v>14640.64</v>
      </c>
      <c r="H914" s="2" t="n">
        <v>34.23</v>
      </c>
      <c r="I914" s="2" t="s">
        <v>26</v>
      </c>
      <c r="J914" s="2" t="s">
        <v>3382</v>
      </c>
      <c r="K914" s="2" t="s">
        <v>122</v>
      </c>
      <c r="L914" s="2"/>
      <c r="M914" s="2" t="s">
        <v>1806</v>
      </c>
    </row>
    <row r="915" customFormat="false" ht="15" hidden="false" customHeight="false" outlineLevel="0" collapsed="false">
      <c r="A915" s="2" t="s">
        <v>3383</v>
      </c>
      <c r="B915" s="2" t="s">
        <v>2669</v>
      </c>
      <c r="C915" s="2" t="s">
        <v>2670</v>
      </c>
      <c r="D915" s="13" t="n">
        <v>45745.3006944444</v>
      </c>
      <c r="E915" s="2" t="s">
        <v>39</v>
      </c>
      <c r="F915" s="2" t="s">
        <v>29</v>
      </c>
      <c r="G915" s="2" t="n">
        <v>4473.49</v>
      </c>
      <c r="H915" s="2" t="n">
        <v>25.88</v>
      </c>
      <c r="I915" s="2" t="s">
        <v>28</v>
      </c>
      <c r="J915" s="2" t="s">
        <v>3384</v>
      </c>
      <c r="K915" s="2" t="s">
        <v>101</v>
      </c>
      <c r="L915" s="2" t="s">
        <v>150</v>
      </c>
      <c r="M915" s="2"/>
    </row>
    <row r="916" customFormat="false" ht="15" hidden="false" customHeight="false" outlineLevel="0" collapsed="false">
      <c r="A916" s="2" t="s">
        <v>3385</v>
      </c>
      <c r="B916" s="2" t="s">
        <v>3386</v>
      </c>
      <c r="C916" s="2" t="s">
        <v>3387</v>
      </c>
      <c r="D916" s="13" t="n">
        <v>45930.6722222222</v>
      </c>
      <c r="E916" s="2" t="s">
        <v>37</v>
      </c>
      <c r="F916" s="2" t="s">
        <v>29</v>
      </c>
      <c r="G916" s="2" t="n">
        <v>5135.92</v>
      </c>
      <c r="H916" s="2" t="n">
        <v>52.6</v>
      </c>
      <c r="I916" s="2" t="s">
        <v>30</v>
      </c>
      <c r="J916" s="2" t="s">
        <v>3388</v>
      </c>
      <c r="K916" s="2" t="s">
        <v>89</v>
      </c>
      <c r="L916" s="2" t="s">
        <v>153</v>
      </c>
      <c r="M916" s="2"/>
    </row>
    <row r="917" customFormat="false" ht="15" hidden="false" customHeight="false" outlineLevel="0" collapsed="false">
      <c r="A917" s="2" t="s">
        <v>3389</v>
      </c>
      <c r="B917" s="2" t="s">
        <v>205</v>
      </c>
      <c r="C917" s="2" t="s">
        <v>206</v>
      </c>
      <c r="D917" s="13" t="n">
        <v>45799.6256944445</v>
      </c>
      <c r="E917" s="2" t="s">
        <v>35</v>
      </c>
      <c r="F917" s="2" t="s">
        <v>32</v>
      </c>
      <c r="G917" s="2" t="n">
        <v>39693.44</v>
      </c>
      <c r="H917" s="2" t="n">
        <v>267.23</v>
      </c>
      <c r="I917" s="2" t="s">
        <v>26</v>
      </c>
      <c r="J917" s="2" t="s">
        <v>3390</v>
      </c>
      <c r="K917" s="2" t="s">
        <v>122</v>
      </c>
      <c r="L917" s="2" t="s">
        <v>158</v>
      </c>
      <c r="M917" s="2"/>
    </row>
    <row r="918" customFormat="false" ht="15" hidden="false" customHeight="false" outlineLevel="0" collapsed="false">
      <c r="A918" s="2" t="s">
        <v>3391</v>
      </c>
      <c r="B918" s="2" t="s">
        <v>3392</v>
      </c>
      <c r="C918" s="2" t="s">
        <v>3393</v>
      </c>
      <c r="D918" s="13" t="n">
        <v>45433.775</v>
      </c>
      <c r="E918" s="2" t="s">
        <v>41</v>
      </c>
      <c r="F918" s="2" t="s">
        <v>27</v>
      </c>
      <c r="G918" s="2" t="n">
        <v>3485.77</v>
      </c>
      <c r="H918" s="2" t="n">
        <v>36.35</v>
      </c>
      <c r="I918" s="2" t="s">
        <v>26</v>
      </c>
      <c r="J918" s="2" t="s">
        <v>3394</v>
      </c>
      <c r="K918" s="2" t="s">
        <v>101</v>
      </c>
      <c r="L918" s="2"/>
      <c r="M918" s="2" t="s">
        <v>163</v>
      </c>
    </row>
    <row r="919" customFormat="false" ht="15" hidden="false" customHeight="false" outlineLevel="0" collapsed="false">
      <c r="A919" s="2" t="s">
        <v>3395</v>
      </c>
      <c r="B919" s="2" t="s">
        <v>3396</v>
      </c>
      <c r="C919" s="2" t="s">
        <v>3397</v>
      </c>
      <c r="D919" s="13" t="n">
        <v>45705.6430555556</v>
      </c>
      <c r="E919" s="2" t="s">
        <v>35</v>
      </c>
      <c r="F919" s="2" t="s">
        <v>27</v>
      </c>
      <c r="G919" s="2" t="n">
        <v>6957.22</v>
      </c>
      <c r="H919" s="2" t="n">
        <v>45.07</v>
      </c>
      <c r="I919" s="2" t="s">
        <v>30</v>
      </c>
      <c r="J919" s="2" t="s">
        <v>3398</v>
      </c>
      <c r="K919" s="2" t="s">
        <v>95</v>
      </c>
      <c r="L919" s="2"/>
      <c r="M919" s="2" t="s">
        <v>657</v>
      </c>
    </row>
    <row r="920" customFormat="false" ht="15" hidden="false" customHeight="false" outlineLevel="0" collapsed="false">
      <c r="A920" s="2" t="s">
        <v>3399</v>
      </c>
      <c r="B920" s="2" t="s">
        <v>3400</v>
      </c>
      <c r="C920" s="2" t="s">
        <v>3401</v>
      </c>
      <c r="D920" s="13" t="n">
        <v>45827.5673611111</v>
      </c>
      <c r="E920" s="2" t="s">
        <v>43</v>
      </c>
      <c r="F920" s="2" t="s">
        <v>29</v>
      </c>
      <c r="G920" s="2" t="n">
        <v>8912.56</v>
      </c>
      <c r="H920" s="2" t="n">
        <v>61</v>
      </c>
      <c r="I920" s="2" t="s">
        <v>28</v>
      </c>
      <c r="J920" s="2" t="s">
        <v>3402</v>
      </c>
      <c r="K920" s="2" t="s">
        <v>89</v>
      </c>
      <c r="L920" s="2"/>
      <c r="M920" s="2" t="s">
        <v>662</v>
      </c>
    </row>
    <row r="921" customFormat="false" ht="15" hidden="false" customHeight="false" outlineLevel="0" collapsed="false">
      <c r="A921" s="2" t="s">
        <v>3403</v>
      </c>
      <c r="B921" s="2" t="s">
        <v>3404</v>
      </c>
      <c r="C921" s="2" t="s">
        <v>3405</v>
      </c>
      <c r="D921" s="13" t="n">
        <v>45905.8347222222</v>
      </c>
      <c r="E921" s="2" t="s">
        <v>35</v>
      </c>
      <c r="F921" s="2" t="s">
        <v>31</v>
      </c>
      <c r="G921" s="2" t="n">
        <v>6022.64</v>
      </c>
      <c r="H921" s="2" t="n">
        <v>31.02</v>
      </c>
      <c r="I921" s="2" t="s">
        <v>26</v>
      </c>
      <c r="J921" s="2" t="s">
        <v>3406</v>
      </c>
      <c r="K921" s="2" t="s">
        <v>95</v>
      </c>
      <c r="L921" s="2" t="s">
        <v>178</v>
      </c>
      <c r="M921" s="2"/>
    </row>
    <row r="922" customFormat="false" ht="15" hidden="false" customHeight="false" outlineLevel="0" collapsed="false">
      <c r="A922" s="2" t="s">
        <v>3407</v>
      </c>
      <c r="B922" s="2" t="s">
        <v>2629</v>
      </c>
      <c r="C922" s="2" t="s">
        <v>2630</v>
      </c>
      <c r="D922" s="13" t="n">
        <v>45718.8458333333</v>
      </c>
      <c r="E922" s="2" t="s">
        <v>43</v>
      </c>
      <c r="F922" s="2" t="s">
        <v>29</v>
      </c>
      <c r="G922" s="2" t="n">
        <v>2297.97</v>
      </c>
      <c r="H922" s="2" t="n">
        <v>9.71</v>
      </c>
      <c r="I922" s="2" t="s">
        <v>26</v>
      </c>
      <c r="J922" s="2" t="s">
        <v>3408</v>
      </c>
      <c r="K922" s="2" t="s">
        <v>89</v>
      </c>
      <c r="L922" s="2"/>
      <c r="M922" s="2" t="s">
        <v>183</v>
      </c>
    </row>
    <row r="923" customFormat="false" ht="15" hidden="false" customHeight="false" outlineLevel="0" collapsed="false">
      <c r="A923" s="2" t="s">
        <v>3409</v>
      </c>
      <c r="B923" s="2" t="s">
        <v>195</v>
      </c>
      <c r="C923" s="2" t="s">
        <v>196</v>
      </c>
      <c r="D923" s="13" t="n">
        <v>45395.53125</v>
      </c>
      <c r="E923" s="2" t="s">
        <v>39</v>
      </c>
      <c r="F923" s="2" t="s">
        <v>31</v>
      </c>
      <c r="G923" s="2" t="n">
        <v>5315.56</v>
      </c>
      <c r="H923" s="2" t="n">
        <v>57.44</v>
      </c>
      <c r="I923" s="2" t="s">
        <v>26</v>
      </c>
      <c r="J923" s="2" t="s">
        <v>3410</v>
      </c>
      <c r="K923" s="2" t="s">
        <v>101</v>
      </c>
      <c r="L923" s="2" t="s">
        <v>188</v>
      </c>
      <c r="M923" s="2"/>
    </row>
    <row r="924" customFormat="false" ht="15" hidden="false" customHeight="false" outlineLevel="0" collapsed="false">
      <c r="A924" s="2" t="s">
        <v>3411</v>
      </c>
      <c r="B924" s="2" t="s">
        <v>586</v>
      </c>
      <c r="C924" s="2" t="s">
        <v>587</v>
      </c>
      <c r="D924" s="13" t="n">
        <v>45639.5944444445</v>
      </c>
      <c r="E924" s="2" t="s">
        <v>41</v>
      </c>
      <c r="F924" s="2" t="s">
        <v>32</v>
      </c>
      <c r="G924" s="2" t="n">
        <v>1493.31</v>
      </c>
      <c r="H924" s="2" t="n">
        <v>14.06</v>
      </c>
      <c r="I924" s="2" t="s">
        <v>26</v>
      </c>
      <c r="J924" s="2" t="s">
        <v>3412</v>
      </c>
      <c r="K924" s="2" t="s">
        <v>101</v>
      </c>
      <c r="L924" s="2" t="s">
        <v>193</v>
      </c>
      <c r="M924" s="2"/>
    </row>
    <row r="925" customFormat="false" ht="15" hidden="false" customHeight="false" outlineLevel="0" collapsed="false">
      <c r="A925" s="2" t="s">
        <v>3413</v>
      </c>
      <c r="B925" s="2" t="s">
        <v>3414</v>
      </c>
      <c r="C925" s="2" t="s">
        <v>3415</v>
      </c>
      <c r="D925" s="13" t="n">
        <v>45801.6743055556</v>
      </c>
      <c r="E925" s="2" t="s">
        <v>43</v>
      </c>
      <c r="F925" s="2" t="s">
        <v>27</v>
      </c>
      <c r="G925" s="2" t="n">
        <v>1534.86</v>
      </c>
      <c r="H925" s="2" t="n">
        <v>10.15</v>
      </c>
      <c r="I925" s="2" t="s">
        <v>26</v>
      </c>
      <c r="J925" s="2" t="s">
        <v>3416</v>
      </c>
      <c r="K925" s="2" t="s">
        <v>95</v>
      </c>
      <c r="L925" s="2"/>
      <c r="M925" s="2" t="s">
        <v>198</v>
      </c>
    </row>
    <row r="926" customFormat="false" ht="15" hidden="false" customHeight="false" outlineLevel="0" collapsed="false">
      <c r="A926" s="2" t="s">
        <v>3417</v>
      </c>
      <c r="B926" s="2" t="s">
        <v>2135</v>
      </c>
      <c r="C926" s="2" t="s">
        <v>2136</v>
      </c>
      <c r="D926" s="13" t="n">
        <v>45423.5611111111</v>
      </c>
      <c r="E926" s="2" t="s">
        <v>35</v>
      </c>
      <c r="F926" s="2" t="s">
        <v>29</v>
      </c>
      <c r="G926" s="2" t="n">
        <v>4436.95</v>
      </c>
      <c r="H926" s="2" t="n">
        <v>30.31</v>
      </c>
      <c r="I926" s="2" t="s">
        <v>26</v>
      </c>
      <c r="J926" s="2" t="s">
        <v>3418</v>
      </c>
      <c r="K926" s="2" t="s">
        <v>122</v>
      </c>
      <c r="L926" s="2" t="s">
        <v>891</v>
      </c>
      <c r="M926" s="2"/>
    </row>
    <row r="927" customFormat="false" ht="15" hidden="false" customHeight="false" outlineLevel="0" collapsed="false">
      <c r="A927" s="2" t="s">
        <v>3419</v>
      </c>
      <c r="B927" s="2" t="s">
        <v>1094</v>
      </c>
      <c r="C927" s="2" t="s">
        <v>1095</v>
      </c>
      <c r="D927" s="13" t="n">
        <v>45342.8222222222</v>
      </c>
      <c r="E927" s="2" t="s">
        <v>37</v>
      </c>
      <c r="F927" s="2" t="s">
        <v>29</v>
      </c>
      <c r="G927" s="2" t="n">
        <v>6348.56</v>
      </c>
      <c r="H927" s="2" t="n">
        <v>53.48</v>
      </c>
      <c r="I927" s="2" t="s">
        <v>26</v>
      </c>
      <c r="J927" s="2" t="s">
        <v>3420</v>
      </c>
      <c r="K927" s="2" t="s">
        <v>101</v>
      </c>
      <c r="L927" s="2" t="s">
        <v>208</v>
      </c>
      <c r="M927" s="2"/>
    </row>
    <row r="928" customFormat="false" ht="15" hidden="false" customHeight="false" outlineLevel="0" collapsed="false">
      <c r="A928" s="2" t="s">
        <v>3421</v>
      </c>
      <c r="B928" s="2" t="s">
        <v>3088</v>
      </c>
      <c r="C928" s="2" t="s">
        <v>3089</v>
      </c>
      <c r="D928" s="13" t="n">
        <v>45317.7305555556</v>
      </c>
      <c r="E928" s="2" t="s">
        <v>37</v>
      </c>
      <c r="F928" s="2" t="s">
        <v>32</v>
      </c>
      <c r="G928" s="2" t="n">
        <v>3226.3</v>
      </c>
      <c r="H928" s="2" t="n">
        <v>15.14</v>
      </c>
      <c r="I928" s="2" t="s">
        <v>30</v>
      </c>
      <c r="J928" s="2" t="s">
        <v>3422</v>
      </c>
      <c r="K928" s="2" t="s">
        <v>95</v>
      </c>
      <c r="L928" s="2" t="s">
        <v>213</v>
      </c>
      <c r="M928" s="2"/>
    </row>
    <row r="929" customFormat="false" ht="15" hidden="false" customHeight="false" outlineLevel="0" collapsed="false">
      <c r="A929" s="2" t="s">
        <v>3423</v>
      </c>
      <c r="B929" s="2" t="s">
        <v>1860</v>
      </c>
      <c r="C929" s="2" t="s">
        <v>1861</v>
      </c>
      <c r="D929" s="13" t="n">
        <v>45295.88125</v>
      </c>
      <c r="E929" s="2" t="s">
        <v>41</v>
      </c>
      <c r="F929" s="2" t="s">
        <v>27</v>
      </c>
      <c r="G929" s="2" t="n">
        <v>744.97</v>
      </c>
      <c r="H929" s="2" t="n">
        <v>5.77</v>
      </c>
      <c r="I929" s="2" t="s">
        <v>26</v>
      </c>
      <c r="J929" s="2" t="s">
        <v>3424</v>
      </c>
      <c r="K929" s="2" t="s">
        <v>122</v>
      </c>
      <c r="L929" s="2"/>
      <c r="M929" s="2" t="s">
        <v>700</v>
      </c>
    </row>
    <row r="930" customFormat="false" ht="15" hidden="false" customHeight="false" outlineLevel="0" collapsed="false">
      <c r="A930" s="2" t="s">
        <v>3425</v>
      </c>
      <c r="B930" s="2" t="s">
        <v>2183</v>
      </c>
      <c r="C930" s="2" t="s">
        <v>2184</v>
      </c>
      <c r="D930" s="13" t="n">
        <v>45427.2958333333</v>
      </c>
      <c r="E930" s="2" t="s">
        <v>37</v>
      </c>
      <c r="F930" s="2" t="s">
        <v>27</v>
      </c>
      <c r="G930" s="2" t="n">
        <v>3239.92</v>
      </c>
      <c r="H930" s="2" t="n">
        <v>16.8</v>
      </c>
      <c r="I930" s="2" t="s">
        <v>26</v>
      </c>
      <c r="J930" s="2" t="s">
        <v>3426</v>
      </c>
      <c r="K930" s="2" t="s">
        <v>101</v>
      </c>
      <c r="L930" s="2"/>
      <c r="M930" s="2" t="s">
        <v>223</v>
      </c>
    </row>
    <row r="931" customFormat="false" ht="15" hidden="false" customHeight="false" outlineLevel="0" collapsed="false">
      <c r="A931" s="2" t="s">
        <v>3427</v>
      </c>
      <c r="B931" s="2" t="s">
        <v>664</v>
      </c>
      <c r="C931" s="2" t="s">
        <v>665</v>
      </c>
      <c r="D931" s="13" t="n">
        <v>45973.8055555556</v>
      </c>
      <c r="E931" s="2" t="s">
        <v>35</v>
      </c>
      <c r="F931" s="2" t="s">
        <v>31</v>
      </c>
      <c r="G931" s="2" t="n">
        <v>1183.04</v>
      </c>
      <c r="H931" s="2" t="n">
        <v>12.88</v>
      </c>
      <c r="I931" s="2" t="s">
        <v>26</v>
      </c>
      <c r="J931" s="2" t="s">
        <v>3428</v>
      </c>
      <c r="K931" s="2" t="s">
        <v>101</v>
      </c>
      <c r="L931" s="2" t="s">
        <v>911</v>
      </c>
      <c r="M931" s="2"/>
    </row>
    <row r="932" customFormat="false" ht="15" hidden="false" customHeight="false" outlineLevel="0" collapsed="false">
      <c r="A932" s="2" t="s">
        <v>3429</v>
      </c>
      <c r="B932" s="2" t="s">
        <v>3066</v>
      </c>
      <c r="C932" s="2" t="s">
        <v>3067</v>
      </c>
      <c r="D932" s="13" t="n">
        <v>45733.625</v>
      </c>
      <c r="E932" s="2" t="s">
        <v>43</v>
      </c>
      <c r="F932" s="2" t="s">
        <v>27</v>
      </c>
      <c r="G932" s="2" t="n">
        <v>1013.53</v>
      </c>
      <c r="H932" s="2" t="n">
        <v>6.55</v>
      </c>
      <c r="I932" s="2" t="s">
        <v>28</v>
      </c>
      <c r="J932" s="2" t="s">
        <v>3430</v>
      </c>
      <c r="K932" s="2" t="s">
        <v>95</v>
      </c>
      <c r="L932" s="2"/>
      <c r="M932" s="2" t="s">
        <v>233</v>
      </c>
    </row>
    <row r="933" customFormat="false" ht="15" hidden="false" customHeight="false" outlineLevel="0" collapsed="false">
      <c r="A933" s="2" t="s">
        <v>3431</v>
      </c>
      <c r="B933" s="2" t="s">
        <v>3432</v>
      </c>
      <c r="C933" s="2" t="s">
        <v>3433</v>
      </c>
      <c r="D933" s="13" t="n">
        <v>45991.3486111111</v>
      </c>
      <c r="E933" s="2" t="s">
        <v>39</v>
      </c>
      <c r="F933" s="2" t="s">
        <v>32</v>
      </c>
      <c r="G933" s="2" t="n">
        <v>1222.62</v>
      </c>
      <c r="H933" s="2" t="n">
        <v>5.57</v>
      </c>
      <c r="I933" s="2" t="s">
        <v>26</v>
      </c>
      <c r="J933" s="2" t="s">
        <v>3434</v>
      </c>
      <c r="K933" s="2" t="s">
        <v>101</v>
      </c>
      <c r="L933" s="2" t="s">
        <v>1513</v>
      </c>
      <c r="M933" s="2"/>
    </row>
    <row r="934" customFormat="false" ht="15" hidden="false" customHeight="false" outlineLevel="0" collapsed="false">
      <c r="A934" s="2" t="s">
        <v>3435</v>
      </c>
      <c r="B934" s="2" t="s">
        <v>210</v>
      </c>
      <c r="C934" s="2" t="s">
        <v>211</v>
      </c>
      <c r="D934" s="13" t="n">
        <v>45601.6277777778</v>
      </c>
      <c r="E934" s="2" t="s">
        <v>35</v>
      </c>
      <c r="F934" s="2" t="s">
        <v>31</v>
      </c>
      <c r="G934" s="2" t="n">
        <v>12401.57</v>
      </c>
      <c r="H934" s="2" t="n">
        <v>83.38</v>
      </c>
      <c r="I934" s="2" t="s">
        <v>26</v>
      </c>
      <c r="J934" s="2" t="s">
        <v>3436</v>
      </c>
      <c r="K934" s="2" t="s">
        <v>95</v>
      </c>
      <c r="L934" s="2" t="s">
        <v>243</v>
      </c>
      <c r="M934" s="2"/>
    </row>
    <row r="935" customFormat="false" ht="15" hidden="false" customHeight="false" outlineLevel="0" collapsed="false">
      <c r="A935" s="2" t="s">
        <v>3437</v>
      </c>
      <c r="B935" s="2" t="s">
        <v>2747</v>
      </c>
      <c r="C935" s="2" t="s">
        <v>2748</v>
      </c>
      <c r="D935" s="13" t="n">
        <v>45833.8736111111</v>
      </c>
      <c r="E935" s="2" t="s">
        <v>41</v>
      </c>
      <c r="F935" s="2" t="s">
        <v>29</v>
      </c>
      <c r="G935" s="2" t="n">
        <v>4459.57</v>
      </c>
      <c r="H935" s="2" t="n">
        <v>31.78</v>
      </c>
      <c r="I935" s="2" t="s">
        <v>26</v>
      </c>
      <c r="J935" s="2" t="s">
        <v>3438</v>
      </c>
      <c r="K935" s="2" t="s">
        <v>89</v>
      </c>
      <c r="L935" s="2" t="s">
        <v>248</v>
      </c>
      <c r="M935" s="2"/>
    </row>
    <row r="936" customFormat="false" ht="15" hidden="false" customHeight="false" outlineLevel="0" collapsed="false">
      <c r="A936" s="2" t="s">
        <v>3439</v>
      </c>
      <c r="B936" s="2" t="s">
        <v>3440</v>
      </c>
      <c r="C936" s="2" t="s">
        <v>3441</v>
      </c>
      <c r="D936" s="13" t="n">
        <v>45357.8756944445</v>
      </c>
      <c r="E936" s="2" t="s">
        <v>43</v>
      </c>
      <c r="F936" s="2" t="s">
        <v>29</v>
      </c>
      <c r="G936" s="2" t="n">
        <v>15193.85</v>
      </c>
      <c r="H936" s="2" t="n">
        <v>37.31</v>
      </c>
      <c r="I936" s="2" t="s">
        <v>26</v>
      </c>
      <c r="J936" s="2" t="s">
        <v>3442</v>
      </c>
      <c r="K936" s="2" t="s">
        <v>95</v>
      </c>
      <c r="L936" s="2"/>
      <c r="M936" s="2" t="s">
        <v>728</v>
      </c>
    </row>
    <row r="937" customFormat="false" ht="15" hidden="false" customHeight="false" outlineLevel="0" collapsed="false">
      <c r="A937" s="2" t="s">
        <v>3443</v>
      </c>
      <c r="B937" s="2" t="s">
        <v>764</v>
      </c>
      <c r="C937" s="2" t="s">
        <v>765</v>
      </c>
      <c r="D937" s="13" t="n">
        <v>45509.8354166667</v>
      </c>
      <c r="E937" s="2" t="s">
        <v>43</v>
      </c>
      <c r="F937" s="2" t="s">
        <v>32</v>
      </c>
      <c r="G937" s="2" t="n">
        <v>2976.52</v>
      </c>
      <c r="H937" s="2" t="n">
        <v>24.15</v>
      </c>
      <c r="I937" s="2" t="s">
        <v>26</v>
      </c>
      <c r="J937" s="2" t="s">
        <v>3444</v>
      </c>
      <c r="K937" s="2" t="s">
        <v>101</v>
      </c>
      <c r="L937" s="2"/>
      <c r="M937" s="2" t="s">
        <v>1134</v>
      </c>
    </row>
    <row r="938" customFormat="false" ht="15" hidden="false" customHeight="false" outlineLevel="0" collapsed="false">
      <c r="A938" s="2" t="s">
        <v>3445</v>
      </c>
      <c r="B938" s="2" t="s">
        <v>960</v>
      </c>
      <c r="C938" s="2" t="s">
        <v>961</v>
      </c>
      <c r="D938" s="13" t="n">
        <v>45362.5534722222</v>
      </c>
      <c r="E938" s="2" t="s">
        <v>37</v>
      </c>
      <c r="F938" s="2" t="s">
        <v>27</v>
      </c>
      <c r="G938" s="2" t="n">
        <v>14475.03</v>
      </c>
      <c r="H938" s="2" t="n">
        <v>148.18</v>
      </c>
      <c r="I938" s="2" t="s">
        <v>28</v>
      </c>
      <c r="J938" s="2" t="s">
        <v>3446</v>
      </c>
      <c r="K938" s="2" t="s">
        <v>122</v>
      </c>
      <c r="L938" s="2"/>
      <c r="M938" s="2" t="s">
        <v>263</v>
      </c>
    </row>
    <row r="939" customFormat="false" ht="15" hidden="false" customHeight="false" outlineLevel="0" collapsed="false">
      <c r="A939" s="2" t="s">
        <v>3447</v>
      </c>
      <c r="B939" s="2" t="s">
        <v>1752</v>
      </c>
      <c r="C939" s="2" t="s">
        <v>1753</v>
      </c>
      <c r="D939" s="13" t="n">
        <v>45571.7145833333</v>
      </c>
      <c r="E939" s="2" t="s">
        <v>43</v>
      </c>
      <c r="F939" s="2" t="s">
        <v>29</v>
      </c>
      <c r="G939" s="2" t="n">
        <v>4475.7</v>
      </c>
      <c r="H939" s="2" t="n">
        <v>25.18</v>
      </c>
      <c r="I939" s="2" t="s">
        <v>28</v>
      </c>
      <c r="J939" s="2" t="s">
        <v>3448</v>
      </c>
      <c r="K939" s="2" t="s">
        <v>89</v>
      </c>
      <c r="L939" s="2"/>
      <c r="M939" s="2" t="s">
        <v>268</v>
      </c>
    </row>
    <row r="940" customFormat="false" ht="15" hidden="false" customHeight="false" outlineLevel="0" collapsed="false">
      <c r="A940" s="2" t="s">
        <v>3449</v>
      </c>
      <c r="B940" s="2" t="s">
        <v>1354</v>
      </c>
      <c r="C940" s="2" t="s">
        <v>1355</v>
      </c>
      <c r="D940" s="13" t="n">
        <v>45617.3534722222</v>
      </c>
      <c r="E940" s="2" t="s">
        <v>37</v>
      </c>
      <c r="F940" s="2" t="s">
        <v>29</v>
      </c>
      <c r="G940" s="2" t="n">
        <v>515.1</v>
      </c>
      <c r="H940" s="2" t="n">
        <v>5</v>
      </c>
      <c r="I940" s="2" t="s">
        <v>28</v>
      </c>
      <c r="J940" s="2" t="s">
        <v>3450</v>
      </c>
      <c r="K940" s="2" t="s">
        <v>89</v>
      </c>
      <c r="L940" s="2" t="s">
        <v>1538</v>
      </c>
      <c r="M940" s="2"/>
    </row>
    <row r="941" customFormat="false" ht="15" hidden="false" customHeight="false" outlineLevel="0" collapsed="false">
      <c r="A941" s="2" t="s">
        <v>3451</v>
      </c>
      <c r="B941" s="2" t="s">
        <v>1251</v>
      </c>
      <c r="C941" s="2" t="s">
        <v>1252</v>
      </c>
      <c r="D941" s="13" t="n">
        <v>45621.9444444445</v>
      </c>
      <c r="E941" s="2" t="s">
        <v>39</v>
      </c>
      <c r="F941" s="2" t="s">
        <v>29</v>
      </c>
      <c r="G941" s="2" t="n">
        <v>5470.67</v>
      </c>
      <c r="H941" s="2" t="n">
        <v>24.68</v>
      </c>
      <c r="I941" s="2" t="s">
        <v>28</v>
      </c>
      <c r="J941" s="2" t="s">
        <v>3452</v>
      </c>
      <c r="K941" s="2" t="s">
        <v>89</v>
      </c>
      <c r="L941" s="2" t="s">
        <v>1543</v>
      </c>
      <c r="M941" s="2"/>
    </row>
    <row r="942" customFormat="false" ht="15" hidden="false" customHeight="false" outlineLevel="0" collapsed="false">
      <c r="A942" s="2" t="s">
        <v>3453</v>
      </c>
      <c r="B942" s="2" t="s">
        <v>1075</v>
      </c>
      <c r="C942" s="2" t="s">
        <v>1076</v>
      </c>
      <c r="D942" s="13" t="n">
        <v>45965.8333333333</v>
      </c>
      <c r="E942" s="2" t="s">
        <v>39</v>
      </c>
      <c r="F942" s="2" t="s">
        <v>32</v>
      </c>
      <c r="G942" s="2" t="n">
        <v>911.93</v>
      </c>
      <c r="H942" s="2" t="n">
        <v>5</v>
      </c>
      <c r="I942" s="2" t="s">
        <v>26</v>
      </c>
      <c r="J942" s="2" t="s">
        <v>3454</v>
      </c>
      <c r="K942" s="2" t="s">
        <v>101</v>
      </c>
      <c r="L942" s="2" t="s">
        <v>283</v>
      </c>
      <c r="M942" s="2"/>
    </row>
    <row r="943" customFormat="false" ht="15" hidden="false" customHeight="false" outlineLevel="0" collapsed="false">
      <c r="A943" s="2" t="s">
        <v>3455</v>
      </c>
      <c r="B943" s="2" t="s">
        <v>683</v>
      </c>
      <c r="C943" s="2" t="s">
        <v>684</v>
      </c>
      <c r="D943" s="13" t="n">
        <v>45835.4729166667</v>
      </c>
      <c r="E943" s="2" t="s">
        <v>37</v>
      </c>
      <c r="F943" s="2" t="s">
        <v>32</v>
      </c>
      <c r="G943" s="2" t="n">
        <v>4405.76</v>
      </c>
      <c r="H943" s="2" t="n">
        <v>47.19</v>
      </c>
      <c r="I943" s="2" t="s">
        <v>26</v>
      </c>
      <c r="J943" s="2" t="s">
        <v>3456</v>
      </c>
      <c r="K943" s="2" t="s">
        <v>95</v>
      </c>
      <c r="L943" s="2" t="s">
        <v>963</v>
      </c>
      <c r="M943" s="2"/>
    </row>
    <row r="944" customFormat="false" ht="15" hidden="false" customHeight="false" outlineLevel="0" collapsed="false">
      <c r="A944" s="2" t="s">
        <v>3457</v>
      </c>
      <c r="B944" s="2" t="s">
        <v>1098</v>
      </c>
      <c r="C944" s="2" t="s">
        <v>1099</v>
      </c>
      <c r="D944" s="13" t="n">
        <v>45524.4416666667</v>
      </c>
      <c r="E944" s="2" t="s">
        <v>43</v>
      </c>
      <c r="F944" s="2" t="s">
        <v>27</v>
      </c>
      <c r="G944" s="2" t="n">
        <v>14044.62</v>
      </c>
      <c r="H944" s="2" t="n">
        <v>94.26</v>
      </c>
      <c r="I944" s="2" t="s">
        <v>26</v>
      </c>
      <c r="J944" s="2" t="s">
        <v>3458</v>
      </c>
      <c r="K944" s="2" t="s">
        <v>101</v>
      </c>
      <c r="L944" s="2"/>
      <c r="M944" s="2" t="s">
        <v>762</v>
      </c>
    </row>
    <row r="945" customFormat="false" ht="15" hidden="false" customHeight="false" outlineLevel="0" collapsed="false">
      <c r="A945" s="2" t="s">
        <v>3459</v>
      </c>
      <c r="B945" s="2" t="s">
        <v>650</v>
      </c>
      <c r="C945" s="2" t="s">
        <v>651</v>
      </c>
      <c r="D945" s="13" t="n">
        <v>45666.4458333333</v>
      </c>
      <c r="E945" s="2" t="s">
        <v>35</v>
      </c>
      <c r="F945" s="2" t="s">
        <v>32</v>
      </c>
      <c r="G945" s="2" t="n">
        <v>2050.15</v>
      </c>
      <c r="H945" s="2" t="n">
        <v>12.82</v>
      </c>
      <c r="I945" s="2" t="s">
        <v>26</v>
      </c>
      <c r="J945" s="2" t="s">
        <v>3460</v>
      </c>
      <c r="K945" s="2" t="s">
        <v>89</v>
      </c>
      <c r="L945" s="2" t="s">
        <v>972</v>
      </c>
      <c r="M945" s="2"/>
    </row>
    <row r="946" customFormat="false" ht="15" hidden="false" customHeight="false" outlineLevel="0" collapsed="false">
      <c r="A946" s="2" t="s">
        <v>3461</v>
      </c>
      <c r="B946" s="2" t="s">
        <v>3462</v>
      </c>
      <c r="C946" s="2" t="s">
        <v>3463</v>
      </c>
      <c r="D946" s="13" t="n">
        <v>45826.4951388889</v>
      </c>
      <c r="E946" s="2" t="s">
        <v>37</v>
      </c>
      <c r="F946" s="2" t="s">
        <v>29</v>
      </c>
      <c r="G946" s="2" t="n">
        <v>9467.07</v>
      </c>
      <c r="H946" s="2" t="n">
        <v>68.16</v>
      </c>
      <c r="I946" s="2" t="s">
        <v>26</v>
      </c>
      <c r="J946" s="2" t="s">
        <v>3464</v>
      </c>
      <c r="K946" s="2" t="s">
        <v>122</v>
      </c>
      <c r="L946" s="2" t="s">
        <v>303</v>
      </c>
      <c r="M946" s="2"/>
    </row>
    <row r="947" customFormat="false" ht="15" hidden="false" customHeight="false" outlineLevel="0" collapsed="false">
      <c r="A947" s="2" t="s">
        <v>3465</v>
      </c>
      <c r="B947" s="2" t="s">
        <v>3466</v>
      </c>
      <c r="C947" s="2" t="s">
        <v>3467</v>
      </c>
      <c r="D947" s="13" t="n">
        <v>45542.5902777778</v>
      </c>
      <c r="E947" s="2" t="s">
        <v>35</v>
      </c>
      <c r="F947" s="2" t="s">
        <v>27</v>
      </c>
      <c r="G947" s="2" t="n">
        <v>16584.23</v>
      </c>
      <c r="H947" s="2" t="n">
        <v>155.37</v>
      </c>
      <c r="I947" s="2" t="s">
        <v>30</v>
      </c>
      <c r="J947" s="2" t="s">
        <v>3468</v>
      </c>
      <c r="K947" s="2" t="s">
        <v>101</v>
      </c>
      <c r="L947" s="2"/>
      <c r="M947" s="2" t="s">
        <v>774</v>
      </c>
    </row>
    <row r="948" customFormat="false" ht="15" hidden="false" customHeight="false" outlineLevel="0" collapsed="false">
      <c r="A948" s="2" t="s">
        <v>3469</v>
      </c>
      <c r="B948" s="2" t="s">
        <v>3470</v>
      </c>
      <c r="C948" s="2" t="s">
        <v>3471</v>
      </c>
      <c r="D948" s="13" t="n">
        <v>45762.8701388889</v>
      </c>
      <c r="E948" s="2" t="s">
        <v>37</v>
      </c>
      <c r="F948" s="2" t="s">
        <v>32</v>
      </c>
      <c r="G948" s="2" t="n">
        <v>2530.95</v>
      </c>
      <c r="H948" s="2" t="n">
        <v>10.37</v>
      </c>
      <c r="I948" s="2" t="s">
        <v>30</v>
      </c>
      <c r="J948" s="2" t="s">
        <v>3472</v>
      </c>
      <c r="K948" s="2" t="s">
        <v>89</v>
      </c>
      <c r="L948" s="2" t="s">
        <v>986</v>
      </c>
      <c r="M948" s="2"/>
    </row>
    <row r="949" customFormat="false" ht="15" hidden="false" customHeight="false" outlineLevel="0" collapsed="false">
      <c r="A949" s="2" t="s">
        <v>3473</v>
      </c>
      <c r="B949" s="2" t="s">
        <v>997</v>
      </c>
      <c r="C949" s="2" t="s">
        <v>998</v>
      </c>
      <c r="D949" s="13" t="n">
        <v>45704.5368055556</v>
      </c>
      <c r="E949" s="2" t="s">
        <v>39</v>
      </c>
      <c r="F949" s="2" t="s">
        <v>29</v>
      </c>
      <c r="G949" s="2" t="n">
        <v>6324.49</v>
      </c>
      <c r="H949" s="2" t="n">
        <v>53.27</v>
      </c>
      <c r="I949" s="2" t="s">
        <v>26</v>
      </c>
      <c r="J949" s="2" t="s">
        <v>3474</v>
      </c>
      <c r="K949" s="2" t="s">
        <v>89</v>
      </c>
      <c r="L949" s="2" t="s">
        <v>318</v>
      </c>
      <c r="M949" s="2"/>
    </row>
    <row r="950" customFormat="false" ht="15" hidden="false" customHeight="false" outlineLevel="0" collapsed="false">
      <c r="A950" s="2" t="s">
        <v>3475</v>
      </c>
      <c r="B950" s="2" t="s">
        <v>2579</v>
      </c>
      <c r="C950" s="2" t="s">
        <v>2580</v>
      </c>
      <c r="D950" s="13" t="n">
        <v>45845.4708333333</v>
      </c>
      <c r="E950" s="2" t="s">
        <v>39</v>
      </c>
      <c r="F950" s="2" t="s">
        <v>27</v>
      </c>
      <c r="G950" s="2" t="n">
        <v>4841.14</v>
      </c>
      <c r="H950" s="2" t="n">
        <v>36.25</v>
      </c>
      <c r="I950" s="2" t="s">
        <v>26</v>
      </c>
      <c r="J950" s="2" t="s">
        <v>3476</v>
      </c>
      <c r="K950" s="2" t="s">
        <v>95</v>
      </c>
      <c r="L950" s="2"/>
      <c r="M950" s="2" t="s">
        <v>323</v>
      </c>
    </row>
    <row r="951" customFormat="false" ht="15" hidden="false" customHeight="false" outlineLevel="0" collapsed="false">
      <c r="A951" s="2" t="s">
        <v>3477</v>
      </c>
      <c r="B951" s="2" t="s">
        <v>3478</v>
      </c>
      <c r="C951" s="2" t="s">
        <v>3479</v>
      </c>
      <c r="D951" s="13" t="n">
        <v>45763.4680555556</v>
      </c>
      <c r="E951" s="2" t="s">
        <v>43</v>
      </c>
      <c r="F951" s="2" t="s">
        <v>31</v>
      </c>
      <c r="G951" s="2" t="n">
        <v>5428.57</v>
      </c>
      <c r="H951" s="2" t="n">
        <v>44.77</v>
      </c>
      <c r="I951" s="2" t="s">
        <v>26</v>
      </c>
      <c r="J951" s="2" t="s">
        <v>3480</v>
      </c>
      <c r="K951" s="2" t="s">
        <v>95</v>
      </c>
      <c r="L951" s="2"/>
      <c r="M951" s="2" t="s">
        <v>328</v>
      </c>
    </row>
    <row r="952" customFormat="false" ht="15" hidden="false" customHeight="false" outlineLevel="0" collapsed="false">
      <c r="A952" s="2" t="s">
        <v>3481</v>
      </c>
      <c r="B952" s="2" t="s">
        <v>3054</v>
      </c>
      <c r="C952" s="2" t="s">
        <v>3055</v>
      </c>
      <c r="D952" s="13" t="n">
        <v>45774.3347222222</v>
      </c>
      <c r="E952" s="2" t="s">
        <v>35</v>
      </c>
      <c r="F952" s="2" t="s">
        <v>29</v>
      </c>
      <c r="G952" s="2" t="n">
        <v>23335.71</v>
      </c>
      <c r="H952" s="2" t="n">
        <v>275.01</v>
      </c>
      <c r="I952" s="2" t="s">
        <v>30</v>
      </c>
      <c r="J952" s="2" t="s">
        <v>3482</v>
      </c>
      <c r="K952" s="2" t="s">
        <v>122</v>
      </c>
      <c r="L952" s="2" t="s">
        <v>333</v>
      </c>
      <c r="M952" s="2"/>
    </row>
    <row r="953" customFormat="false" ht="15" hidden="false" customHeight="false" outlineLevel="0" collapsed="false">
      <c r="A953" s="2" t="s">
        <v>3483</v>
      </c>
      <c r="B953" s="2" t="s">
        <v>3484</v>
      </c>
      <c r="C953" s="2" t="s">
        <v>3485</v>
      </c>
      <c r="D953" s="13" t="n">
        <v>45979.6604166667</v>
      </c>
      <c r="E953" s="2" t="s">
        <v>35</v>
      </c>
      <c r="F953" s="2" t="s">
        <v>31</v>
      </c>
      <c r="G953" s="2" t="n">
        <v>3621.5</v>
      </c>
      <c r="H953" s="2" t="n">
        <v>18.94</v>
      </c>
      <c r="I953" s="2" t="s">
        <v>30</v>
      </c>
      <c r="J953" s="2" t="s">
        <v>3486</v>
      </c>
      <c r="K953" s="2" t="s">
        <v>122</v>
      </c>
      <c r="L953" s="2" t="s">
        <v>338</v>
      </c>
      <c r="M953" s="2"/>
    </row>
    <row r="954" customFormat="false" ht="15" hidden="false" customHeight="false" outlineLevel="0" collapsed="false">
      <c r="A954" s="2" t="s">
        <v>3487</v>
      </c>
      <c r="B954" s="2" t="s">
        <v>3392</v>
      </c>
      <c r="C954" s="2" t="s">
        <v>3393</v>
      </c>
      <c r="D954" s="13" t="n">
        <v>45800.7222222222</v>
      </c>
      <c r="E954" s="2" t="s">
        <v>43</v>
      </c>
      <c r="F954" s="2" t="s">
        <v>31</v>
      </c>
      <c r="G954" s="2" t="n">
        <v>1374.73</v>
      </c>
      <c r="H954" s="2" t="n">
        <v>16.34</v>
      </c>
      <c r="I954" s="2" t="s">
        <v>26</v>
      </c>
      <c r="J954" s="2" t="s">
        <v>3488</v>
      </c>
      <c r="K954" s="2" t="s">
        <v>95</v>
      </c>
      <c r="L954" s="2"/>
      <c r="M954" s="2" t="s">
        <v>1588</v>
      </c>
    </row>
    <row r="955" customFormat="false" ht="15" hidden="false" customHeight="false" outlineLevel="0" collapsed="false">
      <c r="A955" s="2" t="s">
        <v>3489</v>
      </c>
      <c r="B955" s="2" t="s">
        <v>315</v>
      </c>
      <c r="C955" s="2" t="s">
        <v>316</v>
      </c>
      <c r="D955" s="13" t="n">
        <v>45818.3902777778</v>
      </c>
      <c r="E955" s="2" t="s">
        <v>43</v>
      </c>
      <c r="F955" s="2" t="s">
        <v>29</v>
      </c>
      <c r="G955" s="2" t="n">
        <v>4964.11</v>
      </c>
      <c r="H955" s="2" t="n">
        <v>39.84</v>
      </c>
      <c r="I955" s="2" t="s">
        <v>26</v>
      </c>
      <c r="J955" s="2" t="s">
        <v>3490</v>
      </c>
      <c r="K955" s="2" t="s">
        <v>122</v>
      </c>
      <c r="L955" s="2"/>
      <c r="M955" s="2" t="s">
        <v>348</v>
      </c>
    </row>
    <row r="956" customFormat="false" ht="15" hidden="false" customHeight="false" outlineLevel="0" collapsed="false">
      <c r="A956" s="2" t="s">
        <v>3491</v>
      </c>
      <c r="B956" s="2" t="s">
        <v>3492</v>
      </c>
      <c r="C956" s="2" t="s">
        <v>3493</v>
      </c>
      <c r="D956" s="13" t="n">
        <v>45706.5638888889</v>
      </c>
      <c r="E956" s="2" t="s">
        <v>43</v>
      </c>
      <c r="F956" s="2" t="s">
        <v>31</v>
      </c>
      <c r="G956" s="2" t="n">
        <v>1753.43</v>
      </c>
      <c r="H956" s="2" t="n">
        <v>10.71</v>
      </c>
      <c r="I956" s="2" t="s">
        <v>26</v>
      </c>
      <c r="J956" s="2" t="s">
        <v>3494</v>
      </c>
      <c r="K956" s="2" t="s">
        <v>89</v>
      </c>
      <c r="L956" s="2"/>
      <c r="M956" s="2" t="s">
        <v>1217</v>
      </c>
    </row>
    <row r="957" customFormat="false" ht="15" hidden="false" customHeight="false" outlineLevel="0" collapsed="false">
      <c r="A957" s="2" t="s">
        <v>3495</v>
      </c>
      <c r="B957" s="2" t="s">
        <v>3496</v>
      </c>
      <c r="C957" s="2" t="s">
        <v>3497</v>
      </c>
      <c r="D957" s="13" t="n">
        <v>45782.7951388889</v>
      </c>
      <c r="E957" s="2" t="s">
        <v>41</v>
      </c>
      <c r="F957" s="2" t="s">
        <v>31</v>
      </c>
      <c r="G957" s="2" t="n">
        <v>921.71</v>
      </c>
      <c r="H957" s="2" t="n">
        <v>8.12</v>
      </c>
      <c r="I957" s="2" t="s">
        <v>30</v>
      </c>
      <c r="J957" s="2" t="s">
        <v>3498</v>
      </c>
      <c r="K957" s="2" t="s">
        <v>89</v>
      </c>
      <c r="L957" s="2" t="s">
        <v>358</v>
      </c>
      <c r="M957" s="2"/>
    </row>
    <row r="958" customFormat="false" ht="15" hidden="false" customHeight="false" outlineLevel="0" collapsed="false">
      <c r="A958" s="2" t="s">
        <v>3499</v>
      </c>
      <c r="B958" s="2" t="s">
        <v>3500</v>
      </c>
      <c r="C958" s="2" t="s">
        <v>3501</v>
      </c>
      <c r="D958" s="13" t="n">
        <v>45633.3993055556</v>
      </c>
      <c r="E958" s="2" t="s">
        <v>43</v>
      </c>
      <c r="F958" s="2" t="s">
        <v>27</v>
      </c>
      <c r="G958" s="2" t="n">
        <v>16861.87</v>
      </c>
      <c r="H958" s="2" t="n">
        <v>59.81</v>
      </c>
      <c r="I958" s="2" t="s">
        <v>30</v>
      </c>
      <c r="J958" s="2" t="s">
        <v>3502</v>
      </c>
      <c r="K958" s="2" t="s">
        <v>89</v>
      </c>
      <c r="L958" s="2"/>
      <c r="M958" s="2" t="s">
        <v>363</v>
      </c>
    </row>
    <row r="959" customFormat="false" ht="15" hidden="false" customHeight="false" outlineLevel="0" collapsed="false">
      <c r="A959" s="2" t="s">
        <v>3503</v>
      </c>
      <c r="B959" s="2" t="s">
        <v>3504</v>
      </c>
      <c r="C959" s="2" t="s">
        <v>3505</v>
      </c>
      <c r="D959" s="13" t="n">
        <v>45429.3201388889</v>
      </c>
      <c r="E959" s="2" t="s">
        <v>43</v>
      </c>
      <c r="F959" s="2" t="s">
        <v>31</v>
      </c>
      <c r="G959" s="2" t="n">
        <v>2226.7</v>
      </c>
      <c r="H959" s="2" t="n">
        <v>23.38</v>
      </c>
      <c r="I959" s="2" t="s">
        <v>26</v>
      </c>
      <c r="J959" s="2" t="s">
        <v>3506</v>
      </c>
      <c r="K959" s="2" t="s">
        <v>89</v>
      </c>
      <c r="L959" s="2"/>
      <c r="M959" s="2" t="s">
        <v>1606</v>
      </c>
    </row>
    <row r="960" customFormat="false" ht="15" hidden="false" customHeight="false" outlineLevel="0" collapsed="false">
      <c r="A960" s="2" t="s">
        <v>3507</v>
      </c>
      <c r="B960" s="2" t="s">
        <v>510</v>
      </c>
      <c r="C960" s="2" t="s">
        <v>511</v>
      </c>
      <c r="D960" s="13" t="n">
        <v>45892.4680555556</v>
      </c>
      <c r="E960" s="2" t="s">
        <v>37</v>
      </c>
      <c r="F960" s="2" t="s">
        <v>32</v>
      </c>
      <c r="G960" s="2" t="n">
        <v>3873.43</v>
      </c>
      <c r="H960" s="2" t="n">
        <v>29.24</v>
      </c>
      <c r="I960" s="2" t="s">
        <v>26</v>
      </c>
      <c r="J960" s="2" t="s">
        <v>3508</v>
      </c>
      <c r="K960" s="2" t="s">
        <v>101</v>
      </c>
      <c r="L960" s="2" t="s">
        <v>373</v>
      </c>
      <c r="M960" s="2"/>
    </row>
    <row r="961" customFormat="false" ht="15" hidden="false" customHeight="false" outlineLevel="0" collapsed="false">
      <c r="A961" s="2" t="s">
        <v>3509</v>
      </c>
      <c r="B961" s="2" t="s">
        <v>3510</v>
      </c>
      <c r="C961" s="2" t="s">
        <v>3511</v>
      </c>
      <c r="D961" s="13" t="n">
        <v>46015.8625</v>
      </c>
      <c r="E961" s="2" t="s">
        <v>37</v>
      </c>
      <c r="F961" s="2" t="s">
        <v>27</v>
      </c>
      <c r="G961" s="2" t="n">
        <v>10449.54</v>
      </c>
      <c r="H961" s="2" t="n">
        <v>53.94</v>
      </c>
      <c r="I961" s="2" t="s">
        <v>26</v>
      </c>
      <c r="J961" s="2" t="s">
        <v>3512</v>
      </c>
      <c r="K961" s="2" t="s">
        <v>122</v>
      </c>
      <c r="L961" s="2"/>
      <c r="M961" s="2" t="s">
        <v>378</v>
      </c>
    </row>
    <row r="962" customFormat="false" ht="15" hidden="false" customHeight="false" outlineLevel="0" collapsed="false">
      <c r="A962" s="2" t="s">
        <v>3513</v>
      </c>
      <c r="B962" s="2" t="s">
        <v>3504</v>
      </c>
      <c r="C962" s="2" t="s">
        <v>3505</v>
      </c>
      <c r="D962" s="13" t="n">
        <v>45920.8715277778</v>
      </c>
      <c r="E962" s="2" t="s">
        <v>41</v>
      </c>
      <c r="F962" s="2" t="s">
        <v>29</v>
      </c>
      <c r="G962" s="2" t="n">
        <v>4526.85</v>
      </c>
      <c r="H962" s="2" t="n">
        <v>19.25</v>
      </c>
      <c r="I962" s="2" t="s">
        <v>26</v>
      </c>
      <c r="J962" s="2" t="s">
        <v>3514</v>
      </c>
      <c r="K962" s="2" t="s">
        <v>122</v>
      </c>
      <c r="L962" s="2" t="s">
        <v>1039</v>
      </c>
      <c r="M962" s="2"/>
    </row>
    <row r="963" customFormat="false" ht="15" hidden="false" customHeight="false" outlineLevel="0" collapsed="false">
      <c r="A963" s="2" t="s">
        <v>3515</v>
      </c>
      <c r="B963" s="2" t="s">
        <v>3516</v>
      </c>
      <c r="C963" s="2" t="s">
        <v>3517</v>
      </c>
      <c r="D963" s="13" t="n">
        <v>45790.8854166667</v>
      </c>
      <c r="E963" s="2" t="s">
        <v>41</v>
      </c>
      <c r="F963" s="2" t="s">
        <v>31</v>
      </c>
      <c r="G963" s="2" t="n">
        <v>23321.69</v>
      </c>
      <c r="H963" s="2" t="n">
        <v>242.51</v>
      </c>
      <c r="I963" s="2" t="s">
        <v>26</v>
      </c>
      <c r="J963" s="2" t="s">
        <v>3518</v>
      </c>
      <c r="K963" s="2" t="s">
        <v>101</v>
      </c>
      <c r="L963" s="2" t="s">
        <v>1044</v>
      </c>
      <c r="M963" s="2"/>
    </row>
    <row r="964" customFormat="false" ht="15" hidden="false" customHeight="false" outlineLevel="0" collapsed="false">
      <c r="A964" s="2" t="s">
        <v>3519</v>
      </c>
      <c r="B964" s="2" t="s">
        <v>3520</v>
      </c>
      <c r="C964" s="2" t="s">
        <v>3521</v>
      </c>
      <c r="D964" s="13" t="n">
        <v>45939.3631944444</v>
      </c>
      <c r="E964" s="2" t="s">
        <v>39</v>
      </c>
      <c r="F964" s="2" t="s">
        <v>29</v>
      </c>
      <c r="G964" s="2" t="n">
        <v>9567.02</v>
      </c>
      <c r="H964" s="2" t="n">
        <v>83.82</v>
      </c>
      <c r="I964" s="2" t="s">
        <v>26</v>
      </c>
      <c r="J964" s="2" t="s">
        <v>3522</v>
      </c>
      <c r="K964" s="2" t="s">
        <v>89</v>
      </c>
      <c r="L964" s="2" t="s">
        <v>393</v>
      </c>
      <c r="M964" s="2"/>
    </row>
    <row r="965" customFormat="false" ht="15" hidden="false" customHeight="false" outlineLevel="0" collapsed="false">
      <c r="A965" s="2" t="s">
        <v>3523</v>
      </c>
      <c r="B965" s="2" t="s">
        <v>365</v>
      </c>
      <c r="C965" s="2" t="s">
        <v>366</v>
      </c>
      <c r="D965" s="13" t="n">
        <v>45781.60625</v>
      </c>
      <c r="E965" s="2" t="s">
        <v>35</v>
      </c>
      <c r="F965" s="2" t="s">
        <v>29</v>
      </c>
      <c r="G965" s="2" t="n">
        <v>454.11</v>
      </c>
      <c r="H965" s="2" t="n">
        <v>5</v>
      </c>
      <c r="I965" s="2" t="s">
        <v>28</v>
      </c>
      <c r="J965" s="2" t="s">
        <v>3524</v>
      </c>
      <c r="K965" s="2" t="s">
        <v>95</v>
      </c>
      <c r="L965" s="2" t="s">
        <v>1628</v>
      </c>
      <c r="M965" s="2"/>
    </row>
    <row r="966" customFormat="false" ht="15" hidden="false" customHeight="false" outlineLevel="0" collapsed="false">
      <c r="A966" s="2" t="s">
        <v>3525</v>
      </c>
      <c r="B966" s="2" t="s">
        <v>2422</v>
      </c>
      <c r="C966" s="2" t="s">
        <v>2423</v>
      </c>
      <c r="D966" s="13" t="n">
        <v>45370.6694444444</v>
      </c>
      <c r="E966" s="2" t="s">
        <v>39</v>
      </c>
      <c r="F966" s="2" t="s">
        <v>32</v>
      </c>
      <c r="G966" s="2" t="n">
        <v>2130.9</v>
      </c>
      <c r="H966" s="2" t="n">
        <v>5.36</v>
      </c>
      <c r="I966" s="2" t="s">
        <v>26</v>
      </c>
      <c r="J966" s="2" t="s">
        <v>3526</v>
      </c>
      <c r="K966" s="2" t="s">
        <v>101</v>
      </c>
      <c r="L966" s="2" t="s">
        <v>403</v>
      </c>
      <c r="M966" s="2"/>
    </row>
    <row r="967" customFormat="false" ht="15" hidden="false" customHeight="false" outlineLevel="0" collapsed="false">
      <c r="A967" s="2" t="s">
        <v>3527</v>
      </c>
      <c r="B967" s="2" t="s">
        <v>185</v>
      </c>
      <c r="C967" s="2" t="s">
        <v>186</v>
      </c>
      <c r="D967" s="13" t="n">
        <v>45342.5590277778</v>
      </c>
      <c r="E967" s="2" t="s">
        <v>37</v>
      </c>
      <c r="F967" s="2" t="s">
        <v>31</v>
      </c>
      <c r="G967" s="2" t="n">
        <v>4493.17</v>
      </c>
      <c r="H967" s="2" t="n">
        <v>23.56</v>
      </c>
      <c r="I967" s="2" t="s">
        <v>30</v>
      </c>
      <c r="J967" s="2" t="s">
        <v>3528</v>
      </c>
      <c r="K967" s="2" t="s">
        <v>89</v>
      </c>
      <c r="L967" s="2" t="s">
        <v>408</v>
      </c>
      <c r="M967" s="2"/>
    </row>
    <row r="968" customFormat="false" ht="15" hidden="false" customHeight="false" outlineLevel="0" collapsed="false">
      <c r="A968" s="2" t="s">
        <v>3529</v>
      </c>
      <c r="B968" s="2" t="s">
        <v>3530</v>
      </c>
      <c r="C968" s="2" t="s">
        <v>3531</v>
      </c>
      <c r="D968" s="13" t="n">
        <v>45946.9138888889</v>
      </c>
      <c r="E968" s="2" t="s">
        <v>41</v>
      </c>
      <c r="F968" s="2" t="s">
        <v>32</v>
      </c>
      <c r="G968" s="2" t="n">
        <v>21448.72</v>
      </c>
      <c r="H968" s="2" t="n">
        <v>158.23</v>
      </c>
      <c r="I968" s="2" t="s">
        <v>30</v>
      </c>
      <c r="J968" s="2" t="s">
        <v>3532</v>
      </c>
      <c r="K968" s="2" t="s">
        <v>101</v>
      </c>
      <c r="L968" s="2" t="s">
        <v>413</v>
      </c>
      <c r="M968" s="2"/>
    </row>
    <row r="969" customFormat="false" ht="15" hidden="false" customHeight="false" outlineLevel="0" collapsed="false">
      <c r="A969" s="2" t="s">
        <v>3533</v>
      </c>
      <c r="B969" s="2" t="s">
        <v>3534</v>
      </c>
      <c r="C969" s="2" t="s">
        <v>3535</v>
      </c>
      <c r="D969" s="13" t="n">
        <v>45934.6402777778</v>
      </c>
      <c r="E969" s="2" t="s">
        <v>37</v>
      </c>
      <c r="F969" s="2" t="s">
        <v>29</v>
      </c>
      <c r="G969" s="2" t="n">
        <v>3366.29</v>
      </c>
      <c r="H969" s="2" t="n">
        <v>20.6</v>
      </c>
      <c r="I969" s="2" t="s">
        <v>26</v>
      </c>
      <c r="J969" s="2" t="s">
        <v>3536</v>
      </c>
      <c r="K969" s="2" t="s">
        <v>95</v>
      </c>
      <c r="L969" s="2" t="s">
        <v>418</v>
      </c>
      <c r="M969" s="2"/>
    </row>
    <row r="970" customFormat="false" ht="15" hidden="false" customHeight="false" outlineLevel="0" collapsed="false">
      <c r="A970" s="2" t="s">
        <v>3537</v>
      </c>
      <c r="B970" s="2" t="s">
        <v>1788</v>
      </c>
      <c r="C970" s="2" t="s">
        <v>1789</v>
      </c>
      <c r="D970" s="13" t="n">
        <v>45725.8465277778</v>
      </c>
      <c r="E970" s="2" t="s">
        <v>41</v>
      </c>
      <c r="F970" s="2" t="s">
        <v>27</v>
      </c>
      <c r="G970" s="2" t="n">
        <v>2300.23</v>
      </c>
      <c r="H970" s="2" t="n">
        <v>11.95</v>
      </c>
      <c r="I970" s="2" t="s">
        <v>28</v>
      </c>
      <c r="J970" s="2" t="s">
        <v>3538</v>
      </c>
      <c r="K970" s="2" t="s">
        <v>95</v>
      </c>
      <c r="L970" s="2"/>
      <c r="M970" s="2" t="s">
        <v>1645</v>
      </c>
    </row>
    <row r="971" customFormat="false" ht="15" hidden="false" customHeight="false" outlineLevel="0" collapsed="false">
      <c r="A971" s="2" t="s">
        <v>3539</v>
      </c>
      <c r="B971" s="2" t="s">
        <v>974</v>
      </c>
      <c r="C971" s="2" t="s">
        <v>975</v>
      </c>
      <c r="D971" s="13" t="n">
        <v>45413.7756944444</v>
      </c>
      <c r="E971" s="2" t="s">
        <v>41</v>
      </c>
      <c r="F971" s="2" t="s">
        <v>32</v>
      </c>
      <c r="G971" s="2" t="n">
        <v>13412.64</v>
      </c>
      <c r="H971" s="2" t="n">
        <v>121.57</v>
      </c>
      <c r="I971" s="2" t="s">
        <v>30</v>
      </c>
      <c r="J971" s="2" t="s">
        <v>3540</v>
      </c>
      <c r="K971" s="2" t="s">
        <v>122</v>
      </c>
      <c r="L971" s="2" t="s">
        <v>428</v>
      </c>
      <c r="M971" s="2"/>
    </row>
    <row r="972" customFormat="false" ht="15" hidden="false" customHeight="false" outlineLevel="0" collapsed="false">
      <c r="A972" s="2" t="s">
        <v>3541</v>
      </c>
      <c r="B972" s="2" t="s">
        <v>3542</v>
      </c>
      <c r="C972" s="2" t="s">
        <v>3543</v>
      </c>
      <c r="D972" s="13" t="n">
        <v>45398.8159722222</v>
      </c>
      <c r="E972" s="2" t="s">
        <v>43</v>
      </c>
      <c r="F972" s="2" t="s">
        <v>31</v>
      </c>
      <c r="G972" s="2" t="n">
        <v>7286.92</v>
      </c>
      <c r="H972" s="2" t="n">
        <v>17.32</v>
      </c>
      <c r="I972" s="2" t="s">
        <v>26</v>
      </c>
      <c r="J972" s="2" t="s">
        <v>3544</v>
      </c>
      <c r="K972" s="2" t="s">
        <v>101</v>
      </c>
      <c r="L972" s="2"/>
      <c r="M972" s="2" t="s">
        <v>1282</v>
      </c>
    </row>
    <row r="973" customFormat="false" ht="15" hidden="false" customHeight="false" outlineLevel="0" collapsed="false">
      <c r="A973" s="2" t="s">
        <v>3545</v>
      </c>
      <c r="B973" s="2" t="s">
        <v>1922</v>
      </c>
      <c r="C973" s="2" t="s">
        <v>1923</v>
      </c>
      <c r="D973" s="13" t="n">
        <v>46014.6951388889</v>
      </c>
      <c r="E973" s="2" t="s">
        <v>35</v>
      </c>
      <c r="F973" s="2" t="s">
        <v>31</v>
      </c>
      <c r="G973" s="2" t="n">
        <v>2059</v>
      </c>
      <c r="H973" s="2" t="n">
        <v>11.86</v>
      </c>
      <c r="I973" s="2" t="s">
        <v>28</v>
      </c>
      <c r="J973" s="2" t="s">
        <v>3546</v>
      </c>
      <c r="K973" s="2" t="s">
        <v>101</v>
      </c>
      <c r="L973" s="2" t="s">
        <v>438</v>
      </c>
      <c r="M973" s="2"/>
    </row>
    <row r="974" customFormat="false" ht="15" hidden="false" customHeight="false" outlineLevel="0" collapsed="false">
      <c r="A974" s="2" t="s">
        <v>3547</v>
      </c>
      <c r="B974" s="2" t="s">
        <v>1358</v>
      </c>
      <c r="C974" s="2" t="s">
        <v>1359</v>
      </c>
      <c r="D974" s="13" t="n">
        <v>45552.6090277778</v>
      </c>
      <c r="E974" s="2" t="s">
        <v>41</v>
      </c>
      <c r="F974" s="2" t="s">
        <v>29</v>
      </c>
      <c r="G974" s="2" t="n">
        <v>3332.48</v>
      </c>
      <c r="H974" s="2" t="n">
        <v>38.21</v>
      </c>
      <c r="I974" s="2" t="s">
        <v>26</v>
      </c>
      <c r="J974" s="2" t="s">
        <v>3548</v>
      </c>
      <c r="K974" s="2" t="s">
        <v>122</v>
      </c>
      <c r="L974" s="2" t="s">
        <v>443</v>
      </c>
      <c r="M974" s="2"/>
    </row>
    <row r="975" customFormat="false" ht="15" hidden="false" customHeight="false" outlineLevel="0" collapsed="false">
      <c r="A975" s="2" t="s">
        <v>3549</v>
      </c>
      <c r="B975" s="2" t="s">
        <v>3550</v>
      </c>
      <c r="C975" s="2" t="s">
        <v>3551</v>
      </c>
      <c r="D975" s="13" t="n">
        <v>45774.6416666667</v>
      </c>
      <c r="E975" s="2" t="s">
        <v>43</v>
      </c>
      <c r="F975" s="2" t="s">
        <v>29</v>
      </c>
      <c r="G975" s="2" t="n">
        <v>2138.88</v>
      </c>
      <c r="H975" s="2" t="n">
        <v>20.17</v>
      </c>
      <c r="I975" s="2" t="s">
        <v>28</v>
      </c>
      <c r="J975" s="2" t="s">
        <v>3552</v>
      </c>
      <c r="K975" s="2" t="s">
        <v>101</v>
      </c>
      <c r="L975" s="2"/>
      <c r="M975" s="2" t="s">
        <v>448</v>
      </c>
    </row>
    <row r="976" customFormat="false" ht="15" hidden="false" customHeight="false" outlineLevel="0" collapsed="false">
      <c r="A976" s="2" t="s">
        <v>3553</v>
      </c>
      <c r="B976" s="2" t="s">
        <v>1243</v>
      </c>
      <c r="C976" s="2" t="s">
        <v>1244</v>
      </c>
      <c r="D976" s="13" t="n">
        <v>45376.9284722222</v>
      </c>
      <c r="E976" s="2" t="s">
        <v>35</v>
      </c>
      <c r="F976" s="2" t="s">
        <v>31</v>
      </c>
      <c r="G976" s="2" t="n">
        <v>5581.97</v>
      </c>
      <c r="H976" s="2" t="n">
        <v>35.83</v>
      </c>
      <c r="I976" s="2" t="s">
        <v>26</v>
      </c>
      <c r="J976" s="2" t="s">
        <v>3554</v>
      </c>
      <c r="K976" s="2" t="s">
        <v>95</v>
      </c>
      <c r="L976" s="2" t="s">
        <v>453</v>
      </c>
      <c r="M976" s="2"/>
    </row>
    <row r="977" customFormat="false" ht="15" hidden="false" customHeight="false" outlineLevel="0" collapsed="false">
      <c r="A977" s="2" t="s">
        <v>3555</v>
      </c>
      <c r="B977" s="2" t="s">
        <v>2621</v>
      </c>
      <c r="C977" s="2" t="s">
        <v>2622</v>
      </c>
      <c r="D977" s="13" t="n">
        <v>45817.4340277778</v>
      </c>
      <c r="E977" s="2" t="s">
        <v>35</v>
      </c>
      <c r="F977" s="2" t="s">
        <v>31</v>
      </c>
      <c r="G977" s="2" t="n">
        <v>4533.7</v>
      </c>
      <c r="H977" s="2" t="n">
        <v>46.88</v>
      </c>
      <c r="I977" s="2" t="s">
        <v>26</v>
      </c>
      <c r="J977" s="2" t="s">
        <v>3556</v>
      </c>
      <c r="K977" s="2" t="s">
        <v>101</v>
      </c>
      <c r="L977" s="2" t="s">
        <v>458</v>
      </c>
      <c r="M977" s="2"/>
    </row>
    <row r="978" customFormat="false" ht="15" hidden="false" customHeight="false" outlineLevel="0" collapsed="false">
      <c r="A978" s="2" t="s">
        <v>3557</v>
      </c>
      <c r="B978" s="2" t="s">
        <v>1368</v>
      </c>
      <c r="C978" s="2" t="s">
        <v>1369</v>
      </c>
      <c r="D978" s="13" t="n">
        <v>45572.9333333333</v>
      </c>
      <c r="E978" s="2" t="s">
        <v>43</v>
      </c>
      <c r="F978" s="2" t="s">
        <v>32</v>
      </c>
      <c r="G978" s="2" t="n">
        <v>5783.26</v>
      </c>
      <c r="H978" s="2" t="n">
        <v>45.73</v>
      </c>
      <c r="I978" s="2" t="s">
        <v>30</v>
      </c>
      <c r="J978" s="2" t="s">
        <v>3558</v>
      </c>
      <c r="K978" s="2" t="s">
        <v>122</v>
      </c>
      <c r="L978" s="2"/>
      <c r="M978" s="2" t="s">
        <v>463</v>
      </c>
    </row>
    <row r="979" customFormat="false" ht="15" hidden="false" customHeight="false" outlineLevel="0" collapsed="false">
      <c r="A979" s="2" t="s">
        <v>3559</v>
      </c>
      <c r="B979" s="2" t="s">
        <v>1162</v>
      </c>
      <c r="C979" s="2" t="s">
        <v>1163</v>
      </c>
      <c r="D979" s="13" t="n">
        <v>45752.6673611111</v>
      </c>
      <c r="E979" s="2" t="s">
        <v>41</v>
      </c>
      <c r="F979" s="2" t="s">
        <v>27</v>
      </c>
      <c r="G979" s="2" t="n">
        <v>6402.41</v>
      </c>
      <c r="H979" s="2" t="n">
        <v>64.69</v>
      </c>
      <c r="I979" s="2" t="s">
        <v>26</v>
      </c>
      <c r="J979" s="2" t="s">
        <v>3560</v>
      </c>
      <c r="K979" s="2" t="s">
        <v>95</v>
      </c>
      <c r="L979" s="2"/>
      <c r="M979" s="2" t="s">
        <v>1677</v>
      </c>
    </row>
    <row r="980" customFormat="false" ht="15" hidden="false" customHeight="false" outlineLevel="0" collapsed="false">
      <c r="A980" s="2" t="s">
        <v>3561</v>
      </c>
      <c r="B980" s="2" t="s">
        <v>1860</v>
      </c>
      <c r="C980" s="2" t="s">
        <v>1861</v>
      </c>
      <c r="D980" s="13" t="n">
        <v>45498.3270833333</v>
      </c>
      <c r="E980" s="2" t="s">
        <v>37</v>
      </c>
      <c r="F980" s="2" t="s">
        <v>32</v>
      </c>
      <c r="G980" s="2" t="n">
        <v>11002.01</v>
      </c>
      <c r="H980" s="2" t="n">
        <v>93.06</v>
      </c>
      <c r="I980" s="2" t="s">
        <v>26</v>
      </c>
      <c r="J980" s="2" t="s">
        <v>3562</v>
      </c>
      <c r="K980" s="2" t="s">
        <v>95</v>
      </c>
      <c r="L980" s="2" t="s">
        <v>473</v>
      </c>
      <c r="M980" s="2"/>
    </row>
    <row r="981" customFormat="false" ht="15" hidden="false" customHeight="false" outlineLevel="0" collapsed="false">
      <c r="A981" s="2" t="s">
        <v>3563</v>
      </c>
      <c r="B981" s="2" t="s">
        <v>1050</v>
      </c>
      <c r="C981" s="2" t="s">
        <v>1051</v>
      </c>
      <c r="D981" s="13" t="n">
        <v>45678.8951388889</v>
      </c>
      <c r="E981" s="2" t="s">
        <v>39</v>
      </c>
      <c r="F981" s="2" t="s">
        <v>32</v>
      </c>
      <c r="G981" s="2" t="n">
        <v>16881.9</v>
      </c>
      <c r="H981" s="2" t="n">
        <v>194.57</v>
      </c>
      <c r="I981" s="2" t="s">
        <v>26</v>
      </c>
      <c r="J981" s="2" t="s">
        <v>3564</v>
      </c>
      <c r="K981" s="2" t="s">
        <v>122</v>
      </c>
      <c r="L981" s="2" t="s">
        <v>478</v>
      </c>
      <c r="M981" s="2"/>
    </row>
    <row r="982" customFormat="false" ht="15" hidden="false" customHeight="false" outlineLevel="0" collapsed="false">
      <c r="A982" s="2" t="s">
        <v>3565</v>
      </c>
      <c r="B982" s="2" t="s">
        <v>3566</v>
      </c>
      <c r="C982" s="2" t="s">
        <v>3567</v>
      </c>
      <c r="D982" s="13" t="n">
        <v>45538.6326388889</v>
      </c>
      <c r="E982" s="2" t="s">
        <v>35</v>
      </c>
      <c r="F982" s="2" t="s">
        <v>31</v>
      </c>
      <c r="G982" s="2" t="n">
        <v>547.53</v>
      </c>
      <c r="H982" s="2" t="n">
        <v>6.45</v>
      </c>
      <c r="I982" s="2" t="s">
        <v>26</v>
      </c>
      <c r="J982" s="2" t="s">
        <v>3568</v>
      </c>
      <c r="K982" s="2" t="s">
        <v>95</v>
      </c>
      <c r="L982" s="2" t="s">
        <v>483</v>
      </c>
      <c r="M982" s="2"/>
    </row>
    <row r="983" customFormat="false" ht="15" hidden="false" customHeight="false" outlineLevel="0" collapsed="false">
      <c r="A983" s="2" t="s">
        <v>3569</v>
      </c>
      <c r="B983" s="2" t="s">
        <v>1488</v>
      </c>
      <c r="C983" s="2" t="s">
        <v>1489</v>
      </c>
      <c r="D983" s="13" t="n">
        <v>45740.8576388889</v>
      </c>
      <c r="E983" s="2" t="s">
        <v>39</v>
      </c>
      <c r="F983" s="2" t="s">
        <v>31</v>
      </c>
      <c r="G983" s="2" t="n">
        <v>1759.02</v>
      </c>
      <c r="H983" s="2" t="n">
        <v>9.82</v>
      </c>
      <c r="I983" s="2" t="s">
        <v>26</v>
      </c>
      <c r="J983" s="2" t="s">
        <v>3570</v>
      </c>
      <c r="K983" s="2" t="s">
        <v>122</v>
      </c>
      <c r="L983" s="2" t="s">
        <v>488</v>
      </c>
      <c r="M983" s="2"/>
    </row>
    <row r="984" customFormat="false" ht="15" hidden="false" customHeight="false" outlineLevel="0" collapsed="false">
      <c r="A984" s="2" t="s">
        <v>3571</v>
      </c>
      <c r="B984" s="2" t="s">
        <v>3572</v>
      </c>
      <c r="C984" s="2" t="s">
        <v>3573</v>
      </c>
      <c r="D984" s="13" t="n">
        <v>45365.7145833333</v>
      </c>
      <c r="E984" s="2" t="s">
        <v>35</v>
      </c>
      <c r="F984" s="2" t="s">
        <v>29</v>
      </c>
      <c r="G984" s="2" t="n">
        <v>5549.67</v>
      </c>
      <c r="H984" s="2" t="n">
        <v>33.5</v>
      </c>
      <c r="I984" s="2" t="s">
        <v>26</v>
      </c>
      <c r="J984" s="2" t="s">
        <v>3574</v>
      </c>
      <c r="K984" s="2" t="s">
        <v>95</v>
      </c>
      <c r="L984" s="2" t="s">
        <v>1122</v>
      </c>
      <c r="M984" s="2"/>
    </row>
    <row r="985" customFormat="false" ht="15" hidden="false" customHeight="false" outlineLevel="0" collapsed="false">
      <c r="A985" s="2" t="s">
        <v>3575</v>
      </c>
      <c r="B985" s="2" t="s">
        <v>952</v>
      </c>
      <c r="C985" s="2" t="s">
        <v>953</v>
      </c>
      <c r="D985" s="13" t="n">
        <v>45543.7527777778</v>
      </c>
      <c r="E985" s="2" t="s">
        <v>37</v>
      </c>
      <c r="F985" s="2" t="s">
        <v>29</v>
      </c>
      <c r="G985" s="2" t="n">
        <v>2475.01</v>
      </c>
      <c r="H985" s="2" t="n">
        <v>27.42</v>
      </c>
      <c r="I985" s="2" t="s">
        <v>26</v>
      </c>
      <c r="J985" s="2" t="s">
        <v>3576</v>
      </c>
      <c r="K985" s="2" t="s">
        <v>122</v>
      </c>
      <c r="L985" s="2" t="s">
        <v>1127</v>
      </c>
      <c r="M985" s="2"/>
    </row>
    <row r="986" customFormat="false" ht="15" hidden="false" customHeight="false" outlineLevel="0" collapsed="false">
      <c r="A986" s="2" t="s">
        <v>3577</v>
      </c>
      <c r="B986" s="2" t="s">
        <v>3578</v>
      </c>
      <c r="C986" s="2" t="s">
        <v>3579</v>
      </c>
      <c r="D986" s="13" t="n">
        <v>45345.4409722222</v>
      </c>
      <c r="E986" s="2" t="s">
        <v>41</v>
      </c>
      <c r="F986" s="2" t="s">
        <v>31</v>
      </c>
      <c r="G986" s="2" t="n">
        <v>2722.18</v>
      </c>
      <c r="H986" s="2" t="n">
        <v>8.94</v>
      </c>
      <c r="I986" s="2" t="s">
        <v>28</v>
      </c>
      <c r="J986" s="2" t="s">
        <v>3580</v>
      </c>
      <c r="K986" s="2" t="s">
        <v>101</v>
      </c>
      <c r="L986" s="2" t="s">
        <v>503</v>
      </c>
      <c r="M986" s="2"/>
    </row>
    <row r="987" customFormat="false" ht="15" hidden="false" customHeight="false" outlineLevel="0" collapsed="false">
      <c r="A987" s="2" t="s">
        <v>3581</v>
      </c>
      <c r="B987" s="2" t="s">
        <v>3582</v>
      </c>
      <c r="C987" s="2" t="s">
        <v>3583</v>
      </c>
      <c r="D987" s="13" t="n">
        <v>45950.83125</v>
      </c>
      <c r="E987" s="2" t="s">
        <v>41</v>
      </c>
      <c r="F987" s="2" t="s">
        <v>32</v>
      </c>
      <c r="G987" s="2" t="n">
        <v>5376.25</v>
      </c>
      <c r="H987" s="2" t="n">
        <v>42.08</v>
      </c>
      <c r="I987" s="2" t="s">
        <v>26</v>
      </c>
      <c r="J987" s="2" t="s">
        <v>3584</v>
      </c>
      <c r="K987" s="2" t="s">
        <v>122</v>
      </c>
      <c r="L987" s="2" t="s">
        <v>508</v>
      </c>
      <c r="M987" s="2"/>
    </row>
    <row r="988" customFormat="false" ht="15" hidden="false" customHeight="false" outlineLevel="0" collapsed="false">
      <c r="A988" s="2" t="s">
        <v>3585</v>
      </c>
      <c r="B988" s="2" t="s">
        <v>3586</v>
      </c>
      <c r="C988" s="2" t="s">
        <v>3587</v>
      </c>
      <c r="D988" s="13" t="n">
        <v>45561.3881944444</v>
      </c>
      <c r="E988" s="2" t="s">
        <v>43</v>
      </c>
      <c r="F988" s="2" t="s">
        <v>29</v>
      </c>
      <c r="G988" s="2" t="n">
        <v>4866.02</v>
      </c>
      <c r="H988" s="2" t="n">
        <v>54.85</v>
      </c>
      <c r="I988" s="2" t="s">
        <v>26</v>
      </c>
      <c r="J988" s="2" t="s">
        <v>3588</v>
      </c>
      <c r="K988" s="2" t="s">
        <v>95</v>
      </c>
      <c r="L988" s="2"/>
      <c r="M988" s="2" t="s">
        <v>513</v>
      </c>
    </row>
    <row r="989" customFormat="false" ht="15" hidden="false" customHeight="false" outlineLevel="0" collapsed="false">
      <c r="A989" s="2" t="s">
        <v>3589</v>
      </c>
      <c r="B989" s="2" t="s">
        <v>255</v>
      </c>
      <c r="C989" s="2" t="s">
        <v>256</v>
      </c>
      <c r="D989" s="13" t="n">
        <v>45634.7111111111</v>
      </c>
      <c r="E989" s="2" t="s">
        <v>43</v>
      </c>
      <c r="F989" s="2" t="s">
        <v>27</v>
      </c>
      <c r="G989" s="2" t="n">
        <v>2316.98</v>
      </c>
      <c r="H989" s="2" t="n">
        <v>20.47</v>
      </c>
      <c r="I989" s="2" t="s">
        <v>26</v>
      </c>
      <c r="J989" s="2" t="s">
        <v>3590</v>
      </c>
      <c r="K989" s="2" t="s">
        <v>95</v>
      </c>
      <c r="L989" s="2"/>
      <c r="M989" s="2" t="s">
        <v>2390</v>
      </c>
    </row>
    <row r="990" customFormat="false" ht="15" hidden="false" customHeight="false" outlineLevel="0" collapsed="false">
      <c r="A990" s="2" t="s">
        <v>3591</v>
      </c>
      <c r="B990" s="2" t="s">
        <v>3592</v>
      </c>
      <c r="C990" s="2" t="s">
        <v>3593</v>
      </c>
      <c r="D990" s="13" t="n">
        <v>45838.6083333333</v>
      </c>
      <c r="E990" s="2" t="s">
        <v>35</v>
      </c>
      <c r="F990" s="2" t="s">
        <v>29</v>
      </c>
      <c r="G990" s="2" t="n">
        <v>2254.83</v>
      </c>
      <c r="H990" s="2" t="n">
        <v>10.21</v>
      </c>
      <c r="I990" s="2" t="s">
        <v>26</v>
      </c>
      <c r="J990" s="2" t="s">
        <v>3594</v>
      </c>
      <c r="K990" s="2" t="s">
        <v>89</v>
      </c>
      <c r="L990" s="2" t="s">
        <v>523</v>
      </c>
      <c r="M990" s="2"/>
    </row>
    <row r="991" customFormat="false" ht="15" hidden="false" customHeight="false" outlineLevel="0" collapsed="false">
      <c r="A991" s="2" t="s">
        <v>3595</v>
      </c>
      <c r="B991" s="2" t="s">
        <v>3596</v>
      </c>
      <c r="C991" s="2" t="s">
        <v>3597</v>
      </c>
      <c r="D991" s="13" t="n">
        <v>45995.9291666667</v>
      </c>
      <c r="E991" s="2" t="s">
        <v>39</v>
      </c>
      <c r="F991" s="2" t="s">
        <v>29</v>
      </c>
      <c r="G991" s="2" t="n">
        <v>4777.51</v>
      </c>
      <c r="H991" s="2" t="n">
        <v>26.64</v>
      </c>
      <c r="I991" s="2" t="s">
        <v>30</v>
      </c>
      <c r="J991" s="2" t="s">
        <v>3598</v>
      </c>
      <c r="K991" s="2" t="s">
        <v>122</v>
      </c>
      <c r="L991" s="2" t="s">
        <v>1152</v>
      </c>
      <c r="M991" s="2"/>
    </row>
    <row r="992" customFormat="false" ht="15" hidden="false" customHeight="false" outlineLevel="0" collapsed="false">
      <c r="A992" s="2" t="s">
        <v>3599</v>
      </c>
      <c r="B992" s="2" t="s">
        <v>1149</v>
      </c>
      <c r="C992" s="2" t="s">
        <v>1150</v>
      </c>
      <c r="D992" s="13" t="n">
        <v>45821.9006944444</v>
      </c>
      <c r="E992" s="2" t="s">
        <v>39</v>
      </c>
      <c r="F992" s="2" t="s">
        <v>29</v>
      </c>
      <c r="G992" s="2" t="n">
        <v>8157.03</v>
      </c>
      <c r="H992" s="2" t="n">
        <v>27.25</v>
      </c>
      <c r="I992" s="2" t="s">
        <v>26</v>
      </c>
      <c r="J992" s="2" t="s">
        <v>3600</v>
      </c>
      <c r="K992" s="2" t="s">
        <v>101</v>
      </c>
      <c r="L992" s="2" t="s">
        <v>1726</v>
      </c>
      <c r="M992" s="2"/>
    </row>
    <row r="993" customFormat="false" ht="15" hidden="false" customHeight="false" outlineLevel="0" collapsed="false">
      <c r="A993" s="2" t="s">
        <v>3601</v>
      </c>
      <c r="B993" s="2" t="s">
        <v>3602</v>
      </c>
      <c r="C993" s="2" t="s">
        <v>3603</v>
      </c>
      <c r="D993" s="13" t="n">
        <v>45541.8965277778</v>
      </c>
      <c r="E993" s="2" t="s">
        <v>39</v>
      </c>
      <c r="F993" s="2" t="s">
        <v>29</v>
      </c>
      <c r="G993" s="2" t="n">
        <v>6306.62</v>
      </c>
      <c r="H993" s="2" t="n">
        <v>45.02</v>
      </c>
      <c r="I993" s="2" t="s">
        <v>28</v>
      </c>
      <c r="J993" s="2" t="s">
        <v>3604</v>
      </c>
      <c r="K993" s="2" t="s">
        <v>89</v>
      </c>
      <c r="L993" s="2" t="s">
        <v>1160</v>
      </c>
      <c r="M993" s="2"/>
    </row>
    <row r="994" customFormat="false" ht="15" hidden="false" customHeight="false" outlineLevel="0" collapsed="false">
      <c r="A994" s="2" t="s">
        <v>3605</v>
      </c>
      <c r="B994" s="2" t="s">
        <v>3606</v>
      </c>
      <c r="C994" s="2" t="s">
        <v>3607</v>
      </c>
      <c r="D994" s="13" t="n">
        <v>45394.9270833333</v>
      </c>
      <c r="E994" s="2" t="s">
        <v>39</v>
      </c>
      <c r="F994" s="2" t="s">
        <v>31</v>
      </c>
      <c r="G994" s="2" t="n">
        <v>1643.97</v>
      </c>
      <c r="H994" s="2" t="n">
        <v>5</v>
      </c>
      <c r="I994" s="2" t="s">
        <v>26</v>
      </c>
      <c r="J994" s="2" t="s">
        <v>3608</v>
      </c>
      <c r="K994" s="2" t="s">
        <v>95</v>
      </c>
      <c r="L994" s="2" t="s">
        <v>541</v>
      </c>
      <c r="M994" s="2"/>
    </row>
    <row r="995" customFormat="false" ht="15" hidden="false" customHeight="false" outlineLevel="0" collapsed="false">
      <c r="A995" s="2" t="s">
        <v>3609</v>
      </c>
      <c r="B995" s="2" t="s">
        <v>749</v>
      </c>
      <c r="C995" s="2" t="s">
        <v>750</v>
      </c>
      <c r="D995" s="13" t="n">
        <v>45784.8402777778</v>
      </c>
      <c r="E995" s="2" t="s">
        <v>37</v>
      </c>
      <c r="F995" s="2" t="s">
        <v>29</v>
      </c>
      <c r="G995" s="2" t="n">
        <v>1061.81</v>
      </c>
      <c r="H995" s="2" t="n">
        <v>5</v>
      </c>
      <c r="I995" s="2" t="s">
        <v>26</v>
      </c>
      <c r="J995" s="2" t="s">
        <v>3610</v>
      </c>
      <c r="K995" s="2" t="s">
        <v>101</v>
      </c>
      <c r="L995" s="2" t="s">
        <v>1169</v>
      </c>
      <c r="M995" s="2"/>
    </row>
    <row r="996" customFormat="false" ht="15" hidden="false" customHeight="false" outlineLevel="0" collapsed="false">
      <c r="A996" s="2" t="s">
        <v>3611</v>
      </c>
      <c r="B996" s="2" t="s">
        <v>1551</v>
      </c>
      <c r="C996" s="2" t="s">
        <v>1552</v>
      </c>
      <c r="D996" s="13" t="n">
        <v>45630.9118055556</v>
      </c>
      <c r="E996" s="2" t="s">
        <v>39</v>
      </c>
      <c r="F996" s="2" t="s">
        <v>29</v>
      </c>
      <c r="G996" s="2" t="n">
        <v>5741.18</v>
      </c>
      <c r="H996" s="2" t="n">
        <v>57.91</v>
      </c>
      <c r="I996" s="2" t="s">
        <v>26</v>
      </c>
      <c r="J996" s="2" t="s">
        <v>3612</v>
      </c>
      <c r="K996" s="2" t="s">
        <v>95</v>
      </c>
      <c r="L996" s="2" t="s">
        <v>2735</v>
      </c>
      <c r="M996" s="2"/>
    </row>
    <row r="997" customFormat="false" ht="15" hidden="false" customHeight="false" outlineLevel="0" collapsed="false">
      <c r="A997" s="2" t="s">
        <v>3613</v>
      </c>
      <c r="B997" s="2" t="s">
        <v>2082</v>
      </c>
      <c r="C997" s="2" t="s">
        <v>2083</v>
      </c>
      <c r="D997" s="13" t="n">
        <v>45492.3090277778</v>
      </c>
      <c r="E997" s="2" t="s">
        <v>35</v>
      </c>
      <c r="F997" s="2" t="s">
        <v>31</v>
      </c>
      <c r="G997" s="2" t="n">
        <v>3373.94</v>
      </c>
      <c r="H997" s="2" t="n">
        <v>28.58</v>
      </c>
      <c r="I997" s="2" t="s">
        <v>30</v>
      </c>
      <c r="J997" s="2" t="s">
        <v>3614</v>
      </c>
      <c r="K997" s="2" t="s">
        <v>101</v>
      </c>
      <c r="L997" s="2" t="s">
        <v>556</v>
      </c>
      <c r="M997" s="2"/>
    </row>
    <row r="998" customFormat="false" ht="15" hidden="false" customHeight="false" outlineLevel="0" collapsed="false">
      <c r="A998" s="2" t="s">
        <v>3615</v>
      </c>
      <c r="B998" s="2" t="s">
        <v>3566</v>
      </c>
      <c r="C998" s="2" t="s">
        <v>3567</v>
      </c>
      <c r="D998" s="13" t="n">
        <v>45433.5125</v>
      </c>
      <c r="E998" s="2" t="s">
        <v>39</v>
      </c>
      <c r="F998" s="2" t="s">
        <v>27</v>
      </c>
      <c r="G998" s="2" t="n">
        <v>6355.5</v>
      </c>
      <c r="H998" s="2" t="n">
        <v>62.81</v>
      </c>
      <c r="I998" s="2" t="s">
        <v>26</v>
      </c>
      <c r="J998" s="2" t="s">
        <v>3616</v>
      </c>
      <c r="K998" s="2" t="s">
        <v>122</v>
      </c>
      <c r="L998" s="2"/>
      <c r="M998" s="2" t="s">
        <v>561</v>
      </c>
    </row>
    <row r="999" customFormat="false" ht="15" hidden="false" customHeight="false" outlineLevel="0" collapsed="false">
      <c r="A999" s="2" t="s">
        <v>3617</v>
      </c>
      <c r="B999" s="2" t="s">
        <v>2809</v>
      </c>
      <c r="C999" s="2" t="s">
        <v>2810</v>
      </c>
      <c r="D999" s="13" t="n">
        <v>45397.7111111111</v>
      </c>
      <c r="E999" s="2" t="s">
        <v>39</v>
      </c>
      <c r="F999" s="2" t="s">
        <v>31</v>
      </c>
      <c r="G999" s="2" t="n">
        <v>812.15</v>
      </c>
      <c r="H999" s="2" t="n">
        <v>6.22</v>
      </c>
      <c r="I999" s="2" t="s">
        <v>26</v>
      </c>
      <c r="J999" s="2" t="s">
        <v>3618</v>
      </c>
      <c r="K999" s="2" t="s">
        <v>122</v>
      </c>
      <c r="L999" s="2" t="s">
        <v>566</v>
      </c>
      <c r="M999" s="2"/>
    </row>
    <row r="1000" customFormat="false" ht="15" hidden="false" customHeight="false" outlineLevel="0" collapsed="false">
      <c r="A1000" s="2" t="s">
        <v>3619</v>
      </c>
      <c r="B1000" s="2" t="s">
        <v>805</v>
      </c>
      <c r="C1000" s="2" t="s">
        <v>806</v>
      </c>
      <c r="D1000" s="13" t="n">
        <v>45547.5791666667</v>
      </c>
      <c r="E1000" s="2" t="s">
        <v>41</v>
      </c>
      <c r="F1000" s="2" t="s">
        <v>29</v>
      </c>
      <c r="G1000" s="2" t="n">
        <v>6499.56</v>
      </c>
      <c r="H1000" s="2" t="n">
        <v>21.82</v>
      </c>
      <c r="I1000" s="2" t="s">
        <v>26</v>
      </c>
      <c r="J1000" s="2" t="s">
        <v>3620</v>
      </c>
      <c r="K1000" s="2" t="s">
        <v>89</v>
      </c>
      <c r="L1000" s="2" t="s">
        <v>1190</v>
      </c>
      <c r="M1000" s="2"/>
    </row>
    <row r="1001" customFormat="false" ht="15" hidden="false" customHeight="false" outlineLevel="0" collapsed="false">
      <c r="A1001" s="2" t="s">
        <v>3621</v>
      </c>
      <c r="B1001" s="2" t="s">
        <v>563</v>
      </c>
      <c r="C1001" s="2" t="s">
        <v>564</v>
      </c>
      <c r="D1001" s="13" t="n">
        <v>45529.4659722222</v>
      </c>
      <c r="E1001" s="2" t="s">
        <v>39</v>
      </c>
      <c r="F1001" s="2" t="s">
        <v>31</v>
      </c>
      <c r="G1001" s="2" t="n">
        <v>5414.26</v>
      </c>
      <c r="H1001" s="2" t="n">
        <v>31.28</v>
      </c>
      <c r="I1001" s="2" t="s">
        <v>30</v>
      </c>
      <c r="J1001" s="2" t="s">
        <v>3622</v>
      </c>
      <c r="K1001" s="2" t="s">
        <v>89</v>
      </c>
      <c r="L1001" s="2" t="s">
        <v>1759</v>
      </c>
      <c r="M1001" s="2"/>
    </row>
    <row r="1002" customFormat="false" ht="15" hidden="false" customHeight="false" outlineLevel="0" collapsed="false">
      <c r="A1002" s="2" t="s">
        <v>3623</v>
      </c>
      <c r="B1002" s="2" t="s">
        <v>3237</v>
      </c>
      <c r="C1002" s="2" t="s">
        <v>3238</v>
      </c>
      <c r="D1002" s="13" t="n">
        <v>45369.45</v>
      </c>
      <c r="E1002" s="2" t="s">
        <v>43</v>
      </c>
      <c r="F1002" s="2" t="s">
        <v>31</v>
      </c>
      <c r="G1002" s="2" t="n">
        <v>1371.46</v>
      </c>
      <c r="H1002" s="2" t="n">
        <v>5.61</v>
      </c>
      <c r="I1002" s="2" t="s">
        <v>26</v>
      </c>
      <c r="J1002" s="2" t="s">
        <v>3624</v>
      </c>
      <c r="K1002" s="2" t="s">
        <v>95</v>
      </c>
      <c r="L1002" s="2"/>
      <c r="M1002" s="2" t="s">
        <v>581</v>
      </c>
    </row>
    <row r="1003" customFormat="false" ht="15" hidden="false" customHeight="false" outlineLevel="0" collapsed="false">
      <c r="A1003" s="2" t="s">
        <v>3625</v>
      </c>
      <c r="B1003" s="2" t="s">
        <v>3626</v>
      </c>
      <c r="C1003" s="2" t="s">
        <v>3627</v>
      </c>
      <c r="D1003" s="13" t="n">
        <v>45470.7576388889</v>
      </c>
      <c r="E1003" s="2" t="s">
        <v>41</v>
      </c>
      <c r="F1003" s="2" t="s">
        <v>32</v>
      </c>
      <c r="G1003" s="2" t="n">
        <v>7740.01</v>
      </c>
      <c r="H1003" s="2" t="n">
        <v>24.52</v>
      </c>
      <c r="I1003" s="2" t="s">
        <v>26</v>
      </c>
      <c r="J1003" s="2" t="s">
        <v>3628</v>
      </c>
      <c r="K1003" s="2" t="s">
        <v>101</v>
      </c>
      <c r="L1003" s="2" t="s">
        <v>584</v>
      </c>
      <c r="M1003" s="2"/>
    </row>
    <row r="1004" customFormat="false" ht="15" hidden="false" customHeight="false" outlineLevel="0" collapsed="false">
      <c r="A1004" s="2" t="s">
        <v>3629</v>
      </c>
      <c r="B1004" s="2" t="s">
        <v>3630</v>
      </c>
      <c r="C1004" s="2" t="s">
        <v>3631</v>
      </c>
      <c r="D1004" s="13" t="n">
        <v>45713.68125</v>
      </c>
      <c r="E1004" s="2" t="s">
        <v>35</v>
      </c>
      <c r="F1004" s="2" t="s">
        <v>29</v>
      </c>
      <c r="G1004" s="2" t="n">
        <v>1600.98</v>
      </c>
      <c r="H1004" s="2" t="n">
        <v>11.22</v>
      </c>
      <c r="I1004" s="2" t="s">
        <v>28</v>
      </c>
      <c r="J1004" s="2" t="s">
        <v>3632</v>
      </c>
      <c r="K1004" s="2" t="s">
        <v>122</v>
      </c>
      <c r="L1004" s="2" t="s">
        <v>589</v>
      </c>
      <c r="M1004" s="2"/>
    </row>
    <row r="1005" customFormat="false" ht="15" hidden="false" customHeight="false" outlineLevel="0" collapsed="false">
      <c r="A1005" s="2" t="s">
        <v>3633</v>
      </c>
      <c r="B1005" s="2" t="s">
        <v>2190</v>
      </c>
      <c r="C1005" s="2" t="s">
        <v>2191</v>
      </c>
      <c r="D1005" s="13" t="n">
        <v>45297.5111111111</v>
      </c>
      <c r="E1005" s="2" t="s">
        <v>41</v>
      </c>
      <c r="F1005" s="2" t="s">
        <v>31</v>
      </c>
      <c r="G1005" s="2" t="n">
        <v>5175.97</v>
      </c>
      <c r="H1005" s="2" t="n">
        <v>20.36</v>
      </c>
      <c r="I1005" s="2" t="s">
        <v>30</v>
      </c>
      <c r="J1005" s="2" t="s">
        <v>3634</v>
      </c>
      <c r="K1005" s="2" t="s">
        <v>101</v>
      </c>
      <c r="L1005" s="2" t="s">
        <v>1212</v>
      </c>
      <c r="M1005" s="2"/>
    </row>
    <row r="1006" customFormat="false" ht="15" hidden="false" customHeight="false" outlineLevel="0" collapsed="false">
      <c r="A1006" s="2" t="s">
        <v>3635</v>
      </c>
      <c r="B1006" s="2" t="s">
        <v>2050</v>
      </c>
      <c r="C1006" s="2" t="s">
        <v>2051</v>
      </c>
      <c r="D1006" s="13" t="n">
        <v>45739.9027777778</v>
      </c>
      <c r="E1006" s="2" t="s">
        <v>41</v>
      </c>
      <c r="F1006" s="2" t="s">
        <v>29</v>
      </c>
      <c r="G1006" s="2" t="n">
        <v>8760.55</v>
      </c>
      <c r="H1006" s="2" t="n">
        <v>93.47</v>
      </c>
      <c r="I1006" s="2" t="s">
        <v>30</v>
      </c>
      <c r="J1006" s="2" t="s">
        <v>3636</v>
      </c>
      <c r="K1006" s="2" t="s">
        <v>101</v>
      </c>
      <c r="L1006" s="2" t="s">
        <v>599</v>
      </c>
      <c r="M1006" s="2"/>
    </row>
    <row r="1007" customFormat="false" ht="15" hidden="false" customHeight="false" outlineLevel="0" collapsed="false">
      <c r="A1007" s="2" t="s">
        <v>3637</v>
      </c>
      <c r="B1007" s="2" t="s">
        <v>801</v>
      </c>
      <c r="C1007" s="2" t="s">
        <v>802</v>
      </c>
      <c r="D1007" s="13" t="n">
        <v>45928.9534722222</v>
      </c>
      <c r="E1007" s="2" t="s">
        <v>35</v>
      </c>
      <c r="F1007" s="2" t="s">
        <v>32</v>
      </c>
      <c r="G1007" s="2" t="n">
        <v>1858.92</v>
      </c>
      <c r="H1007" s="2" t="n">
        <v>18.11</v>
      </c>
      <c r="I1007" s="2" t="s">
        <v>26</v>
      </c>
      <c r="J1007" s="2" t="s">
        <v>3638</v>
      </c>
      <c r="K1007" s="2" t="s">
        <v>122</v>
      </c>
      <c r="L1007" s="2" t="s">
        <v>604</v>
      </c>
      <c r="M1007" s="2"/>
    </row>
    <row r="1008" customFormat="false" ht="15" hidden="false" customHeight="false" outlineLevel="0" collapsed="false">
      <c r="A1008" s="2" t="s">
        <v>3639</v>
      </c>
      <c r="B1008" s="2" t="s">
        <v>3640</v>
      </c>
      <c r="C1008" s="2" t="s">
        <v>3641</v>
      </c>
      <c r="D1008" s="13" t="n">
        <v>45632.3868055556</v>
      </c>
      <c r="E1008" s="2" t="s">
        <v>35</v>
      </c>
      <c r="F1008" s="2" t="s">
        <v>32</v>
      </c>
      <c r="G1008" s="2" t="n">
        <v>3289.36</v>
      </c>
      <c r="H1008" s="2" t="n">
        <v>38.17</v>
      </c>
      <c r="I1008" s="2" t="s">
        <v>30</v>
      </c>
      <c r="J1008" s="2" t="s">
        <v>3642</v>
      </c>
      <c r="K1008" s="2" t="s">
        <v>89</v>
      </c>
      <c r="L1008" s="2" t="s">
        <v>607</v>
      </c>
      <c r="M1008" s="2"/>
    </row>
    <row r="1009" customFormat="false" ht="15" hidden="false" customHeight="false" outlineLevel="0" collapsed="false">
      <c r="A1009" s="2" t="s">
        <v>3643</v>
      </c>
      <c r="B1009" s="2" t="s">
        <v>2871</v>
      </c>
      <c r="C1009" s="2" t="s">
        <v>2872</v>
      </c>
      <c r="D1009" s="13" t="n">
        <v>45718.8465277778</v>
      </c>
      <c r="E1009" s="2" t="s">
        <v>41</v>
      </c>
      <c r="F1009" s="2" t="s">
        <v>32</v>
      </c>
      <c r="G1009" s="2" t="n">
        <v>1113.83</v>
      </c>
      <c r="H1009" s="2" t="n">
        <v>13.28</v>
      </c>
      <c r="I1009" s="2" t="s">
        <v>26</v>
      </c>
      <c r="J1009" s="2" t="s">
        <v>3644</v>
      </c>
      <c r="K1009" s="2" t="s">
        <v>101</v>
      </c>
      <c r="L1009" s="2" t="s">
        <v>612</v>
      </c>
      <c r="M1009" s="2"/>
    </row>
    <row r="1010" customFormat="false" ht="15" hidden="false" customHeight="false" outlineLevel="0" collapsed="false">
      <c r="A1010" s="2" t="s">
        <v>3645</v>
      </c>
      <c r="B1010" s="2" t="s">
        <v>2954</v>
      </c>
      <c r="C1010" s="2" t="s">
        <v>2955</v>
      </c>
      <c r="D1010" s="13" t="n">
        <v>45587.9090277778</v>
      </c>
      <c r="E1010" s="2" t="s">
        <v>41</v>
      </c>
      <c r="F1010" s="2" t="s">
        <v>29</v>
      </c>
      <c r="G1010" s="2" t="n">
        <v>8979.3</v>
      </c>
      <c r="H1010" s="2" t="n">
        <v>46.49</v>
      </c>
      <c r="I1010" s="2" t="s">
        <v>26</v>
      </c>
      <c r="J1010" s="2" t="s">
        <v>3646</v>
      </c>
      <c r="K1010" s="2" t="s">
        <v>122</v>
      </c>
      <c r="L1010" s="2" t="s">
        <v>1232</v>
      </c>
      <c r="M1010" s="2"/>
    </row>
    <row r="1011" customFormat="false" ht="15" hidden="false" customHeight="false" outlineLevel="0" collapsed="false">
      <c r="A1011" s="2" t="s">
        <v>3647</v>
      </c>
      <c r="B1011" s="2" t="s">
        <v>2783</v>
      </c>
      <c r="C1011" s="2" t="s">
        <v>2784</v>
      </c>
      <c r="D1011" s="13" t="n">
        <v>45941.7409722222</v>
      </c>
      <c r="E1011" s="2" t="s">
        <v>37</v>
      </c>
      <c r="F1011" s="2" t="s">
        <v>27</v>
      </c>
      <c r="G1011" s="2" t="n">
        <v>2199.24</v>
      </c>
      <c r="H1011" s="2" t="n">
        <v>23.7</v>
      </c>
      <c r="I1011" s="2" t="s">
        <v>28</v>
      </c>
      <c r="J1011" s="2" t="s">
        <v>3648</v>
      </c>
      <c r="K1011" s="2" t="s">
        <v>95</v>
      </c>
      <c r="L1011" s="2"/>
      <c r="M1011" s="2" t="s">
        <v>1795</v>
      </c>
    </row>
    <row r="1012" customFormat="false" ht="15" hidden="false" customHeight="false" outlineLevel="0" collapsed="false">
      <c r="A1012" s="2" t="s">
        <v>3649</v>
      </c>
      <c r="B1012" s="2" t="s">
        <v>2521</v>
      </c>
      <c r="C1012" s="2" t="s">
        <v>2522</v>
      </c>
      <c r="D1012" s="13" t="n">
        <v>45397.7291666667</v>
      </c>
      <c r="E1012" s="2" t="s">
        <v>37</v>
      </c>
      <c r="F1012" s="2" t="s">
        <v>32</v>
      </c>
      <c r="G1012" s="2" t="n">
        <v>545.56</v>
      </c>
      <c r="H1012" s="2" t="n">
        <v>5.8</v>
      </c>
      <c r="I1012" s="2" t="s">
        <v>30</v>
      </c>
      <c r="J1012" s="2" t="s">
        <v>3650</v>
      </c>
      <c r="K1012" s="2" t="s">
        <v>95</v>
      </c>
      <c r="L1012" s="2" t="s">
        <v>1241</v>
      </c>
      <c r="M1012" s="2"/>
    </row>
    <row r="1013" customFormat="false" ht="15" hidden="false" customHeight="false" outlineLevel="0" collapsed="false">
      <c r="A1013" s="2" t="s">
        <v>3651</v>
      </c>
      <c r="B1013" s="2" t="s">
        <v>3652</v>
      </c>
      <c r="C1013" s="2" t="s">
        <v>3653</v>
      </c>
      <c r="D1013" s="13" t="n">
        <v>45569.5708333333</v>
      </c>
      <c r="E1013" s="2" t="s">
        <v>37</v>
      </c>
      <c r="F1013" s="2" t="s">
        <v>32</v>
      </c>
      <c r="G1013" s="2" t="n">
        <v>1788.59</v>
      </c>
      <c r="H1013" s="2" t="n">
        <v>12.52</v>
      </c>
      <c r="I1013" s="2" t="s">
        <v>30</v>
      </c>
      <c r="J1013" s="2" t="s">
        <v>3654</v>
      </c>
      <c r="K1013" s="2" t="s">
        <v>89</v>
      </c>
      <c r="L1013" s="2" t="s">
        <v>632</v>
      </c>
      <c r="M1013" s="2"/>
    </row>
    <row r="1014" customFormat="false" ht="15" hidden="false" customHeight="false" outlineLevel="0" collapsed="false">
      <c r="A1014" s="2" t="s">
        <v>3655</v>
      </c>
      <c r="B1014" s="2" t="s">
        <v>1563</v>
      </c>
      <c r="C1014" s="2" t="s">
        <v>1564</v>
      </c>
      <c r="D1014" s="13" t="n">
        <v>45395.8236111111</v>
      </c>
      <c r="E1014" s="2" t="s">
        <v>41</v>
      </c>
      <c r="F1014" s="2" t="s">
        <v>31</v>
      </c>
      <c r="G1014" s="2" t="n">
        <v>4418.6</v>
      </c>
      <c r="H1014" s="2" t="n">
        <v>29.62</v>
      </c>
      <c r="I1014" s="2" t="s">
        <v>26</v>
      </c>
      <c r="J1014" s="2" t="s">
        <v>3656</v>
      </c>
      <c r="K1014" s="2" t="s">
        <v>89</v>
      </c>
      <c r="L1014" s="2" t="s">
        <v>637</v>
      </c>
      <c r="M1014" s="2"/>
    </row>
    <row r="1015" customFormat="false" ht="15" hidden="false" customHeight="false" outlineLevel="0" collapsed="false">
      <c r="A1015" s="2" t="s">
        <v>3657</v>
      </c>
      <c r="B1015" s="2" t="s">
        <v>3658</v>
      </c>
      <c r="C1015" s="2" t="s">
        <v>3659</v>
      </c>
      <c r="D1015" s="13" t="n">
        <v>45521.3791666667</v>
      </c>
      <c r="E1015" s="2" t="s">
        <v>37</v>
      </c>
      <c r="F1015" s="2" t="s">
        <v>31</v>
      </c>
      <c r="G1015" s="2" t="n">
        <v>1745.14</v>
      </c>
      <c r="H1015" s="2" t="n">
        <v>14.93</v>
      </c>
      <c r="I1015" s="2" t="s">
        <v>26</v>
      </c>
      <c r="J1015" s="2" t="s">
        <v>3660</v>
      </c>
      <c r="K1015" s="2" t="s">
        <v>95</v>
      </c>
      <c r="L1015" s="2" t="s">
        <v>640</v>
      </c>
      <c r="M1015" s="2"/>
    </row>
    <row r="1016" customFormat="false" ht="15" hidden="false" customHeight="false" outlineLevel="0" collapsed="false">
      <c r="A1016" s="2" t="s">
        <v>3661</v>
      </c>
      <c r="B1016" s="2" t="s">
        <v>659</v>
      </c>
      <c r="C1016" s="2" t="s">
        <v>660</v>
      </c>
      <c r="D1016" s="13" t="n">
        <v>45801.5625</v>
      </c>
      <c r="E1016" s="2" t="s">
        <v>39</v>
      </c>
      <c r="F1016" s="2" t="s">
        <v>29</v>
      </c>
      <c r="G1016" s="2" t="n">
        <v>17281.81</v>
      </c>
      <c r="H1016" s="2" t="n">
        <v>168.2</v>
      </c>
      <c r="I1016" s="2" t="s">
        <v>28</v>
      </c>
      <c r="J1016" s="2" t="s">
        <v>3662</v>
      </c>
      <c r="K1016" s="2" t="s">
        <v>122</v>
      </c>
      <c r="L1016" s="2" t="s">
        <v>645</v>
      </c>
      <c r="M1016" s="2"/>
    </row>
    <row r="1017" customFormat="false" ht="15" hidden="false" customHeight="false" outlineLevel="0" collapsed="false">
      <c r="A1017" s="2" t="s">
        <v>3663</v>
      </c>
      <c r="B1017" s="2" t="s">
        <v>1636</v>
      </c>
      <c r="C1017" s="2" t="s">
        <v>1637</v>
      </c>
      <c r="D1017" s="13" t="n">
        <v>45785.3159722222</v>
      </c>
      <c r="E1017" s="2" t="s">
        <v>41</v>
      </c>
      <c r="F1017" s="2" t="s">
        <v>31</v>
      </c>
      <c r="G1017" s="2" t="n">
        <v>12187.59</v>
      </c>
      <c r="H1017" s="2" t="n">
        <v>57.9</v>
      </c>
      <c r="I1017" s="2" t="s">
        <v>26</v>
      </c>
      <c r="J1017" s="2" t="s">
        <v>3664</v>
      </c>
      <c r="K1017" s="2" t="s">
        <v>89</v>
      </c>
      <c r="L1017" s="2" t="s">
        <v>648</v>
      </c>
      <c r="M1017" s="2"/>
    </row>
    <row r="1018" customFormat="false" ht="15" hidden="false" customHeight="false" outlineLevel="0" collapsed="false">
      <c r="A1018" s="2" t="s">
        <v>3665</v>
      </c>
      <c r="B1018" s="2" t="s">
        <v>3602</v>
      </c>
      <c r="C1018" s="2" t="s">
        <v>3603</v>
      </c>
      <c r="D1018" s="13" t="n">
        <v>45699.5673611111</v>
      </c>
      <c r="E1018" s="2" t="s">
        <v>41</v>
      </c>
      <c r="F1018" s="2" t="s">
        <v>29</v>
      </c>
      <c r="G1018" s="2" t="n">
        <v>33536.14</v>
      </c>
      <c r="H1018" s="2" t="n">
        <v>215.31</v>
      </c>
      <c r="I1018" s="2" t="s">
        <v>30</v>
      </c>
      <c r="J1018" s="2" t="s">
        <v>3666</v>
      </c>
      <c r="K1018" s="2" t="s">
        <v>101</v>
      </c>
      <c r="L1018" s="2" t="s">
        <v>1262</v>
      </c>
      <c r="M1018" s="2"/>
    </row>
    <row r="1019" customFormat="false" ht="15" hidden="false" customHeight="false" outlineLevel="0" collapsed="false">
      <c r="A1019" s="2" t="s">
        <v>3667</v>
      </c>
      <c r="B1019" s="2" t="s">
        <v>1596</v>
      </c>
      <c r="C1019" s="2" t="s">
        <v>1597</v>
      </c>
      <c r="D1019" s="13" t="n">
        <v>45439.5166666667</v>
      </c>
      <c r="E1019" s="2" t="s">
        <v>41</v>
      </c>
      <c r="F1019" s="2" t="s">
        <v>32</v>
      </c>
      <c r="G1019" s="2" t="n">
        <v>9275.44</v>
      </c>
      <c r="H1019" s="2" t="n">
        <v>88.18</v>
      </c>
      <c r="I1019" s="2" t="s">
        <v>28</v>
      </c>
      <c r="J1019" s="2" t="s">
        <v>3668</v>
      </c>
      <c r="K1019" s="2" t="s">
        <v>89</v>
      </c>
      <c r="L1019" s="2" t="s">
        <v>1267</v>
      </c>
      <c r="M1019" s="2"/>
    </row>
    <row r="1020" customFormat="false" ht="15" hidden="false" customHeight="false" outlineLevel="0" collapsed="false">
      <c r="A1020" s="2" t="s">
        <v>3669</v>
      </c>
      <c r="B1020" s="2" t="s">
        <v>1036</v>
      </c>
      <c r="C1020" s="2" t="s">
        <v>1037</v>
      </c>
      <c r="D1020" s="13" t="n">
        <v>45434.6666666667</v>
      </c>
      <c r="E1020" s="2" t="s">
        <v>39</v>
      </c>
      <c r="F1020" s="2" t="s">
        <v>32</v>
      </c>
      <c r="G1020" s="2" t="n">
        <v>282.42</v>
      </c>
      <c r="H1020" s="2" t="n">
        <v>5</v>
      </c>
      <c r="I1020" s="2" t="s">
        <v>30</v>
      </c>
      <c r="J1020" s="2" t="s">
        <v>3670</v>
      </c>
      <c r="K1020" s="2" t="s">
        <v>122</v>
      </c>
      <c r="L1020" s="2" t="s">
        <v>1272</v>
      </c>
      <c r="M1020" s="2"/>
    </row>
    <row r="1021" customFormat="false" ht="15" hidden="false" customHeight="false" outlineLevel="0" collapsed="false">
      <c r="A1021" s="2" t="s">
        <v>3671</v>
      </c>
      <c r="B1021" s="2" t="s">
        <v>235</v>
      </c>
      <c r="C1021" s="2" t="s">
        <v>236</v>
      </c>
      <c r="D1021" s="13" t="n">
        <v>45684.6916666667</v>
      </c>
      <c r="E1021" s="2" t="s">
        <v>39</v>
      </c>
      <c r="F1021" s="2" t="s">
        <v>27</v>
      </c>
      <c r="G1021" s="2" t="n">
        <v>3360.89</v>
      </c>
      <c r="H1021" s="2" t="n">
        <v>21.9</v>
      </c>
      <c r="I1021" s="2" t="s">
        <v>30</v>
      </c>
      <c r="J1021" s="2" t="s">
        <v>3672</v>
      </c>
      <c r="K1021" s="2" t="s">
        <v>95</v>
      </c>
      <c r="L1021" s="2"/>
      <c r="M1021" s="2" t="s">
        <v>667</v>
      </c>
    </row>
    <row r="1022" customFormat="false" ht="15" hidden="false" customHeight="false" outlineLevel="0" collapsed="false">
      <c r="A1022" s="2" t="s">
        <v>3673</v>
      </c>
      <c r="B1022" s="2" t="s">
        <v>240</v>
      </c>
      <c r="C1022" s="2" t="s">
        <v>241</v>
      </c>
      <c r="D1022" s="13" t="n">
        <v>45628.6097222222</v>
      </c>
      <c r="E1022" s="2" t="s">
        <v>43</v>
      </c>
      <c r="F1022" s="2" t="s">
        <v>31</v>
      </c>
      <c r="G1022" s="2" t="n">
        <v>3203.27</v>
      </c>
      <c r="H1022" s="2" t="n">
        <v>31.56</v>
      </c>
      <c r="I1022" s="2" t="s">
        <v>26</v>
      </c>
      <c r="J1022" s="2" t="s">
        <v>3674</v>
      </c>
      <c r="K1022" s="2" t="s">
        <v>122</v>
      </c>
      <c r="L1022" s="2"/>
      <c r="M1022" s="2" t="s">
        <v>183</v>
      </c>
    </row>
    <row r="1023" customFormat="false" ht="15" hidden="false" customHeight="false" outlineLevel="0" collapsed="false">
      <c r="A1023" s="2" t="s">
        <v>3675</v>
      </c>
      <c r="B1023" s="2" t="s">
        <v>1418</v>
      </c>
      <c r="C1023" s="2" t="s">
        <v>1419</v>
      </c>
      <c r="D1023" s="13" t="n">
        <v>45544.6569444445</v>
      </c>
      <c r="E1023" s="2" t="s">
        <v>41</v>
      </c>
      <c r="F1023" s="2" t="s">
        <v>32</v>
      </c>
      <c r="G1023" s="2" t="n">
        <v>7419.92</v>
      </c>
      <c r="H1023" s="2" t="n">
        <v>20.87</v>
      </c>
      <c r="I1023" s="2" t="s">
        <v>26</v>
      </c>
      <c r="J1023" s="2" t="s">
        <v>3676</v>
      </c>
      <c r="K1023" s="2" t="s">
        <v>101</v>
      </c>
      <c r="L1023" s="2" t="s">
        <v>676</v>
      </c>
      <c r="M1023" s="2"/>
    </row>
    <row r="1024" customFormat="false" ht="15" hidden="false" customHeight="false" outlineLevel="0" collapsed="false">
      <c r="A1024" s="2" t="s">
        <v>3677</v>
      </c>
      <c r="B1024" s="2" t="s">
        <v>3204</v>
      </c>
      <c r="C1024" s="2" t="s">
        <v>3205</v>
      </c>
      <c r="D1024" s="13" t="n">
        <v>45779.8701388889</v>
      </c>
      <c r="E1024" s="2" t="s">
        <v>35</v>
      </c>
      <c r="F1024" s="2" t="s">
        <v>31</v>
      </c>
      <c r="G1024" s="2" t="n">
        <v>3448.82</v>
      </c>
      <c r="H1024" s="2" t="n">
        <v>39.9</v>
      </c>
      <c r="I1024" s="2" t="s">
        <v>26</v>
      </c>
      <c r="J1024" s="2" t="s">
        <v>3678</v>
      </c>
      <c r="K1024" s="2" t="s">
        <v>89</v>
      </c>
      <c r="L1024" s="2" t="s">
        <v>681</v>
      </c>
      <c r="M1024" s="2"/>
    </row>
    <row r="1025" customFormat="false" ht="15" hidden="false" customHeight="false" outlineLevel="0" collapsed="false">
      <c r="A1025" s="2" t="s">
        <v>3679</v>
      </c>
      <c r="B1025" s="2" t="s">
        <v>2799</v>
      </c>
      <c r="C1025" s="2" t="s">
        <v>2800</v>
      </c>
      <c r="D1025" s="13" t="n">
        <v>45868.6284722222</v>
      </c>
      <c r="E1025" s="2" t="s">
        <v>39</v>
      </c>
      <c r="F1025" s="2" t="s">
        <v>29</v>
      </c>
      <c r="G1025" s="2" t="n">
        <v>13856.12</v>
      </c>
      <c r="H1025" s="2" t="n">
        <v>57.71</v>
      </c>
      <c r="I1025" s="2" t="s">
        <v>28</v>
      </c>
      <c r="J1025" s="2" t="s">
        <v>3680</v>
      </c>
      <c r="K1025" s="2" t="s">
        <v>89</v>
      </c>
      <c r="L1025" s="2" t="s">
        <v>1294</v>
      </c>
      <c r="M1025" s="2"/>
    </row>
    <row r="1026" customFormat="false" ht="15" hidden="false" customHeight="false" outlineLevel="0" collapsed="false">
      <c r="A1026" s="2" t="s">
        <v>3681</v>
      </c>
      <c r="B1026" s="2" t="s">
        <v>3400</v>
      </c>
      <c r="C1026" s="2" t="s">
        <v>3401</v>
      </c>
      <c r="D1026" s="13" t="n">
        <v>45702.3041666667</v>
      </c>
      <c r="E1026" s="2" t="s">
        <v>39</v>
      </c>
      <c r="F1026" s="2" t="s">
        <v>31</v>
      </c>
      <c r="G1026" s="2" t="n">
        <v>6399.94</v>
      </c>
      <c r="H1026" s="2" t="n">
        <v>55.23</v>
      </c>
      <c r="I1026" s="2" t="s">
        <v>26</v>
      </c>
      <c r="J1026" s="2" t="s">
        <v>3682</v>
      </c>
      <c r="K1026" s="2" t="s">
        <v>101</v>
      </c>
      <c r="L1026" s="2" t="s">
        <v>1299</v>
      </c>
      <c r="M1026" s="2"/>
    </row>
    <row r="1027" customFormat="false" ht="15" hidden="false" customHeight="false" outlineLevel="0" collapsed="false">
      <c r="A1027" s="2" t="s">
        <v>3683</v>
      </c>
      <c r="B1027" s="2" t="s">
        <v>2171</v>
      </c>
      <c r="C1027" s="2" t="s">
        <v>2172</v>
      </c>
      <c r="D1027" s="13" t="n">
        <v>45457.3395833333</v>
      </c>
      <c r="E1027" s="2" t="s">
        <v>37</v>
      </c>
      <c r="F1027" s="2" t="s">
        <v>31</v>
      </c>
      <c r="G1027" s="2" t="n">
        <v>5434.26</v>
      </c>
      <c r="H1027" s="2" t="n">
        <v>33.54</v>
      </c>
      <c r="I1027" s="2" t="s">
        <v>26</v>
      </c>
      <c r="J1027" s="2" t="s">
        <v>3684</v>
      </c>
      <c r="K1027" s="2" t="s">
        <v>89</v>
      </c>
      <c r="L1027" s="2" t="s">
        <v>1854</v>
      </c>
      <c r="M1027" s="2"/>
    </row>
    <row r="1028" customFormat="false" ht="15" hidden="false" customHeight="false" outlineLevel="0" collapsed="false">
      <c r="A1028" s="2" t="s">
        <v>3685</v>
      </c>
      <c r="B1028" s="2" t="s">
        <v>3686</v>
      </c>
      <c r="C1028" s="2" t="s">
        <v>3687</v>
      </c>
      <c r="D1028" s="13" t="n">
        <v>45366.34375</v>
      </c>
      <c r="E1028" s="2" t="s">
        <v>41</v>
      </c>
      <c r="F1028" s="2" t="s">
        <v>29</v>
      </c>
      <c r="G1028" s="2" t="n">
        <v>2679.94</v>
      </c>
      <c r="H1028" s="2" t="n">
        <v>28.02</v>
      </c>
      <c r="I1028" s="2" t="s">
        <v>28</v>
      </c>
      <c r="J1028" s="2" t="s">
        <v>3688</v>
      </c>
      <c r="K1028" s="2" t="s">
        <v>101</v>
      </c>
      <c r="L1028" s="2" t="s">
        <v>697</v>
      </c>
      <c r="M1028" s="2"/>
    </row>
    <row r="1029" customFormat="false" ht="15" hidden="false" customHeight="false" outlineLevel="0" collapsed="false">
      <c r="A1029" s="2" t="s">
        <v>3689</v>
      </c>
      <c r="B1029" s="2" t="s">
        <v>1856</v>
      </c>
      <c r="C1029" s="2" t="s">
        <v>1857</v>
      </c>
      <c r="D1029" s="13" t="n">
        <v>45858.6638888889</v>
      </c>
      <c r="E1029" s="2" t="s">
        <v>37</v>
      </c>
      <c r="F1029" s="2" t="s">
        <v>31</v>
      </c>
      <c r="G1029" s="2" t="n">
        <v>2878.12</v>
      </c>
      <c r="H1029" s="2" t="n">
        <v>7.52</v>
      </c>
      <c r="I1029" s="2" t="s">
        <v>26</v>
      </c>
      <c r="J1029" s="2" t="s">
        <v>3690</v>
      </c>
      <c r="K1029" s="2" t="s">
        <v>89</v>
      </c>
      <c r="L1029" s="2" t="s">
        <v>1311</v>
      </c>
      <c r="M1029" s="2"/>
    </row>
    <row r="1030" customFormat="false" ht="15" hidden="false" customHeight="false" outlineLevel="0" collapsed="false">
      <c r="A1030" s="2" t="s">
        <v>3691</v>
      </c>
      <c r="B1030" s="2" t="s">
        <v>3058</v>
      </c>
      <c r="C1030" s="2" t="s">
        <v>3059</v>
      </c>
      <c r="D1030" s="13" t="n">
        <v>45848.79375</v>
      </c>
      <c r="E1030" s="2" t="s">
        <v>41</v>
      </c>
      <c r="F1030" s="2" t="s">
        <v>31</v>
      </c>
      <c r="G1030" s="2" t="n">
        <v>985.92</v>
      </c>
      <c r="H1030" s="2" t="n">
        <v>5</v>
      </c>
      <c r="I1030" s="2" t="s">
        <v>28</v>
      </c>
      <c r="J1030" s="2" t="s">
        <v>3692</v>
      </c>
      <c r="K1030" s="2" t="s">
        <v>101</v>
      </c>
      <c r="L1030" s="2" t="s">
        <v>703</v>
      </c>
      <c r="M1030" s="2"/>
    </row>
    <row r="1031" customFormat="false" ht="15" hidden="false" customHeight="false" outlineLevel="0" collapsed="false">
      <c r="A1031" s="2" t="s">
        <v>3693</v>
      </c>
      <c r="B1031" s="2" t="s">
        <v>1059</v>
      </c>
      <c r="C1031" s="2" t="s">
        <v>1060</v>
      </c>
      <c r="D1031" s="13" t="n">
        <v>45308.4715277778</v>
      </c>
      <c r="E1031" s="2" t="s">
        <v>39</v>
      </c>
      <c r="F1031" s="2" t="s">
        <v>31</v>
      </c>
      <c r="G1031" s="2" t="n">
        <v>4821.02</v>
      </c>
      <c r="H1031" s="2" t="n">
        <v>13.9</v>
      </c>
      <c r="I1031" s="2" t="s">
        <v>26</v>
      </c>
      <c r="J1031" s="2" t="s">
        <v>3694</v>
      </c>
      <c r="K1031" s="2" t="s">
        <v>122</v>
      </c>
      <c r="L1031" s="2" t="s">
        <v>1320</v>
      </c>
      <c r="M1031" s="2"/>
    </row>
    <row r="1032" customFormat="false" ht="15" hidden="false" customHeight="false" outlineLevel="0" collapsed="false">
      <c r="A1032" s="2" t="s">
        <v>3695</v>
      </c>
      <c r="B1032" s="2" t="s">
        <v>185</v>
      </c>
      <c r="C1032" s="2" t="s">
        <v>186</v>
      </c>
      <c r="D1032" s="13" t="n">
        <v>45939.6805555556</v>
      </c>
      <c r="E1032" s="2" t="s">
        <v>43</v>
      </c>
      <c r="F1032" s="2" t="s">
        <v>32</v>
      </c>
      <c r="G1032" s="2" t="n">
        <v>1200.93</v>
      </c>
      <c r="H1032" s="2" t="n">
        <v>10.77</v>
      </c>
      <c r="I1032" s="2" t="s">
        <v>26</v>
      </c>
      <c r="J1032" s="2" t="s">
        <v>3696</v>
      </c>
      <c r="K1032" s="2" t="s">
        <v>122</v>
      </c>
      <c r="L1032" s="2"/>
      <c r="M1032" s="2" t="s">
        <v>233</v>
      </c>
    </row>
    <row r="1033" customFormat="false" ht="15" hidden="false" customHeight="false" outlineLevel="0" collapsed="false">
      <c r="A1033" s="2" t="s">
        <v>3697</v>
      </c>
      <c r="B1033" s="2" t="s">
        <v>3098</v>
      </c>
      <c r="C1033" s="2" t="s">
        <v>3099</v>
      </c>
      <c r="D1033" s="13" t="n">
        <v>45814.7715277778</v>
      </c>
      <c r="E1033" s="2" t="s">
        <v>39</v>
      </c>
      <c r="F1033" s="2" t="s">
        <v>32</v>
      </c>
      <c r="G1033" s="2" t="n">
        <v>929.38</v>
      </c>
      <c r="H1033" s="2" t="n">
        <v>5</v>
      </c>
      <c r="I1033" s="2" t="s">
        <v>28</v>
      </c>
      <c r="J1033" s="2" t="s">
        <v>3698</v>
      </c>
      <c r="K1033" s="2" t="s">
        <v>89</v>
      </c>
      <c r="L1033" s="2" t="s">
        <v>1330</v>
      </c>
      <c r="M1033" s="2"/>
    </row>
    <row r="1034" customFormat="false" ht="15" hidden="false" customHeight="false" outlineLevel="0" collapsed="false">
      <c r="A1034" s="2" t="s">
        <v>3699</v>
      </c>
      <c r="B1034" s="2" t="s">
        <v>1141</v>
      </c>
      <c r="C1034" s="2" t="s">
        <v>1142</v>
      </c>
      <c r="D1034" s="13" t="n">
        <v>45944.9298611111</v>
      </c>
      <c r="E1034" s="2" t="s">
        <v>39</v>
      </c>
      <c r="F1034" s="2" t="s">
        <v>29</v>
      </c>
      <c r="G1034" s="2" t="n">
        <v>5020.7</v>
      </c>
      <c r="H1034" s="2" t="n">
        <v>59.54</v>
      </c>
      <c r="I1034" s="2" t="s">
        <v>26</v>
      </c>
      <c r="J1034" s="2" t="s">
        <v>3700</v>
      </c>
      <c r="K1034" s="2" t="s">
        <v>95</v>
      </c>
      <c r="L1034" s="2" t="s">
        <v>1877</v>
      </c>
      <c r="M1034" s="2"/>
    </row>
    <row r="1035" customFormat="false" ht="15" hidden="false" customHeight="false" outlineLevel="0" collapsed="false">
      <c r="A1035" s="2" t="s">
        <v>3701</v>
      </c>
      <c r="B1035" s="2" t="s">
        <v>1824</v>
      </c>
      <c r="C1035" s="2" t="s">
        <v>1825</v>
      </c>
      <c r="D1035" s="13" t="n">
        <v>45447.4319444444</v>
      </c>
      <c r="E1035" s="2" t="s">
        <v>39</v>
      </c>
      <c r="F1035" s="2" t="s">
        <v>29</v>
      </c>
      <c r="G1035" s="2" t="n">
        <v>2726.39</v>
      </c>
      <c r="H1035" s="2" t="n">
        <v>24.81</v>
      </c>
      <c r="I1035" s="2" t="s">
        <v>26</v>
      </c>
      <c r="J1035" s="2" t="s">
        <v>3702</v>
      </c>
      <c r="K1035" s="2" t="s">
        <v>101</v>
      </c>
      <c r="L1035" s="2" t="s">
        <v>1339</v>
      </c>
      <c r="M1035" s="2"/>
    </row>
    <row r="1036" customFormat="false" ht="15" hidden="false" customHeight="false" outlineLevel="0" collapsed="false">
      <c r="A1036" s="2" t="s">
        <v>3703</v>
      </c>
      <c r="B1036" s="2" t="s">
        <v>629</v>
      </c>
      <c r="C1036" s="2" t="s">
        <v>630</v>
      </c>
      <c r="D1036" s="13" t="n">
        <v>45712.8625</v>
      </c>
      <c r="E1036" s="2" t="s">
        <v>35</v>
      </c>
      <c r="F1036" s="2" t="s">
        <v>32</v>
      </c>
      <c r="G1036" s="2" t="n">
        <v>6259.45</v>
      </c>
      <c r="H1036" s="2" t="n">
        <v>33.62</v>
      </c>
      <c r="I1036" s="2" t="s">
        <v>30</v>
      </c>
      <c r="J1036" s="2" t="s">
        <v>3704</v>
      </c>
      <c r="K1036" s="2" t="s">
        <v>122</v>
      </c>
      <c r="L1036" s="2" t="s">
        <v>1344</v>
      </c>
      <c r="M1036" s="2"/>
    </row>
    <row r="1037" customFormat="false" ht="15" hidden="false" customHeight="false" outlineLevel="0" collapsed="false">
      <c r="A1037" s="2" t="s">
        <v>3705</v>
      </c>
      <c r="B1037" s="2" t="s">
        <v>2072</v>
      </c>
      <c r="C1037" s="2" t="s">
        <v>2073</v>
      </c>
      <c r="D1037" s="13" t="n">
        <v>45611.375</v>
      </c>
      <c r="E1037" s="2" t="s">
        <v>39</v>
      </c>
      <c r="F1037" s="2" t="s">
        <v>27</v>
      </c>
      <c r="G1037" s="2" t="n">
        <v>1521.05</v>
      </c>
      <c r="H1037" s="2" t="n">
        <v>10.44</v>
      </c>
      <c r="I1037" s="2" t="s">
        <v>28</v>
      </c>
      <c r="J1037" s="2" t="s">
        <v>3706</v>
      </c>
      <c r="K1037" s="2" t="s">
        <v>101</v>
      </c>
      <c r="L1037" s="2"/>
      <c r="M1037" s="2" t="s">
        <v>1134</v>
      </c>
    </row>
    <row r="1038" customFormat="false" ht="15" hidden="false" customHeight="false" outlineLevel="0" collapsed="false">
      <c r="A1038" s="2" t="s">
        <v>3707</v>
      </c>
      <c r="B1038" s="2" t="s">
        <v>3708</v>
      </c>
      <c r="C1038" s="2" t="s">
        <v>3709</v>
      </c>
      <c r="D1038" s="13" t="n">
        <v>45830.76875</v>
      </c>
      <c r="E1038" s="2" t="s">
        <v>43</v>
      </c>
      <c r="F1038" s="2" t="s">
        <v>32</v>
      </c>
      <c r="G1038" s="2" t="n">
        <v>3096.65</v>
      </c>
      <c r="H1038" s="2" t="n">
        <v>23.85</v>
      </c>
      <c r="I1038" s="2" t="s">
        <v>26</v>
      </c>
      <c r="J1038" s="2" t="s">
        <v>3710</v>
      </c>
      <c r="K1038" s="2" t="s">
        <v>89</v>
      </c>
      <c r="L1038" s="2"/>
      <c r="M1038" s="2" t="s">
        <v>263</v>
      </c>
    </row>
    <row r="1039" customFormat="false" ht="15" hidden="false" customHeight="false" outlineLevel="0" collapsed="false">
      <c r="A1039" s="2" t="s">
        <v>3711</v>
      </c>
      <c r="B1039" s="2" t="s">
        <v>1398</v>
      </c>
      <c r="C1039" s="2" t="s">
        <v>1399</v>
      </c>
      <c r="D1039" s="13" t="n">
        <v>45400.7270833333</v>
      </c>
      <c r="E1039" s="2" t="s">
        <v>41</v>
      </c>
      <c r="F1039" s="2" t="s">
        <v>29</v>
      </c>
      <c r="G1039" s="2" t="n">
        <v>1024.44</v>
      </c>
      <c r="H1039" s="2" t="n">
        <v>11.44</v>
      </c>
      <c r="I1039" s="2" t="s">
        <v>26</v>
      </c>
      <c r="J1039" s="2" t="s">
        <v>3712</v>
      </c>
      <c r="K1039" s="2" t="s">
        <v>101</v>
      </c>
      <c r="L1039" s="2" t="s">
        <v>738</v>
      </c>
      <c r="M1039" s="2"/>
    </row>
    <row r="1040" customFormat="false" ht="15" hidden="false" customHeight="false" outlineLevel="0" collapsed="false">
      <c r="A1040" s="2" t="s">
        <v>3713</v>
      </c>
      <c r="B1040" s="2" t="s">
        <v>175</v>
      </c>
      <c r="C1040" s="2" t="s">
        <v>176</v>
      </c>
      <c r="D1040" s="13" t="n">
        <v>45441.5194444444</v>
      </c>
      <c r="E1040" s="2" t="s">
        <v>37</v>
      </c>
      <c r="F1040" s="2" t="s">
        <v>32</v>
      </c>
      <c r="G1040" s="2" t="n">
        <v>5215.67</v>
      </c>
      <c r="H1040" s="2" t="n">
        <v>18.57</v>
      </c>
      <c r="I1040" s="2" t="s">
        <v>30</v>
      </c>
      <c r="J1040" s="2" t="s">
        <v>3714</v>
      </c>
      <c r="K1040" s="2" t="s">
        <v>101</v>
      </c>
      <c r="L1040" s="2" t="s">
        <v>743</v>
      </c>
      <c r="M1040" s="2"/>
    </row>
    <row r="1041" customFormat="false" ht="15" hidden="false" customHeight="false" outlineLevel="0" collapsed="false">
      <c r="A1041" s="2" t="s">
        <v>3715</v>
      </c>
      <c r="B1041" s="2" t="s">
        <v>1102</v>
      </c>
      <c r="C1041" s="2" t="s">
        <v>1103</v>
      </c>
      <c r="D1041" s="13" t="n">
        <v>45667.3027777778</v>
      </c>
      <c r="E1041" s="2" t="s">
        <v>41</v>
      </c>
      <c r="F1041" s="2" t="s">
        <v>29</v>
      </c>
      <c r="G1041" s="2" t="n">
        <v>2220.07</v>
      </c>
      <c r="H1041" s="2" t="n">
        <v>25.78</v>
      </c>
      <c r="I1041" s="2" t="s">
        <v>26</v>
      </c>
      <c r="J1041" s="2" t="s">
        <v>3716</v>
      </c>
      <c r="K1041" s="2" t="s">
        <v>122</v>
      </c>
      <c r="L1041" s="2" t="s">
        <v>1901</v>
      </c>
      <c r="M1041" s="2"/>
    </row>
    <row r="1042" customFormat="false" ht="15" hidden="false" customHeight="false" outlineLevel="0" collapsed="false">
      <c r="A1042" s="2" t="s">
        <v>3717</v>
      </c>
      <c r="B1042" s="2" t="s">
        <v>1971</v>
      </c>
      <c r="C1042" s="2" t="s">
        <v>1972</v>
      </c>
      <c r="D1042" s="13" t="n">
        <v>45397.2916666667</v>
      </c>
      <c r="E1042" s="2" t="s">
        <v>35</v>
      </c>
      <c r="F1042" s="2" t="s">
        <v>31</v>
      </c>
      <c r="G1042" s="2" t="n">
        <v>2893.38</v>
      </c>
      <c r="H1042" s="2" t="n">
        <v>7.49</v>
      </c>
      <c r="I1042" s="2" t="s">
        <v>26</v>
      </c>
      <c r="J1042" s="2" t="s">
        <v>3718</v>
      </c>
      <c r="K1042" s="2" t="s">
        <v>95</v>
      </c>
      <c r="L1042" s="2" t="s">
        <v>752</v>
      </c>
      <c r="M1042" s="2"/>
    </row>
    <row r="1043" customFormat="false" ht="15" hidden="false" customHeight="false" outlineLevel="0" collapsed="false">
      <c r="A1043" s="2" t="s">
        <v>3719</v>
      </c>
      <c r="B1043" s="2" t="s">
        <v>2821</v>
      </c>
      <c r="C1043" s="2" t="s">
        <v>2822</v>
      </c>
      <c r="D1043" s="13" t="n">
        <v>45436.3125</v>
      </c>
      <c r="E1043" s="2" t="s">
        <v>39</v>
      </c>
      <c r="F1043" s="2" t="s">
        <v>29</v>
      </c>
      <c r="G1043" s="2" t="n">
        <v>3307.24</v>
      </c>
      <c r="H1043" s="2" t="n">
        <v>30.43</v>
      </c>
      <c r="I1043" s="2" t="s">
        <v>30</v>
      </c>
      <c r="J1043" s="2" t="s">
        <v>3720</v>
      </c>
      <c r="K1043" s="2" t="s">
        <v>95</v>
      </c>
      <c r="L1043" s="2" t="s">
        <v>757</v>
      </c>
      <c r="M1043" s="2"/>
    </row>
    <row r="1044" customFormat="false" ht="15" hidden="false" customHeight="false" outlineLevel="0" collapsed="false">
      <c r="A1044" s="2" t="s">
        <v>3721</v>
      </c>
      <c r="B1044" s="2" t="s">
        <v>1075</v>
      </c>
      <c r="C1044" s="2" t="s">
        <v>1076</v>
      </c>
      <c r="D1044" s="13" t="n">
        <v>45526.4826388889</v>
      </c>
      <c r="E1044" s="2" t="s">
        <v>39</v>
      </c>
      <c r="F1044" s="2" t="s">
        <v>29</v>
      </c>
      <c r="G1044" s="2" t="n">
        <v>1935.7</v>
      </c>
      <c r="H1044" s="2" t="n">
        <v>6.87</v>
      </c>
      <c r="I1044" s="2" t="s">
        <v>26</v>
      </c>
      <c r="J1044" s="2" t="s">
        <v>3722</v>
      </c>
      <c r="K1044" s="2" t="s">
        <v>101</v>
      </c>
      <c r="L1044" s="2" t="s">
        <v>1912</v>
      </c>
      <c r="M1044" s="2"/>
    </row>
    <row r="1045" customFormat="false" ht="15" hidden="false" customHeight="false" outlineLevel="0" collapsed="false">
      <c r="A1045" s="2" t="s">
        <v>3723</v>
      </c>
      <c r="B1045" s="2" t="s">
        <v>1386</v>
      </c>
      <c r="C1045" s="2" t="s">
        <v>1387</v>
      </c>
      <c r="D1045" s="13" t="n">
        <v>45451.5569444444</v>
      </c>
      <c r="E1045" s="2" t="s">
        <v>41</v>
      </c>
      <c r="F1045" s="2" t="s">
        <v>29</v>
      </c>
      <c r="G1045" s="2" t="n">
        <v>4769.18</v>
      </c>
      <c r="H1045" s="2" t="n">
        <v>47.81</v>
      </c>
      <c r="I1045" s="2" t="s">
        <v>26</v>
      </c>
      <c r="J1045" s="2" t="s">
        <v>3724</v>
      </c>
      <c r="K1045" s="2" t="s">
        <v>89</v>
      </c>
      <c r="L1045" s="2" t="s">
        <v>1374</v>
      </c>
      <c r="M1045" s="2"/>
    </row>
    <row r="1046" customFormat="false" ht="15" hidden="false" customHeight="false" outlineLevel="0" collapsed="false">
      <c r="A1046" s="2" t="s">
        <v>3725</v>
      </c>
      <c r="B1046" s="2" t="s">
        <v>3229</v>
      </c>
      <c r="C1046" s="2" t="s">
        <v>3230</v>
      </c>
      <c r="D1046" s="13" t="n">
        <v>45544.7791666667</v>
      </c>
      <c r="E1046" s="2" t="s">
        <v>37</v>
      </c>
      <c r="F1046" s="2" t="s">
        <v>32</v>
      </c>
      <c r="G1046" s="2" t="n">
        <v>7215.69</v>
      </c>
      <c r="H1046" s="2" t="n">
        <v>84.22</v>
      </c>
      <c r="I1046" s="2" t="s">
        <v>26</v>
      </c>
      <c r="J1046" s="2" t="s">
        <v>3726</v>
      </c>
      <c r="K1046" s="2" t="s">
        <v>95</v>
      </c>
      <c r="L1046" s="2" t="s">
        <v>769</v>
      </c>
      <c r="M1046" s="2"/>
    </row>
    <row r="1047" customFormat="false" ht="15" hidden="false" customHeight="false" outlineLevel="0" collapsed="false">
      <c r="A1047" s="2" t="s">
        <v>3727</v>
      </c>
      <c r="B1047" s="2" t="s">
        <v>864</v>
      </c>
      <c r="C1047" s="2" t="s">
        <v>865</v>
      </c>
      <c r="D1047" s="13" t="n">
        <v>45299.8458333333</v>
      </c>
      <c r="E1047" s="2" t="s">
        <v>37</v>
      </c>
      <c r="F1047" s="2" t="s">
        <v>31</v>
      </c>
      <c r="G1047" s="2" t="n">
        <v>451.28</v>
      </c>
      <c r="H1047" s="2" t="n">
        <v>5</v>
      </c>
      <c r="I1047" s="2" t="s">
        <v>28</v>
      </c>
      <c r="J1047" s="2" t="s">
        <v>3728</v>
      </c>
      <c r="K1047" s="2" t="s">
        <v>122</v>
      </c>
      <c r="L1047" s="2" t="s">
        <v>2892</v>
      </c>
      <c r="M1047" s="2"/>
    </row>
    <row r="1048" customFormat="false" ht="15" hidden="false" customHeight="false" outlineLevel="0" collapsed="false">
      <c r="A1048" s="2" t="s">
        <v>3729</v>
      </c>
      <c r="B1048" s="2" t="s">
        <v>3730</v>
      </c>
      <c r="C1048" s="2" t="s">
        <v>3731</v>
      </c>
      <c r="D1048" s="13" t="n">
        <v>45538.2972222222</v>
      </c>
      <c r="E1048" s="2" t="s">
        <v>35</v>
      </c>
      <c r="F1048" s="2" t="s">
        <v>32</v>
      </c>
      <c r="G1048" s="2" t="n">
        <v>1544.15</v>
      </c>
      <c r="H1048" s="2" t="n">
        <v>16.47</v>
      </c>
      <c r="I1048" s="2" t="s">
        <v>26</v>
      </c>
      <c r="J1048" s="2" t="s">
        <v>3732</v>
      </c>
      <c r="K1048" s="2" t="s">
        <v>89</v>
      </c>
      <c r="L1048" s="2" t="s">
        <v>779</v>
      </c>
      <c r="M1048" s="2"/>
    </row>
    <row r="1049" customFormat="false" ht="15" hidden="false" customHeight="false" outlineLevel="0" collapsed="false">
      <c r="A1049" s="2" t="s">
        <v>3733</v>
      </c>
      <c r="B1049" s="2" t="s">
        <v>3734</v>
      </c>
      <c r="C1049" s="2" t="s">
        <v>3735</v>
      </c>
      <c r="D1049" s="13" t="n">
        <v>45632.4930555556</v>
      </c>
      <c r="E1049" s="2" t="s">
        <v>35</v>
      </c>
      <c r="F1049" s="2" t="s">
        <v>29</v>
      </c>
      <c r="G1049" s="2" t="n">
        <v>26397.85</v>
      </c>
      <c r="H1049" s="2" t="n">
        <v>78.03</v>
      </c>
      <c r="I1049" s="2" t="s">
        <v>26</v>
      </c>
      <c r="J1049" s="2" t="s">
        <v>3736</v>
      </c>
      <c r="K1049" s="2" t="s">
        <v>122</v>
      </c>
      <c r="L1049" s="2" t="s">
        <v>1389</v>
      </c>
      <c r="M1049" s="2"/>
    </row>
    <row r="1050" customFormat="false" ht="15" hidden="false" customHeight="false" outlineLevel="0" collapsed="false">
      <c r="A1050" s="2" t="s">
        <v>3737</v>
      </c>
      <c r="B1050" s="2" t="s">
        <v>3738</v>
      </c>
      <c r="C1050" s="2" t="s">
        <v>3739</v>
      </c>
      <c r="D1050" s="13" t="n">
        <v>45757.6986111111</v>
      </c>
      <c r="E1050" s="2" t="s">
        <v>39</v>
      </c>
      <c r="F1050" s="2" t="s">
        <v>27</v>
      </c>
      <c r="G1050" s="2" t="n">
        <v>4181.22</v>
      </c>
      <c r="H1050" s="2" t="n">
        <v>33.88</v>
      </c>
      <c r="I1050" s="2" t="s">
        <v>26</v>
      </c>
      <c r="J1050" s="2" t="s">
        <v>3740</v>
      </c>
      <c r="K1050" s="2" t="s">
        <v>101</v>
      </c>
      <c r="L1050" s="2"/>
      <c r="M1050" s="2" t="s">
        <v>323</v>
      </c>
    </row>
    <row r="1051" customFormat="false" ht="15" hidden="false" customHeight="false" outlineLevel="0" collapsed="false">
      <c r="A1051" s="2" t="s">
        <v>3741</v>
      </c>
      <c r="B1051" s="2" t="s">
        <v>3742</v>
      </c>
      <c r="C1051" s="2" t="s">
        <v>3743</v>
      </c>
      <c r="D1051" s="13" t="n">
        <v>45864.3215277778</v>
      </c>
      <c r="E1051" s="2" t="s">
        <v>41</v>
      </c>
      <c r="F1051" s="2" t="s">
        <v>27</v>
      </c>
      <c r="G1051" s="2" t="n">
        <v>4746.67</v>
      </c>
      <c r="H1051" s="2" t="n">
        <v>16.42</v>
      </c>
      <c r="I1051" s="2" t="s">
        <v>26</v>
      </c>
      <c r="J1051" s="2" t="s">
        <v>3744</v>
      </c>
      <c r="K1051" s="2" t="s">
        <v>95</v>
      </c>
      <c r="L1051" s="2"/>
      <c r="M1051" s="2" t="s">
        <v>328</v>
      </c>
    </row>
    <row r="1052" customFormat="false" ht="15" hidden="false" customHeight="false" outlineLevel="0" collapsed="false">
      <c r="A1052" s="2" t="s">
        <v>3745</v>
      </c>
      <c r="B1052" s="2" t="s">
        <v>1124</v>
      </c>
      <c r="C1052" s="2" t="s">
        <v>1125</v>
      </c>
      <c r="D1052" s="13" t="n">
        <v>45704.3055555556</v>
      </c>
      <c r="E1052" s="2" t="s">
        <v>37</v>
      </c>
      <c r="F1052" s="2" t="s">
        <v>29</v>
      </c>
      <c r="G1052" s="2" t="n">
        <v>13428.16</v>
      </c>
      <c r="H1052" s="2" t="n">
        <v>155.47</v>
      </c>
      <c r="I1052" s="2" t="s">
        <v>28</v>
      </c>
      <c r="J1052" s="2" t="s">
        <v>3746</v>
      </c>
      <c r="K1052" s="2" t="s">
        <v>101</v>
      </c>
      <c r="L1052" s="2" t="s">
        <v>90</v>
      </c>
      <c r="M1052" s="2"/>
    </row>
    <row r="1053" customFormat="false" ht="15" hidden="false" customHeight="false" outlineLevel="0" collapsed="false">
      <c r="A1053" s="2" t="s">
        <v>3747</v>
      </c>
      <c r="B1053" s="2" t="s">
        <v>3748</v>
      </c>
      <c r="C1053" s="2" t="s">
        <v>3749</v>
      </c>
      <c r="D1053" s="13" t="n">
        <v>45313.6326388889</v>
      </c>
      <c r="E1053" s="2" t="s">
        <v>43</v>
      </c>
      <c r="F1053" s="2" t="s">
        <v>27</v>
      </c>
      <c r="G1053" s="2" t="n">
        <v>6596.96</v>
      </c>
      <c r="H1053" s="2" t="n">
        <v>68.22</v>
      </c>
      <c r="I1053" s="2" t="s">
        <v>28</v>
      </c>
      <c r="J1053" s="2" t="s">
        <v>3750</v>
      </c>
      <c r="K1053" s="2" t="s">
        <v>89</v>
      </c>
      <c r="L1053" s="2"/>
      <c r="M1053" s="2" t="s">
        <v>3207</v>
      </c>
    </row>
    <row r="1054" customFormat="false" ht="15" hidden="false" customHeight="false" outlineLevel="0" collapsed="false">
      <c r="A1054" s="2" t="s">
        <v>3751</v>
      </c>
      <c r="B1054" s="2" t="s">
        <v>445</v>
      </c>
      <c r="C1054" s="2" t="s">
        <v>446</v>
      </c>
      <c r="D1054" s="13" t="n">
        <v>45597.7895833333</v>
      </c>
      <c r="E1054" s="2" t="s">
        <v>39</v>
      </c>
      <c r="F1054" s="2" t="s">
        <v>27</v>
      </c>
      <c r="G1054" s="2" t="n">
        <v>883.08</v>
      </c>
      <c r="H1054" s="2" t="n">
        <v>6.56</v>
      </c>
      <c r="I1054" s="2" t="s">
        <v>26</v>
      </c>
      <c r="J1054" s="2" t="s">
        <v>3752</v>
      </c>
      <c r="K1054" s="2" t="s">
        <v>89</v>
      </c>
      <c r="L1054" s="2"/>
      <c r="M1054" s="2" t="s">
        <v>1588</v>
      </c>
    </row>
    <row r="1055" customFormat="false" ht="15" hidden="false" customHeight="false" outlineLevel="0" collapsed="false">
      <c r="A1055" s="2" t="s">
        <v>3753</v>
      </c>
      <c r="B1055" s="2" t="s">
        <v>3754</v>
      </c>
      <c r="C1055" s="2" t="s">
        <v>3755</v>
      </c>
      <c r="D1055" s="13" t="n">
        <v>45631.8534722222</v>
      </c>
      <c r="E1055" s="2" t="s">
        <v>37</v>
      </c>
      <c r="F1055" s="2" t="s">
        <v>31</v>
      </c>
      <c r="G1055" s="2" t="n">
        <v>1785.41</v>
      </c>
      <c r="H1055" s="2" t="n">
        <v>8.45</v>
      </c>
      <c r="I1055" s="2" t="s">
        <v>26</v>
      </c>
      <c r="J1055" s="2" t="s">
        <v>3756</v>
      </c>
      <c r="K1055" s="2" t="s">
        <v>122</v>
      </c>
      <c r="L1055" s="2" t="s">
        <v>107</v>
      </c>
      <c r="M1055" s="2"/>
    </row>
    <row r="1056" customFormat="false" ht="15" hidden="false" customHeight="false" outlineLevel="0" collapsed="false">
      <c r="A1056" s="2" t="s">
        <v>3757</v>
      </c>
      <c r="B1056" s="2" t="s">
        <v>3758</v>
      </c>
      <c r="C1056" s="2" t="s">
        <v>3759</v>
      </c>
      <c r="D1056" s="13" t="n">
        <v>45439.8930555556</v>
      </c>
      <c r="E1056" s="2" t="s">
        <v>39</v>
      </c>
      <c r="F1056" s="2" t="s">
        <v>29</v>
      </c>
      <c r="G1056" s="2" t="n">
        <v>1639.73</v>
      </c>
      <c r="H1056" s="2" t="n">
        <v>14.17</v>
      </c>
      <c r="I1056" s="2" t="s">
        <v>28</v>
      </c>
      <c r="J1056" s="2" t="s">
        <v>3760</v>
      </c>
      <c r="K1056" s="2" t="s">
        <v>89</v>
      </c>
      <c r="L1056" s="2" t="s">
        <v>812</v>
      </c>
      <c r="M1056" s="2"/>
    </row>
    <row r="1057" customFormat="false" ht="15" hidden="false" customHeight="false" outlineLevel="0" collapsed="false">
      <c r="A1057" s="2" t="s">
        <v>3761</v>
      </c>
      <c r="B1057" s="2" t="s">
        <v>1075</v>
      </c>
      <c r="C1057" s="2" t="s">
        <v>1076</v>
      </c>
      <c r="D1057" s="13" t="n">
        <v>45658.6111111111</v>
      </c>
      <c r="E1057" s="2" t="s">
        <v>37</v>
      </c>
      <c r="F1057" s="2" t="s">
        <v>32</v>
      </c>
      <c r="G1057" s="2" t="n">
        <v>1282.97</v>
      </c>
      <c r="H1057" s="2" t="n">
        <v>8.71</v>
      </c>
      <c r="I1057" s="2" t="s">
        <v>30</v>
      </c>
      <c r="J1057" s="2" t="s">
        <v>3762</v>
      </c>
      <c r="K1057" s="2" t="s">
        <v>122</v>
      </c>
      <c r="L1057" s="2" t="s">
        <v>117</v>
      </c>
      <c r="M1057" s="2"/>
    </row>
    <row r="1058" customFormat="false" ht="15" hidden="false" customHeight="false" outlineLevel="0" collapsed="false">
      <c r="A1058" s="2" t="s">
        <v>3763</v>
      </c>
      <c r="B1058" s="2" t="s">
        <v>3764</v>
      </c>
      <c r="C1058" s="2" t="s">
        <v>3765</v>
      </c>
      <c r="D1058" s="13" t="n">
        <v>45567.6868055556</v>
      </c>
      <c r="E1058" s="2" t="s">
        <v>35</v>
      </c>
      <c r="F1058" s="2" t="s">
        <v>31</v>
      </c>
      <c r="G1058" s="2" t="n">
        <v>10276.37</v>
      </c>
      <c r="H1058" s="2" t="n">
        <v>114.01</v>
      </c>
      <c r="I1058" s="2" t="s">
        <v>28</v>
      </c>
      <c r="J1058" s="2" t="s">
        <v>3766</v>
      </c>
      <c r="K1058" s="2" t="s">
        <v>101</v>
      </c>
      <c r="L1058" s="2" t="s">
        <v>123</v>
      </c>
      <c r="M1058" s="2"/>
    </row>
    <row r="1059" customFormat="false" ht="15" hidden="false" customHeight="false" outlineLevel="0" collapsed="false">
      <c r="A1059" s="2" t="s">
        <v>3767</v>
      </c>
      <c r="B1059" s="2" t="s">
        <v>460</v>
      </c>
      <c r="C1059" s="2" t="s">
        <v>461</v>
      </c>
      <c r="D1059" s="13" t="n">
        <v>45480.6159722222</v>
      </c>
      <c r="E1059" s="2" t="s">
        <v>43</v>
      </c>
      <c r="F1059" s="2" t="s">
        <v>31</v>
      </c>
      <c r="G1059" s="2" t="n">
        <v>1768.49</v>
      </c>
      <c r="H1059" s="2" t="n">
        <v>7.3</v>
      </c>
      <c r="I1059" s="2" t="s">
        <v>26</v>
      </c>
      <c r="J1059" s="2" t="s">
        <v>3768</v>
      </c>
      <c r="K1059" s="2" t="s">
        <v>101</v>
      </c>
      <c r="L1059" s="2"/>
      <c r="M1059" s="2" t="s">
        <v>1606</v>
      </c>
    </row>
    <row r="1060" customFormat="false" ht="15" hidden="false" customHeight="false" outlineLevel="0" collapsed="false">
      <c r="A1060" s="2" t="s">
        <v>3769</v>
      </c>
      <c r="B1060" s="2" t="s">
        <v>3770</v>
      </c>
      <c r="C1060" s="2" t="s">
        <v>3771</v>
      </c>
      <c r="D1060" s="13" t="n">
        <v>45757.4715277778</v>
      </c>
      <c r="E1060" s="2" t="s">
        <v>37</v>
      </c>
      <c r="F1060" s="2" t="s">
        <v>31</v>
      </c>
      <c r="G1060" s="2" t="n">
        <v>1482.51</v>
      </c>
      <c r="H1060" s="2" t="n">
        <v>6.62</v>
      </c>
      <c r="I1060" s="2" t="s">
        <v>26</v>
      </c>
      <c r="J1060" s="2" t="s">
        <v>3772</v>
      </c>
      <c r="K1060" s="2" t="s">
        <v>101</v>
      </c>
      <c r="L1060" s="2" t="s">
        <v>133</v>
      </c>
      <c r="M1060" s="2"/>
    </row>
    <row r="1061" customFormat="false" ht="15" hidden="false" customHeight="false" outlineLevel="0" collapsed="false">
      <c r="A1061" s="2" t="s">
        <v>3773</v>
      </c>
      <c r="B1061" s="2" t="s">
        <v>3774</v>
      </c>
      <c r="C1061" s="2" t="s">
        <v>3775</v>
      </c>
      <c r="D1061" s="13" t="n">
        <v>45761.7041666667</v>
      </c>
      <c r="E1061" s="2" t="s">
        <v>37</v>
      </c>
      <c r="F1061" s="2" t="s">
        <v>31</v>
      </c>
      <c r="G1061" s="2" t="n">
        <v>1214.74</v>
      </c>
      <c r="H1061" s="2" t="n">
        <v>9.27</v>
      </c>
      <c r="I1061" s="2" t="s">
        <v>26</v>
      </c>
      <c r="J1061" s="2" t="s">
        <v>3776</v>
      </c>
      <c r="K1061" s="2" t="s">
        <v>101</v>
      </c>
      <c r="L1061" s="2" t="s">
        <v>138</v>
      </c>
      <c r="M1061" s="2"/>
    </row>
    <row r="1062" customFormat="false" ht="15" hidden="false" customHeight="false" outlineLevel="0" collapsed="false">
      <c r="A1062" s="2" t="s">
        <v>3777</v>
      </c>
      <c r="B1062" s="2" t="s">
        <v>2932</v>
      </c>
      <c r="C1062" s="2" t="s">
        <v>2933</v>
      </c>
      <c r="D1062" s="13" t="n">
        <v>45669.8770833333</v>
      </c>
      <c r="E1062" s="2" t="s">
        <v>41</v>
      </c>
      <c r="F1062" s="2" t="s">
        <v>29</v>
      </c>
      <c r="G1062" s="2" t="n">
        <v>609.6</v>
      </c>
      <c r="H1062" s="2" t="n">
        <v>5</v>
      </c>
      <c r="I1062" s="2" t="s">
        <v>30</v>
      </c>
      <c r="J1062" s="2" t="s">
        <v>3778</v>
      </c>
      <c r="K1062" s="2" t="s">
        <v>101</v>
      </c>
      <c r="L1062" s="2" t="s">
        <v>141</v>
      </c>
      <c r="M1062" s="2"/>
    </row>
    <row r="1063" customFormat="false" ht="15" hidden="false" customHeight="false" outlineLevel="0" collapsed="false">
      <c r="A1063" s="2" t="s">
        <v>3779</v>
      </c>
      <c r="B1063" s="2" t="s">
        <v>3780</v>
      </c>
      <c r="C1063" s="2" t="s">
        <v>3781</v>
      </c>
      <c r="D1063" s="13" t="n">
        <v>45477.6208333333</v>
      </c>
      <c r="E1063" s="2" t="s">
        <v>41</v>
      </c>
      <c r="F1063" s="2" t="s">
        <v>27</v>
      </c>
      <c r="G1063" s="2" t="n">
        <v>550.37</v>
      </c>
      <c r="H1063" s="2" t="n">
        <v>6.17</v>
      </c>
      <c r="I1063" s="2" t="s">
        <v>26</v>
      </c>
      <c r="J1063" s="2" t="s">
        <v>3782</v>
      </c>
      <c r="K1063" s="2" t="s">
        <v>89</v>
      </c>
      <c r="L1063" s="2"/>
      <c r="M1063" s="2" t="s">
        <v>388</v>
      </c>
    </row>
    <row r="1064" customFormat="false" ht="15" hidden="false" customHeight="false" outlineLevel="0" collapsed="false">
      <c r="A1064" s="2" t="s">
        <v>3783</v>
      </c>
      <c r="B1064" s="2" t="s">
        <v>1429</v>
      </c>
      <c r="C1064" s="2" t="s">
        <v>1430</v>
      </c>
      <c r="D1064" s="13" t="n">
        <v>45312.4847222222</v>
      </c>
      <c r="E1064" s="2" t="s">
        <v>43</v>
      </c>
      <c r="F1064" s="2" t="s">
        <v>31</v>
      </c>
      <c r="G1064" s="2" t="n">
        <v>3510.63</v>
      </c>
      <c r="H1064" s="2" t="n">
        <v>37.98</v>
      </c>
      <c r="I1064" s="2" t="s">
        <v>26</v>
      </c>
      <c r="J1064" s="2" t="s">
        <v>3784</v>
      </c>
      <c r="K1064" s="2" t="s">
        <v>95</v>
      </c>
      <c r="L1064" s="2"/>
      <c r="M1064" s="2" t="s">
        <v>1623</v>
      </c>
    </row>
    <row r="1065" customFormat="false" ht="15" hidden="false" customHeight="false" outlineLevel="0" collapsed="false">
      <c r="A1065" s="2" t="s">
        <v>3785</v>
      </c>
      <c r="B1065" s="2" t="s">
        <v>2003</v>
      </c>
      <c r="C1065" s="2" t="s">
        <v>2004</v>
      </c>
      <c r="D1065" s="13" t="n">
        <v>45789.6736111111</v>
      </c>
      <c r="E1065" s="2" t="s">
        <v>39</v>
      </c>
      <c r="F1065" s="2" t="s">
        <v>27</v>
      </c>
      <c r="G1065" s="2" t="n">
        <v>11014.03</v>
      </c>
      <c r="H1065" s="2" t="n">
        <v>24.94</v>
      </c>
      <c r="I1065" s="2" t="s">
        <v>26</v>
      </c>
      <c r="J1065" s="2" t="s">
        <v>3786</v>
      </c>
      <c r="K1065" s="2" t="s">
        <v>95</v>
      </c>
      <c r="L1065" s="2"/>
      <c r="M1065" s="2" t="s">
        <v>398</v>
      </c>
    </row>
    <row r="1066" customFormat="false" ht="15" hidden="false" customHeight="false" outlineLevel="0" collapsed="false">
      <c r="A1066" s="2" t="s">
        <v>3787</v>
      </c>
      <c r="B1066" s="2" t="s">
        <v>2771</v>
      </c>
      <c r="C1066" s="2" t="s">
        <v>2772</v>
      </c>
      <c r="D1066" s="13" t="n">
        <v>45414.7798611111</v>
      </c>
      <c r="E1066" s="2" t="s">
        <v>43</v>
      </c>
      <c r="F1066" s="2" t="s">
        <v>32</v>
      </c>
      <c r="G1066" s="2" t="n">
        <v>2345.3</v>
      </c>
      <c r="H1066" s="2" t="n">
        <v>14.22</v>
      </c>
      <c r="I1066" s="2" t="s">
        <v>26</v>
      </c>
      <c r="J1066" s="2" t="s">
        <v>3788</v>
      </c>
      <c r="K1066" s="2" t="s">
        <v>89</v>
      </c>
      <c r="L1066" s="2"/>
      <c r="M1066" s="2" t="s">
        <v>852</v>
      </c>
    </row>
    <row r="1067" customFormat="false" ht="15" hidden="false" customHeight="false" outlineLevel="0" collapsed="false">
      <c r="A1067" s="2" t="s">
        <v>3789</v>
      </c>
      <c r="B1067" s="2" t="s">
        <v>2659</v>
      </c>
      <c r="C1067" s="2" t="s">
        <v>2660</v>
      </c>
      <c r="D1067" s="13" t="n">
        <v>45518.4944444444</v>
      </c>
      <c r="E1067" s="2" t="s">
        <v>41</v>
      </c>
      <c r="F1067" s="2" t="s">
        <v>32</v>
      </c>
      <c r="G1067" s="2" t="n">
        <v>3110.9</v>
      </c>
      <c r="H1067" s="2" t="n">
        <v>12.92</v>
      </c>
      <c r="I1067" s="2" t="s">
        <v>28</v>
      </c>
      <c r="J1067" s="2" t="s">
        <v>3790</v>
      </c>
      <c r="K1067" s="2" t="s">
        <v>89</v>
      </c>
      <c r="L1067" s="2" t="s">
        <v>158</v>
      </c>
      <c r="M1067" s="2"/>
    </row>
    <row r="1068" customFormat="false" ht="15" hidden="false" customHeight="false" outlineLevel="0" collapsed="false">
      <c r="A1068" s="2" t="s">
        <v>3791</v>
      </c>
      <c r="B1068" s="2" t="s">
        <v>1856</v>
      </c>
      <c r="C1068" s="2" t="s">
        <v>1857</v>
      </c>
      <c r="D1068" s="13" t="n">
        <v>45836.75</v>
      </c>
      <c r="E1068" s="2" t="s">
        <v>41</v>
      </c>
      <c r="F1068" s="2" t="s">
        <v>32</v>
      </c>
      <c r="G1068" s="2" t="n">
        <v>754.88</v>
      </c>
      <c r="H1068" s="2" t="n">
        <v>5</v>
      </c>
      <c r="I1068" s="2" t="s">
        <v>26</v>
      </c>
      <c r="J1068" s="2" t="s">
        <v>3792</v>
      </c>
      <c r="K1068" s="2" t="s">
        <v>101</v>
      </c>
      <c r="L1068" s="2" t="s">
        <v>1456</v>
      </c>
      <c r="M1068" s="2"/>
    </row>
    <row r="1069" customFormat="false" ht="15" hidden="false" customHeight="false" outlineLevel="0" collapsed="false">
      <c r="A1069" s="2" t="s">
        <v>3793</v>
      </c>
      <c r="B1069" s="2" t="s">
        <v>3794</v>
      </c>
      <c r="C1069" s="2" t="s">
        <v>3795</v>
      </c>
      <c r="D1069" s="13" t="n">
        <v>45523.9430555556</v>
      </c>
      <c r="E1069" s="2" t="s">
        <v>39</v>
      </c>
      <c r="F1069" s="2" t="s">
        <v>32</v>
      </c>
      <c r="G1069" s="2" t="n">
        <v>3807.2</v>
      </c>
      <c r="H1069" s="2" t="n">
        <v>7.69</v>
      </c>
      <c r="I1069" s="2" t="s">
        <v>30</v>
      </c>
      <c r="J1069" s="2" t="s">
        <v>3796</v>
      </c>
      <c r="K1069" s="2" t="s">
        <v>101</v>
      </c>
      <c r="L1069" s="2" t="s">
        <v>168</v>
      </c>
      <c r="M1069" s="2"/>
    </row>
    <row r="1070" customFormat="false" ht="15" hidden="false" customHeight="false" outlineLevel="0" collapsed="false">
      <c r="A1070" s="2" t="s">
        <v>3797</v>
      </c>
      <c r="B1070" s="2" t="s">
        <v>3036</v>
      </c>
      <c r="C1070" s="2" t="s">
        <v>3037</v>
      </c>
      <c r="D1070" s="13" t="n">
        <v>45393.7979166667</v>
      </c>
      <c r="E1070" s="2" t="s">
        <v>35</v>
      </c>
      <c r="F1070" s="2" t="s">
        <v>27</v>
      </c>
      <c r="G1070" s="2" t="n">
        <v>1769.63</v>
      </c>
      <c r="H1070" s="2" t="n">
        <v>16.2</v>
      </c>
      <c r="I1070" s="2" t="s">
        <v>26</v>
      </c>
      <c r="J1070" s="2" t="s">
        <v>3798</v>
      </c>
      <c r="K1070" s="2" t="s">
        <v>101</v>
      </c>
      <c r="L1070" s="2"/>
      <c r="M1070" s="2" t="s">
        <v>1645</v>
      </c>
    </row>
    <row r="1071" customFormat="false" ht="15" hidden="false" customHeight="false" outlineLevel="0" collapsed="false">
      <c r="A1071" s="2" t="s">
        <v>3799</v>
      </c>
      <c r="B1071" s="2" t="s">
        <v>3658</v>
      </c>
      <c r="C1071" s="2" t="s">
        <v>3659</v>
      </c>
      <c r="D1071" s="13" t="n">
        <v>45906.6666666667</v>
      </c>
      <c r="E1071" s="2" t="s">
        <v>41</v>
      </c>
      <c r="F1071" s="2" t="s">
        <v>32</v>
      </c>
      <c r="G1071" s="2" t="n">
        <v>10159.77</v>
      </c>
      <c r="H1071" s="2" t="n">
        <v>83.48</v>
      </c>
      <c r="I1071" s="2" t="s">
        <v>26</v>
      </c>
      <c r="J1071" s="2" t="s">
        <v>3800</v>
      </c>
      <c r="K1071" s="2" t="s">
        <v>101</v>
      </c>
      <c r="L1071" s="2" t="s">
        <v>178</v>
      </c>
      <c r="M1071" s="2"/>
    </row>
    <row r="1072" customFormat="false" ht="15" hidden="false" customHeight="false" outlineLevel="0" collapsed="false">
      <c r="A1072" s="2" t="s">
        <v>3801</v>
      </c>
      <c r="B1072" s="2" t="s">
        <v>3802</v>
      </c>
      <c r="C1072" s="2" t="s">
        <v>3803</v>
      </c>
      <c r="D1072" s="13" t="n">
        <v>45644.5472222222</v>
      </c>
      <c r="E1072" s="2" t="s">
        <v>37</v>
      </c>
      <c r="F1072" s="2" t="s">
        <v>27</v>
      </c>
      <c r="G1072" s="2" t="n">
        <v>6338.14</v>
      </c>
      <c r="H1072" s="2" t="n">
        <v>37.08</v>
      </c>
      <c r="I1072" s="2" t="s">
        <v>28</v>
      </c>
      <c r="J1072" s="2" t="s">
        <v>3804</v>
      </c>
      <c r="K1072" s="2" t="s">
        <v>89</v>
      </c>
      <c r="L1072" s="2"/>
      <c r="M1072" s="2" t="s">
        <v>1282</v>
      </c>
    </row>
    <row r="1073" customFormat="false" ht="15" hidden="false" customHeight="false" outlineLevel="0" collapsed="false">
      <c r="A1073" s="2" t="s">
        <v>3805</v>
      </c>
      <c r="B1073" s="2" t="s">
        <v>3806</v>
      </c>
      <c r="C1073" s="2" t="s">
        <v>3807</v>
      </c>
      <c r="D1073" s="13" t="n">
        <v>45631.8041666667</v>
      </c>
      <c r="E1073" s="2" t="s">
        <v>39</v>
      </c>
      <c r="F1073" s="2" t="s">
        <v>31</v>
      </c>
      <c r="G1073" s="2" t="n">
        <v>3491.46</v>
      </c>
      <c r="H1073" s="2" t="n">
        <v>15.54</v>
      </c>
      <c r="I1073" s="2" t="s">
        <v>28</v>
      </c>
      <c r="J1073" s="2" t="s">
        <v>3808</v>
      </c>
      <c r="K1073" s="2" t="s">
        <v>101</v>
      </c>
      <c r="L1073" s="2" t="s">
        <v>188</v>
      </c>
      <c r="M1073" s="2"/>
    </row>
    <row r="1074" customFormat="false" ht="15" hidden="false" customHeight="false" outlineLevel="0" collapsed="false">
      <c r="A1074" s="2" t="s">
        <v>3809</v>
      </c>
      <c r="B1074" s="2" t="s">
        <v>300</v>
      </c>
      <c r="C1074" s="2" t="s">
        <v>301</v>
      </c>
      <c r="D1074" s="13" t="n">
        <v>45653.5715277778</v>
      </c>
      <c r="E1074" s="2" t="s">
        <v>37</v>
      </c>
      <c r="F1074" s="2" t="s">
        <v>27</v>
      </c>
      <c r="G1074" s="2" t="n">
        <v>37758.5</v>
      </c>
      <c r="H1074" s="2" t="n">
        <v>422.89</v>
      </c>
      <c r="I1074" s="2" t="s">
        <v>26</v>
      </c>
      <c r="J1074" s="2" t="s">
        <v>3810</v>
      </c>
      <c r="K1074" s="2" t="s">
        <v>122</v>
      </c>
      <c r="L1074" s="2"/>
      <c r="M1074" s="2" t="s">
        <v>1658</v>
      </c>
    </row>
    <row r="1075" customFormat="false" ht="15" hidden="false" customHeight="false" outlineLevel="0" collapsed="false">
      <c r="A1075" s="2" t="s">
        <v>3811</v>
      </c>
      <c r="B1075" s="2" t="s">
        <v>1812</v>
      </c>
      <c r="C1075" s="2" t="s">
        <v>1813</v>
      </c>
      <c r="D1075" s="13" t="n">
        <v>45730.7104166667</v>
      </c>
      <c r="E1075" s="2" t="s">
        <v>37</v>
      </c>
      <c r="F1075" s="2" t="s">
        <v>31</v>
      </c>
      <c r="G1075" s="2" t="n">
        <v>1841.97</v>
      </c>
      <c r="H1075" s="2" t="n">
        <v>15.62</v>
      </c>
      <c r="I1075" s="2" t="s">
        <v>26</v>
      </c>
      <c r="J1075" s="2" t="s">
        <v>3812</v>
      </c>
      <c r="K1075" s="2" t="s">
        <v>89</v>
      </c>
      <c r="L1075" s="2" t="s">
        <v>1482</v>
      </c>
      <c r="M1075" s="2"/>
    </row>
    <row r="1076" customFormat="false" ht="15" hidden="false" customHeight="false" outlineLevel="0" collapsed="false">
      <c r="A1076" s="2" t="s">
        <v>3813</v>
      </c>
      <c r="B1076" s="2" t="s">
        <v>1086</v>
      </c>
      <c r="C1076" s="2" t="s">
        <v>1087</v>
      </c>
      <c r="D1076" s="13" t="n">
        <v>45881.5243055556</v>
      </c>
      <c r="E1076" s="2" t="s">
        <v>39</v>
      </c>
      <c r="F1076" s="2" t="s">
        <v>31</v>
      </c>
      <c r="G1076" s="2" t="n">
        <v>2042.72</v>
      </c>
      <c r="H1076" s="2" t="n">
        <v>12.39</v>
      </c>
      <c r="I1076" s="2" t="s">
        <v>26</v>
      </c>
      <c r="J1076" s="2" t="s">
        <v>3814</v>
      </c>
      <c r="K1076" s="2" t="s">
        <v>95</v>
      </c>
      <c r="L1076" s="2" t="s">
        <v>891</v>
      </c>
      <c r="M1076" s="2"/>
    </row>
    <row r="1077" customFormat="false" ht="15" hidden="false" customHeight="false" outlineLevel="0" collapsed="false">
      <c r="A1077" s="2" t="s">
        <v>3815</v>
      </c>
      <c r="B1077" s="2" t="s">
        <v>3030</v>
      </c>
      <c r="C1077" s="2" t="s">
        <v>3031</v>
      </c>
      <c r="D1077" s="13" t="n">
        <v>45362.4340277778</v>
      </c>
      <c r="E1077" s="2" t="s">
        <v>39</v>
      </c>
      <c r="F1077" s="2" t="s">
        <v>27</v>
      </c>
      <c r="G1077" s="2" t="n">
        <v>3708.61</v>
      </c>
      <c r="H1077" s="2" t="n">
        <v>41.81</v>
      </c>
      <c r="I1077" s="2" t="s">
        <v>30</v>
      </c>
      <c r="J1077" s="2" t="s">
        <v>3816</v>
      </c>
      <c r="K1077" s="2" t="s">
        <v>122</v>
      </c>
      <c r="L1077" s="2"/>
      <c r="M1077" s="2" t="s">
        <v>1304</v>
      </c>
    </row>
    <row r="1078" customFormat="false" ht="15" hidden="false" customHeight="false" outlineLevel="0" collapsed="false">
      <c r="A1078" s="2" t="s">
        <v>3817</v>
      </c>
      <c r="B1078" s="2" t="s">
        <v>3500</v>
      </c>
      <c r="C1078" s="2" t="s">
        <v>3501</v>
      </c>
      <c r="D1078" s="13" t="n">
        <v>45729.55625</v>
      </c>
      <c r="E1078" s="2" t="s">
        <v>39</v>
      </c>
      <c r="F1078" s="2" t="s">
        <v>29</v>
      </c>
      <c r="G1078" s="2" t="n">
        <v>2408.61</v>
      </c>
      <c r="H1078" s="2" t="n">
        <v>21.29</v>
      </c>
      <c r="I1078" s="2" t="s">
        <v>28</v>
      </c>
      <c r="J1078" s="2" t="s">
        <v>3818</v>
      </c>
      <c r="K1078" s="2" t="s">
        <v>95</v>
      </c>
      <c r="L1078" s="2" t="s">
        <v>213</v>
      </c>
      <c r="M1078" s="2"/>
    </row>
    <row r="1079" customFormat="false" ht="15" hidden="false" customHeight="false" outlineLevel="0" collapsed="false">
      <c r="A1079" s="2" t="s">
        <v>3819</v>
      </c>
      <c r="B1079" s="2" t="s">
        <v>3820</v>
      </c>
      <c r="C1079" s="2" t="s">
        <v>3821</v>
      </c>
      <c r="D1079" s="13" t="n">
        <v>45433.8277777778</v>
      </c>
      <c r="E1079" s="2" t="s">
        <v>35</v>
      </c>
      <c r="F1079" s="2" t="s">
        <v>27</v>
      </c>
      <c r="G1079" s="2" t="n">
        <v>9257.16</v>
      </c>
      <c r="H1079" s="2" t="n">
        <v>78.42</v>
      </c>
      <c r="I1079" s="2" t="s">
        <v>26</v>
      </c>
      <c r="J1079" s="2" t="s">
        <v>3822</v>
      </c>
      <c r="K1079" s="2" t="s">
        <v>122</v>
      </c>
      <c r="L1079" s="2"/>
      <c r="M1079" s="2" t="s">
        <v>1677</v>
      </c>
    </row>
    <row r="1080" customFormat="false" ht="15" hidden="false" customHeight="false" outlineLevel="0" collapsed="false">
      <c r="A1080" s="2" t="s">
        <v>3823</v>
      </c>
      <c r="B1080" s="2" t="s">
        <v>1081</v>
      </c>
      <c r="C1080" s="2" t="s">
        <v>1082</v>
      </c>
      <c r="D1080" s="13" t="n">
        <v>45377.7041666667</v>
      </c>
      <c r="E1080" s="2" t="s">
        <v>39</v>
      </c>
      <c r="F1080" s="2" t="s">
        <v>32</v>
      </c>
      <c r="G1080" s="2" t="n">
        <v>1691.48</v>
      </c>
      <c r="H1080" s="2" t="n">
        <v>5</v>
      </c>
      <c r="I1080" s="2" t="s">
        <v>26</v>
      </c>
      <c r="J1080" s="2" t="s">
        <v>3824</v>
      </c>
      <c r="K1080" s="2" t="s">
        <v>101</v>
      </c>
      <c r="L1080" s="2" t="s">
        <v>1504</v>
      </c>
      <c r="M1080" s="2"/>
    </row>
    <row r="1081" customFormat="false" ht="15" hidden="false" customHeight="false" outlineLevel="0" collapsed="false">
      <c r="A1081" s="2" t="s">
        <v>3825</v>
      </c>
      <c r="B1081" s="2" t="s">
        <v>3826</v>
      </c>
      <c r="C1081" s="2" t="s">
        <v>3827</v>
      </c>
      <c r="D1081" s="13" t="n">
        <v>45543.4965277778</v>
      </c>
      <c r="E1081" s="2" t="s">
        <v>35</v>
      </c>
      <c r="F1081" s="2" t="s">
        <v>27</v>
      </c>
      <c r="G1081" s="2" t="n">
        <v>939.32</v>
      </c>
      <c r="H1081" s="2" t="n">
        <v>5</v>
      </c>
      <c r="I1081" s="2" t="s">
        <v>26</v>
      </c>
      <c r="J1081" s="2" t="s">
        <v>3828</v>
      </c>
      <c r="K1081" s="2" t="s">
        <v>122</v>
      </c>
      <c r="L1081" s="2"/>
      <c r="M1081" s="2" t="s">
        <v>1686</v>
      </c>
    </row>
    <row r="1082" customFormat="false" ht="15" hidden="false" customHeight="false" outlineLevel="0" collapsed="false">
      <c r="A1082" s="2" t="s">
        <v>3829</v>
      </c>
      <c r="B1082" s="2" t="s">
        <v>3146</v>
      </c>
      <c r="C1082" s="2" t="s">
        <v>3147</v>
      </c>
      <c r="D1082" s="13" t="n">
        <v>45919.5472222222</v>
      </c>
      <c r="E1082" s="2" t="s">
        <v>43</v>
      </c>
      <c r="F1082" s="2" t="s">
        <v>32</v>
      </c>
      <c r="G1082" s="2" t="n">
        <v>4366.72</v>
      </c>
      <c r="H1082" s="2" t="n">
        <v>30.17</v>
      </c>
      <c r="I1082" s="2" t="s">
        <v>30</v>
      </c>
      <c r="J1082" s="2" t="s">
        <v>3830</v>
      </c>
      <c r="K1082" s="2" t="s">
        <v>122</v>
      </c>
      <c r="L1082" s="2"/>
      <c r="M1082" s="2" t="s">
        <v>2044</v>
      </c>
    </row>
    <row r="1083" customFormat="false" ht="15" hidden="false" customHeight="false" outlineLevel="0" collapsed="false">
      <c r="A1083" s="2" t="s">
        <v>3831</v>
      </c>
      <c r="B1083" s="2" t="s">
        <v>1563</v>
      </c>
      <c r="C1083" s="2" t="s">
        <v>1564</v>
      </c>
      <c r="D1083" s="13" t="n">
        <v>45642.4138888889</v>
      </c>
      <c r="E1083" s="2" t="s">
        <v>35</v>
      </c>
      <c r="F1083" s="2" t="s">
        <v>32</v>
      </c>
      <c r="G1083" s="2" t="n">
        <v>5409.89</v>
      </c>
      <c r="H1083" s="2" t="n">
        <v>31.8</v>
      </c>
      <c r="I1083" s="2" t="s">
        <v>30</v>
      </c>
      <c r="J1083" s="2" t="s">
        <v>3832</v>
      </c>
      <c r="K1083" s="2" t="s">
        <v>122</v>
      </c>
      <c r="L1083" s="2" t="s">
        <v>1513</v>
      </c>
      <c r="M1083" s="2"/>
    </row>
    <row r="1084" customFormat="false" ht="15" hidden="false" customHeight="false" outlineLevel="0" collapsed="false">
      <c r="A1084" s="2" t="s">
        <v>3833</v>
      </c>
      <c r="B1084" s="2" t="s">
        <v>3834</v>
      </c>
      <c r="C1084" s="2" t="s">
        <v>3835</v>
      </c>
      <c r="D1084" s="13" t="n">
        <v>45591.51875</v>
      </c>
      <c r="E1084" s="2" t="s">
        <v>35</v>
      </c>
      <c r="F1084" s="2" t="s">
        <v>31</v>
      </c>
      <c r="G1084" s="2" t="n">
        <v>2553.23</v>
      </c>
      <c r="H1084" s="2" t="n">
        <v>10.73</v>
      </c>
      <c r="I1084" s="2" t="s">
        <v>26</v>
      </c>
      <c r="J1084" s="2" t="s">
        <v>3836</v>
      </c>
      <c r="K1084" s="2" t="s">
        <v>122</v>
      </c>
      <c r="L1084" s="2" t="s">
        <v>243</v>
      </c>
      <c r="M1084" s="2"/>
    </row>
    <row r="1085" customFormat="false" ht="15" hidden="false" customHeight="false" outlineLevel="0" collapsed="false">
      <c r="A1085" s="2" t="s">
        <v>3837</v>
      </c>
      <c r="B1085" s="2" t="s">
        <v>614</v>
      </c>
      <c r="C1085" s="2" t="s">
        <v>615</v>
      </c>
      <c r="D1085" s="13" t="n">
        <v>45578.7236111111</v>
      </c>
      <c r="E1085" s="2" t="s">
        <v>35</v>
      </c>
      <c r="F1085" s="2" t="s">
        <v>27</v>
      </c>
      <c r="G1085" s="2" t="n">
        <v>332.36</v>
      </c>
      <c r="H1085" s="2" t="n">
        <v>5</v>
      </c>
      <c r="I1085" s="2" t="s">
        <v>26</v>
      </c>
      <c r="J1085" s="2" t="s">
        <v>3838</v>
      </c>
      <c r="K1085" s="2" t="s">
        <v>122</v>
      </c>
      <c r="L1085" s="2"/>
      <c r="M1085" s="2" t="s">
        <v>498</v>
      </c>
    </row>
    <row r="1086" customFormat="false" ht="15" hidden="false" customHeight="false" outlineLevel="0" collapsed="false">
      <c r="A1086" s="2" t="s">
        <v>3839</v>
      </c>
      <c r="B1086" s="2" t="s">
        <v>1709</v>
      </c>
      <c r="C1086" s="2" t="s">
        <v>1710</v>
      </c>
      <c r="D1086" s="13" t="n">
        <v>45772.8444444445</v>
      </c>
      <c r="E1086" s="2" t="s">
        <v>41</v>
      </c>
      <c r="F1086" s="2" t="s">
        <v>32</v>
      </c>
      <c r="G1086" s="2" t="n">
        <v>4454.07</v>
      </c>
      <c r="H1086" s="2" t="n">
        <v>35.13</v>
      </c>
      <c r="I1086" s="2" t="s">
        <v>26</v>
      </c>
      <c r="J1086" s="2" t="s">
        <v>3840</v>
      </c>
      <c r="K1086" s="2" t="s">
        <v>101</v>
      </c>
      <c r="L1086" s="2" t="s">
        <v>253</v>
      </c>
      <c r="M1086" s="2"/>
    </row>
    <row r="1087" customFormat="false" ht="15" hidden="false" customHeight="false" outlineLevel="0" collapsed="false">
      <c r="A1087" s="2" t="s">
        <v>3841</v>
      </c>
      <c r="B1087" s="2" t="s">
        <v>2827</v>
      </c>
      <c r="C1087" s="2" t="s">
        <v>2828</v>
      </c>
      <c r="D1087" s="13" t="n">
        <v>45668.4173611111</v>
      </c>
      <c r="E1087" s="2" t="s">
        <v>37</v>
      </c>
      <c r="F1087" s="2" t="s">
        <v>32</v>
      </c>
      <c r="G1087" s="2" t="n">
        <v>1660.98</v>
      </c>
      <c r="H1087" s="2" t="n">
        <v>8.55</v>
      </c>
      <c r="I1087" s="2" t="s">
        <v>28</v>
      </c>
      <c r="J1087" s="2" t="s">
        <v>3842</v>
      </c>
      <c r="K1087" s="2" t="s">
        <v>122</v>
      </c>
      <c r="L1087" s="2" t="s">
        <v>258</v>
      </c>
      <c r="M1087" s="2"/>
    </row>
    <row r="1088" customFormat="false" ht="15" hidden="false" customHeight="false" outlineLevel="0" collapsed="false">
      <c r="A1088" s="2" t="s">
        <v>3843</v>
      </c>
      <c r="B1088" s="2" t="s">
        <v>2410</v>
      </c>
      <c r="C1088" s="2" t="s">
        <v>2411</v>
      </c>
      <c r="D1088" s="13" t="n">
        <v>45684.7458333333</v>
      </c>
      <c r="E1088" s="2" t="s">
        <v>37</v>
      </c>
      <c r="F1088" s="2" t="s">
        <v>27</v>
      </c>
      <c r="G1088" s="2" t="n">
        <v>1072.38</v>
      </c>
      <c r="H1088" s="2" t="n">
        <v>5</v>
      </c>
      <c r="I1088" s="2" t="s">
        <v>30</v>
      </c>
      <c r="J1088" s="2" t="s">
        <v>3844</v>
      </c>
      <c r="K1088" s="2" t="s">
        <v>122</v>
      </c>
      <c r="L1088" s="2"/>
      <c r="M1088" s="2" t="s">
        <v>513</v>
      </c>
    </row>
    <row r="1089" customFormat="false" ht="15" hidden="false" customHeight="false" outlineLevel="0" collapsed="false">
      <c r="A1089" s="2" t="s">
        <v>3845</v>
      </c>
      <c r="B1089" s="2" t="s">
        <v>2563</v>
      </c>
      <c r="C1089" s="2" t="s">
        <v>2564</v>
      </c>
      <c r="D1089" s="13" t="n">
        <v>45903.6159722222</v>
      </c>
      <c r="E1089" s="2" t="s">
        <v>35</v>
      </c>
      <c r="F1089" s="2" t="s">
        <v>32</v>
      </c>
      <c r="G1089" s="2" t="n">
        <v>2549.57</v>
      </c>
      <c r="H1089" s="2" t="n">
        <v>11.66</v>
      </c>
      <c r="I1089" s="2" t="s">
        <v>26</v>
      </c>
      <c r="J1089" s="2" t="s">
        <v>3846</v>
      </c>
      <c r="K1089" s="2" t="s">
        <v>95</v>
      </c>
      <c r="L1089" s="2" t="s">
        <v>945</v>
      </c>
      <c r="M1089" s="2"/>
    </row>
    <row r="1090" customFormat="false" ht="15" hidden="false" customHeight="false" outlineLevel="0" collapsed="false">
      <c r="A1090" s="2" t="s">
        <v>3847</v>
      </c>
      <c r="B1090" s="2" t="s">
        <v>2246</v>
      </c>
      <c r="C1090" s="2" t="s">
        <v>2247</v>
      </c>
      <c r="D1090" s="13" t="n">
        <v>45404.6854166667</v>
      </c>
      <c r="E1090" s="2" t="s">
        <v>41</v>
      </c>
      <c r="F1090" s="2" t="s">
        <v>32</v>
      </c>
      <c r="G1090" s="2" t="n">
        <v>25401.67</v>
      </c>
      <c r="H1090" s="2" t="n">
        <v>279.68</v>
      </c>
      <c r="I1090" s="2" t="s">
        <v>26</v>
      </c>
      <c r="J1090" s="2" t="s">
        <v>3848</v>
      </c>
      <c r="K1090" s="2" t="s">
        <v>101</v>
      </c>
      <c r="L1090" s="2" t="s">
        <v>1538</v>
      </c>
      <c r="M1090" s="2"/>
    </row>
    <row r="1091" customFormat="false" ht="15" hidden="false" customHeight="false" outlineLevel="0" collapsed="false">
      <c r="A1091" s="2" t="s">
        <v>3849</v>
      </c>
      <c r="B1091" s="2" t="s">
        <v>805</v>
      </c>
      <c r="C1091" s="2" t="s">
        <v>806</v>
      </c>
      <c r="D1091" s="13" t="n">
        <v>45797.8993055556</v>
      </c>
      <c r="E1091" s="2" t="s">
        <v>35</v>
      </c>
      <c r="F1091" s="2" t="s">
        <v>29</v>
      </c>
      <c r="G1091" s="2" t="n">
        <v>25160.59</v>
      </c>
      <c r="H1091" s="2" t="n">
        <v>226.2</v>
      </c>
      <c r="I1091" s="2" t="s">
        <v>26</v>
      </c>
      <c r="J1091" s="2" t="s">
        <v>3850</v>
      </c>
      <c r="K1091" s="2" t="s">
        <v>122</v>
      </c>
      <c r="L1091" s="2" t="s">
        <v>1543</v>
      </c>
      <c r="M1091" s="2"/>
    </row>
    <row r="1092" customFormat="false" ht="15" hidden="false" customHeight="false" outlineLevel="0" collapsed="false">
      <c r="A1092" s="2" t="s">
        <v>3851</v>
      </c>
      <c r="B1092" s="2" t="s">
        <v>3852</v>
      </c>
      <c r="C1092" s="2" t="s">
        <v>3853</v>
      </c>
      <c r="D1092" s="13" t="n">
        <v>45432.7548611111</v>
      </c>
      <c r="E1092" s="2" t="s">
        <v>37</v>
      </c>
      <c r="F1092" s="2" t="s">
        <v>31</v>
      </c>
      <c r="G1092" s="2" t="n">
        <v>9712.58</v>
      </c>
      <c r="H1092" s="2" t="n">
        <v>83.09</v>
      </c>
      <c r="I1092" s="2" t="s">
        <v>26</v>
      </c>
      <c r="J1092" s="2" t="s">
        <v>3854</v>
      </c>
      <c r="K1092" s="2" t="s">
        <v>95</v>
      </c>
      <c r="L1092" s="2" t="s">
        <v>283</v>
      </c>
      <c r="M1092" s="2"/>
    </row>
    <row r="1093" customFormat="false" ht="15" hidden="false" customHeight="false" outlineLevel="0" collapsed="false">
      <c r="A1093" s="2" t="s">
        <v>3855</v>
      </c>
      <c r="B1093" s="2" t="s">
        <v>1243</v>
      </c>
      <c r="C1093" s="2" t="s">
        <v>1244</v>
      </c>
      <c r="D1093" s="13" t="n">
        <v>45917.4618055556</v>
      </c>
      <c r="E1093" s="2" t="s">
        <v>41</v>
      </c>
      <c r="F1093" s="2" t="s">
        <v>32</v>
      </c>
      <c r="G1093" s="2" t="n">
        <v>1807.26</v>
      </c>
      <c r="H1093" s="2" t="n">
        <v>18.81</v>
      </c>
      <c r="I1093" s="2" t="s">
        <v>26</v>
      </c>
      <c r="J1093" s="2" t="s">
        <v>3856</v>
      </c>
      <c r="K1093" s="2" t="s">
        <v>122</v>
      </c>
      <c r="L1093" s="2" t="s">
        <v>963</v>
      </c>
      <c r="M1093" s="2"/>
    </row>
    <row r="1094" customFormat="false" ht="15" hidden="false" customHeight="false" outlineLevel="0" collapsed="false">
      <c r="A1094" s="2" t="s">
        <v>3857</v>
      </c>
      <c r="B1094" s="2" t="s">
        <v>370</v>
      </c>
      <c r="C1094" s="2" t="s">
        <v>371</v>
      </c>
      <c r="D1094" s="13" t="n">
        <v>45451.3743055556</v>
      </c>
      <c r="E1094" s="2" t="s">
        <v>37</v>
      </c>
      <c r="F1094" s="2" t="s">
        <v>27</v>
      </c>
      <c r="G1094" s="2" t="n">
        <v>5939.88</v>
      </c>
      <c r="H1094" s="2" t="n">
        <v>30.69</v>
      </c>
      <c r="I1094" s="2" t="s">
        <v>26</v>
      </c>
      <c r="J1094" s="2" t="s">
        <v>3858</v>
      </c>
      <c r="K1094" s="2" t="s">
        <v>122</v>
      </c>
      <c r="L1094" s="2"/>
      <c r="M1094" s="2" t="s">
        <v>1371</v>
      </c>
    </row>
    <row r="1095" customFormat="false" ht="15" hidden="false" customHeight="false" outlineLevel="0" collapsed="false">
      <c r="A1095" s="2" t="s">
        <v>3859</v>
      </c>
      <c r="B1095" s="2" t="s">
        <v>2679</v>
      </c>
      <c r="C1095" s="2" t="s">
        <v>2680</v>
      </c>
      <c r="D1095" s="13" t="n">
        <v>45696.5597222222</v>
      </c>
      <c r="E1095" s="2" t="s">
        <v>43</v>
      </c>
      <c r="F1095" s="2" t="s">
        <v>27</v>
      </c>
      <c r="G1095" s="2" t="n">
        <v>7929.92</v>
      </c>
      <c r="H1095" s="2" t="n">
        <v>83.16</v>
      </c>
      <c r="I1095" s="2" t="s">
        <v>26</v>
      </c>
      <c r="J1095" s="2" t="s">
        <v>3860</v>
      </c>
      <c r="K1095" s="2" t="s">
        <v>89</v>
      </c>
      <c r="L1095" s="2"/>
      <c r="M1095" s="2" t="s">
        <v>546</v>
      </c>
    </row>
    <row r="1096" customFormat="false" ht="15" hidden="false" customHeight="false" outlineLevel="0" collapsed="false">
      <c r="A1096" s="2" t="s">
        <v>3861</v>
      </c>
      <c r="B1096" s="2" t="s">
        <v>400</v>
      </c>
      <c r="C1096" s="2" t="s">
        <v>401</v>
      </c>
      <c r="D1096" s="13" t="n">
        <v>45360.4972222222</v>
      </c>
      <c r="E1096" s="2" t="s">
        <v>39</v>
      </c>
      <c r="F1096" s="2" t="s">
        <v>29</v>
      </c>
      <c r="G1096" s="2" t="n">
        <v>7288.11</v>
      </c>
      <c r="H1096" s="2" t="n">
        <v>74.46</v>
      </c>
      <c r="I1096" s="2" t="s">
        <v>28</v>
      </c>
      <c r="J1096" s="2" t="s">
        <v>3862</v>
      </c>
      <c r="K1096" s="2" t="s">
        <v>101</v>
      </c>
      <c r="L1096" s="2" t="s">
        <v>303</v>
      </c>
      <c r="M1096" s="2"/>
    </row>
    <row r="1097" customFormat="false" ht="15" hidden="false" customHeight="false" outlineLevel="0" collapsed="false">
      <c r="A1097" s="2" t="s">
        <v>3863</v>
      </c>
      <c r="B1097" s="2" t="s">
        <v>720</v>
      </c>
      <c r="C1097" s="2" t="s">
        <v>721</v>
      </c>
      <c r="D1097" s="13" t="n">
        <v>45689.6590277778</v>
      </c>
      <c r="E1097" s="2" t="s">
        <v>41</v>
      </c>
      <c r="F1097" s="2" t="s">
        <v>27</v>
      </c>
      <c r="G1097" s="2" t="n">
        <v>23038.39</v>
      </c>
      <c r="H1097" s="2" t="n">
        <v>93.21</v>
      </c>
      <c r="I1097" s="2" t="s">
        <v>26</v>
      </c>
      <c r="J1097" s="2" t="s">
        <v>3864</v>
      </c>
      <c r="K1097" s="2" t="s">
        <v>122</v>
      </c>
      <c r="L1097" s="2"/>
      <c r="M1097" s="2" t="s">
        <v>981</v>
      </c>
    </row>
    <row r="1098" customFormat="false" ht="15" hidden="false" customHeight="false" outlineLevel="0" collapsed="false">
      <c r="A1098" s="2" t="s">
        <v>3865</v>
      </c>
      <c r="B1098" s="2" t="s">
        <v>659</v>
      </c>
      <c r="C1098" s="2" t="s">
        <v>660</v>
      </c>
      <c r="D1098" s="13" t="n">
        <v>45813.5305555556</v>
      </c>
      <c r="E1098" s="2" t="s">
        <v>39</v>
      </c>
      <c r="F1098" s="2" t="s">
        <v>32</v>
      </c>
      <c r="G1098" s="2" t="n">
        <v>4519.53</v>
      </c>
      <c r="H1098" s="2" t="n">
        <v>41.75</v>
      </c>
      <c r="I1098" s="2" t="s">
        <v>26</v>
      </c>
      <c r="J1098" s="2" t="s">
        <v>3866</v>
      </c>
      <c r="K1098" s="2" t="s">
        <v>89</v>
      </c>
      <c r="L1098" s="2" t="s">
        <v>986</v>
      </c>
      <c r="M1098" s="2"/>
    </row>
    <row r="1099" customFormat="false" ht="15" hidden="false" customHeight="false" outlineLevel="0" collapsed="false">
      <c r="A1099" s="2" t="s">
        <v>3867</v>
      </c>
      <c r="B1099" s="2" t="s">
        <v>3868</v>
      </c>
      <c r="C1099" s="2" t="s">
        <v>3869</v>
      </c>
      <c r="D1099" s="13" t="n">
        <v>45635.6513888889</v>
      </c>
      <c r="E1099" s="2" t="s">
        <v>35</v>
      </c>
      <c r="F1099" s="2" t="s">
        <v>27</v>
      </c>
      <c r="G1099" s="2" t="n">
        <v>20194.97</v>
      </c>
      <c r="H1099" s="2" t="n">
        <v>45.24</v>
      </c>
      <c r="I1099" s="2" t="s">
        <v>26</v>
      </c>
      <c r="J1099" s="2" t="s">
        <v>3870</v>
      </c>
      <c r="K1099" s="2" t="s">
        <v>89</v>
      </c>
      <c r="L1099" s="2"/>
      <c r="M1099" s="2" t="s">
        <v>2097</v>
      </c>
    </row>
    <row r="1100" customFormat="false" ht="15" hidden="false" customHeight="false" outlineLevel="0" collapsed="false">
      <c r="A1100" s="2" t="s">
        <v>3871</v>
      </c>
      <c r="B1100" s="2" t="s">
        <v>3872</v>
      </c>
      <c r="C1100" s="2" t="s">
        <v>3873</v>
      </c>
      <c r="D1100" s="13" t="n">
        <v>45484.4694444445</v>
      </c>
      <c r="E1100" s="2" t="s">
        <v>43</v>
      </c>
      <c r="F1100" s="2" t="s">
        <v>32</v>
      </c>
      <c r="G1100" s="2" t="n">
        <v>9726.98</v>
      </c>
      <c r="H1100" s="2" t="n">
        <v>28.56</v>
      </c>
      <c r="I1100" s="2" t="s">
        <v>26</v>
      </c>
      <c r="J1100" s="2" t="s">
        <v>3874</v>
      </c>
      <c r="K1100" s="2" t="s">
        <v>89</v>
      </c>
      <c r="L1100" s="2"/>
      <c r="M1100" s="2" t="s">
        <v>571</v>
      </c>
    </row>
    <row r="1101" customFormat="false" ht="15" hidden="false" customHeight="false" outlineLevel="0" collapsed="false">
      <c r="A1101" s="2" t="s">
        <v>3875</v>
      </c>
      <c r="B1101" s="2" t="s">
        <v>3876</v>
      </c>
      <c r="C1101" s="2" t="s">
        <v>3877</v>
      </c>
      <c r="D1101" s="13" t="n">
        <v>45960.2944444444</v>
      </c>
      <c r="E1101" s="2" t="s">
        <v>37</v>
      </c>
      <c r="F1101" s="2" t="s">
        <v>29</v>
      </c>
      <c r="G1101" s="2" t="n">
        <v>1471.89</v>
      </c>
      <c r="H1101" s="2" t="n">
        <v>8.71</v>
      </c>
      <c r="I1101" s="2" t="s">
        <v>28</v>
      </c>
      <c r="J1101" s="2" t="s">
        <v>3878</v>
      </c>
      <c r="K1101" s="2" t="s">
        <v>89</v>
      </c>
      <c r="L1101" s="2" t="s">
        <v>1000</v>
      </c>
      <c r="M1101" s="2"/>
    </row>
    <row r="1102" customFormat="false" ht="15" hidden="false" customHeight="false" outlineLevel="0" collapsed="false">
      <c r="A1102" s="2" t="s">
        <v>3879</v>
      </c>
      <c r="B1102" s="2" t="s">
        <v>1341</v>
      </c>
      <c r="C1102" s="2" t="s">
        <v>1342</v>
      </c>
      <c r="D1102" s="13" t="n">
        <v>45341.5645833333</v>
      </c>
      <c r="E1102" s="2" t="s">
        <v>39</v>
      </c>
      <c r="F1102" s="2" t="s">
        <v>29</v>
      </c>
      <c r="G1102" s="2" t="n">
        <v>10385.52</v>
      </c>
      <c r="H1102" s="2" t="n">
        <v>99.42</v>
      </c>
      <c r="I1102" s="2" t="s">
        <v>26</v>
      </c>
      <c r="J1102" s="2" t="s">
        <v>3880</v>
      </c>
      <c r="K1102" s="2" t="s">
        <v>89</v>
      </c>
      <c r="L1102" s="2" t="s">
        <v>333</v>
      </c>
      <c r="M1102" s="2"/>
    </row>
    <row r="1103" customFormat="false" ht="15" hidden="false" customHeight="false" outlineLevel="0" collapsed="false">
      <c r="A1103" s="2" t="s">
        <v>3881</v>
      </c>
      <c r="B1103" s="2" t="s">
        <v>983</v>
      </c>
      <c r="C1103" s="2" t="s">
        <v>984</v>
      </c>
      <c r="D1103" s="13" t="n">
        <v>45580.3451388889</v>
      </c>
      <c r="E1103" s="2" t="s">
        <v>43</v>
      </c>
      <c r="F1103" s="2" t="s">
        <v>29</v>
      </c>
      <c r="G1103" s="2" t="n">
        <v>2039.65</v>
      </c>
      <c r="H1103" s="2" t="n">
        <v>11.93</v>
      </c>
      <c r="I1103" s="2" t="s">
        <v>26</v>
      </c>
      <c r="J1103" s="2" t="s">
        <v>3882</v>
      </c>
      <c r="K1103" s="2" t="s">
        <v>95</v>
      </c>
      <c r="L1103" s="2"/>
      <c r="M1103" s="2" t="s">
        <v>1007</v>
      </c>
    </row>
    <row r="1104" customFormat="false" ht="15" hidden="false" customHeight="false" outlineLevel="0" collapsed="false">
      <c r="A1104" s="2" t="s">
        <v>3883</v>
      </c>
      <c r="B1104" s="2" t="s">
        <v>1264</v>
      </c>
      <c r="C1104" s="2" t="s">
        <v>1265</v>
      </c>
      <c r="D1104" s="13" t="n">
        <v>45630.5645833333</v>
      </c>
      <c r="E1104" s="2" t="s">
        <v>41</v>
      </c>
      <c r="F1104" s="2" t="s">
        <v>27</v>
      </c>
      <c r="G1104" s="2" t="n">
        <v>5202.37</v>
      </c>
      <c r="H1104" s="2" t="n">
        <v>37.2</v>
      </c>
      <c r="I1104" s="2" t="s">
        <v>26</v>
      </c>
      <c r="J1104" s="2" t="s">
        <v>3884</v>
      </c>
      <c r="K1104" s="2" t="s">
        <v>122</v>
      </c>
      <c r="L1104" s="2"/>
      <c r="M1104" s="2" t="s">
        <v>2435</v>
      </c>
    </row>
    <row r="1105" customFormat="false" ht="15" hidden="false" customHeight="false" outlineLevel="0" collapsed="false">
      <c r="A1105" s="2" t="s">
        <v>3885</v>
      </c>
      <c r="B1105" s="2" t="s">
        <v>563</v>
      </c>
      <c r="C1105" s="2" t="s">
        <v>564</v>
      </c>
      <c r="D1105" s="13" t="n">
        <v>45652.3416666667</v>
      </c>
      <c r="E1105" s="2" t="s">
        <v>37</v>
      </c>
      <c r="F1105" s="2" t="s">
        <v>29</v>
      </c>
      <c r="G1105" s="2" t="n">
        <v>1285.49</v>
      </c>
      <c r="H1105" s="2" t="n">
        <v>14.54</v>
      </c>
      <c r="I1105" s="2" t="s">
        <v>26</v>
      </c>
      <c r="J1105" s="2" t="s">
        <v>3886</v>
      </c>
      <c r="K1105" s="2" t="s">
        <v>89</v>
      </c>
      <c r="L1105" s="2" t="s">
        <v>1012</v>
      </c>
      <c r="M1105" s="2"/>
    </row>
    <row r="1106" customFormat="false" ht="15" hidden="false" customHeight="false" outlineLevel="0" collapsed="false">
      <c r="A1106" s="2" t="s">
        <v>3887</v>
      </c>
      <c r="B1106" s="2" t="s">
        <v>280</v>
      </c>
      <c r="C1106" s="2" t="s">
        <v>281</v>
      </c>
      <c r="D1106" s="13" t="n">
        <v>45753.6263888889</v>
      </c>
      <c r="E1106" s="2" t="s">
        <v>43</v>
      </c>
      <c r="F1106" s="2" t="s">
        <v>32</v>
      </c>
      <c r="G1106" s="2" t="n">
        <v>17192.72</v>
      </c>
      <c r="H1106" s="2" t="n">
        <v>103.98</v>
      </c>
      <c r="I1106" s="2" t="s">
        <v>26</v>
      </c>
      <c r="J1106" s="2" t="s">
        <v>3888</v>
      </c>
      <c r="K1106" s="2" t="s">
        <v>89</v>
      </c>
      <c r="L1106" s="2"/>
      <c r="M1106" s="2" t="s">
        <v>112</v>
      </c>
    </row>
    <row r="1107" customFormat="false" ht="15" hidden="false" customHeight="false" outlineLevel="0" collapsed="false">
      <c r="A1107" s="2" t="s">
        <v>3889</v>
      </c>
      <c r="B1107" s="2" t="s">
        <v>3374</v>
      </c>
      <c r="C1107" s="2" t="s">
        <v>3375</v>
      </c>
      <c r="D1107" s="13" t="n">
        <v>45387.4326388889</v>
      </c>
      <c r="E1107" s="2" t="s">
        <v>43</v>
      </c>
      <c r="F1107" s="2" t="s">
        <v>27</v>
      </c>
      <c r="G1107" s="2" t="n">
        <v>4208.33</v>
      </c>
      <c r="H1107" s="2" t="n">
        <v>49.7</v>
      </c>
      <c r="I1107" s="2" t="s">
        <v>26</v>
      </c>
      <c r="J1107" s="2" t="s">
        <v>3890</v>
      </c>
      <c r="K1107" s="2" t="s">
        <v>89</v>
      </c>
      <c r="L1107" s="2"/>
      <c r="M1107" s="2" t="s">
        <v>1778</v>
      </c>
    </row>
    <row r="1108" customFormat="false" ht="15" hidden="false" customHeight="false" outlineLevel="0" collapsed="false">
      <c r="A1108" s="2" t="s">
        <v>3891</v>
      </c>
      <c r="B1108" s="2" t="s">
        <v>2011</v>
      </c>
      <c r="C1108" s="2" t="s">
        <v>2012</v>
      </c>
      <c r="D1108" s="13" t="n">
        <v>45876.9527777778</v>
      </c>
      <c r="E1108" s="2" t="s">
        <v>43</v>
      </c>
      <c r="F1108" s="2" t="s">
        <v>32</v>
      </c>
      <c r="G1108" s="2" t="n">
        <v>11083.48</v>
      </c>
      <c r="H1108" s="2" t="n">
        <v>86.36</v>
      </c>
      <c r="I1108" s="2" t="s">
        <v>30</v>
      </c>
      <c r="J1108" s="2" t="s">
        <v>3892</v>
      </c>
      <c r="K1108" s="2" t="s">
        <v>95</v>
      </c>
      <c r="L1108" s="2"/>
      <c r="M1108" s="2" t="s">
        <v>1023</v>
      </c>
    </row>
    <row r="1109" customFormat="false" ht="15" hidden="false" customHeight="false" outlineLevel="0" collapsed="false">
      <c r="A1109" s="2" t="s">
        <v>3893</v>
      </c>
      <c r="B1109" s="2" t="s">
        <v>2954</v>
      </c>
      <c r="C1109" s="2" t="s">
        <v>2955</v>
      </c>
      <c r="D1109" s="13" t="n">
        <v>45715.3958333333</v>
      </c>
      <c r="E1109" s="2" t="s">
        <v>41</v>
      </c>
      <c r="F1109" s="2" t="s">
        <v>29</v>
      </c>
      <c r="G1109" s="2" t="n">
        <v>10281.88</v>
      </c>
      <c r="H1109" s="2" t="n">
        <v>121.23</v>
      </c>
      <c r="I1109" s="2" t="s">
        <v>26</v>
      </c>
      <c r="J1109" s="2" t="s">
        <v>3894</v>
      </c>
      <c r="K1109" s="2" t="s">
        <v>101</v>
      </c>
      <c r="L1109" s="2" t="s">
        <v>368</v>
      </c>
      <c r="M1109" s="2"/>
    </row>
    <row r="1110" customFormat="false" ht="15" hidden="false" customHeight="false" outlineLevel="0" collapsed="false">
      <c r="A1110" s="2" t="s">
        <v>3895</v>
      </c>
      <c r="B1110" s="2" t="s">
        <v>3896</v>
      </c>
      <c r="C1110" s="2" t="s">
        <v>3897</v>
      </c>
      <c r="D1110" s="13" t="n">
        <v>45951.4006944444</v>
      </c>
      <c r="E1110" s="2" t="s">
        <v>43</v>
      </c>
      <c r="F1110" s="2" t="s">
        <v>29</v>
      </c>
      <c r="G1110" s="2" t="n">
        <v>2729.54</v>
      </c>
      <c r="H1110" s="2" t="n">
        <v>24.72</v>
      </c>
      <c r="I1110" s="2" t="s">
        <v>26</v>
      </c>
      <c r="J1110" s="2" t="s">
        <v>3898</v>
      </c>
      <c r="K1110" s="2" t="s">
        <v>101</v>
      </c>
      <c r="L1110" s="2"/>
      <c r="M1110" s="2" t="s">
        <v>617</v>
      </c>
    </row>
    <row r="1111" customFormat="false" ht="15" hidden="false" customHeight="false" outlineLevel="0" collapsed="false">
      <c r="A1111" s="2" t="s">
        <v>3899</v>
      </c>
      <c r="B1111" s="2" t="s">
        <v>819</v>
      </c>
      <c r="C1111" s="2" t="s">
        <v>820</v>
      </c>
      <c r="D1111" s="13" t="n">
        <v>45537.6090277778</v>
      </c>
      <c r="E1111" s="2" t="s">
        <v>35</v>
      </c>
      <c r="F1111" s="2" t="s">
        <v>32</v>
      </c>
      <c r="G1111" s="2" t="n">
        <v>12925.08</v>
      </c>
      <c r="H1111" s="2" t="n">
        <v>91.66</v>
      </c>
      <c r="I1111" s="2" t="s">
        <v>26</v>
      </c>
      <c r="J1111" s="2" t="s">
        <v>3900</v>
      </c>
      <c r="K1111" s="2" t="s">
        <v>122</v>
      </c>
      <c r="L1111" s="2" t="s">
        <v>1034</v>
      </c>
      <c r="M1111" s="2"/>
    </row>
    <row r="1112" customFormat="false" ht="15" hidden="false" customHeight="false" outlineLevel="0" collapsed="false">
      <c r="A1112" s="2" t="s">
        <v>3901</v>
      </c>
      <c r="B1112" s="2" t="s">
        <v>2414</v>
      </c>
      <c r="C1112" s="2" t="s">
        <v>2415</v>
      </c>
      <c r="D1112" s="13" t="n">
        <v>45437.4368055556</v>
      </c>
      <c r="E1112" s="2" t="s">
        <v>43</v>
      </c>
      <c r="F1112" s="2" t="s">
        <v>29</v>
      </c>
      <c r="G1112" s="2" t="n">
        <v>2994.08</v>
      </c>
      <c r="H1112" s="2" t="n">
        <v>26.39</v>
      </c>
      <c r="I1112" s="2" t="s">
        <v>26</v>
      </c>
      <c r="J1112" s="2" t="s">
        <v>3902</v>
      </c>
      <c r="K1112" s="2" t="s">
        <v>122</v>
      </c>
      <c r="L1112" s="2"/>
      <c r="M1112" s="2" t="s">
        <v>627</v>
      </c>
    </row>
    <row r="1113" customFormat="false" ht="15" hidden="false" customHeight="false" outlineLevel="0" collapsed="false">
      <c r="A1113" s="2" t="s">
        <v>3903</v>
      </c>
      <c r="B1113" s="2" t="s">
        <v>3904</v>
      </c>
      <c r="C1113" s="2" t="s">
        <v>3905</v>
      </c>
      <c r="D1113" s="13" t="n">
        <v>45788.5416666667</v>
      </c>
      <c r="E1113" s="2" t="s">
        <v>43</v>
      </c>
      <c r="F1113" s="2" t="s">
        <v>29</v>
      </c>
      <c r="G1113" s="2" t="n">
        <v>45017.06</v>
      </c>
      <c r="H1113" s="2" t="n">
        <v>92.94</v>
      </c>
      <c r="I1113" s="2" t="s">
        <v>26</v>
      </c>
      <c r="J1113" s="2" t="s">
        <v>3906</v>
      </c>
      <c r="K1113" s="2" t="s">
        <v>95</v>
      </c>
      <c r="L1113" s="2"/>
      <c r="M1113" s="2" t="s">
        <v>144</v>
      </c>
    </row>
    <row r="1114" customFormat="false" ht="15" hidden="false" customHeight="false" outlineLevel="0" collapsed="false">
      <c r="A1114" s="2" t="s">
        <v>3907</v>
      </c>
      <c r="B1114" s="2" t="s">
        <v>1063</v>
      </c>
      <c r="C1114" s="2" t="s">
        <v>1064</v>
      </c>
      <c r="D1114" s="13" t="n">
        <v>45765.5208333333</v>
      </c>
      <c r="E1114" s="2" t="s">
        <v>41</v>
      </c>
      <c r="F1114" s="2" t="s">
        <v>29</v>
      </c>
      <c r="G1114" s="2" t="n">
        <v>8641.3</v>
      </c>
      <c r="H1114" s="2" t="n">
        <v>65.69</v>
      </c>
      <c r="I1114" s="2" t="s">
        <v>26</v>
      </c>
      <c r="J1114" s="2" t="s">
        <v>3908</v>
      </c>
      <c r="K1114" s="2" t="s">
        <v>89</v>
      </c>
      <c r="L1114" s="2" t="s">
        <v>393</v>
      </c>
      <c r="M1114" s="2"/>
    </row>
    <row r="1115" customFormat="false" ht="15" hidden="false" customHeight="false" outlineLevel="0" collapsed="false">
      <c r="A1115" s="2" t="s">
        <v>3909</v>
      </c>
      <c r="B1115" s="2" t="s">
        <v>2392</v>
      </c>
      <c r="C1115" s="2" t="s">
        <v>2393</v>
      </c>
      <c r="D1115" s="13" t="n">
        <v>45671.3402777778</v>
      </c>
      <c r="E1115" s="2" t="s">
        <v>35</v>
      </c>
      <c r="F1115" s="2" t="s">
        <v>27</v>
      </c>
      <c r="G1115" s="2" t="n">
        <v>341.36</v>
      </c>
      <c r="H1115" s="2" t="n">
        <v>5</v>
      </c>
      <c r="I1115" s="2" t="s">
        <v>26</v>
      </c>
      <c r="J1115" s="2" t="s">
        <v>3910</v>
      </c>
      <c r="K1115" s="2" t="s">
        <v>95</v>
      </c>
      <c r="L1115" s="2"/>
      <c r="M1115" s="2" t="s">
        <v>1053</v>
      </c>
    </row>
    <row r="1116" customFormat="false" ht="15" hidden="false" customHeight="false" outlineLevel="0" collapsed="false">
      <c r="A1116" s="2" t="s">
        <v>3911</v>
      </c>
      <c r="B1116" s="2" t="s">
        <v>109</v>
      </c>
      <c r="C1116" s="2" t="s">
        <v>110</v>
      </c>
      <c r="D1116" s="13" t="n">
        <v>45849.9111111111</v>
      </c>
      <c r="E1116" s="2" t="s">
        <v>39</v>
      </c>
      <c r="F1116" s="2" t="s">
        <v>27</v>
      </c>
      <c r="G1116" s="2" t="n">
        <v>4621.54</v>
      </c>
      <c r="H1116" s="2" t="n">
        <v>31.05</v>
      </c>
      <c r="I1116" s="2" t="s">
        <v>26</v>
      </c>
      <c r="J1116" s="2" t="s">
        <v>3912</v>
      </c>
      <c r="K1116" s="2" t="s">
        <v>95</v>
      </c>
      <c r="L1116" s="2"/>
      <c r="M1116" s="2" t="s">
        <v>1448</v>
      </c>
    </row>
    <row r="1117" customFormat="false" ht="15" hidden="false" customHeight="false" outlineLevel="0" collapsed="false">
      <c r="A1117" s="2" t="s">
        <v>3913</v>
      </c>
      <c r="B1117" s="2" t="s">
        <v>3914</v>
      </c>
      <c r="C1117" s="2" t="s">
        <v>3915</v>
      </c>
      <c r="D1117" s="13" t="n">
        <v>45787.9375</v>
      </c>
      <c r="E1117" s="2" t="s">
        <v>39</v>
      </c>
      <c r="F1117" s="2" t="s">
        <v>29</v>
      </c>
      <c r="G1117" s="2" t="n">
        <v>2983.82</v>
      </c>
      <c r="H1117" s="2" t="n">
        <v>28.52</v>
      </c>
      <c r="I1117" s="2" t="s">
        <v>26</v>
      </c>
      <c r="J1117" s="2" t="s">
        <v>3916</v>
      </c>
      <c r="K1117" s="2" t="s">
        <v>101</v>
      </c>
      <c r="L1117" s="2" t="s">
        <v>408</v>
      </c>
      <c r="M1117" s="2"/>
    </row>
    <row r="1118" customFormat="false" ht="15" hidden="false" customHeight="false" outlineLevel="0" collapsed="false">
      <c r="A1118" s="2" t="s">
        <v>3917</v>
      </c>
      <c r="B1118" s="2" t="s">
        <v>1551</v>
      </c>
      <c r="C1118" s="2" t="s">
        <v>1552</v>
      </c>
      <c r="D1118" s="13" t="n">
        <v>46001.9451388889</v>
      </c>
      <c r="E1118" s="2" t="s">
        <v>43</v>
      </c>
      <c r="F1118" s="2" t="s">
        <v>31</v>
      </c>
      <c r="G1118" s="2" t="n">
        <v>4068.87</v>
      </c>
      <c r="H1118" s="2" t="n">
        <v>8.18</v>
      </c>
      <c r="I1118" s="2" t="s">
        <v>26</v>
      </c>
      <c r="J1118" s="2" t="s">
        <v>3918</v>
      </c>
      <c r="K1118" s="2" t="s">
        <v>122</v>
      </c>
      <c r="L1118" s="2"/>
      <c r="M1118" s="2" t="s">
        <v>163</v>
      </c>
    </row>
    <row r="1119" customFormat="false" ht="15" hidden="false" customHeight="false" outlineLevel="0" collapsed="false">
      <c r="A1119" s="2" t="s">
        <v>3919</v>
      </c>
      <c r="B1119" s="2" t="s">
        <v>1569</v>
      </c>
      <c r="C1119" s="2" t="s">
        <v>1570</v>
      </c>
      <c r="D1119" s="13" t="n">
        <v>45376.4611111111</v>
      </c>
      <c r="E1119" s="2" t="s">
        <v>35</v>
      </c>
      <c r="F1119" s="2" t="s">
        <v>27</v>
      </c>
      <c r="G1119" s="2" t="n">
        <v>8216.62</v>
      </c>
      <c r="H1119" s="2" t="n">
        <v>40.69</v>
      </c>
      <c r="I1119" s="2" t="s">
        <v>26</v>
      </c>
      <c r="J1119" s="2" t="s">
        <v>3920</v>
      </c>
      <c r="K1119" s="2" t="s">
        <v>89</v>
      </c>
      <c r="L1119" s="2"/>
      <c r="M1119" s="2" t="s">
        <v>657</v>
      </c>
    </row>
    <row r="1120" customFormat="false" ht="15" hidden="false" customHeight="false" outlineLevel="0" collapsed="false">
      <c r="A1120" s="2" t="s">
        <v>3921</v>
      </c>
      <c r="B1120" s="2" t="s">
        <v>2236</v>
      </c>
      <c r="C1120" s="2" t="s">
        <v>2237</v>
      </c>
      <c r="D1120" s="13" t="n">
        <v>45966.9541666667</v>
      </c>
      <c r="E1120" s="2" t="s">
        <v>39</v>
      </c>
      <c r="F1120" s="2" t="s">
        <v>27</v>
      </c>
      <c r="G1120" s="2" t="n">
        <v>20611.13</v>
      </c>
      <c r="H1120" s="2" t="n">
        <v>244.34</v>
      </c>
      <c r="I1120" s="2" t="s">
        <v>26</v>
      </c>
      <c r="J1120" s="2" t="s">
        <v>3922</v>
      </c>
      <c r="K1120" s="2" t="s">
        <v>122</v>
      </c>
      <c r="L1120" s="2"/>
      <c r="M1120" s="2" t="s">
        <v>662</v>
      </c>
    </row>
    <row r="1121" customFormat="false" ht="15" hidden="false" customHeight="false" outlineLevel="0" collapsed="false">
      <c r="A1121" s="2" t="s">
        <v>3923</v>
      </c>
      <c r="B1121" s="2" t="s">
        <v>1683</v>
      </c>
      <c r="C1121" s="2" t="s">
        <v>1684</v>
      </c>
      <c r="D1121" s="13" t="n">
        <v>45677.78125</v>
      </c>
      <c r="E1121" s="2" t="s">
        <v>37</v>
      </c>
      <c r="F1121" s="2" t="s">
        <v>27</v>
      </c>
      <c r="G1121" s="2" t="n">
        <v>5377.79</v>
      </c>
      <c r="H1121" s="2" t="n">
        <v>32.2</v>
      </c>
      <c r="I1121" s="2" t="s">
        <v>26</v>
      </c>
      <c r="J1121" s="2" t="s">
        <v>3924</v>
      </c>
      <c r="K1121" s="2" t="s">
        <v>89</v>
      </c>
      <c r="L1121" s="2"/>
      <c r="M1121" s="2" t="s">
        <v>667</v>
      </c>
    </row>
    <row r="1122" customFormat="false" ht="15" hidden="false" customHeight="false" outlineLevel="0" collapsed="false">
      <c r="A1122" s="2" t="s">
        <v>3925</v>
      </c>
      <c r="B1122" s="2" t="s">
        <v>1845</v>
      </c>
      <c r="C1122" s="2" t="s">
        <v>1846</v>
      </c>
      <c r="D1122" s="13" t="n">
        <v>45916.8145833333</v>
      </c>
      <c r="E1122" s="2" t="s">
        <v>39</v>
      </c>
      <c r="F1122" s="2" t="s">
        <v>31</v>
      </c>
      <c r="G1122" s="2" t="n">
        <v>8566.99</v>
      </c>
      <c r="H1122" s="2" t="n">
        <v>83.87</v>
      </c>
      <c r="I1122" s="2" t="s">
        <v>28</v>
      </c>
      <c r="J1122" s="2" t="s">
        <v>3926</v>
      </c>
      <c r="K1122" s="2" t="s">
        <v>101</v>
      </c>
      <c r="L1122" s="2" t="s">
        <v>433</v>
      </c>
      <c r="M1122" s="2"/>
    </row>
    <row r="1123" customFormat="false" ht="15" hidden="false" customHeight="false" outlineLevel="0" collapsed="false">
      <c r="A1123" s="2" t="s">
        <v>3927</v>
      </c>
      <c r="B1123" s="2" t="s">
        <v>3928</v>
      </c>
      <c r="C1123" s="2" t="s">
        <v>3929</v>
      </c>
      <c r="D1123" s="13" t="n">
        <v>45457.6722222222</v>
      </c>
      <c r="E1123" s="2" t="s">
        <v>41</v>
      </c>
      <c r="F1123" s="2" t="s">
        <v>27</v>
      </c>
      <c r="G1123" s="2" t="n">
        <v>15453.59</v>
      </c>
      <c r="H1123" s="2" t="n">
        <v>141.04</v>
      </c>
      <c r="I1123" s="2" t="s">
        <v>28</v>
      </c>
      <c r="J1123" s="2" t="s">
        <v>3930</v>
      </c>
      <c r="K1123" s="2" t="s">
        <v>95</v>
      </c>
      <c r="L1123" s="2"/>
      <c r="M1123" s="2" t="s">
        <v>1084</v>
      </c>
    </row>
    <row r="1124" customFormat="false" ht="15" hidden="false" customHeight="false" outlineLevel="0" collapsed="false">
      <c r="A1124" s="2" t="s">
        <v>3931</v>
      </c>
      <c r="B1124" s="2" t="s">
        <v>1989</v>
      </c>
      <c r="C1124" s="2" t="s">
        <v>1990</v>
      </c>
      <c r="D1124" s="13" t="n">
        <v>46003.5055555556</v>
      </c>
      <c r="E1124" s="2" t="s">
        <v>41</v>
      </c>
      <c r="F1124" s="2" t="s">
        <v>31</v>
      </c>
      <c r="G1124" s="2" t="n">
        <v>15961.6</v>
      </c>
      <c r="H1124" s="2" t="n">
        <v>153.27</v>
      </c>
      <c r="I1124" s="2" t="s">
        <v>26</v>
      </c>
      <c r="J1124" s="2" t="s">
        <v>3932</v>
      </c>
      <c r="K1124" s="2" t="s">
        <v>89</v>
      </c>
      <c r="L1124" s="2" t="s">
        <v>443</v>
      </c>
      <c r="M1124" s="2"/>
    </row>
    <row r="1125" customFormat="false" ht="15" hidden="false" customHeight="false" outlineLevel="0" collapsed="false">
      <c r="A1125" s="2" t="s">
        <v>3933</v>
      </c>
      <c r="B1125" s="2" t="s">
        <v>880</v>
      </c>
      <c r="C1125" s="2" t="s">
        <v>881</v>
      </c>
      <c r="D1125" s="13" t="n">
        <v>46001.6875</v>
      </c>
      <c r="E1125" s="2" t="s">
        <v>35</v>
      </c>
      <c r="F1125" s="2" t="s">
        <v>27</v>
      </c>
      <c r="G1125" s="2" t="n">
        <v>6695.62</v>
      </c>
      <c r="H1125" s="2" t="n">
        <v>64.43</v>
      </c>
      <c r="I1125" s="2" t="s">
        <v>30</v>
      </c>
      <c r="J1125" s="2" t="s">
        <v>3934</v>
      </c>
      <c r="K1125" s="2" t="s">
        <v>89</v>
      </c>
      <c r="L1125" s="2"/>
      <c r="M1125" s="2" t="s">
        <v>198</v>
      </c>
    </row>
    <row r="1126" customFormat="false" ht="15" hidden="false" customHeight="false" outlineLevel="0" collapsed="false">
      <c r="A1126" s="2" t="s">
        <v>3935</v>
      </c>
      <c r="B1126" s="2" t="s">
        <v>3936</v>
      </c>
      <c r="C1126" s="2" t="s">
        <v>3937</v>
      </c>
      <c r="D1126" s="13" t="n">
        <v>45628.3659722222</v>
      </c>
      <c r="E1126" s="2" t="s">
        <v>41</v>
      </c>
      <c r="F1126" s="2" t="s">
        <v>27</v>
      </c>
      <c r="G1126" s="2" t="n">
        <v>5782.6</v>
      </c>
      <c r="H1126" s="2" t="n">
        <v>34.52</v>
      </c>
      <c r="I1126" s="2" t="s">
        <v>26</v>
      </c>
      <c r="J1126" s="2" t="s">
        <v>3938</v>
      </c>
      <c r="K1126" s="2" t="s">
        <v>89</v>
      </c>
      <c r="L1126" s="2"/>
      <c r="M1126" s="2" t="s">
        <v>203</v>
      </c>
    </row>
    <row r="1127" customFormat="false" ht="15" hidden="false" customHeight="false" outlineLevel="0" collapsed="false">
      <c r="A1127" s="2" t="s">
        <v>3939</v>
      </c>
      <c r="B1127" s="2" t="s">
        <v>3940</v>
      </c>
      <c r="C1127" s="2" t="s">
        <v>3941</v>
      </c>
      <c r="D1127" s="13" t="n">
        <v>45325.4756944445</v>
      </c>
      <c r="E1127" s="2" t="s">
        <v>35</v>
      </c>
      <c r="F1127" s="2" t="s">
        <v>27</v>
      </c>
      <c r="G1127" s="2" t="n">
        <v>2194.27</v>
      </c>
      <c r="H1127" s="2" t="n">
        <v>8.97</v>
      </c>
      <c r="I1127" s="2" t="s">
        <v>26</v>
      </c>
      <c r="J1127" s="2" t="s">
        <v>3942</v>
      </c>
      <c r="K1127" s="2" t="s">
        <v>122</v>
      </c>
      <c r="L1127" s="2"/>
      <c r="M1127" s="2" t="s">
        <v>692</v>
      </c>
    </row>
    <row r="1128" customFormat="false" ht="15" hidden="false" customHeight="false" outlineLevel="0" collapsed="false">
      <c r="A1128" s="2" t="s">
        <v>3943</v>
      </c>
      <c r="B1128" s="2" t="s">
        <v>3292</v>
      </c>
      <c r="C1128" s="2" t="s">
        <v>3293</v>
      </c>
      <c r="D1128" s="13" t="n">
        <v>45861.5513888889</v>
      </c>
      <c r="E1128" s="2" t="s">
        <v>35</v>
      </c>
      <c r="F1128" s="2" t="s">
        <v>27</v>
      </c>
      <c r="G1128" s="2" t="n">
        <v>2139.13</v>
      </c>
      <c r="H1128" s="2" t="n">
        <v>19.55</v>
      </c>
      <c r="I1128" s="2" t="s">
        <v>26</v>
      </c>
      <c r="J1128" s="2" t="s">
        <v>3944</v>
      </c>
      <c r="K1128" s="2" t="s">
        <v>95</v>
      </c>
      <c r="L1128" s="2"/>
      <c r="M1128" s="2" t="s">
        <v>1495</v>
      </c>
    </row>
    <row r="1129" customFormat="false" ht="15" hidden="false" customHeight="false" outlineLevel="0" collapsed="false">
      <c r="A1129" s="2" t="s">
        <v>3945</v>
      </c>
      <c r="B1129" s="2" t="s">
        <v>1683</v>
      </c>
      <c r="C1129" s="2" t="s">
        <v>1684</v>
      </c>
      <c r="D1129" s="13" t="n">
        <v>45582.8125</v>
      </c>
      <c r="E1129" s="2" t="s">
        <v>43</v>
      </c>
      <c r="F1129" s="2" t="s">
        <v>27</v>
      </c>
      <c r="G1129" s="2" t="n">
        <v>7799.54</v>
      </c>
      <c r="H1129" s="2" t="n">
        <v>45.58</v>
      </c>
      <c r="I1129" s="2" t="s">
        <v>30</v>
      </c>
      <c r="J1129" s="2" t="s">
        <v>3946</v>
      </c>
      <c r="K1129" s="2" t="s">
        <v>122</v>
      </c>
      <c r="L1129" s="2"/>
      <c r="M1129" s="2" t="s">
        <v>700</v>
      </c>
    </row>
    <row r="1130" customFormat="false" ht="15" hidden="false" customHeight="false" outlineLevel="0" collapsed="false">
      <c r="A1130" s="2" t="s">
        <v>3947</v>
      </c>
      <c r="B1130" s="2" t="s">
        <v>797</v>
      </c>
      <c r="C1130" s="2" t="s">
        <v>798</v>
      </c>
      <c r="D1130" s="13" t="n">
        <v>45582.61875</v>
      </c>
      <c r="E1130" s="2" t="s">
        <v>37</v>
      </c>
      <c r="F1130" s="2" t="s">
        <v>29</v>
      </c>
      <c r="G1130" s="2" t="n">
        <v>3982.85</v>
      </c>
      <c r="H1130" s="2" t="n">
        <v>34.15</v>
      </c>
      <c r="I1130" s="2" t="s">
        <v>26</v>
      </c>
      <c r="J1130" s="2" t="s">
        <v>3948</v>
      </c>
      <c r="K1130" s="2" t="s">
        <v>95</v>
      </c>
      <c r="L1130" s="2" t="s">
        <v>473</v>
      </c>
      <c r="M1130" s="2"/>
    </row>
    <row r="1131" customFormat="false" ht="15" hidden="false" customHeight="false" outlineLevel="0" collapsed="false">
      <c r="A1131" s="2" t="s">
        <v>3949</v>
      </c>
      <c r="B1131" s="2" t="s">
        <v>410</v>
      </c>
      <c r="C1131" s="2" t="s">
        <v>411</v>
      </c>
      <c r="D1131" s="13" t="n">
        <v>45694.7194444445</v>
      </c>
      <c r="E1131" s="2" t="s">
        <v>37</v>
      </c>
      <c r="F1131" s="2" t="s">
        <v>32</v>
      </c>
      <c r="G1131" s="2" t="n">
        <v>18169.6</v>
      </c>
      <c r="H1131" s="2" t="n">
        <v>66.58</v>
      </c>
      <c r="I1131" s="2" t="s">
        <v>26</v>
      </c>
      <c r="J1131" s="2" t="s">
        <v>3950</v>
      </c>
      <c r="K1131" s="2" t="s">
        <v>89</v>
      </c>
      <c r="L1131" s="2" t="s">
        <v>478</v>
      </c>
      <c r="M1131" s="2"/>
    </row>
    <row r="1132" customFormat="false" ht="15" hidden="false" customHeight="false" outlineLevel="0" collapsed="false">
      <c r="A1132" s="2" t="s">
        <v>3951</v>
      </c>
      <c r="B1132" s="2" t="s">
        <v>3952</v>
      </c>
      <c r="C1132" s="2" t="s">
        <v>3953</v>
      </c>
      <c r="D1132" s="13" t="n">
        <v>45327.4590277778</v>
      </c>
      <c r="E1132" s="2" t="s">
        <v>37</v>
      </c>
      <c r="F1132" s="2" t="s">
        <v>31</v>
      </c>
      <c r="G1132" s="2" t="n">
        <v>5092.1</v>
      </c>
      <c r="H1132" s="2" t="n">
        <v>14.58</v>
      </c>
      <c r="I1132" s="2" t="s">
        <v>26</v>
      </c>
      <c r="J1132" s="2" t="s">
        <v>3954</v>
      </c>
      <c r="K1132" s="2" t="s">
        <v>89</v>
      </c>
      <c r="L1132" s="2" t="s">
        <v>483</v>
      </c>
      <c r="M1132" s="2"/>
    </row>
    <row r="1133" customFormat="false" ht="15" hidden="false" customHeight="false" outlineLevel="0" collapsed="false">
      <c r="A1133" s="2" t="s">
        <v>3955</v>
      </c>
      <c r="B1133" s="2" t="s">
        <v>3956</v>
      </c>
      <c r="C1133" s="2" t="s">
        <v>3957</v>
      </c>
      <c r="D1133" s="13" t="n">
        <v>45316.7201388889</v>
      </c>
      <c r="E1133" s="2" t="s">
        <v>37</v>
      </c>
      <c r="F1133" s="2" t="s">
        <v>32</v>
      </c>
      <c r="G1133" s="2" t="n">
        <v>2244.55</v>
      </c>
      <c r="H1133" s="2" t="n">
        <v>24.18</v>
      </c>
      <c r="I1133" s="2" t="s">
        <v>30</v>
      </c>
      <c r="J1133" s="2" t="s">
        <v>3958</v>
      </c>
      <c r="K1133" s="2" t="s">
        <v>89</v>
      </c>
      <c r="L1133" s="2" t="s">
        <v>488</v>
      </c>
      <c r="M1133" s="2"/>
    </row>
    <row r="1134" customFormat="false" ht="15" hidden="false" customHeight="false" outlineLevel="0" collapsed="false">
      <c r="A1134" s="2" t="s">
        <v>3959</v>
      </c>
      <c r="B1134" s="2" t="s">
        <v>3960</v>
      </c>
      <c r="C1134" s="2" t="s">
        <v>3961</v>
      </c>
      <c r="D1134" s="13" t="n">
        <v>45952.5520833333</v>
      </c>
      <c r="E1134" s="2" t="s">
        <v>41</v>
      </c>
      <c r="F1134" s="2" t="s">
        <v>27</v>
      </c>
      <c r="G1134" s="2" t="n">
        <v>2362.9</v>
      </c>
      <c r="H1134" s="2" t="n">
        <v>20.21</v>
      </c>
      <c r="I1134" s="2" t="s">
        <v>28</v>
      </c>
      <c r="J1134" s="2" t="s">
        <v>3962</v>
      </c>
      <c r="K1134" s="2" t="s">
        <v>95</v>
      </c>
      <c r="L1134" s="2"/>
      <c r="M1134" s="2" t="s">
        <v>718</v>
      </c>
    </row>
    <row r="1135" customFormat="false" ht="15" hidden="false" customHeight="false" outlineLevel="0" collapsed="false">
      <c r="A1135" s="2" t="s">
        <v>3963</v>
      </c>
      <c r="B1135" s="2" t="s">
        <v>624</v>
      </c>
      <c r="C1135" s="2" t="s">
        <v>625</v>
      </c>
      <c r="D1135" s="13" t="n">
        <v>45305.4152777778</v>
      </c>
      <c r="E1135" s="2" t="s">
        <v>41</v>
      </c>
      <c r="F1135" s="2" t="s">
        <v>31</v>
      </c>
      <c r="G1135" s="2" t="n">
        <v>5561.03</v>
      </c>
      <c r="H1135" s="2" t="n">
        <v>44.22</v>
      </c>
      <c r="I1135" s="2" t="s">
        <v>28</v>
      </c>
      <c r="J1135" s="2" t="s">
        <v>3964</v>
      </c>
      <c r="K1135" s="2" t="s">
        <v>122</v>
      </c>
      <c r="L1135" s="2" t="s">
        <v>1127</v>
      </c>
      <c r="M1135" s="2"/>
    </row>
    <row r="1136" customFormat="false" ht="15" hidden="false" customHeight="false" outlineLevel="0" collapsed="false">
      <c r="A1136" s="2" t="s">
        <v>3965</v>
      </c>
      <c r="B1136" s="2" t="s">
        <v>3708</v>
      </c>
      <c r="C1136" s="2" t="s">
        <v>3709</v>
      </c>
      <c r="D1136" s="13" t="n">
        <v>45408.3270833333</v>
      </c>
      <c r="E1136" s="2" t="s">
        <v>41</v>
      </c>
      <c r="F1136" s="2" t="s">
        <v>29</v>
      </c>
      <c r="G1136" s="2" t="n">
        <v>4259.58</v>
      </c>
      <c r="H1136" s="2" t="n">
        <v>30.96</v>
      </c>
      <c r="I1136" s="2" t="s">
        <v>30</v>
      </c>
      <c r="J1136" s="2" t="s">
        <v>3966</v>
      </c>
      <c r="K1136" s="2" t="s">
        <v>101</v>
      </c>
      <c r="L1136" s="2" t="s">
        <v>503</v>
      </c>
      <c r="M1136" s="2"/>
    </row>
    <row r="1137" customFormat="false" ht="15" hidden="false" customHeight="false" outlineLevel="0" collapsed="false">
      <c r="A1137" s="2" t="s">
        <v>3967</v>
      </c>
      <c r="B1137" s="2" t="s">
        <v>3968</v>
      </c>
      <c r="C1137" s="2" t="s">
        <v>3969</v>
      </c>
      <c r="D1137" s="13" t="n">
        <v>45635.5270833333</v>
      </c>
      <c r="E1137" s="2" t="s">
        <v>35</v>
      </c>
      <c r="F1137" s="2" t="s">
        <v>32</v>
      </c>
      <c r="G1137" s="2" t="n">
        <v>9223.21</v>
      </c>
      <c r="H1137" s="2" t="n">
        <v>39.67</v>
      </c>
      <c r="I1137" s="2" t="s">
        <v>30</v>
      </c>
      <c r="J1137" s="2" t="s">
        <v>3970</v>
      </c>
      <c r="K1137" s="2" t="s">
        <v>122</v>
      </c>
      <c r="L1137" s="2" t="s">
        <v>508</v>
      </c>
      <c r="M1137" s="2"/>
    </row>
    <row r="1138" customFormat="false" ht="15" hidden="false" customHeight="false" outlineLevel="0" collapsed="false">
      <c r="A1138" s="2" t="s">
        <v>3971</v>
      </c>
      <c r="B1138" s="2" t="s">
        <v>845</v>
      </c>
      <c r="C1138" s="2" t="s">
        <v>846</v>
      </c>
      <c r="D1138" s="13" t="n">
        <v>45726.3854166667</v>
      </c>
      <c r="E1138" s="2" t="s">
        <v>39</v>
      </c>
      <c r="F1138" s="2" t="s">
        <v>31</v>
      </c>
      <c r="G1138" s="2" t="n">
        <v>8648.3</v>
      </c>
      <c r="H1138" s="2" t="n">
        <v>63.46</v>
      </c>
      <c r="I1138" s="2" t="s">
        <v>26</v>
      </c>
      <c r="J1138" s="2" t="s">
        <v>3972</v>
      </c>
      <c r="K1138" s="2" t="s">
        <v>95</v>
      </c>
      <c r="L1138" s="2" t="s">
        <v>1139</v>
      </c>
      <c r="M1138" s="2"/>
    </row>
    <row r="1139" customFormat="false" ht="15" hidden="false" customHeight="false" outlineLevel="0" collapsed="false">
      <c r="A1139" s="2" t="s">
        <v>3973</v>
      </c>
      <c r="B1139" s="2" t="s">
        <v>3974</v>
      </c>
      <c r="C1139" s="2" t="s">
        <v>3975</v>
      </c>
      <c r="D1139" s="13" t="n">
        <v>45942.85625</v>
      </c>
      <c r="E1139" s="2" t="s">
        <v>35</v>
      </c>
      <c r="F1139" s="2" t="s">
        <v>27</v>
      </c>
      <c r="G1139" s="2" t="n">
        <v>17398.64</v>
      </c>
      <c r="H1139" s="2" t="n">
        <v>170.47</v>
      </c>
      <c r="I1139" s="2" t="s">
        <v>26</v>
      </c>
      <c r="J1139" s="2" t="s">
        <v>3976</v>
      </c>
      <c r="K1139" s="2" t="s">
        <v>101</v>
      </c>
      <c r="L1139" s="2"/>
      <c r="M1139" s="2" t="s">
        <v>268</v>
      </c>
    </row>
    <row r="1140" customFormat="false" ht="15" hidden="false" customHeight="false" outlineLevel="0" collapsed="false">
      <c r="A1140" s="2" t="s">
        <v>3977</v>
      </c>
      <c r="B1140" s="2" t="s">
        <v>683</v>
      </c>
      <c r="C1140" s="2" t="s">
        <v>684</v>
      </c>
      <c r="D1140" s="13" t="n">
        <v>45517.4118055556</v>
      </c>
      <c r="E1140" s="2" t="s">
        <v>37</v>
      </c>
      <c r="F1140" s="2" t="s">
        <v>29</v>
      </c>
      <c r="G1140" s="2" t="n">
        <v>5914.21</v>
      </c>
      <c r="H1140" s="2" t="n">
        <v>23.82</v>
      </c>
      <c r="I1140" s="2" t="s">
        <v>26</v>
      </c>
      <c r="J1140" s="2" t="s">
        <v>3978</v>
      </c>
      <c r="K1140" s="2" t="s">
        <v>89</v>
      </c>
      <c r="L1140" s="2" t="s">
        <v>523</v>
      </c>
      <c r="M1140" s="2"/>
    </row>
    <row r="1141" customFormat="false" ht="15" hidden="false" customHeight="false" outlineLevel="0" collapsed="false">
      <c r="A1141" s="2" t="s">
        <v>3979</v>
      </c>
      <c r="B1141" s="2" t="s">
        <v>3980</v>
      </c>
      <c r="C1141" s="2" t="s">
        <v>3981</v>
      </c>
      <c r="D1141" s="13" t="n">
        <v>45890.4493055556</v>
      </c>
      <c r="E1141" s="2" t="s">
        <v>37</v>
      </c>
      <c r="F1141" s="2" t="s">
        <v>27</v>
      </c>
      <c r="G1141" s="2" t="n">
        <v>1498.57</v>
      </c>
      <c r="H1141" s="2" t="n">
        <v>12.08</v>
      </c>
      <c r="I1141" s="2" t="s">
        <v>30</v>
      </c>
      <c r="J1141" s="2" t="s">
        <v>3982</v>
      </c>
      <c r="K1141" s="2" t="s">
        <v>101</v>
      </c>
      <c r="L1141" s="2"/>
      <c r="M1141" s="2" t="s">
        <v>278</v>
      </c>
    </row>
    <row r="1142" customFormat="false" ht="15" hidden="false" customHeight="false" outlineLevel="0" collapsed="false">
      <c r="A1142" s="2" t="s">
        <v>3983</v>
      </c>
      <c r="B1142" s="2" t="s">
        <v>3984</v>
      </c>
      <c r="C1142" s="2" t="s">
        <v>3985</v>
      </c>
      <c r="D1142" s="13" t="n">
        <v>45321.4340277778</v>
      </c>
      <c r="E1142" s="2" t="s">
        <v>39</v>
      </c>
      <c r="F1142" s="2" t="s">
        <v>27</v>
      </c>
      <c r="G1142" s="2" t="n">
        <v>10251.93</v>
      </c>
      <c r="H1142" s="2" t="n">
        <v>91.25</v>
      </c>
      <c r="I1142" s="2" t="s">
        <v>26</v>
      </c>
      <c r="J1142" s="2" t="s">
        <v>3986</v>
      </c>
      <c r="K1142" s="2" t="s">
        <v>122</v>
      </c>
      <c r="L1142" s="2"/>
      <c r="M1142" s="2" t="s">
        <v>1157</v>
      </c>
    </row>
    <row r="1143" customFormat="false" ht="15" hidden="false" customHeight="false" outlineLevel="0" collapsed="false">
      <c r="A1143" s="2" t="s">
        <v>3987</v>
      </c>
      <c r="B1143" s="2" t="s">
        <v>1223</v>
      </c>
      <c r="C1143" s="2" t="s">
        <v>1224</v>
      </c>
      <c r="D1143" s="13" t="n">
        <v>45420.5597222222</v>
      </c>
      <c r="E1143" s="2" t="s">
        <v>35</v>
      </c>
      <c r="F1143" s="2" t="s">
        <v>31</v>
      </c>
      <c r="G1143" s="2" t="n">
        <v>14620.47</v>
      </c>
      <c r="H1143" s="2" t="n">
        <v>106.14</v>
      </c>
      <c r="I1143" s="2" t="s">
        <v>26</v>
      </c>
      <c r="J1143" s="2" t="s">
        <v>3988</v>
      </c>
      <c r="K1143" s="2" t="s">
        <v>122</v>
      </c>
      <c r="L1143" s="2" t="s">
        <v>1160</v>
      </c>
      <c r="M1143" s="2"/>
    </row>
    <row r="1144" customFormat="false" ht="15" hidden="false" customHeight="false" outlineLevel="0" collapsed="false">
      <c r="A1144" s="2" t="s">
        <v>3989</v>
      </c>
      <c r="B1144" s="2" t="s">
        <v>3960</v>
      </c>
      <c r="C1144" s="2" t="s">
        <v>3961</v>
      </c>
      <c r="D1144" s="13" t="n">
        <v>45947.5201388889</v>
      </c>
      <c r="E1144" s="2" t="s">
        <v>43</v>
      </c>
      <c r="F1144" s="2" t="s">
        <v>31</v>
      </c>
      <c r="G1144" s="2" t="n">
        <v>1454.13</v>
      </c>
      <c r="H1144" s="2" t="n">
        <v>9.23</v>
      </c>
      <c r="I1144" s="2" t="s">
        <v>28</v>
      </c>
      <c r="J1144" s="2" t="s">
        <v>3990</v>
      </c>
      <c r="K1144" s="2" t="s">
        <v>95</v>
      </c>
      <c r="L1144" s="2"/>
      <c r="M1144" s="2" t="s">
        <v>762</v>
      </c>
    </row>
    <row r="1145" customFormat="false" ht="15" hidden="false" customHeight="false" outlineLevel="0" collapsed="false">
      <c r="A1145" s="2" t="s">
        <v>3991</v>
      </c>
      <c r="B1145" s="2" t="s">
        <v>1583</v>
      </c>
      <c r="C1145" s="2" t="s">
        <v>1584</v>
      </c>
      <c r="D1145" s="13" t="n">
        <v>45951.7951388889</v>
      </c>
      <c r="E1145" s="2" t="s">
        <v>43</v>
      </c>
      <c r="F1145" s="2" t="s">
        <v>31</v>
      </c>
      <c r="G1145" s="2" t="n">
        <v>2780.33</v>
      </c>
      <c r="H1145" s="2" t="n">
        <v>31.05</v>
      </c>
      <c r="I1145" s="2" t="s">
        <v>26</v>
      </c>
      <c r="J1145" s="2" t="s">
        <v>3992</v>
      </c>
      <c r="K1145" s="2" t="s">
        <v>101</v>
      </c>
      <c r="L1145" s="2"/>
      <c r="M1145" s="2" t="s">
        <v>298</v>
      </c>
    </row>
    <row r="1146" customFormat="false" ht="15" hidden="false" customHeight="false" outlineLevel="0" collapsed="false">
      <c r="A1146" s="2" t="s">
        <v>3993</v>
      </c>
      <c r="B1146" s="2" t="s">
        <v>3994</v>
      </c>
      <c r="C1146" s="2" t="s">
        <v>3995</v>
      </c>
      <c r="D1146" s="13" t="n">
        <v>45889.61875</v>
      </c>
      <c r="E1146" s="2" t="s">
        <v>35</v>
      </c>
      <c r="F1146" s="2" t="s">
        <v>27</v>
      </c>
      <c r="G1146" s="2" t="n">
        <v>2054.62</v>
      </c>
      <c r="H1146" s="2" t="n">
        <v>6.89</v>
      </c>
      <c r="I1146" s="2" t="s">
        <v>26</v>
      </c>
      <c r="J1146" s="2" t="s">
        <v>3996</v>
      </c>
      <c r="K1146" s="2" t="s">
        <v>122</v>
      </c>
      <c r="L1146" s="2"/>
      <c r="M1146" s="2" t="s">
        <v>1174</v>
      </c>
    </row>
    <row r="1147" customFormat="false" ht="15" hidden="false" customHeight="false" outlineLevel="0" collapsed="false">
      <c r="A1147" s="2" t="s">
        <v>3997</v>
      </c>
      <c r="B1147" s="2" t="s">
        <v>3928</v>
      </c>
      <c r="C1147" s="2" t="s">
        <v>3929</v>
      </c>
      <c r="D1147" s="13" t="n">
        <v>45736.7347222222</v>
      </c>
      <c r="E1147" s="2" t="s">
        <v>41</v>
      </c>
      <c r="F1147" s="2" t="s">
        <v>29</v>
      </c>
      <c r="G1147" s="2" t="n">
        <v>10196.79</v>
      </c>
      <c r="H1147" s="2" t="n">
        <v>22.94</v>
      </c>
      <c r="I1147" s="2" t="s">
        <v>30</v>
      </c>
      <c r="J1147" s="2" t="s">
        <v>3998</v>
      </c>
      <c r="K1147" s="2" t="s">
        <v>89</v>
      </c>
      <c r="L1147" s="2" t="s">
        <v>556</v>
      </c>
      <c r="M1147" s="2"/>
    </row>
    <row r="1148" customFormat="false" ht="15" hidden="false" customHeight="false" outlineLevel="0" collapsed="false">
      <c r="A1148" s="2" t="s">
        <v>3999</v>
      </c>
      <c r="B1148" s="2" t="s">
        <v>4000</v>
      </c>
      <c r="C1148" s="2" t="s">
        <v>4001</v>
      </c>
      <c r="D1148" s="13" t="n">
        <v>45322.4152777778</v>
      </c>
      <c r="E1148" s="2" t="s">
        <v>37</v>
      </c>
      <c r="F1148" s="2" t="s">
        <v>29</v>
      </c>
      <c r="G1148" s="2" t="n">
        <v>1272.72</v>
      </c>
      <c r="H1148" s="2" t="n">
        <v>13.9</v>
      </c>
      <c r="I1148" s="2" t="s">
        <v>26</v>
      </c>
      <c r="J1148" s="2" t="s">
        <v>4002</v>
      </c>
      <c r="K1148" s="2" t="s">
        <v>95</v>
      </c>
      <c r="L1148" s="2" t="s">
        <v>1183</v>
      </c>
      <c r="M1148" s="2"/>
    </row>
    <row r="1149" customFormat="false" ht="15" hidden="false" customHeight="false" outlineLevel="0" collapsed="false">
      <c r="A1149" s="2" t="s">
        <v>4003</v>
      </c>
      <c r="B1149" s="2" t="s">
        <v>3336</v>
      </c>
      <c r="C1149" s="2" t="s">
        <v>3337</v>
      </c>
      <c r="D1149" s="13" t="n">
        <v>45363.4840277778</v>
      </c>
      <c r="E1149" s="2" t="s">
        <v>43</v>
      </c>
      <c r="F1149" s="2" t="s">
        <v>27</v>
      </c>
      <c r="G1149" s="2" t="n">
        <v>10625.89</v>
      </c>
      <c r="H1149" s="2" t="n">
        <v>31.11</v>
      </c>
      <c r="I1149" s="2" t="s">
        <v>26</v>
      </c>
      <c r="J1149" s="2" t="s">
        <v>4004</v>
      </c>
      <c r="K1149" s="2" t="s">
        <v>89</v>
      </c>
      <c r="L1149" s="2"/>
      <c r="M1149" s="2" t="s">
        <v>784</v>
      </c>
    </row>
    <row r="1150" customFormat="false" ht="15" hidden="false" customHeight="false" outlineLevel="0" collapsed="false">
      <c r="A1150" s="2" t="s">
        <v>4005</v>
      </c>
      <c r="B1150" s="2" t="s">
        <v>834</v>
      </c>
      <c r="C1150" s="2" t="s">
        <v>835</v>
      </c>
      <c r="D1150" s="13" t="n">
        <v>45607.8347222222</v>
      </c>
      <c r="E1150" s="2" t="s">
        <v>41</v>
      </c>
      <c r="F1150" s="2" t="s">
        <v>27</v>
      </c>
      <c r="G1150" s="2" t="n">
        <v>5117.82</v>
      </c>
      <c r="H1150" s="2" t="n">
        <v>40.65</v>
      </c>
      <c r="I1150" s="2" t="s">
        <v>28</v>
      </c>
      <c r="J1150" s="2" t="s">
        <v>4006</v>
      </c>
      <c r="K1150" s="2" t="s">
        <v>122</v>
      </c>
      <c r="L1150" s="2"/>
      <c r="M1150" s="2" t="s">
        <v>323</v>
      </c>
    </row>
    <row r="1151" customFormat="false" ht="15" hidden="false" customHeight="false" outlineLevel="0" collapsed="false">
      <c r="A1151" s="2" t="s">
        <v>4007</v>
      </c>
      <c r="B1151" s="2" t="s">
        <v>2236</v>
      </c>
      <c r="C1151" s="2" t="s">
        <v>2237</v>
      </c>
      <c r="D1151" s="13" t="n">
        <v>45946.8770833333</v>
      </c>
      <c r="E1151" s="2" t="s">
        <v>43</v>
      </c>
      <c r="F1151" s="2" t="s">
        <v>32</v>
      </c>
      <c r="G1151" s="2" t="n">
        <v>7383.04</v>
      </c>
      <c r="H1151" s="2" t="n">
        <v>71.91</v>
      </c>
      <c r="I1151" s="2" t="s">
        <v>26</v>
      </c>
      <c r="J1151" s="2" t="s">
        <v>4008</v>
      </c>
      <c r="K1151" s="2" t="s">
        <v>89</v>
      </c>
      <c r="L1151" s="2"/>
      <c r="M1151" s="2" t="s">
        <v>328</v>
      </c>
    </row>
    <row r="1152" customFormat="false" ht="15" hidden="false" customHeight="false" outlineLevel="0" collapsed="false">
      <c r="A1152" s="2" t="s">
        <v>4009</v>
      </c>
      <c r="B1152" s="2" t="s">
        <v>1668</v>
      </c>
      <c r="C1152" s="2" t="s">
        <v>1669</v>
      </c>
      <c r="D1152" s="13" t="n">
        <v>45445.7361111111</v>
      </c>
      <c r="E1152" s="2" t="s">
        <v>41</v>
      </c>
      <c r="F1152" s="2" t="s">
        <v>31</v>
      </c>
      <c r="G1152" s="2" t="n">
        <v>2446.83</v>
      </c>
      <c r="H1152" s="2" t="n">
        <v>16.97</v>
      </c>
      <c r="I1152" s="2" t="s">
        <v>26</v>
      </c>
      <c r="J1152" s="2" t="s">
        <v>4010</v>
      </c>
      <c r="K1152" s="2" t="s">
        <v>101</v>
      </c>
      <c r="L1152" s="2" t="s">
        <v>1199</v>
      </c>
      <c r="M1152" s="2"/>
    </row>
    <row r="1153" customFormat="false" ht="15" hidden="false" customHeight="false" outlineLevel="0" collapsed="false">
      <c r="A1153" s="2" t="s">
        <v>4011</v>
      </c>
      <c r="B1153" s="2" t="s">
        <v>4012</v>
      </c>
      <c r="C1153" s="2" t="s">
        <v>4013</v>
      </c>
      <c r="D1153" s="13" t="n">
        <v>45477.5097222222</v>
      </c>
      <c r="E1153" s="2" t="s">
        <v>39</v>
      </c>
      <c r="F1153" s="2" t="s">
        <v>31</v>
      </c>
      <c r="G1153" s="2" t="n">
        <v>11128.02</v>
      </c>
      <c r="H1153" s="2" t="n">
        <v>45.72</v>
      </c>
      <c r="I1153" s="2" t="s">
        <v>26</v>
      </c>
      <c r="J1153" s="2" t="s">
        <v>4014</v>
      </c>
      <c r="K1153" s="2" t="s">
        <v>95</v>
      </c>
      <c r="L1153" s="2" t="s">
        <v>584</v>
      </c>
      <c r="M1153" s="2"/>
    </row>
    <row r="1154" customFormat="false" ht="15" hidden="false" customHeight="false" outlineLevel="0" collapsed="false">
      <c r="A1154" s="2" t="s">
        <v>4015</v>
      </c>
      <c r="B1154" s="2" t="s">
        <v>175</v>
      </c>
      <c r="C1154" s="2" t="s">
        <v>176</v>
      </c>
      <c r="D1154" s="13" t="n">
        <v>45334.3263888889</v>
      </c>
      <c r="E1154" s="2" t="s">
        <v>37</v>
      </c>
      <c r="F1154" s="2" t="s">
        <v>32</v>
      </c>
      <c r="G1154" s="2" t="n">
        <v>2454.73</v>
      </c>
      <c r="H1154" s="2" t="n">
        <v>14.36</v>
      </c>
      <c r="I1154" s="2" t="s">
        <v>26</v>
      </c>
      <c r="J1154" s="2" t="s">
        <v>4016</v>
      </c>
      <c r="K1154" s="2" t="s">
        <v>122</v>
      </c>
      <c r="L1154" s="2" t="s">
        <v>589</v>
      </c>
      <c r="M1154" s="2"/>
    </row>
    <row r="1155" customFormat="false" ht="15" hidden="false" customHeight="false" outlineLevel="0" collapsed="false">
      <c r="A1155" s="2" t="s">
        <v>4017</v>
      </c>
      <c r="B1155" s="2" t="s">
        <v>2151</v>
      </c>
      <c r="C1155" s="2" t="s">
        <v>2152</v>
      </c>
      <c r="D1155" s="13" t="n">
        <v>45536.9513888889</v>
      </c>
      <c r="E1155" s="2" t="s">
        <v>35</v>
      </c>
      <c r="F1155" s="2" t="s">
        <v>27</v>
      </c>
      <c r="G1155" s="2" t="n">
        <v>7086.21</v>
      </c>
      <c r="H1155" s="2" t="n">
        <v>15.94</v>
      </c>
      <c r="I1155" s="2" t="s">
        <v>30</v>
      </c>
      <c r="J1155" s="2" t="s">
        <v>4018</v>
      </c>
      <c r="K1155" s="2" t="s">
        <v>89</v>
      </c>
      <c r="L1155" s="2"/>
      <c r="M1155" s="2" t="s">
        <v>348</v>
      </c>
    </row>
    <row r="1156" customFormat="false" ht="15" hidden="false" customHeight="false" outlineLevel="0" collapsed="false">
      <c r="A1156" s="2" t="s">
        <v>4019</v>
      </c>
      <c r="B1156" s="2" t="s">
        <v>2835</v>
      </c>
      <c r="C1156" s="2" t="s">
        <v>2836</v>
      </c>
      <c r="D1156" s="13" t="n">
        <v>45949.6381944444</v>
      </c>
      <c r="E1156" s="2" t="s">
        <v>37</v>
      </c>
      <c r="F1156" s="2" t="s">
        <v>27</v>
      </c>
      <c r="G1156" s="2" t="n">
        <v>2309.3</v>
      </c>
      <c r="H1156" s="2" t="n">
        <v>18.42</v>
      </c>
      <c r="I1156" s="2" t="s">
        <v>26</v>
      </c>
      <c r="J1156" s="2" t="s">
        <v>4020</v>
      </c>
      <c r="K1156" s="2" t="s">
        <v>89</v>
      </c>
      <c r="L1156" s="2"/>
      <c r="M1156" s="2" t="s">
        <v>1217</v>
      </c>
    </row>
    <row r="1157" customFormat="false" ht="15" hidden="false" customHeight="false" outlineLevel="0" collapsed="false">
      <c r="A1157" s="2" t="s">
        <v>4021</v>
      </c>
      <c r="B1157" s="2" t="s">
        <v>1664</v>
      </c>
      <c r="C1157" s="2" t="s">
        <v>1665</v>
      </c>
      <c r="D1157" s="13" t="n">
        <v>45681.9513888889</v>
      </c>
      <c r="E1157" s="2" t="s">
        <v>35</v>
      </c>
      <c r="F1157" s="2" t="s">
        <v>32</v>
      </c>
      <c r="G1157" s="2" t="n">
        <v>978.99</v>
      </c>
      <c r="H1157" s="2" t="n">
        <v>5</v>
      </c>
      <c r="I1157" s="2" t="s">
        <v>26</v>
      </c>
      <c r="J1157" s="2" t="s">
        <v>4022</v>
      </c>
      <c r="K1157" s="2" t="s">
        <v>101</v>
      </c>
      <c r="L1157" s="2" t="s">
        <v>604</v>
      </c>
      <c r="M1157" s="2"/>
    </row>
    <row r="1158" customFormat="false" ht="15" hidden="false" customHeight="false" outlineLevel="0" collapsed="false">
      <c r="A1158" s="2" t="s">
        <v>4023</v>
      </c>
      <c r="B1158" s="2" t="s">
        <v>4024</v>
      </c>
      <c r="C1158" s="2" t="s">
        <v>4025</v>
      </c>
      <c r="D1158" s="13" t="n">
        <v>45359.6416666667</v>
      </c>
      <c r="E1158" s="2" t="s">
        <v>37</v>
      </c>
      <c r="F1158" s="2" t="s">
        <v>29</v>
      </c>
      <c r="G1158" s="2" t="n">
        <v>52575.63</v>
      </c>
      <c r="H1158" s="2" t="n">
        <v>617.86</v>
      </c>
      <c r="I1158" s="2" t="s">
        <v>28</v>
      </c>
      <c r="J1158" s="2" t="s">
        <v>4026</v>
      </c>
      <c r="K1158" s="2" t="s">
        <v>95</v>
      </c>
      <c r="L1158" s="2" t="s">
        <v>607</v>
      </c>
      <c r="M1158" s="2"/>
    </row>
    <row r="1159" customFormat="false" ht="15" hidden="false" customHeight="false" outlineLevel="0" collapsed="false">
      <c r="A1159" s="2" t="s">
        <v>4027</v>
      </c>
      <c r="B1159" s="2" t="s">
        <v>1603</v>
      </c>
      <c r="C1159" s="2" t="s">
        <v>1604</v>
      </c>
      <c r="D1159" s="13" t="n">
        <v>45566.5763888889</v>
      </c>
      <c r="E1159" s="2" t="s">
        <v>35</v>
      </c>
      <c r="F1159" s="2" t="s">
        <v>27</v>
      </c>
      <c r="G1159" s="2" t="n">
        <v>1044.3</v>
      </c>
      <c r="H1159" s="2" t="n">
        <v>5</v>
      </c>
      <c r="I1159" s="2" t="s">
        <v>30</v>
      </c>
      <c r="J1159" s="2" t="s">
        <v>4028</v>
      </c>
      <c r="K1159" s="2" t="s">
        <v>95</v>
      </c>
      <c r="L1159" s="2"/>
      <c r="M1159" s="2" t="s">
        <v>1606</v>
      </c>
    </row>
    <row r="1160" customFormat="false" ht="15" hidden="false" customHeight="false" outlineLevel="0" collapsed="false">
      <c r="A1160" s="2" t="s">
        <v>4029</v>
      </c>
      <c r="B1160" s="2" t="s">
        <v>4030</v>
      </c>
      <c r="C1160" s="2" t="s">
        <v>4031</v>
      </c>
      <c r="D1160" s="13" t="n">
        <v>45718.9256944444</v>
      </c>
      <c r="E1160" s="2" t="s">
        <v>35</v>
      </c>
      <c r="F1160" s="2" t="s">
        <v>32</v>
      </c>
      <c r="G1160" s="2" t="n">
        <v>3342.2</v>
      </c>
      <c r="H1160" s="2" t="n">
        <v>16.7</v>
      </c>
      <c r="I1160" s="2" t="s">
        <v>26</v>
      </c>
      <c r="J1160" s="2" t="s">
        <v>4032</v>
      </c>
      <c r="K1160" s="2" t="s">
        <v>89</v>
      </c>
      <c r="L1160" s="2" t="s">
        <v>1232</v>
      </c>
      <c r="M1160" s="2"/>
    </row>
    <row r="1161" customFormat="false" ht="15" hidden="false" customHeight="false" outlineLevel="0" collapsed="false">
      <c r="A1161" s="2" t="s">
        <v>4033</v>
      </c>
      <c r="B1161" s="2" t="s">
        <v>4034</v>
      </c>
      <c r="C1161" s="2" t="s">
        <v>4035</v>
      </c>
      <c r="D1161" s="13" t="n">
        <v>45970.8958333333</v>
      </c>
      <c r="E1161" s="2" t="s">
        <v>43</v>
      </c>
      <c r="F1161" s="2" t="s">
        <v>29</v>
      </c>
      <c r="G1161" s="2" t="n">
        <v>2596.54</v>
      </c>
      <c r="H1161" s="2" t="n">
        <v>29.19</v>
      </c>
      <c r="I1161" s="2" t="s">
        <v>26</v>
      </c>
      <c r="J1161" s="2" t="s">
        <v>4036</v>
      </c>
      <c r="K1161" s="2" t="s">
        <v>95</v>
      </c>
      <c r="L1161" s="2"/>
      <c r="M1161" s="2" t="s">
        <v>378</v>
      </c>
    </row>
    <row r="1162" customFormat="false" ht="15" hidden="false" customHeight="false" outlineLevel="0" collapsed="false">
      <c r="A1162" s="2" t="s">
        <v>4037</v>
      </c>
      <c r="B1162" s="2" t="s">
        <v>3826</v>
      </c>
      <c r="C1162" s="2" t="s">
        <v>3827</v>
      </c>
      <c r="D1162" s="13" t="n">
        <v>45958.8673611111</v>
      </c>
      <c r="E1162" s="2" t="s">
        <v>35</v>
      </c>
      <c r="F1162" s="2" t="s">
        <v>29</v>
      </c>
      <c r="G1162" s="2" t="n">
        <v>13204.14</v>
      </c>
      <c r="H1162" s="2" t="n">
        <v>113.14</v>
      </c>
      <c r="I1162" s="2" t="s">
        <v>26</v>
      </c>
      <c r="J1162" s="2" t="s">
        <v>4038</v>
      </c>
      <c r="K1162" s="2" t="s">
        <v>122</v>
      </c>
      <c r="L1162" s="2" t="s">
        <v>1241</v>
      </c>
      <c r="M1162" s="2"/>
    </row>
    <row r="1163" customFormat="false" ht="15" hidden="false" customHeight="false" outlineLevel="0" collapsed="false">
      <c r="A1163" s="2" t="s">
        <v>4039</v>
      </c>
      <c r="B1163" s="2" t="s">
        <v>4040</v>
      </c>
      <c r="C1163" s="2" t="s">
        <v>4041</v>
      </c>
      <c r="D1163" s="13" t="n">
        <v>45999.7465277778</v>
      </c>
      <c r="E1163" s="2" t="s">
        <v>35</v>
      </c>
      <c r="F1163" s="2" t="s">
        <v>29</v>
      </c>
      <c r="G1163" s="2" t="n">
        <v>4423.84</v>
      </c>
      <c r="H1163" s="2" t="n">
        <v>42.61</v>
      </c>
      <c r="I1163" s="2" t="s">
        <v>26</v>
      </c>
      <c r="J1163" s="2" t="s">
        <v>4042</v>
      </c>
      <c r="K1163" s="2" t="s">
        <v>101</v>
      </c>
      <c r="L1163" s="2" t="s">
        <v>632</v>
      </c>
      <c r="M1163" s="2"/>
    </row>
    <row r="1164" customFormat="false" ht="15" hidden="false" customHeight="false" outlineLevel="0" collapsed="false">
      <c r="A1164" s="2" t="s">
        <v>4043</v>
      </c>
      <c r="B1164" s="2" t="s">
        <v>4044</v>
      </c>
      <c r="C1164" s="2" t="s">
        <v>4045</v>
      </c>
      <c r="D1164" s="13" t="n">
        <v>45324.5236111111</v>
      </c>
      <c r="E1164" s="2" t="s">
        <v>39</v>
      </c>
      <c r="F1164" s="2" t="s">
        <v>31</v>
      </c>
      <c r="G1164" s="2" t="n">
        <v>1923.35</v>
      </c>
      <c r="H1164" s="2" t="n">
        <v>17.94</v>
      </c>
      <c r="I1164" s="2" t="s">
        <v>26</v>
      </c>
      <c r="J1164" s="2" t="s">
        <v>4046</v>
      </c>
      <c r="K1164" s="2" t="s">
        <v>95</v>
      </c>
      <c r="L1164" s="2" t="s">
        <v>637</v>
      </c>
      <c r="M1164" s="2"/>
    </row>
    <row r="1165" customFormat="false" ht="15" hidden="false" customHeight="false" outlineLevel="0" collapsed="false">
      <c r="A1165" s="2" t="s">
        <v>4047</v>
      </c>
      <c r="B1165" s="2" t="s">
        <v>3176</v>
      </c>
      <c r="C1165" s="2" t="s">
        <v>3177</v>
      </c>
      <c r="D1165" s="13" t="n">
        <v>45468.5666666667</v>
      </c>
      <c r="E1165" s="2" t="s">
        <v>37</v>
      </c>
      <c r="F1165" s="2" t="s">
        <v>32</v>
      </c>
      <c r="G1165" s="2" t="n">
        <v>931.22</v>
      </c>
      <c r="H1165" s="2" t="n">
        <v>5</v>
      </c>
      <c r="I1165" s="2" t="s">
        <v>28</v>
      </c>
      <c r="J1165" s="2" t="s">
        <v>4048</v>
      </c>
      <c r="K1165" s="2" t="s">
        <v>101</v>
      </c>
      <c r="L1165" s="2" t="s">
        <v>640</v>
      </c>
      <c r="M1165" s="2"/>
    </row>
    <row r="1166" customFormat="false" ht="15" hidden="false" customHeight="false" outlineLevel="0" collapsed="false">
      <c r="A1166" s="2" t="s">
        <v>4049</v>
      </c>
      <c r="B1166" s="2" t="s">
        <v>4050</v>
      </c>
      <c r="C1166" s="2" t="s">
        <v>4051</v>
      </c>
      <c r="D1166" s="13" t="n">
        <v>45942.7791666667</v>
      </c>
      <c r="E1166" s="2" t="s">
        <v>39</v>
      </c>
      <c r="F1166" s="2" t="s">
        <v>31</v>
      </c>
      <c r="G1166" s="2" t="n">
        <v>8130.06</v>
      </c>
      <c r="H1166" s="2" t="n">
        <v>35.91</v>
      </c>
      <c r="I1166" s="2" t="s">
        <v>26</v>
      </c>
      <c r="J1166" s="2" t="s">
        <v>4052</v>
      </c>
      <c r="K1166" s="2" t="s">
        <v>95</v>
      </c>
      <c r="L1166" s="2" t="s">
        <v>645</v>
      </c>
      <c r="M1166" s="2"/>
    </row>
    <row r="1167" customFormat="false" ht="15" hidden="false" customHeight="false" outlineLevel="0" collapsed="false">
      <c r="A1167" s="2" t="s">
        <v>4053</v>
      </c>
      <c r="B1167" s="2" t="s">
        <v>3630</v>
      </c>
      <c r="C1167" s="2" t="s">
        <v>3631</v>
      </c>
      <c r="D1167" s="13" t="n">
        <v>45864.7548611111</v>
      </c>
      <c r="E1167" s="2" t="s">
        <v>39</v>
      </c>
      <c r="F1167" s="2" t="s">
        <v>29</v>
      </c>
      <c r="G1167" s="2" t="n">
        <v>1858.27</v>
      </c>
      <c r="H1167" s="2" t="n">
        <v>16.52</v>
      </c>
      <c r="I1167" s="2" t="s">
        <v>26</v>
      </c>
      <c r="J1167" s="2" t="s">
        <v>4054</v>
      </c>
      <c r="K1167" s="2" t="s">
        <v>89</v>
      </c>
      <c r="L1167" s="2" t="s">
        <v>648</v>
      </c>
      <c r="M1167" s="2"/>
    </row>
    <row r="1168" customFormat="false" ht="15" hidden="false" customHeight="false" outlineLevel="0" collapsed="false">
      <c r="A1168" s="2" t="s">
        <v>4055</v>
      </c>
      <c r="B1168" s="2" t="s">
        <v>4056</v>
      </c>
      <c r="C1168" s="2" t="s">
        <v>4057</v>
      </c>
      <c r="D1168" s="13" t="n">
        <v>45481.4298611111</v>
      </c>
      <c r="E1168" s="2" t="s">
        <v>37</v>
      </c>
      <c r="F1168" s="2" t="s">
        <v>29</v>
      </c>
      <c r="G1168" s="2" t="n">
        <v>2112.85</v>
      </c>
      <c r="H1168" s="2" t="n">
        <v>5.59</v>
      </c>
      <c r="I1168" s="2" t="s">
        <v>30</v>
      </c>
      <c r="J1168" s="2" t="s">
        <v>4058</v>
      </c>
      <c r="K1168" s="2" t="s">
        <v>95</v>
      </c>
      <c r="L1168" s="2" t="s">
        <v>1262</v>
      </c>
      <c r="M1168" s="2"/>
    </row>
    <row r="1169" customFormat="false" ht="15" hidden="false" customHeight="false" outlineLevel="0" collapsed="false">
      <c r="A1169" s="2" t="s">
        <v>4059</v>
      </c>
      <c r="B1169" s="2" t="s">
        <v>3876</v>
      </c>
      <c r="C1169" s="2" t="s">
        <v>3877</v>
      </c>
      <c r="D1169" s="13" t="n">
        <v>45521.94375</v>
      </c>
      <c r="E1169" s="2" t="s">
        <v>35</v>
      </c>
      <c r="F1169" s="2" t="s">
        <v>31</v>
      </c>
      <c r="G1169" s="2" t="n">
        <v>6179.12</v>
      </c>
      <c r="H1169" s="2" t="n">
        <v>21.15</v>
      </c>
      <c r="I1169" s="2" t="s">
        <v>26</v>
      </c>
      <c r="J1169" s="2" t="s">
        <v>4060</v>
      </c>
      <c r="K1169" s="2" t="s">
        <v>95</v>
      </c>
      <c r="L1169" s="2" t="s">
        <v>1267</v>
      </c>
      <c r="M1169" s="2"/>
    </row>
    <row r="1170" customFormat="false" ht="15" hidden="false" customHeight="false" outlineLevel="0" collapsed="false">
      <c r="A1170" s="2" t="s">
        <v>4061</v>
      </c>
      <c r="B1170" s="2" t="s">
        <v>2183</v>
      </c>
      <c r="C1170" s="2" t="s">
        <v>2184</v>
      </c>
      <c r="D1170" s="13" t="n">
        <v>45658.5388888889</v>
      </c>
      <c r="E1170" s="2" t="s">
        <v>37</v>
      </c>
      <c r="F1170" s="2" t="s">
        <v>32</v>
      </c>
      <c r="G1170" s="2" t="n">
        <v>3671.73</v>
      </c>
      <c r="H1170" s="2" t="n">
        <v>27.59</v>
      </c>
      <c r="I1170" s="2" t="s">
        <v>30</v>
      </c>
      <c r="J1170" s="2" t="s">
        <v>4062</v>
      </c>
      <c r="K1170" s="2" t="s">
        <v>101</v>
      </c>
      <c r="L1170" s="2" t="s">
        <v>1272</v>
      </c>
      <c r="M1170" s="2"/>
    </row>
    <row r="1171" customFormat="false" ht="15" hidden="false" customHeight="false" outlineLevel="0" collapsed="false">
      <c r="A1171" s="2" t="s">
        <v>4063</v>
      </c>
      <c r="B1171" s="2" t="s">
        <v>4064</v>
      </c>
      <c r="C1171" s="2" t="s">
        <v>4065</v>
      </c>
      <c r="D1171" s="13" t="n">
        <v>46000.35625</v>
      </c>
      <c r="E1171" s="2" t="s">
        <v>35</v>
      </c>
      <c r="F1171" s="2" t="s">
        <v>29</v>
      </c>
      <c r="G1171" s="2" t="n">
        <v>2976.2</v>
      </c>
      <c r="H1171" s="2" t="n">
        <v>11.68</v>
      </c>
      <c r="I1171" s="2" t="s">
        <v>26</v>
      </c>
      <c r="J1171" s="2" t="s">
        <v>4066</v>
      </c>
      <c r="K1171" s="2" t="s">
        <v>101</v>
      </c>
      <c r="L1171" s="2" t="s">
        <v>1277</v>
      </c>
      <c r="M1171" s="2"/>
    </row>
    <row r="1172" customFormat="false" ht="15" hidden="false" customHeight="false" outlineLevel="0" collapsed="false">
      <c r="A1172" s="2" t="s">
        <v>4067</v>
      </c>
      <c r="B1172" s="2" t="s">
        <v>375</v>
      </c>
      <c r="C1172" s="2" t="s">
        <v>376</v>
      </c>
      <c r="D1172" s="13" t="n">
        <v>45374.6527777778</v>
      </c>
      <c r="E1172" s="2" t="s">
        <v>39</v>
      </c>
      <c r="F1172" s="2" t="s">
        <v>27</v>
      </c>
      <c r="G1172" s="2" t="n">
        <v>6765.37</v>
      </c>
      <c r="H1172" s="2" t="n">
        <v>35.46</v>
      </c>
      <c r="I1172" s="2" t="s">
        <v>30</v>
      </c>
      <c r="J1172" s="2" t="s">
        <v>4068</v>
      </c>
      <c r="K1172" s="2" t="s">
        <v>101</v>
      </c>
      <c r="L1172" s="2"/>
      <c r="M1172" s="2" t="s">
        <v>1282</v>
      </c>
    </row>
    <row r="1173" customFormat="false" ht="15" hidden="false" customHeight="false" outlineLevel="0" collapsed="false">
      <c r="A1173" s="2" t="s">
        <v>4069</v>
      </c>
      <c r="B1173" s="2" t="s">
        <v>2039</v>
      </c>
      <c r="C1173" s="2" t="s">
        <v>2040</v>
      </c>
      <c r="D1173" s="13" t="n">
        <v>45658.7416666667</v>
      </c>
      <c r="E1173" s="2" t="s">
        <v>37</v>
      </c>
      <c r="F1173" s="2" t="s">
        <v>32</v>
      </c>
      <c r="G1173" s="2" t="n">
        <v>11106.03</v>
      </c>
      <c r="H1173" s="2" t="n">
        <v>99.79</v>
      </c>
      <c r="I1173" s="2" t="s">
        <v>26</v>
      </c>
      <c r="J1173" s="2" t="s">
        <v>4070</v>
      </c>
      <c r="K1173" s="2" t="s">
        <v>95</v>
      </c>
      <c r="L1173" s="2" t="s">
        <v>676</v>
      </c>
      <c r="M1173" s="2"/>
    </row>
    <row r="1174" customFormat="false" ht="15" hidden="false" customHeight="false" outlineLevel="0" collapsed="false">
      <c r="A1174" s="2" t="s">
        <v>4071</v>
      </c>
      <c r="B1174" s="2" t="s">
        <v>1332</v>
      </c>
      <c r="C1174" s="2" t="s">
        <v>1333</v>
      </c>
      <c r="D1174" s="13" t="n">
        <v>45402.8534722222</v>
      </c>
      <c r="E1174" s="2" t="s">
        <v>41</v>
      </c>
      <c r="F1174" s="2" t="s">
        <v>31</v>
      </c>
      <c r="G1174" s="2" t="n">
        <v>1598.17</v>
      </c>
      <c r="H1174" s="2" t="n">
        <v>9.35</v>
      </c>
      <c r="I1174" s="2" t="s">
        <v>30</v>
      </c>
      <c r="J1174" s="2" t="s">
        <v>4072</v>
      </c>
      <c r="K1174" s="2" t="s">
        <v>101</v>
      </c>
      <c r="L1174" s="2" t="s">
        <v>681</v>
      </c>
      <c r="M1174" s="2"/>
    </row>
    <row r="1175" customFormat="false" ht="15" hidden="false" customHeight="false" outlineLevel="0" collapsed="false">
      <c r="A1175" s="2" t="s">
        <v>4073</v>
      </c>
      <c r="B1175" s="2" t="s">
        <v>1620</v>
      </c>
      <c r="C1175" s="2" t="s">
        <v>1621</v>
      </c>
      <c r="D1175" s="13" t="n">
        <v>45779.76875</v>
      </c>
      <c r="E1175" s="2" t="s">
        <v>37</v>
      </c>
      <c r="F1175" s="2" t="s">
        <v>29</v>
      </c>
      <c r="G1175" s="2" t="n">
        <v>19592.42</v>
      </c>
      <c r="H1175" s="2" t="n">
        <v>185.57</v>
      </c>
      <c r="I1175" s="2" t="s">
        <v>26</v>
      </c>
      <c r="J1175" s="2" t="s">
        <v>4074</v>
      </c>
      <c r="K1175" s="2" t="s">
        <v>95</v>
      </c>
      <c r="L1175" s="2" t="s">
        <v>1294</v>
      </c>
      <c r="M1175" s="2"/>
    </row>
    <row r="1176" customFormat="false" ht="15" hidden="false" customHeight="false" outlineLevel="0" collapsed="false">
      <c r="A1176" s="2" t="s">
        <v>4075</v>
      </c>
      <c r="B1176" s="2" t="s">
        <v>4076</v>
      </c>
      <c r="C1176" s="2" t="s">
        <v>4077</v>
      </c>
      <c r="D1176" s="13" t="n">
        <v>45726.3138888889</v>
      </c>
      <c r="E1176" s="2" t="s">
        <v>37</v>
      </c>
      <c r="F1176" s="2" t="s">
        <v>27</v>
      </c>
      <c r="G1176" s="2" t="n">
        <v>2510.2</v>
      </c>
      <c r="H1176" s="2" t="n">
        <v>29.51</v>
      </c>
      <c r="I1176" s="2" t="s">
        <v>26</v>
      </c>
      <c r="J1176" s="2" t="s">
        <v>4078</v>
      </c>
      <c r="K1176" s="2" t="s">
        <v>89</v>
      </c>
      <c r="L1176" s="2"/>
      <c r="M1176" s="2" t="s">
        <v>3272</v>
      </c>
    </row>
    <row r="1177" customFormat="false" ht="15" hidden="false" customHeight="false" outlineLevel="0" collapsed="false">
      <c r="A1177" s="2" t="s">
        <v>4079</v>
      </c>
      <c r="B1177" s="2" t="s">
        <v>3956</v>
      </c>
      <c r="C1177" s="2" t="s">
        <v>3957</v>
      </c>
      <c r="D1177" s="13" t="n">
        <v>45928.3520833333</v>
      </c>
      <c r="E1177" s="2" t="s">
        <v>41</v>
      </c>
      <c r="F1177" s="2" t="s">
        <v>31</v>
      </c>
      <c r="G1177" s="2" t="n">
        <v>4596.2</v>
      </c>
      <c r="H1177" s="2" t="n">
        <v>47.44</v>
      </c>
      <c r="I1177" s="2" t="s">
        <v>26</v>
      </c>
      <c r="J1177" s="2" t="s">
        <v>4080</v>
      </c>
      <c r="K1177" s="2" t="s">
        <v>101</v>
      </c>
      <c r="L1177" s="2" t="s">
        <v>1854</v>
      </c>
      <c r="M1177" s="2"/>
    </row>
    <row r="1178" customFormat="false" ht="15" hidden="false" customHeight="false" outlineLevel="0" collapsed="false">
      <c r="A1178" s="2" t="s">
        <v>4081</v>
      </c>
      <c r="B1178" s="2" t="s">
        <v>3914</v>
      </c>
      <c r="C1178" s="2" t="s">
        <v>3915</v>
      </c>
      <c r="D1178" s="13" t="n">
        <v>45367.8659722222</v>
      </c>
      <c r="E1178" s="2" t="s">
        <v>35</v>
      </c>
      <c r="F1178" s="2" t="s">
        <v>32</v>
      </c>
      <c r="G1178" s="2" t="n">
        <v>3980.6</v>
      </c>
      <c r="H1178" s="2" t="n">
        <v>21.32</v>
      </c>
      <c r="I1178" s="2" t="s">
        <v>26</v>
      </c>
      <c r="J1178" s="2" t="s">
        <v>4082</v>
      </c>
      <c r="K1178" s="2" t="s">
        <v>122</v>
      </c>
      <c r="L1178" s="2" t="s">
        <v>697</v>
      </c>
      <c r="M1178" s="2"/>
    </row>
    <row r="1179" customFormat="false" ht="15" hidden="false" customHeight="false" outlineLevel="0" collapsed="false">
      <c r="A1179" s="2" t="s">
        <v>4083</v>
      </c>
      <c r="B1179" s="2" t="s">
        <v>4084</v>
      </c>
      <c r="C1179" s="2" t="s">
        <v>4085</v>
      </c>
      <c r="D1179" s="13" t="n">
        <v>45525.4243055556</v>
      </c>
      <c r="E1179" s="2" t="s">
        <v>35</v>
      </c>
      <c r="F1179" s="2" t="s">
        <v>29</v>
      </c>
      <c r="G1179" s="2" t="n">
        <v>4536.24</v>
      </c>
      <c r="H1179" s="2" t="n">
        <v>52.5</v>
      </c>
      <c r="I1179" s="2" t="s">
        <v>26</v>
      </c>
      <c r="J1179" s="2" t="s">
        <v>4086</v>
      </c>
      <c r="K1179" s="2" t="s">
        <v>101</v>
      </c>
      <c r="L1179" s="2" t="s">
        <v>1311</v>
      </c>
      <c r="M1179" s="2"/>
    </row>
    <row r="1180" customFormat="false" ht="15" hidden="false" customHeight="false" outlineLevel="0" collapsed="false">
      <c r="A1180" s="2" t="s">
        <v>4087</v>
      </c>
      <c r="B1180" s="2" t="s">
        <v>1243</v>
      </c>
      <c r="C1180" s="2" t="s">
        <v>1244</v>
      </c>
      <c r="D1180" s="13" t="n">
        <v>45447.3395833333</v>
      </c>
      <c r="E1180" s="2" t="s">
        <v>35</v>
      </c>
      <c r="F1180" s="2" t="s">
        <v>31</v>
      </c>
      <c r="G1180" s="2" t="n">
        <v>1190.33</v>
      </c>
      <c r="H1180" s="2" t="n">
        <v>7.15</v>
      </c>
      <c r="I1180" s="2" t="s">
        <v>30</v>
      </c>
      <c r="J1180" s="2" t="s">
        <v>4088</v>
      </c>
      <c r="K1180" s="2" t="s">
        <v>95</v>
      </c>
      <c r="L1180" s="2" t="s">
        <v>703</v>
      </c>
      <c r="M1180" s="2"/>
    </row>
    <row r="1181" customFormat="false" ht="15" hidden="false" customHeight="false" outlineLevel="0" collapsed="false">
      <c r="A1181" s="2" t="s">
        <v>4089</v>
      </c>
      <c r="B1181" s="2" t="s">
        <v>568</v>
      </c>
      <c r="C1181" s="2" t="s">
        <v>569</v>
      </c>
      <c r="D1181" s="13" t="n">
        <v>45471.5875</v>
      </c>
      <c r="E1181" s="2" t="s">
        <v>35</v>
      </c>
      <c r="F1181" s="2" t="s">
        <v>27</v>
      </c>
      <c r="G1181" s="2" t="n">
        <v>2436.5</v>
      </c>
      <c r="H1181" s="2" t="n">
        <v>13.69</v>
      </c>
      <c r="I1181" s="2" t="s">
        <v>26</v>
      </c>
      <c r="J1181" s="2" t="s">
        <v>4090</v>
      </c>
      <c r="K1181" s="2" t="s">
        <v>122</v>
      </c>
      <c r="L1181" s="2"/>
      <c r="M1181" s="2" t="s">
        <v>1686</v>
      </c>
    </row>
    <row r="1182" customFormat="false" ht="15" hidden="false" customHeight="false" outlineLevel="0" collapsed="false">
      <c r="A1182" s="2" t="s">
        <v>4091</v>
      </c>
      <c r="B1182" s="2" t="s">
        <v>4092</v>
      </c>
      <c r="C1182" s="2" t="s">
        <v>4093</v>
      </c>
      <c r="D1182" s="13" t="n">
        <v>45912.3798611111</v>
      </c>
      <c r="E1182" s="2" t="s">
        <v>35</v>
      </c>
      <c r="F1182" s="2" t="s">
        <v>29</v>
      </c>
      <c r="G1182" s="2" t="n">
        <v>6833.84</v>
      </c>
      <c r="H1182" s="2" t="n">
        <v>15.33</v>
      </c>
      <c r="I1182" s="2" t="s">
        <v>26</v>
      </c>
      <c r="J1182" s="2" t="s">
        <v>4094</v>
      </c>
      <c r="K1182" s="2" t="s">
        <v>89</v>
      </c>
      <c r="L1182" s="2" t="s">
        <v>1325</v>
      </c>
      <c r="M1182" s="2"/>
    </row>
    <row r="1183" customFormat="false" ht="15" hidden="false" customHeight="false" outlineLevel="0" collapsed="false">
      <c r="A1183" s="2" t="s">
        <v>4095</v>
      </c>
      <c r="B1183" s="2" t="s">
        <v>3708</v>
      </c>
      <c r="C1183" s="2" t="s">
        <v>3709</v>
      </c>
      <c r="D1183" s="13" t="n">
        <v>46016.5701388889</v>
      </c>
      <c r="E1183" s="2" t="s">
        <v>41</v>
      </c>
      <c r="F1183" s="2" t="s">
        <v>31</v>
      </c>
      <c r="G1183" s="2" t="n">
        <v>2184.66</v>
      </c>
      <c r="H1183" s="2" t="n">
        <v>17.81</v>
      </c>
      <c r="I1183" s="2" t="s">
        <v>26</v>
      </c>
      <c r="J1183" s="2" t="s">
        <v>4096</v>
      </c>
      <c r="K1183" s="2" t="s">
        <v>95</v>
      </c>
      <c r="L1183" s="2" t="s">
        <v>1330</v>
      </c>
      <c r="M1183" s="2"/>
    </row>
    <row r="1184" customFormat="false" ht="15" hidden="false" customHeight="false" outlineLevel="0" collapsed="false">
      <c r="A1184" s="2" t="s">
        <v>4097</v>
      </c>
      <c r="B1184" s="2" t="s">
        <v>4098</v>
      </c>
      <c r="C1184" s="2" t="s">
        <v>4099</v>
      </c>
      <c r="D1184" s="13" t="n">
        <v>45891.9375</v>
      </c>
      <c r="E1184" s="2" t="s">
        <v>37</v>
      </c>
      <c r="F1184" s="2" t="s">
        <v>32</v>
      </c>
      <c r="G1184" s="2" t="n">
        <v>645.61</v>
      </c>
      <c r="H1184" s="2" t="n">
        <v>5</v>
      </c>
      <c r="I1184" s="2" t="s">
        <v>30</v>
      </c>
      <c r="J1184" s="2" t="s">
        <v>4100</v>
      </c>
      <c r="K1184" s="2" t="s">
        <v>89</v>
      </c>
      <c r="L1184" s="2" t="s">
        <v>1877</v>
      </c>
      <c r="M1184" s="2"/>
    </row>
    <row r="1185" customFormat="false" ht="15" hidden="false" customHeight="false" outlineLevel="0" collapsed="false">
      <c r="A1185" s="2" t="s">
        <v>4101</v>
      </c>
      <c r="B1185" s="2" t="s">
        <v>505</v>
      </c>
      <c r="C1185" s="2" t="s">
        <v>506</v>
      </c>
      <c r="D1185" s="13" t="n">
        <v>45981.9013888889</v>
      </c>
      <c r="E1185" s="2" t="s">
        <v>39</v>
      </c>
      <c r="F1185" s="2" t="s">
        <v>27</v>
      </c>
      <c r="G1185" s="2" t="n">
        <v>9835.92</v>
      </c>
      <c r="H1185" s="2" t="n">
        <v>35.58</v>
      </c>
      <c r="I1185" s="2" t="s">
        <v>26</v>
      </c>
      <c r="J1185" s="2" t="s">
        <v>4102</v>
      </c>
      <c r="K1185" s="2" t="s">
        <v>89</v>
      </c>
      <c r="L1185" s="2"/>
      <c r="M1185" s="2" t="s">
        <v>498</v>
      </c>
    </row>
    <row r="1186" customFormat="false" ht="15" hidden="false" customHeight="false" outlineLevel="0" collapsed="false">
      <c r="A1186" s="2" t="s">
        <v>4103</v>
      </c>
      <c r="B1186" s="2" t="s">
        <v>4104</v>
      </c>
      <c r="C1186" s="2" t="s">
        <v>4105</v>
      </c>
      <c r="D1186" s="13" t="n">
        <v>45346.9263888889</v>
      </c>
      <c r="E1186" s="2" t="s">
        <v>43</v>
      </c>
      <c r="F1186" s="2" t="s">
        <v>32</v>
      </c>
      <c r="G1186" s="2" t="n">
        <v>7710.52</v>
      </c>
      <c r="H1186" s="2" t="n">
        <v>22.97</v>
      </c>
      <c r="I1186" s="2" t="s">
        <v>26</v>
      </c>
      <c r="J1186" s="2" t="s">
        <v>4106</v>
      </c>
      <c r="K1186" s="2" t="s">
        <v>89</v>
      </c>
      <c r="L1186" s="2"/>
      <c r="M1186" s="2" t="s">
        <v>1703</v>
      </c>
    </row>
    <row r="1187" customFormat="false" ht="15" hidden="false" customHeight="false" outlineLevel="0" collapsed="false">
      <c r="A1187" s="2" t="s">
        <v>4107</v>
      </c>
      <c r="B1187" s="2" t="s">
        <v>913</v>
      </c>
      <c r="C1187" s="2" t="s">
        <v>914</v>
      </c>
      <c r="D1187" s="13" t="n">
        <v>45621.8840277778</v>
      </c>
      <c r="E1187" s="2" t="s">
        <v>39</v>
      </c>
      <c r="F1187" s="2" t="s">
        <v>29</v>
      </c>
      <c r="G1187" s="2" t="n">
        <v>6938.59</v>
      </c>
      <c r="H1187" s="2" t="n">
        <v>47.46</v>
      </c>
      <c r="I1187" s="2" t="s">
        <v>26</v>
      </c>
      <c r="J1187" s="2" t="s">
        <v>4108</v>
      </c>
      <c r="K1187" s="2" t="s">
        <v>122</v>
      </c>
      <c r="L1187" s="2" t="s">
        <v>731</v>
      </c>
      <c r="M1187" s="2"/>
    </row>
    <row r="1188" customFormat="false" ht="15" hidden="false" customHeight="false" outlineLevel="0" collapsed="false">
      <c r="A1188" s="2" t="s">
        <v>4109</v>
      </c>
      <c r="B1188" s="2" t="s">
        <v>4110</v>
      </c>
      <c r="C1188" s="2" t="s">
        <v>4111</v>
      </c>
      <c r="D1188" s="13" t="n">
        <v>45293.9034722222</v>
      </c>
      <c r="E1188" s="2" t="s">
        <v>39</v>
      </c>
      <c r="F1188" s="2" t="s">
        <v>29</v>
      </c>
      <c r="G1188" s="2" t="n">
        <v>370.29</v>
      </c>
      <c r="H1188" s="2" t="n">
        <v>5</v>
      </c>
      <c r="I1188" s="2" t="s">
        <v>26</v>
      </c>
      <c r="J1188" s="2" t="s">
        <v>4112</v>
      </c>
      <c r="K1188" s="2" t="s">
        <v>89</v>
      </c>
      <c r="L1188" s="2" t="s">
        <v>1888</v>
      </c>
      <c r="M1188" s="2"/>
    </row>
    <row r="1189" customFormat="false" ht="15" hidden="false" customHeight="false" outlineLevel="0" collapsed="false">
      <c r="A1189" s="2" t="s">
        <v>4113</v>
      </c>
      <c r="B1189" s="2" t="s">
        <v>4114</v>
      </c>
      <c r="C1189" s="2" t="s">
        <v>4115</v>
      </c>
      <c r="D1189" s="13" t="n">
        <v>45572.7104166667</v>
      </c>
      <c r="E1189" s="2" t="s">
        <v>37</v>
      </c>
      <c r="F1189" s="2" t="s">
        <v>31</v>
      </c>
      <c r="G1189" s="2" t="n">
        <v>1352.46</v>
      </c>
      <c r="H1189" s="2" t="n">
        <v>6.01</v>
      </c>
      <c r="I1189" s="2" t="s">
        <v>26</v>
      </c>
      <c r="J1189" s="2" t="s">
        <v>4116</v>
      </c>
      <c r="K1189" s="2" t="s">
        <v>101</v>
      </c>
      <c r="L1189" s="2" t="s">
        <v>738</v>
      </c>
      <c r="M1189" s="2"/>
    </row>
    <row r="1190" customFormat="false" ht="15" hidden="false" customHeight="false" outlineLevel="0" collapsed="false">
      <c r="A1190" s="2" t="s">
        <v>4117</v>
      </c>
      <c r="B1190" s="2" t="s">
        <v>2392</v>
      </c>
      <c r="C1190" s="2" t="s">
        <v>2393</v>
      </c>
      <c r="D1190" s="13" t="n">
        <v>45646.3402777778</v>
      </c>
      <c r="E1190" s="2" t="s">
        <v>37</v>
      </c>
      <c r="F1190" s="2" t="s">
        <v>31</v>
      </c>
      <c r="G1190" s="2" t="n">
        <v>5574.75</v>
      </c>
      <c r="H1190" s="2" t="n">
        <v>36.38</v>
      </c>
      <c r="I1190" s="2" t="s">
        <v>26</v>
      </c>
      <c r="J1190" s="2" t="s">
        <v>4118</v>
      </c>
      <c r="K1190" s="2" t="s">
        <v>89</v>
      </c>
      <c r="L1190" s="2" t="s">
        <v>743</v>
      </c>
      <c r="M1190" s="2"/>
    </row>
    <row r="1191" customFormat="false" ht="15" hidden="false" customHeight="false" outlineLevel="0" collapsed="false">
      <c r="A1191" s="2" t="s">
        <v>4119</v>
      </c>
      <c r="B1191" s="2" t="s">
        <v>4120</v>
      </c>
      <c r="C1191" s="2" t="s">
        <v>4121</v>
      </c>
      <c r="D1191" s="13" t="n">
        <v>45300.5534722222</v>
      </c>
      <c r="E1191" s="2" t="s">
        <v>35</v>
      </c>
      <c r="F1191" s="2" t="s">
        <v>31</v>
      </c>
      <c r="G1191" s="2" t="n">
        <v>2420.5</v>
      </c>
      <c r="H1191" s="2" t="n">
        <v>21.29</v>
      </c>
      <c r="I1191" s="2" t="s">
        <v>28</v>
      </c>
      <c r="J1191" s="2" t="s">
        <v>4122</v>
      </c>
      <c r="K1191" s="2" t="s">
        <v>95</v>
      </c>
      <c r="L1191" s="2" t="s">
        <v>1901</v>
      </c>
      <c r="M1191" s="2"/>
    </row>
    <row r="1192" customFormat="false" ht="15" hidden="false" customHeight="false" outlineLevel="0" collapsed="false">
      <c r="A1192" s="2" t="s">
        <v>4123</v>
      </c>
      <c r="B1192" s="2" t="s">
        <v>4124</v>
      </c>
      <c r="C1192" s="2" t="s">
        <v>4125</v>
      </c>
      <c r="D1192" s="13" t="n">
        <v>45726.4180555556</v>
      </c>
      <c r="E1192" s="2" t="s">
        <v>41</v>
      </c>
      <c r="F1192" s="2" t="s">
        <v>27</v>
      </c>
      <c r="G1192" s="2" t="n">
        <v>1536.53</v>
      </c>
      <c r="H1192" s="2" t="n">
        <v>11.52</v>
      </c>
      <c r="I1192" s="2" t="s">
        <v>26</v>
      </c>
      <c r="J1192" s="2" t="s">
        <v>4126</v>
      </c>
      <c r="K1192" s="2" t="s">
        <v>89</v>
      </c>
      <c r="L1192" s="2"/>
      <c r="M1192" s="2" t="s">
        <v>531</v>
      </c>
    </row>
    <row r="1193" customFormat="false" ht="15" hidden="false" customHeight="false" outlineLevel="0" collapsed="false">
      <c r="A1193" s="2" t="s">
        <v>4127</v>
      </c>
      <c r="B1193" s="2" t="s">
        <v>2117</v>
      </c>
      <c r="C1193" s="2" t="s">
        <v>2118</v>
      </c>
      <c r="D1193" s="13" t="n">
        <v>45613.4270833333</v>
      </c>
      <c r="E1193" s="2" t="s">
        <v>35</v>
      </c>
      <c r="F1193" s="2" t="s">
        <v>32</v>
      </c>
      <c r="G1193" s="2" t="n">
        <v>1995.29</v>
      </c>
      <c r="H1193" s="2" t="n">
        <v>6</v>
      </c>
      <c r="I1193" s="2" t="s">
        <v>26</v>
      </c>
      <c r="J1193" s="2" t="s">
        <v>4128</v>
      </c>
      <c r="K1193" s="2" t="s">
        <v>89</v>
      </c>
      <c r="L1193" s="2" t="s">
        <v>757</v>
      </c>
      <c r="M1193" s="2"/>
    </row>
    <row r="1194" customFormat="false" ht="15" hidden="false" customHeight="false" outlineLevel="0" collapsed="false">
      <c r="A1194" s="2" t="s">
        <v>4129</v>
      </c>
      <c r="B1194" s="2" t="s">
        <v>4130</v>
      </c>
      <c r="C1194" s="2" t="s">
        <v>4131</v>
      </c>
      <c r="D1194" s="13" t="n">
        <v>45532.5159722222</v>
      </c>
      <c r="E1194" s="2" t="s">
        <v>41</v>
      </c>
      <c r="F1194" s="2" t="s">
        <v>31</v>
      </c>
      <c r="G1194" s="2" t="n">
        <v>7441.45</v>
      </c>
      <c r="H1194" s="2" t="n">
        <v>72.25</v>
      </c>
      <c r="I1194" s="2" t="s">
        <v>30</v>
      </c>
      <c r="J1194" s="2" t="s">
        <v>4132</v>
      </c>
      <c r="K1194" s="2" t="s">
        <v>122</v>
      </c>
      <c r="L1194" s="2" t="s">
        <v>1912</v>
      </c>
      <c r="M1194" s="2"/>
    </row>
    <row r="1195" customFormat="false" ht="15" hidden="false" customHeight="false" outlineLevel="0" collapsed="false">
      <c r="A1195" s="2" t="s">
        <v>4133</v>
      </c>
      <c r="B1195" s="2" t="s">
        <v>360</v>
      </c>
      <c r="C1195" s="2" t="s">
        <v>361</v>
      </c>
      <c r="D1195" s="13" t="n">
        <v>45416.8430555556</v>
      </c>
      <c r="E1195" s="2" t="s">
        <v>39</v>
      </c>
      <c r="F1195" s="2" t="s">
        <v>27</v>
      </c>
      <c r="G1195" s="2" t="n">
        <v>3475.29</v>
      </c>
      <c r="H1195" s="2" t="n">
        <v>25.63</v>
      </c>
      <c r="I1195" s="2" t="s">
        <v>26</v>
      </c>
      <c r="J1195" s="2" t="s">
        <v>4134</v>
      </c>
      <c r="K1195" s="2" t="s">
        <v>122</v>
      </c>
      <c r="L1195" s="2"/>
      <c r="M1195" s="2" t="s">
        <v>546</v>
      </c>
    </row>
    <row r="1196" customFormat="false" ht="15" hidden="false" customHeight="false" outlineLevel="0" collapsed="false">
      <c r="A1196" s="2" t="s">
        <v>4135</v>
      </c>
      <c r="B1196" s="2" t="s">
        <v>4136</v>
      </c>
      <c r="C1196" s="2" t="s">
        <v>4137</v>
      </c>
      <c r="D1196" s="13" t="n">
        <v>45304.9076388889</v>
      </c>
      <c r="E1196" s="2" t="s">
        <v>37</v>
      </c>
      <c r="F1196" s="2" t="s">
        <v>27</v>
      </c>
      <c r="G1196" s="2" t="n">
        <v>4273.03</v>
      </c>
      <c r="H1196" s="2" t="n">
        <v>36.24</v>
      </c>
      <c r="I1196" s="2" t="s">
        <v>26</v>
      </c>
      <c r="J1196" s="2" t="s">
        <v>4138</v>
      </c>
      <c r="K1196" s="2" t="s">
        <v>89</v>
      </c>
      <c r="L1196" s="2"/>
      <c r="M1196" s="2" t="s">
        <v>551</v>
      </c>
    </row>
    <row r="1197" customFormat="false" ht="15" hidden="false" customHeight="false" outlineLevel="0" collapsed="false">
      <c r="A1197" s="2" t="s">
        <v>4139</v>
      </c>
      <c r="B1197" s="2" t="s">
        <v>260</v>
      </c>
      <c r="C1197" s="2" t="s">
        <v>261</v>
      </c>
      <c r="D1197" s="13" t="n">
        <v>45315.7555555556</v>
      </c>
      <c r="E1197" s="2" t="s">
        <v>41</v>
      </c>
      <c r="F1197" s="2" t="s">
        <v>29</v>
      </c>
      <c r="G1197" s="2" t="n">
        <v>3846.07</v>
      </c>
      <c r="H1197" s="2" t="n">
        <v>12.08</v>
      </c>
      <c r="I1197" s="2" t="s">
        <v>28</v>
      </c>
      <c r="J1197" s="2" t="s">
        <v>4140</v>
      </c>
      <c r="K1197" s="2" t="s">
        <v>101</v>
      </c>
      <c r="L1197" s="2" t="s">
        <v>2892</v>
      </c>
      <c r="M1197" s="2"/>
    </row>
    <row r="1198" customFormat="false" ht="15" hidden="false" customHeight="false" outlineLevel="0" collapsed="false">
      <c r="A1198" s="2" t="s">
        <v>4141</v>
      </c>
      <c r="B1198" s="2" t="s">
        <v>4142</v>
      </c>
      <c r="C1198" s="2" t="s">
        <v>4143</v>
      </c>
      <c r="D1198" s="13" t="n">
        <v>45320.7125</v>
      </c>
      <c r="E1198" s="2" t="s">
        <v>39</v>
      </c>
      <c r="F1198" s="2" t="s">
        <v>31</v>
      </c>
      <c r="G1198" s="2" t="n">
        <v>1460.67</v>
      </c>
      <c r="H1198" s="2" t="n">
        <v>10.65</v>
      </c>
      <c r="I1198" s="2" t="s">
        <v>28</v>
      </c>
      <c r="J1198" s="2" t="s">
        <v>4144</v>
      </c>
      <c r="K1198" s="2" t="s">
        <v>89</v>
      </c>
      <c r="L1198" s="2" t="s">
        <v>779</v>
      </c>
      <c r="M1198" s="2"/>
    </row>
    <row r="1199" customFormat="false" ht="15" hidden="false" customHeight="false" outlineLevel="0" collapsed="false">
      <c r="A1199" s="2" t="s">
        <v>4145</v>
      </c>
      <c r="B1199" s="2" t="s">
        <v>2655</v>
      </c>
      <c r="C1199" s="2" t="s">
        <v>2656</v>
      </c>
      <c r="D1199" s="13" t="n">
        <v>45563.6826388889</v>
      </c>
      <c r="E1199" s="2" t="s">
        <v>41</v>
      </c>
      <c r="F1199" s="2" t="s">
        <v>27</v>
      </c>
      <c r="G1199" s="2" t="n">
        <v>2104.93</v>
      </c>
      <c r="H1199" s="2" t="n">
        <v>16.96</v>
      </c>
      <c r="I1199" s="2" t="s">
        <v>26</v>
      </c>
      <c r="J1199" s="2" t="s">
        <v>4146</v>
      </c>
      <c r="K1199" s="2" t="s">
        <v>101</v>
      </c>
      <c r="L1199" s="2"/>
      <c r="M1199" s="2" t="s">
        <v>2097</v>
      </c>
    </row>
    <row r="1200" customFormat="false" ht="15" hidden="false" customHeight="false" outlineLevel="0" collapsed="false">
      <c r="A1200" s="2" t="s">
        <v>4147</v>
      </c>
      <c r="B1200" s="2" t="s">
        <v>4148</v>
      </c>
      <c r="C1200" s="2" t="s">
        <v>4149</v>
      </c>
      <c r="D1200" s="13" t="n">
        <v>45409.5201388889</v>
      </c>
      <c r="E1200" s="2" t="s">
        <v>39</v>
      </c>
      <c r="F1200" s="2" t="s">
        <v>27</v>
      </c>
      <c r="G1200" s="2" t="n">
        <v>3517.83</v>
      </c>
      <c r="H1200" s="2" t="n">
        <v>22.49</v>
      </c>
      <c r="I1200" s="2" t="s">
        <v>26</v>
      </c>
      <c r="J1200" s="2" t="s">
        <v>4150</v>
      </c>
      <c r="K1200" s="2" t="s">
        <v>122</v>
      </c>
      <c r="L1200" s="2"/>
      <c r="M1200" s="2" t="s">
        <v>571</v>
      </c>
    </row>
    <row r="1201" customFormat="false" ht="15" hidden="false" customHeight="false" outlineLevel="0" collapsed="false">
      <c r="A1201" s="2" t="s">
        <v>4151</v>
      </c>
      <c r="B1201" s="2" t="s">
        <v>1792</v>
      </c>
      <c r="C1201" s="2" t="s">
        <v>1793</v>
      </c>
      <c r="D1201" s="13" t="n">
        <v>45890.7673611111</v>
      </c>
      <c r="E1201" s="2" t="s">
        <v>43</v>
      </c>
      <c r="F1201" s="2" t="s">
        <v>32</v>
      </c>
      <c r="G1201" s="2" t="n">
        <v>8391.73</v>
      </c>
      <c r="H1201" s="2" t="n">
        <v>81.93</v>
      </c>
      <c r="I1201" s="2" t="s">
        <v>26</v>
      </c>
      <c r="J1201" s="2" t="s">
        <v>4152</v>
      </c>
      <c r="K1201" s="2" t="s">
        <v>101</v>
      </c>
      <c r="L1201" s="2"/>
      <c r="M1201" s="2" t="s">
        <v>576</v>
      </c>
    </row>
    <row r="1202" customFormat="false" ht="15" hidden="false" customHeight="false" outlineLevel="0" collapsed="false">
      <c r="A1202" s="2" t="s">
        <v>4153</v>
      </c>
      <c r="B1202" s="2" t="s">
        <v>2151</v>
      </c>
      <c r="C1202" s="2" t="s">
        <v>2152</v>
      </c>
      <c r="D1202" s="13" t="n">
        <v>45798.5618055556</v>
      </c>
      <c r="E1202" s="2" t="s">
        <v>37</v>
      </c>
      <c r="F1202" s="2" t="s">
        <v>29</v>
      </c>
      <c r="G1202" s="2" t="n">
        <v>886.91</v>
      </c>
      <c r="H1202" s="2" t="n">
        <v>9.33</v>
      </c>
      <c r="I1202" s="2" t="s">
        <v>26</v>
      </c>
      <c r="J1202" s="2" t="s">
        <v>4154</v>
      </c>
      <c r="K1202" s="2" t="s">
        <v>95</v>
      </c>
      <c r="L1202" s="2" t="s">
        <v>90</v>
      </c>
      <c r="M1202" s="2"/>
    </row>
    <row r="1203" customFormat="false" ht="15" hidden="false" customHeight="false" outlineLevel="0" collapsed="false">
      <c r="A1203" s="2" t="s">
        <v>4155</v>
      </c>
      <c r="B1203" s="2" t="s">
        <v>1930</v>
      </c>
      <c r="C1203" s="2" t="s">
        <v>1931</v>
      </c>
      <c r="D1203" s="13" t="n">
        <v>45435.5715277778</v>
      </c>
      <c r="E1203" s="2" t="s">
        <v>37</v>
      </c>
      <c r="F1203" s="2" t="s">
        <v>31</v>
      </c>
      <c r="G1203" s="2" t="n">
        <v>10327.55</v>
      </c>
      <c r="H1203" s="2" t="n">
        <v>119.32</v>
      </c>
      <c r="I1203" s="2" t="s">
        <v>26</v>
      </c>
      <c r="J1203" s="2" t="s">
        <v>4156</v>
      </c>
      <c r="K1203" s="2" t="s">
        <v>101</v>
      </c>
      <c r="L1203" s="2" t="s">
        <v>96</v>
      </c>
      <c r="M1203" s="2"/>
    </row>
    <row r="1204" customFormat="false" ht="15" hidden="false" customHeight="false" outlineLevel="0" collapsed="false">
      <c r="A1204" s="2" t="s">
        <v>4157</v>
      </c>
      <c r="B1204" s="2" t="s">
        <v>4158</v>
      </c>
      <c r="C1204" s="2" t="s">
        <v>4159</v>
      </c>
      <c r="D1204" s="13" t="n">
        <v>45692.7993055556</v>
      </c>
      <c r="E1204" s="2" t="s">
        <v>35</v>
      </c>
      <c r="F1204" s="2" t="s">
        <v>31</v>
      </c>
      <c r="G1204" s="2" t="n">
        <v>3974.17</v>
      </c>
      <c r="H1204" s="2" t="n">
        <v>16.63</v>
      </c>
      <c r="I1204" s="2" t="s">
        <v>26</v>
      </c>
      <c r="J1204" s="2" t="s">
        <v>4160</v>
      </c>
      <c r="K1204" s="2" t="s">
        <v>122</v>
      </c>
      <c r="L1204" s="2" t="s">
        <v>102</v>
      </c>
      <c r="M1204" s="2"/>
    </row>
    <row r="1205" customFormat="false" ht="15" hidden="false" customHeight="false" outlineLevel="0" collapsed="false">
      <c r="A1205" s="2" t="s">
        <v>4161</v>
      </c>
      <c r="B1205" s="2" t="s">
        <v>4162</v>
      </c>
      <c r="C1205" s="2" t="s">
        <v>4163</v>
      </c>
      <c r="D1205" s="13" t="n">
        <v>45391.6743055556</v>
      </c>
      <c r="E1205" s="2" t="s">
        <v>43</v>
      </c>
      <c r="F1205" s="2" t="s">
        <v>32</v>
      </c>
      <c r="G1205" s="2" t="n">
        <v>5121.39</v>
      </c>
      <c r="H1205" s="2" t="n">
        <v>19.75</v>
      </c>
      <c r="I1205" s="2" t="s">
        <v>26</v>
      </c>
      <c r="J1205" s="2" t="s">
        <v>4164</v>
      </c>
      <c r="K1205" s="2" t="s">
        <v>122</v>
      </c>
      <c r="L1205" s="2"/>
      <c r="M1205" s="2" t="s">
        <v>594</v>
      </c>
    </row>
    <row r="1206" customFormat="false" ht="15" hidden="false" customHeight="false" outlineLevel="0" collapsed="false">
      <c r="A1206" s="2" t="s">
        <v>4165</v>
      </c>
      <c r="B1206" s="2" t="s">
        <v>2175</v>
      </c>
      <c r="C1206" s="2" t="s">
        <v>2176</v>
      </c>
      <c r="D1206" s="13" t="n">
        <v>45723.5805555556</v>
      </c>
      <c r="E1206" s="2" t="s">
        <v>35</v>
      </c>
      <c r="F1206" s="2" t="s">
        <v>27</v>
      </c>
      <c r="G1206" s="2" t="n">
        <v>10757.84</v>
      </c>
      <c r="H1206" s="2" t="n">
        <v>24.44</v>
      </c>
      <c r="I1206" s="2" t="s">
        <v>26</v>
      </c>
      <c r="J1206" s="2" t="s">
        <v>4166</v>
      </c>
      <c r="K1206" s="2" t="s">
        <v>122</v>
      </c>
      <c r="L1206" s="2"/>
      <c r="M1206" s="2" t="s">
        <v>112</v>
      </c>
    </row>
    <row r="1207" customFormat="false" ht="15" hidden="false" customHeight="false" outlineLevel="0" collapsed="false">
      <c r="A1207" s="2" t="s">
        <v>4167</v>
      </c>
      <c r="B1207" s="2" t="s">
        <v>1067</v>
      </c>
      <c r="C1207" s="2" t="s">
        <v>1068</v>
      </c>
      <c r="D1207" s="13" t="n">
        <v>45870.8173611111</v>
      </c>
      <c r="E1207" s="2" t="s">
        <v>37</v>
      </c>
      <c r="F1207" s="2" t="s">
        <v>32</v>
      </c>
      <c r="G1207" s="2" t="n">
        <v>4166.74</v>
      </c>
      <c r="H1207" s="2" t="n">
        <v>9.24</v>
      </c>
      <c r="I1207" s="2" t="s">
        <v>26</v>
      </c>
      <c r="J1207" s="2" t="s">
        <v>4168</v>
      </c>
      <c r="K1207" s="2" t="s">
        <v>89</v>
      </c>
      <c r="L1207" s="2" t="s">
        <v>117</v>
      </c>
      <c r="M1207" s="2"/>
    </row>
    <row r="1208" customFormat="false" ht="15" hidden="false" customHeight="false" outlineLevel="0" collapsed="false">
      <c r="A1208" s="2" t="s">
        <v>4169</v>
      </c>
      <c r="B1208" s="2" t="s">
        <v>1559</v>
      </c>
      <c r="C1208" s="2" t="s">
        <v>1560</v>
      </c>
      <c r="D1208" s="13" t="n">
        <v>45846.6048611111</v>
      </c>
      <c r="E1208" s="2" t="s">
        <v>39</v>
      </c>
      <c r="F1208" s="2" t="s">
        <v>29</v>
      </c>
      <c r="G1208" s="2" t="n">
        <v>718.75</v>
      </c>
      <c r="H1208" s="2" t="n">
        <v>6.4</v>
      </c>
      <c r="I1208" s="2" t="s">
        <v>28</v>
      </c>
      <c r="J1208" s="2" t="s">
        <v>4170</v>
      </c>
      <c r="K1208" s="2" t="s">
        <v>95</v>
      </c>
      <c r="L1208" s="2" t="s">
        <v>123</v>
      </c>
      <c r="M1208" s="2"/>
    </row>
    <row r="1209" customFormat="false" ht="15" hidden="false" customHeight="false" outlineLevel="0" collapsed="false">
      <c r="A1209" s="2" t="s">
        <v>4171</v>
      </c>
      <c r="B1209" s="2" t="s">
        <v>960</v>
      </c>
      <c r="C1209" s="2" t="s">
        <v>961</v>
      </c>
      <c r="D1209" s="13" t="n">
        <v>45440.4458333333</v>
      </c>
      <c r="E1209" s="2" t="s">
        <v>35</v>
      </c>
      <c r="F1209" s="2" t="s">
        <v>32</v>
      </c>
      <c r="G1209" s="2" t="n">
        <v>6482.84</v>
      </c>
      <c r="H1209" s="2" t="n">
        <v>16.7</v>
      </c>
      <c r="I1209" s="2" t="s">
        <v>26</v>
      </c>
      <c r="J1209" s="2" t="s">
        <v>4172</v>
      </c>
      <c r="K1209" s="2" t="s">
        <v>89</v>
      </c>
      <c r="L1209" s="2" t="s">
        <v>128</v>
      </c>
      <c r="M1209" s="2"/>
    </row>
    <row r="1210" customFormat="false" ht="15" hidden="false" customHeight="false" outlineLevel="0" collapsed="false">
      <c r="A1210" s="2" t="s">
        <v>4173</v>
      </c>
      <c r="B1210" s="2" t="s">
        <v>4174</v>
      </c>
      <c r="C1210" s="2" t="s">
        <v>4175</v>
      </c>
      <c r="D1210" s="13" t="n">
        <v>45562.35</v>
      </c>
      <c r="E1210" s="2" t="s">
        <v>39</v>
      </c>
      <c r="F1210" s="2" t="s">
        <v>27</v>
      </c>
      <c r="G1210" s="2" t="n">
        <v>15137.81</v>
      </c>
      <c r="H1210" s="2" t="n">
        <v>117.92</v>
      </c>
      <c r="I1210" s="2" t="s">
        <v>26</v>
      </c>
      <c r="J1210" s="2" t="s">
        <v>4176</v>
      </c>
      <c r="K1210" s="2" t="s">
        <v>95</v>
      </c>
      <c r="L1210" s="2"/>
      <c r="M1210" s="2" t="s">
        <v>617</v>
      </c>
    </row>
    <row r="1211" customFormat="false" ht="15" hidden="false" customHeight="false" outlineLevel="0" collapsed="false">
      <c r="A1211" s="2" t="s">
        <v>4177</v>
      </c>
      <c r="B1211" s="2" t="s">
        <v>2767</v>
      </c>
      <c r="C1211" s="2" t="s">
        <v>2768</v>
      </c>
      <c r="D1211" s="13" t="n">
        <v>45452.6458333333</v>
      </c>
      <c r="E1211" s="2" t="s">
        <v>39</v>
      </c>
      <c r="F1211" s="2" t="s">
        <v>27</v>
      </c>
      <c r="G1211" s="2" t="n">
        <v>1810.35</v>
      </c>
      <c r="H1211" s="2" t="n">
        <v>5.2</v>
      </c>
      <c r="I1211" s="2" t="s">
        <v>30</v>
      </c>
      <c r="J1211" s="2" t="s">
        <v>4178</v>
      </c>
      <c r="K1211" s="2" t="s">
        <v>122</v>
      </c>
      <c r="L1211" s="2"/>
      <c r="M1211" s="2" t="s">
        <v>1795</v>
      </c>
    </row>
    <row r="1212" customFormat="false" ht="15" hidden="false" customHeight="false" outlineLevel="0" collapsed="false">
      <c r="A1212" s="2" t="s">
        <v>4179</v>
      </c>
      <c r="B1212" s="2" t="s">
        <v>969</v>
      </c>
      <c r="C1212" s="2" t="s">
        <v>970</v>
      </c>
      <c r="D1212" s="13" t="n">
        <v>45346.93125</v>
      </c>
      <c r="E1212" s="2" t="s">
        <v>43</v>
      </c>
      <c r="F1212" s="2" t="s">
        <v>29</v>
      </c>
      <c r="G1212" s="2" t="n">
        <v>7638</v>
      </c>
      <c r="H1212" s="2" t="n">
        <v>70.96</v>
      </c>
      <c r="I1212" s="2" t="s">
        <v>28</v>
      </c>
      <c r="J1212" s="2" t="s">
        <v>4180</v>
      </c>
      <c r="K1212" s="2" t="s">
        <v>122</v>
      </c>
      <c r="L1212" s="2"/>
      <c r="M1212" s="2" t="s">
        <v>627</v>
      </c>
    </row>
    <row r="1213" customFormat="false" ht="15" hidden="false" customHeight="false" outlineLevel="0" collapsed="false">
      <c r="A1213" s="2" t="s">
        <v>4181</v>
      </c>
      <c r="B1213" s="2" t="s">
        <v>2851</v>
      </c>
      <c r="C1213" s="2" t="s">
        <v>2852</v>
      </c>
      <c r="D1213" s="13" t="n">
        <v>45583.9020833333</v>
      </c>
      <c r="E1213" s="2" t="s">
        <v>41</v>
      </c>
      <c r="F1213" s="2" t="s">
        <v>31</v>
      </c>
      <c r="G1213" s="2" t="n">
        <v>5173.88</v>
      </c>
      <c r="H1213" s="2" t="n">
        <v>58.46</v>
      </c>
      <c r="I1213" s="2" t="s">
        <v>26</v>
      </c>
      <c r="J1213" s="2" t="s">
        <v>4182</v>
      </c>
      <c r="K1213" s="2" t="s">
        <v>89</v>
      </c>
      <c r="L1213" s="2" t="s">
        <v>841</v>
      </c>
      <c r="M1213" s="2"/>
    </row>
    <row r="1214" customFormat="false" ht="15" hidden="false" customHeight="false" outlineLevel="0" collapsed="false">
      <c r="A1214" s="2" t="s">
        <v>4183</v>
      </c>
      <c r="B1214" s="2" t="s">
        <v>4064</v>
      </c>
      <c r="C1214" s="2" t="s">
        <v>4065</v>
      </c>
      <c r="D1214" s="13" t="n">
        <v>45577.8680555556</v>
      </c>
      <c r="E1214" s="2" t="s">
        <v>39</v>
      </c>
      <c r="F1214" s="2" t="s">
        <v>31</v>
      </c>
      <c r="G1214" s="2" t="n">
        <v>2480.62</v>
      </c>
      <c r="H1214" s="2" t="n">
        <v>17.78</v>
      </c>
      <c r="I1214" s="2" t="s">
        <v>26</v>
      </c>
      <c r="J1214" s="2" t="s">
        <v>4184</v>
      </c>
      <c r="K1214" s="2" t="s">
        <v>122</v>
      </c>
      <c r="L1214" s="2" t="s">
        <v>147</v>
      </c>
      <c r="M1214" s="2"/>
    </row>
    <row r="1215" customFormat="false" ht="15" hidden="false" customHeight="false" outlineLevel="0" collapsed="false">
      <c r="A1215" s="2" t="s">
        <v>4185</v>
      </c>
      <c r="B1215" s="2" t="s">
        <v>2621</v>
      </c>
      <c r="C1215" s="2" t="s">
        <v>2622</v>
      </c>
      <c r="D1215" s="13" t="n">
        <v>45796.5694444445</v>
      </c>
      <c r="E1215" s="2" t="s">
        <v>39</v>
      </c>
      <c r="F1215" s="2" t="s">
        <v>27</v>
      </c>
      <c r="G1215" s="2" t="n">
        <v>10022.66</v>
      </c>
      <c r="H1215" s="2" t="n">
        <v>106.4</v>
      </c>
      <c r="I1215" s="2" t="s">
        <v>26</v>
      </c>
      <c r="J1215" s="2" t="s">
        <v>4186</v>
      </c>
      <c r="K1215" s="2" t="s">
        <v>89</v>
      </c>
      <c r="L1215" s="2"/>
      <c r="M1215" s="2" t="s">
        <v>1053</v>
      </c>
    </row>
    <row r="1216" customFormat="false" ht="15" hidden="false" customHeight="false" outlineLevel="0" collapsed="false">
      <c r="A1216" s="2" t="s">
        <v>4187</v>
      </c>
      <c r="B1216" s="2" t="s">
        <v>942</v>
      </c>
      <c r="C1216" s="2" t="s">
        <v>943</v>
      </c>
      <c r="D1216" s="13" t="n">
        <v>45902.8909722222</v>
      </c>
      <c r="E1216" s="2" t="s">
        <v>37</v>
      </c>
      <c r="F1216" s="2" t="s">
        <v>31</v>
      </c>
      <c r="G1216" s="2" t="n">
        <v>11333.1</v>
      </c>
      <c r="H1216" s="2" t="n">
        <v>42.84</v>
      </c>
      <c r="I1216" s="2" t="s">
        <v>26</v>
      </c>
      <c r="J1216" s="2" t="s">
        <v>4188</v>
      </c>
      <c r="K1216" s="2" t="s">
        <v>101</v>
      </c>
      <c r="L1216" s="2" t="s">
        <v>153</v>
      </c>
      <c r="M1216" s="2"/>
    </row>
    <row r="1217" customFormat="false" ht="15" hidden="false" customHeight="false" outlineLevel="0" collapsed="false">
      <c r="A1217" s="2" t="s">
        <v>4189</v>
      </c>
      <c r="B1217" s="2" t="s">
        <v>2491</v>
      </c>
      <c r="C1217" s="2" t="s">
        <v>2492</v>
      </c>
      <c r="D1217" s="13" t="n">
        <v>45712.5631944445</v>
      </c>
      <c r="E1217" s="2" t="s">
        <v>41</v>
      </c>
      <c r="F1217" s="2" t="s">
        <v>31</v>
      </c>
      <c r="G1217" s="2" t="n">
        <v>16991.44</v>
      </c>
      <c r="H1217" s="2" t="n">
        <v>49.05</v>
      </c>
      <c r="I1217" s="2" t="s">
        <v>26</v>
      </c>
      <c r="J1217" s="2" t="s">
        <v>4190</v>
      </c>
      <c r="K1217" s="2" t="s">
        <v>95</v>
      </c>
      <c r="L1217" s="2" t="s">
        <v>158</v>
      </c>
      <c r="M1217" s="2"/>
    </row>
    <row r="1218" customFormat="false" ht="15" hidden="false" customHeight="false" outlineLevel="0" collapsed="false">
      <c r="A1218" s="2" t="s">
        <v>4191</v>
      </c>
      <c r="B1218" s="2" t="s">
        <v>3748</v>
      </c>
      <c r="C1218" s="2" t="s">
        <v>3749</v>
      </c>
      <c r="D1218" s="13" t="n">
        <v>45340.45</v>
      </c>
      <c r="E1218" s="2" t="s">
        <v>41</v>
      </c>
      <c r="F1218" s="2" t="s">
        <v>32</v>
      </c>
      <c r="G1218" s="2" t="n">
        <v>4018.96</v>
      </c>
      <c r="H1218" s="2" t="n">
        <v>27.88</v>
      </c>
      <c r="I1218" s="2" t="s">
        <v>26</v>
      </c>
      <c r="J1218" s="2" t="s">
        <v>4192</v>
      </c>
      <c r="K1218" s="2" t="s">
        <v>122</v>
      </c>
      <c r="L1218" s="2" t="s">
        <v>1456</v>
      </c>
      <c r="M1218" s="2"/>
    </row>
    <row r="1219" customFormat="false" ht="15" hidden="false" customHeight="false" outlineLevel="0" collapsed="false">
      <c r="A1219" s="2" t="s">
        <v>4193</v>
      </c>
      <c r="B1219" s="2" t="s">
        <v>2121</v>
      </c>
      <c r="C1219" s="2" t="s">
        <v>2122</v>
      </c>
      <c r="D1219" s="13" t="n">
        <v>45999.5597222222</v>
      </c>
      <c r="E1219" s="2" t="s">
        <v>35</v>
      </c>
      <c r="F1219" s="2" t="s">
        <v>29</v>
      </c>
      <c r="G1219" s="2" t="n">
        <v>1745.54</v>
      </c>
      <c r="H1219" s="2" t="n">
        <v>18.52</v>
      </c>
      <c r="I1219" s="2" t="s">
        <v>28</v>
      </c>
      <c r="J1219" s="2" t="s">
        <v>4194</v>
      </c>
      <c r="K1219" s="2" t="s">
        <v>89</v>
      </c>
      <c r="L1219" s="2" t="s">
        <v>168</v>
      </c>
      <c r="M1219" s="2"/>
    </row>
    <row r="1220" customFormat="false" ht="15" hidden="false" customHeight="false" outlineLevel="0" collapsed="false">
      <c r="A1220" s="2" t="s">
        <v>4195</v>
      </c>
      <c r="B1220" s="2" t="s">
        <v>4196</v>
      </c>
      <c r="C1220" s="2" t="s">
        <v>4197</v>
      </c>
      <c r="D1220" s="13" t="n">
        <v>45338.6972222222</v>
      </c>
      <c r="E1220" s="2" t="s">
        <v>41</v>
      </c>
      <c r="F1220" s="2" t="s">
        <v>29</v>
      </c>
      <c r="G1220" s="2" t="n">
        <v>4844.08</v>
      </c>
      <c r="H1220" s="2" t="n">
        <v>32.76</v>
      </c>
      <c r="I1220" s="2" t="s">
        <v>30</v>
      </c>
      <c r="J1220" s="2" t="s">
        <v>4198</v>
      </c>
      <c r="K1220" s="2" t="s">
        <v>101</v>
      </c>
      <c r="L1220" s="2" t="s">
        <v>173</v>
      </c>
      <c r="M1220" s="2"/>
    </row>
    <row r="1221" customFormat="false" ht="15" hidden="false" customHeight="false" outlineLevel="0" collapsed="false">
      <c r="A1221" s="2" t="s">
        <v>4199</v>
      </c>
      <c r="B1221" s="2" t="s">
        <v>2665</v>
      </c>
      <c r="C1221" s="2" t="s">
        <v>2666</v>
      </c>
      <c r="D1221" s="13" t="n">
        <v>45820.7305555556</v>
      </c>
      <c r="E1221" s="2" t="s">
        <v>41</v>
      </c>
      <c r="F1221" s="2" t="s">
        <v>31</v>
      </c>
      <c r="G1221" s="2" t="n">
        <v>857.04</v>
      </c>
      <c r="H1221" s="2" t="n">
        <v>9.46</v>
      </c>
      <c r="I1221" s="2" t="s">
        <v>26</v>
      </c>
      <c r="J1221" s="2" t="s">
        <v>4200</v>
      </c>
      <c r="K1221" s="2" t="s">
        <v>122</v>
      </c>
      <c r="L1221" s="2" t="s">
        <v>178</v>
      </c>
      <c r="M1221" s="2"/>
    </row>
    <row r="1222" customFormat="false" ht="15" hidden="false" customHeight="false" outlineLevel="0" collapsed="false">
      <c r="A1222" s="2" t="s">
        <v>4201</v>
      </c>
      <c r="B1222" s="2" t="s">
        <v>185</v>
      </c>
      <c r="C1222" s="2" t="s">
        <v>186</v>
      </c>
      <c r="D1222" s="13" t="n">
        <v>45577.5680555556</v>
      </c>
      <c r="E1222" s="2" t="s">
        <v>35</v>
      </c>
      <c r="F1222" s="2" t="s">
        <v>31</v>
      </c>
      <c r="G1222" s="2" t="n">
        <v>5246.12</v>
      </c>
      <c r="H1222" s="2" t="n">
        <v>27.39</v>
      </c>
      <c r="I1222" s="2" t="s">
        <v>26</v>
      </c>
      <c r="J1222" s="2" t="s">
        <v>4202</v>
      </c>
      <c r="K1222" s="2" t="s">
        <v>101</v>
      </c>
      <c r="L1222" s="2" t="s">
        <v>874</v>
      </c>
      <c r="M1222" s="2"/>
    </row>
    <row r="1223" customFormat="false" ht="15" hidden="false" customHeight="false" outlineLevel="0" collapsed="false">
      <c r="A1223" s="2" t="s">
        <v>4203</v>
      </c>
      <c r="B1223" s="2" t="s">
        <v>4204</v>
      </c>
      <c r="C1223" s="2" t="s">
        <v>4205</v>
      </c>
      <c r="D1223" s="13" t="n">
        <v>45906.5138888889</v>
      </c>
      <c r="E1223" s="2" t="s">
        <v>35</v>
      </c>
      <c r="F1223" s="2" t="s">
        <v>27</v>
      </c>
      <c r="G1223" s="2" t="n">
        <v>9061.52</v>
      </c>
      <c r="H1223" s="2" t="n">
        <v>75.15</v>
      </c>
      <c r="I1223" s="2" t="s">
        <v>26</v>
      </c>
      <c r="J1223" s="2" t="s">
        <v>4206</v>
      </c>
      <c r="K1223" s="2" t="s">
        <v>95</v>
      </c>
      <c r="L1223" s="2"/>
      <c r="M1223" s="2" t="s">
        <v>1084</v>
      </c>
    </row>
    <row r="1224" customFormat="false" ht="15" hidden="false" customHeight="false" outlineLevel="0" collapsed="false">
      <c r="A1224" s="2" t="s">
        <v>4207</v>
      </c>
      <c r="B1224" s="2" t="s">
        <v>2771</v>
      </c>
      <c r="C1224" s="2" t="s">
        <v>2772</v>
      </c>
      <c r="D1224" s="13" t="n">
        <v>45400.53125</v>
      </c>
      <c r="E1224" s="2" t="s">
        <v>43</v>
      </c>
      <c r="F1224" s="2" t="s">
        <v>29</v>
      </c>
      <c r="G1224" s="2" t="n">
        <v>974.87</v>
      </c>
      <c r="H1224" s="2" t="n">
        <v>5</v>
      </c>
      <c r="I1224" s="2" t="s">
        <v>26</v>
      </c>
      <c r="J1224" s="2" t="s">
        <v>4208</v>
      </c>
      <c r="K1224" s="2" t="s">
        <v>101</v>
      </c>
      <c r="L1224" s="2"/>
      <c r="M1224" s="2" t="s">
        <v>1477</v>
      </c>
    </row>
    <row r="1225" customFormat="false" ht="15" hidden="false" customHeight="false" outlineLevel="0" collapsed="false">
      <c r="A1225" s="2" t="s">
        <v>4209</v>
      </c>
      <c r="B1225" s="2" t="s">
        <v>4130</v>
      </c>
      <c r="C1225" s="2" t="s">
        <v>4131</v>
      </c>
      <c r="D1225" s="13" t="n">
        <v>45504.6388888889</v>
      </c>
      <c r="E1225" s="2" t="s">
        <v>39</v>
      </c>
      <c r="F1225" s="2" t="s">
        <v>32</v>
      </c>
      <c r="G1225" s="2" t="n">
        <v>2067.77</v>
      </c>
      <c r="H1225" s="2" t="n">
        <v>8.64</v>
      </c>
      <c r="I1225" s="2" t="s">
        <v>26</v>
      </c>
      <c r="J1225" s="2" t="s">
        <v>4210</v>
      </c>
      <c r="K1225" s="2" t="s">
        <v>122</v>
      </c>
      <c r="L1225" s="2" t="s">
        <v>1482</v>
      </c>
      <c r="M1225" s="2"/>
    </row>
    <row r="1226" customFormat="false" ht="15" hidden="false" customHeight="false" outlineLevel="0" collapsed="false">
      <c r="A1226" s="2" t="s">
        <v>4211</v>
      </c>
      <c r="B1226" s="2" t="s">
        <v>4212</v>
      </c>
      <c r="C1226" s="2" t="s">
        <v>4213</v>
      </c>
      <c r="D1226" s="13" t="n">
        <v>45701.7423611111</v>
      </c>
      <c r="E1226" s="2" t="s">
        <v>43</v>
      </c>
      <c r="F1226" s="2" t="s">
        <v>27</v>
      </c>
      <c r="G1226" s="2" t="n">
        <v>6577.32</v>
      </c>
      <c r="H1226" s="2" t="n">
        <v>33.27</v>
      </c>
      <c r="I1226" s="2" t="s">
        <v>26</v>
      </c>
      <c r="J1226" s="2" t="s">
        <v>4214</v>
      </c>
      <c r="K1226" s="2" t="s">
        <v>101</v>
      </c>
      <c r="L1226" s="2"/>
      <c r="M1226" s="2" t="s">
        <v>203</v>
      </c>
    </row>
    <row r="1227" customFormat="false" ht="15" hidden="false" customHeight="false" outlineLevel="0" collapsed="false">
      <c r="A1227" s="2" t="s">
        <v>4215</v>
      </c>
      <c r="B1227" s="2" t="s">
        <v>4216</v>
      </c>
      <c r="C1227" s="2" t="s">
        <v>4217</v>
      </c>
      <c r="D1227" s="13" t="n">
        <v>45324.5305555556</v>
      </c>
      <c r="E1227" s="2" t="s">
        <v>41</v>
      </c>
      <c r="F1227" s="2" t="s">
        <v>29</v>
      </c>
      <c r="G1227" s="2" t="n">
        <v>1093.14</v>
      </c>
      <c r="H1227" s="2" t="n">
        <v>10.67</v>
      </c>
      <c r="I1227" s="2" t="s">
        <v>30</v>
      </c>
      <c r="J1227" s="2" t="s">
        <v>4218</v>
      </c>
      <c r="K1227" s="2" t="s">
        <v>89</v>
      </c>
      <c r="L1227" s="2" t="s">
        <v>208</v>
      </c>
      <c r="M1227" s="2"/>
    </row>
    <row r="1228" customFormat="false" ht="15" hidden="false" customHeight="false" outlineLevel="0" collapsed="false">
      <c r="A1228" s="2" t="s">
        <v>4219</v>
      </c>
      <c r="B1228" s="2" t="s">
        <v>1642</v>
      </c>
      <c r="C1228" s="2" t="s">
        <v>1643</v>
      </c>
      <c r="D1228" s="13" t="n">
        <v>45702.3777777778</v>
      </c>
      <c r="E1228" s="2" t="s">
        <v>41</v>
      </c>
      <c r="F1228" s="2" t="s">
        <v>27</v>
      </c>
      <c r="G1228" s="2" t="n">
        <v>9186.38</v>
      </c>
      <c r="H1228" s="2" t="n">
        <v>75.48</v>
      </c>
      <c r="I1228" s="2" t="s">
        <v>26</v>
      </c>
      <c r="J1228" s="2" t="s">
        <v>4220</v>
      </c>
      <c r="K1228" s="2" t="s">
        <v>89</v>
      </c>
      <c r="L1228" s="2"/>
      <c r="M1228" s="2" t="s">
        <v>1495</v>
      </c>
    </row>
    <row r="1229" customFormat="false" ht="15" hidden="false" customHeight="false" outlineLevel="0" collapsed="false">
      <c r="A1229" s="2" t="s">
        <v>4221</v>
      </c>
      <c r="B1229" s="2" t="s">
        <v>553</v>
      </c>
      <c r="C1229" s="2" t="s">
        <v>554</v>
      </c>
      <c r="D1229" s="13" t="n">
        <v>46001.4631944444</v>
      </c>
      <c r="E1229" s="2" t="s">
        <v>39</v>
      </c>
      <c r="F1229" s="2" t="s">
        <v>32</v>
      </c>
      <c r="G1229" s="2" t="n">
        <v>3839.27</v>
      </c>
      <c r="H1229" s="2" t="n">
        <v>18.96</v>
      </c>
      <c r="I1229" s="2" t="s">
        <v>26</v>
      </c>
      <c r="J1229" s="2" t="s">
        <v>4222</v>
      </c>
      <c r="K1229" s="2" t="s">
        <v>95</v>
      </c>
      <c r="L1229" s="2" t="s">
        <v>218</v>
      </c>
      <c r="M1229" s="2"/>
    </row>
    <row r="1230" customFormat="false" ht="15" hidden="false" customHeight="false" outlineLevel="0" collapsed="false">
      <c r="A1230" s="2" t="s">
        <v>4223</v>
      </c>
      <c r="B1230" s="2" t="s">
        <v>3154</v>
      </c>
      <c r="C1230" s="2" t="s">
        <v>3155</v>
      </c>
      <c r="D1230" s="13" t="n">
        <v>45467.5326388889</v>
      </c>
      <c r="E1230" s="2" t="s">
        <v>43</v>
      </c>
      <c r="F1230" s="2" t="s">
        <v>32</v>
      </c>
      <c r="G1230" s="2" t="n">
        <v>9184.27</v>
      </c>
      <c r="H1230" s="2" t="n">
        <v>81.59</v>
      </c>
      <c r="I1230" s="2" t="s">
        <v>26</v>
      </c>
      <c r="J1230" s="2" t="s">
        <v>4224</v>
      </c>
      <c r="K1230" s="2" t="s">
        <v>122</v>
      </c>
      <c r="L1230" s="2"/>
      <c r="M1230" s="2" t="s">
        <v>223</v>
      </c>
    </row>
    <row r="1231" customFormat="false" ht="15" hidden="false" customHeight="false" outlineLevel="0" collapsed="false">
      <c r="A1231" s="2" t="s">
        <v>4225</v>
      </c>
      <c r="B1231" s="2" t="s">
        <v>3378</v>
      </c>
      <c r="C1231" s="2" t="s">
        <v>3379</v>
      </c>
      <c r="D1231" s="13" t="n">
        <v>45543.5319444445</v>
      </c>
      <c r="E1231" s="2" t="s">
        <v>39</v>
      </c>
      <c r="F1231" s="2" t="s">
        <v>31</v>
      </c>
      <c r="G1231" s="2" t="n">
        <v>2075.17</v>
      </c>
      <c r="H1231" s="2" t="n">
        <v>22.86</v>
      </c>
      <c r="I1231" s="2" t="s">
        <v>30</v>
      </c>
      <c r="J1231" s="2" t="s">
        <v>4226</v>
      </c>
      <c r="K1231" s="2" t="s">
        <v>101</v>
      </c>
      <c r="L1231" s="2" t="s">
        <v>911</v>
      </c>
      <c r="M1231" s="2"/>
    </row>
    <row r="1232" customFormat="false" ht="15" hidden="false" customHeight="false" outlineLevel="0" collapsed="false">
      <c r="A1232" s="2" t="s">
        <v>4227</v>
      </c>
      <c r="B1232" s="2" t="s">
        <v>525</v>
      </c>
      <c r="C1232" s="2" t="s">
        <v>526</v>
      </c>
      <c r="D1232" s="13" t="n">
        <v>45566.5125</v>
      </c>
      <c r="E1232" s="2" t="s">
        <v>41</v>
      </c>
      <c r="F1232" s="2" t="s">
        <v>31</v>
      </c>
      <c r="G1232" s="2" t="n">
        <v>10940.98</v>
      </c>
      <c r="H1232" s="2" t="n">
        <v>115.21</v>
      </c>
      <c r="I1232" s="2" t="s">
        <v>26</v>
      </c>
      <c r="J1232" s="2" t="s">
        <v>4228</v>
      </c>
      <c r="K1232" s="2" t="s">
        <v>101</v>
      </c>
      <c r="L1232" s="2" t="s">
        <v>916</v>
      </c>
      <c r="M1232" s="2"/>
    </row>
    <row r="1233" customFormat="false" ht="15" hidden="false" customHeight="false" outlineLevel="0" collapsed="false">
      <c r="A1233" s="2" t="s">
        <v>4229</v>
      </c>
      <c r="B1233" s="2" t="s">
        <v>4230</v>
      </c>
      <c r="C1233" s="2" t="s">
        <v>4231</v>
      </c>
      <c r="D1233" s="13" t="n">
        <v>45668.3222222222</v>
      </c>
      <c r="E1233" s="2" t="s">
        <v>39</v>
      </c>
      <c r="F1233" s="2" t="s">
        <v>31</v>
      </c>
      <c r="G1233" s="2" t="n">
        <v>5479.34</v>
      </c>
      <c r="H1233" s="2" t="n">
        <v>30.19</v>
      </c>
      <c r="I1233" s="2" t="s">
        <v>30</v>
      </c>
      <c r="J1233" s="2" t="s">
        <v>4232</v>
      </c>
      <c r="K1233" s="2" t="s">
        <v>122</v>
      </c>
      <c r="L1233" s="2" t="s">
        <v>1513</v>
      </c>
      <c r="M1233" s="2"/>
    </row>
    <row r="1234" customFormat="false" ht="15" hidden="false" customHeight="false" outlineLevel="0" collapsed="false">
      <c r="A1234" s="2" t="s">
        <v>4233</v>
      </c>
      <c r="B1234" s="2" t="s">
        <v>4056</v>
      </c>
      <c r="C1234" s="2" t="s">
        <v>4057</v>
      </c>
      <c r="D1234" s="13" t="n">
        <v>45358.7263888889</v>
      </c>
      <c r="E1234" s="2" t="s">
        <v>35</v>
      </c>
      <c r="F1234" s="2" t="s">
        <v>32</v>
      </c>
      <c r="G1234" s="2" t="n">
        <v>8319.05</v>
      </c>
      <c r="H1234" s="2" t="n">
        <v>42.34</v>
      </c>
      <c r="I1234" s="2" t="s">
        <v>28</v>
      </c>
      <c r="J1234" s="2" t="s">
        <v>4234</v>
      </c>
      <c r="K1234" s="2" t="s">
        <v>89</v>
      </c>
      <c r="L1234" s="2" t="s">
        <v>243</v>
      </c>
      <c r="M1234" s="2"/>
    </row>
    <row r="1235" customFormat="false" ht="15" hidden="false" customHeight="false" outlineLevel="0" collapsed="false">
      <c r="A1235" s="2" t="s">
        <v>4235</v>
      </c>
      <c r="B1235" s="2" t="s">
        <v>2994</v>
      </c>
      <c r="C1235" s="2" t="s">
        <v>2995</v>
      </c>
      <c r="D1235" s="13" t="n">
        <v>45489.8763888889</v>
      </c>
      <c r="E1235" s="2" t="s">
        <v>35</v>
      </c>
      <c r="F1235" s="2" t="s">
        <v>31</v>
      </c>
      <c r="G1235" s="2" t="n">
        <v>648.04</v>
      </c>
      <c r="H1235" s="2" t="n">
        <v>5</v>
      </c>
      <c r="I1235" s="2" t="s">
        <v>30</v>
      </c>
      <c r="J1235" s="2" t="s">
        <v>4236</v>
      </c>
      <c r="K1235" s="2" t="s">
        <v>89</v>
      </c>
      <c r="L1235" s="2" t="s">
        <v>248</v>
      </c>
      <c r="M1235" s="2"/>
    </row>
    <row r="1236" customFormat="false" ht="15" hidden="false" customHeight="false" outlineLevel="0" collapsed="false">
      <c r="A1236" s="2" t="s">
        <v>4237</v>
      </c>
      <c r="B1236" s="2" t="s">
        <v>2349</v>
      </c>
      <c r="C1236" s="2" t="s">
        <v>2350</v>
      </c>
      <c r="D1236" s="13" t="n">
        <v>45475.8298611111</v>
      </c>
      <c r="E1236" s="2" t="s">
        <v>41</v>
      </c>
      <c r="F1236" s="2" t="s">
        <v>32</v>
      </c>
      <c r="G1236" s="2" t="n">
        <v>1744.82</v>
      </c>
      <c r="H1236" s="2" t="n">
        <v>14.25</v>
      </c>
      <c r="I1236" s="2" t="s">
        <v>26</v>
      </c>
      <c r="J1236" s="2" t="s">
        <v>4238</v>
      </c>
      <c r="K1236" s="2" t="s">
        <v>95</v>
      </c>
      <c r="L1236" s="2" t="s">
        <v>253</v>
      </c>
      <c r="M1236" s="2"/>
    </row>
    <row r="1237" customFormat="false" ht="15" hidden="false" customHeight="false" outlineLevel="0" collapsed="false">
      <c r="A1237" s="2" t="s">
        <v>4239</v>
      </c>
      <c r="B1237" s="2" t="s">
        <v>3354</v>
      </c>
      <c r="C1237" s="2" t="s">
        <v>3355</v>
      </c>
      <c r="D1237" s="13" t="n">
        <v>45783.8229166667</v>
      </c>
      <c r="E1237" s="2" t="s">
        <v>37</v>
      </c>
      <c r="F1237" s="2" t="s">
        <v>32</v>
      </c>
      <c r="G1237" s="2" t="n">
        <v>2472.1</v>
      </c>
      <c r="H1237" s="2" t="n">
        <v>28.1</v>
      </c>
      <c r="I1237" s="2" t="s">
        <v>26</v>
      </c>
      <c r="J1237" s="2" t="s">
        <v>4240</v>
      </c>
      <c r="K1237" s="2" t="s">
        <v>101</v>
      </c>
      <c r="L1237" s="2" t="s">
        <v>258</v>
      </c>
      <c r="M1237" s="2"/>
    </row>
    <row r="1238" customFormat="false" ht="15" hidden="false" customHeight="false" outlineLevel="0" collapsed="false">
      <c r="A1238" s="2" t="s">
        <v>4241</v>
      </c>
      <c r="B1238" s="2" t="s">
        <v>3542</v>
      </c>
      <c r="C1238" s="2" t="s">
        <v>3543</v>
      </c>
      <c r="D1238" s="13" t="n">
        <v>45529.7951388889</v>
      </c>
      <c r="E1238" s="2" t="s">
        <v>43</v>
      </c>
      <c r="F1238" s="2" t="s">
        <v>32</v>
      </c>
      <c r="G1238" s="2" t="n">
        <v>4581.98</v>
      </c>
      <c r="H1238" s="2" t="n">
        <v>12.16</v>
      </c>
      <c r="I1238" s="2" t="s">
        <v>28</v>
      </c>
      <c r="J1238" s="2" t="s">
        <v>4242</v>
      </c>
      <c r="K1238" s="2" t="s">
        <v>89</v>
      </c>
      <c r="L1238" s="2"/>
      <c r="M1238" s="2" t="s">
        <v>263</v>
      </c>
    </row>
    <row r="1239" customFormat="false" ht="15" hidden="false" customHeight="false" outlineLevel="0" collapsed="false">
      <c r="A1239" s="2" t="s">
        <v>4243</v>
      </c>
      <c r="B1239" s="2" t="s">
        <v>3074</v>
      </c>
      <c r="C1239" s="2" t="s">
        <v>3075</v>
      </c>
      <c r="D1239" s="13" t="n">
        <v>45928.6180555556</v>
      </c>
      <c r="E1239" s="2" t="s">
        <v>41</v>
      </c>
      <c r="F1239" s="2" t="s">
        <v>29</v>
      </c>
      <c r="G1239" s="2" t="n">
        <v>7169.56</v>
      </c>
      <c r="H1239" s="2" t="n">
        <v>61.21</v>
      </c>
      <c r="I1239" s="2" t="s">
        <v>26</v>
      </c>
      <c r="J1239" s="2" t="s">
        <v>4244</v>
      </c>
      <c r="K1239" s="2" t="s">
        <v>122</v>
      </c>
      <c r="L1239" s="2" t="s">
        <v>945</v>
      </c>
      <c r="M1239" s="2"/>
    </row>
    <row r="1240" customFormat="false" ht="15" hidden="false" customHeight="false" outlineLevel="0" collapsed="false">
      <c r="A1240" s="2" t="s">
        <v>4245</v>
      </c>
      <c r="B1240" s="2" t="s">
        <v>4246</v>
      </c>
      <c r="C1240" s="2" t="s">
        <v>4247</v>
      </c>
      <c r="D1240" s="13" t="n">
        <v>45981.5222222222</v>
      </c>
      <c r="E1240" s="2" t="s">
        <v>35</v>
      </c>
      <c r="F1240" s="2" t="s">
        <v>32</v>
      </c>
      <c r="G1240" s="2" t="n">
        <v>7151.89</v>
      </c>
      <c r="H1240" s="2" t="n">
        <v>27.99</v>
      </c>
      <c r="I1240" s="2" t="s">
        <v>26</v>
      </c>
      <c r="J1240" s="2" t="s">
        <v>4248</v>
      </c>
      <c r="K1240" s="2" t="s">
        <v>101</v>
      </c>
      <c r="L1240" s="2" t="s">
        <v>1538</v>
      </c>
      <c r="M1240" s="2"/>
    </row>
    <row r="1241" customFormat="false" ht="15" hidden="false" customHeight="false" outlineLevel="0" collapsed="false">
      <c r="A1241" s="2" t="s">
        <v>4249</v>
      </c>
      <c r="B1241" s="2" t="s">
        <v>2708</v>
      </c>
      <c r="C1241" s="2" t="s">
        <v>2709</v>
      </c>
      <c r="D1241" s="13" t="n">
        <v>45775.7541666667</v>
      </c>
      <c r="E1241" s="2" t="s">
        <v>39</v>
      </c>
      <c r="F1241" s="2" t="s">
        <v>27</v>
      </c>
      <c r="G1241" s="2" t="n">
        <v>497.66</v>
      </c>
      <c r="H1241" s="2" t="n">
        <v>5</v>
      </c>
      <c r="I1241" s="2" t="s">
        <v>26</v>
      </c>
      <c r="J1241" s="2" t="s">
        <v>4250</v>
      </c>
      <c r="K1241" s="2" t="s">
        <v>101</v>
      </c>
      <c r="L1241" s="2"/>
      <c r="M1241" s="2" t="s">
        <v>278</v>
      </c>
    </row>
    <row r="1242" customFormat="false" ht="15" hidden="false" customHeight="false" outlineLevel="0" collapsed="false">
      <c r="A1242" s="2" t="s">
        <v>4251</v>
      </c>
      <c r="B1242" s="2" t="s">
        <v>4252</v>
      </c>
      <c r="C1242" s="2" t="s">
        <v>4253</v>
      </c>
      <c r="D1242" s="13" t="n">
        <v>45583.6152777778</v>
      </c>
      <c r="E1242" s="2" t="s">
        <v>41</v>
      </c>
      <c r="F1242" s="2" t="s">
        <v>29</v>
      </c>
      <c r="G1242" s="2" t="n">
        <v>4782.14</v>
      </c>
      <c r="H1242" s="2" t="n">
        <v>39.22</v>
      </c>
      <c r="I1242" s="2" t="s">
        <v>26</v>
      </c>
      <c r="J1242" s="2" t="s">
        <v>4254</v>
      </c>
      <c r="K1242" s="2" t="s">
        <v>89</v>
      </c>
      <c r="L1242" s="2" t="s">
        <v>283</v>
      </c>
      <c r="M1242" s="2"/>
    </row>
    <row r="1243" customFormat="false" ht="15" hidden="false" customHeight="false" outlineLevel="0" collapsed="false">
      <c r="A1243" s="2" t="s">
        <v>4255</v>
      </c>
      <c r="B1243" s="2" t="s">
        <v>4256</v>
      </c>
      <c r="C1243" s="2" t="s">
        <v>4257</v>
      </c>
      <c r="D1243" s="13" t="n">
        <v>45567.55625</v>
      </c>
      <c r="E1243" s="2" t="s">
        <v>43</v>
      </c>
      <c r="F1243" s="2" t="s">
        <v>29</v>
      </c>
      <c r="G1243" s="2" t="n">
        <v>8450.46</v>
      </c>
      <c r="H1243" s="2" t="n">
        <v>81.05</v>
      </c>
      <c r="I1243" s="2" t="s">
        <v>28</v>
      </c>
      <c r="J1243" s="2" t="s">
        <v>4258</v>
      </c>
      <c r="K1243" s="2" t="s">
        <v>101</v>
      </c>
      <c r="L1243" s="2"/>
      <c r="M1243" s="2" t="s">
        <v>288</v>
      </c>
    </row>
    <row r="1244" customFormat="false" ht="15" hidden="false" customHeight="false" outlineLevel="0" collapsed="false">
      <c r="A1244" s="2" t="s">
        <v>4259</v>
      </c>
      <c r="B1244" s="2" t="s">
        <v>3960</v>
      </c>
      <c r="C1244" s="2" t="s">
        <v>3961</v>
      </c>
      <c r="D1244" s="13" t="n">
        <v>45783.3020833333</v>
      </c>
      <c r="E1244" s="2" t="s">
        <v>37</v>
      </c>
      <c r="F1244" s="2" t="s">
        <v>29</v>
      </c>
      <c r="G1244" s="2" t="n">
        <v>7443.5</v>
      </c>
      <c r="H1244" s="2" t="n">
        <v>59.92</v>
      </c>
      <c r="I1244" s="2" t="s">
        <v>26</v>
      </c>
      <c r="J1244" s="2" t="s">
        <v>4260</v>
      </c>
      <c r="K1244" s="2" t="s">
        <v>95</v>
      </c>
      <c r="L1244" s="2" t="s">
        <v>293</v>
      </c>
      <c r="M1244" s="2"/>
    </row>
    <row r="1245" customFormat="false" ht="15" hidden="false" customHeight="false" outlineLevel="0" collapsed="false">
      <c r="A1245" s="2" t="s">
        <v>4261</v>
      </c>
      <c r="B1245" s="2" t="s">
        <v>345</v>
      </c>
      <c r="C1245" s="2" t="s">
        <v>346</v>
      </c>
      <c r="D1245" s="13" t="n">
        <v>45907.4534722222</v>
      </c>
      <c r="E1245" s="2" t="s">
        <v>37</v>
      </c>
      <c r="F1245" s="2" t="s">
        <v>31</v>
      </c>
      <c r="G1245" s="2" t="n">
        <v>11420.41</v>
      </c>
      <c r="H1245" s="2" t="n">
        <v>27.96</v>
      </c>
      <c r="I1245" s="2" t="s">
        <v>28</v>
      </c>
      <c r="J1245" s="2" t="s">
        <v>4262</v>
      </c>
      <c r="K1245" s="2" t="s">
        <v>95</v>
      </c>
      <c r="L1245" s="2" t="s">
        <v>972</v>
      </c>
      <c r="M1245" s="2"/>
    </row>
    <row r="1246" customFormat="false" ht="15" hidden="false" customHeight="false" outlineLevel="0" collapsed="false">
      <c r="A1246" s="2" t="s">
        <v>4263</v>
      </c>
      <c r="B1246" s="2" t="s">
        <v>109</v>
      </c>
      <c r="C1246" s="2" t="s">
        <v>110</v>
      </c>
      <c r="D1246" s="13" t="n">
        <v>45330.7201388889</v>
      </c>
      <c r="E1246" s="2" t="s">
        <v>35</v>
      </c>
      <c r="F1246" s="2" t="s">
        <v>29</v>
      </c>
      <c r="G1246" s="2" t="n">
        <v>1130.48</v>
      </c>
      <c r="H1246" s="2" t="n">
        <v>7.41</v>
      </c>
      <c r="I1246" s="2" t="s">
        <v>30</v>
      </c>
      <c r="J1246" s="2" t="s">
        <v>4264</v>
      </c>
      <c r="K1246" s="2" t="s">
        <v>122</v>
      </c>
      <c r="L1246" s="2" t="s">
        <v>303</v>
      </c>
      <c r="M1246" s="2"/>
    </row>
    <row r="1247" customFormat="false" ht="15" hidden="false" customHeight="false" outlineLevel="0" collapsed="false">
      <c r="A1247" s="2" t="s">
        <v>4265</v>
      </c>
      <c r="B1247" s="2" t="s">
        <v>1603</v>
      </c>
      <c r="C1247" s="2" t="s">
        <v>1604</v>
      </c>
      <c r="D1247" s="13" t="n">
        <v>45678.8520833333</v>
      </c>
      <c r="E1247" s="2" t="s">
        <v>37</v>
      </c>
      <c r="F1247" s="2" t="s">
        <v>31</v>
      </c>
      <c r="G1247" s="2" t="n">
        <v>3340.51</v>
      </c>
      <c r="H1247" s="2" t="n">
        <v>26.04</v>
      </c>
      <c r="I1247" s="2" t="s">
        <v>26</v>
      </c>
      <c r="J1247" s="2" t="s">
        <v>4266</v>
      </c>
      <c r="K1247" s="2" t="s">
        <v>89</v>
      </c>
      <c r="L1247" s="2" t="s">
        <v>308</v>
      </c>
      <c r="M1247" s="2"/>
    </row>
    <row r="1248" customFormat="false" ht="15" hidden="false" customHeight="false" outlineLevel="0" collapsed="false">
      <c r="A1248" s="2" t="s">
        <v>4267</v>
      </c>
      <c r="B1248" s="2" t="s">
        <v>1238</v>
      </c>
      <c r="C1248" s="2" t="s">
        <v>1239</v>
      </c>
      <c r="D1248" s="13" t="n">
        <v>46009.3298611111</v>
      </c>
      <c r="E1248" s="2" t="s">
        <v>37</v>
      </c>
      <c r="F1248" s="2" t="s">
        <v>31</v>
      </c>
      <c r="G1248" s="2" t="n">
        <v>4712.37</v>
      </c>
      <c r="H1248" s="2" t="n">
        <v>21.72</v>
      </c>
      <c r="I1248" s="2" t="s">
        <v>26</v>
      </c>
      <c r="J1248" s="2" t="s">
        <v>4268</v>
      </c>
      <c r="K1248" s="2" t="s">
        <v>89</v>
      </c>
      <c r="L1248" s="2" t="s">
        <v>986</v>
      </c>
      <c r="M1248" s="2"/>
    </row>
    <row r="1249" customFormat="false" ht="15" hidden="false" customHeight="false" outlineLevel="0" collapsed="false">
      <c r="A1249" s="2" t="s">
        <v>4269</v>
      </c>
      <c r="B1249" s="2" t="s">
        <v>1967</v>
      </c>
      <c r="C1249" s="2" t="s">
        <v>1968</v>
      </c>
      <c r="D1249" s="13" t="n">
        <v>45512.6597222222</v>
      </c>
      <c r="E1249" s="2" t="s">
        <v>35</v>
      </c>
      <c r="F1249" s="2" t="s">
        <v>31</v>
      </c>
      <c r="G1249" s="2" t="n">
        <v>1361.99</v>
      </c>
      <c r="H1249" s="2" t="n">
        <v>8.43</v>
      </c>
      <c r="I1249" s="2" t="s">
        <v>30</v>
      </c>
      <c r="J1249" s="2" t="s">
        <v>4270</v>
      </c>
      <c r="K1249" s="2" t="s">
        <v>101</v>
      </c>
      <c r="L1249" s="2" t="s">
        <v>318</v>
      </c>
      <c r="M1249" s="2"/>
    </row>
    <row r="1250" customFormat="false" ht="15" hidden="false" customHeight="false" outlineLevel="0" collapsed="false">
      <c r="A1250" s="2" t="s">
        <v>4271</v>
      </c>
      <c r="B1250" s="2" t="s">
        <v>2621</v>
      </c>
      <c r="C1250" s="2" t="s">
        <v>2622</v>
      </c>
      <c r="D1250" s="13" t="n">
        <v>45847.8340277778</v>
      </c>
      <c r="E1250" s="2" t="s">
        <v>35</v>
      </c>
      <c r="F1250" s="2" t="s">
        <v>32</v>
      </c>
      <c r="G1250" s="2" t="n">
        <v>6761.02</v>
      </c>
      <c r="H1250" s="2" t="n">
        <v>58.29</v>
      </c>
      <c r="I1250" s="2" t="s">
        <v>26</v>
      </c>
      <c r="J1250" s="2" t="s">
        <v>4272</v>
      </c>
      <c r="K1250" s="2" t="s">
        <v>101</v>
      </c>
      <c r="L1250" s="2" t="s">
        <v>995</v>
      </c>
      <c r="M1250" s="2"/>
    </row>
    <row r="1251" customFormat="false" ht="15" hidden="false" customHeight="false" outlineLevel="0" collapsed="false">
      <c r="A1251" s="2" t="s">
        <v>4273</v>
      </c>
      <c r="B1251" s="2" t="s">
        <v>3318</v>
      </c>
      <c r="C1251" s="2" t="s">
        <v>3319</v>
      </c>
      <c r="D1251" s="13" t="n">
        <v>45504.7770833333</v>
      </c>
      <c r="E1251" s="2" t="s">
        <v>35</v>
      </c>
      <c r="F1251" s="2" t="s">
        <v>29</v>
      </c>
      <c r="G1251" s="2" t="n">
        <v>4878.55</v>
      </c>
      <c r="H1251" s="2" t="n">
        <v>52.83</v>
      </c>
      <c r="I1251" s="2" t="s">
        <v>26</v>
      </c>
      <c r="J1251" s="2" t="s">
        <v>4274</v>
      </c>
      <c r="K1251" s="2" t="s">
        <v>101</v>
      </c>
      <c r="L1251" s="2" t="s">
        <v>1000</v>
      </c>
      <c r="M1251" s="2"/>
    </row>
    <row r="1252" customFormat="false" ht="15" hidden="false" customHeight="false" outlineLevel="0" collapsed="false">
      <c r="A1252" s="2" t="s">
        <v>4275</v>
      </c>
      <c r="B1252" s="2" t="s">
        <v>1849</v>
      </c>
      <c r="C1252" s="2" t="s">
        <v>1850</v>
      </c>
      <c r="D1252" s="13" t="n">
        <v>45710.8708333333</v>
      </c>
      <c r="E1252" s="2" t="s">
        <v>35</v>
      </c>
      <c r="F1252" s="2" t="s">
        <v>29</v>
      </c>
      <c r="G1252" s="2" t="n">
        <v>22078.8</v>
      </c>
      <c r="H1252" s="2" t="n">
        <v>94.79</v>
      </c>
      <c r="I1252" s="2" t="s">
        <v>26</v>
      </c>
      <c r="J1252" s="2" t="s">
        <v>4276</v>
      </c>
      <c r="K1252" s="2" t="s">
        <v>95</v>
      </c>
      <c r="L1252" s="2" t="s">
        <v>333</v>
      </c>
      <c r="M1252" s="2"/>
    </row>
    <row r="1253" customFormat="false" ht="15" hidden="false" customHeight="false" outlineLevel="0" collapsed="false">
      <c r="A1253" s="2" t="s">
        <v>4277</v>
      </c>
      <c r="B1253" s="2" t="s">
        <v>3876</v>
      </c>
      <c r="C1253" s="2" t="s">
        <v>3877</v>
      </c>
      <c r="D1253" s="13" t="n">
        <v>46021.6645833333</v>
      </c>
      <c r="E1253" s="2" t="s">
        <v>43</v>
      </c>
      <c r="F1253" s="2" t="s">
        <v>32</v>
      </c>
      <c r="G1253" s="2" t="n">
        <v>1143.11</v>
      </c>
      <c r="H1253" s="2" t="n">
        <v>5</v>
      </c>
      <c r="I1253" s="2" t="s">
        <v>26</v>
      </c>
      <c r="J1253" s="2" t="s">
        <v>4278</v>
      </c>
      <c r="K1253" s="2" t="s">
        <v>122</v>
      </c>
      <c r="L1253" s="2"/>
      <c r="M1253" s="2" t="s">
        <v>3207</v>
      </c>
    </row>
    <row r="1254" customFormat="false" ht="15" hidden="false" customHeight="false" outlineLevel="0" collapsed="false">
      <c r="A1254" s="2" t="s">
        <v>4279</v>
      </c>
      <c r="B1254" s="2" t="s">
        <v>4280</v>
      </c>
      <c r="C1254" s="2" t="s">
        <v>4281</v>
      </c>
      <c r="D1254" s="13" t="n">
        <v>45599.3708333333</v>
      </c>
      <c r="E1254" s="2" t="s">
        <v>37</v>
      </c>
      <c r="F1254" s="2" t="s">
        <v>32</v>
      </c>
      <c r="G1254" s="2" t="n">
        <v>6759.66</v>
      </c>
      <c r="H1254" s="2" t="n">
        <v>81.05</v>
      </c>
      <c r="I1254" s="2" t="s">
        <v>26</v>
      </c>
      <c r="J1254" s="2" t="s">
        <v>4282</v>
      </c>
      <c r="K1254" s="2" t="s">
        <v>101</v>
      </c>
      <c r="L1254" s="2" t="s">
        <v>343</v>
      </c>
      <c r="M1254" s="2"/>
    </row>
    <row r="1255" customFormat="false" ht="15" hidden="false" customHeight="false" outlineLevel="0" collapsed="false">
      <c r="A1255" s="2" t="s">
        <v>4283</v>
      </c>
      <c r="B1255" s="2" t="s">
        <v>1784</v>
      </c>
      <c r="C1255" s="2" t="s">
        <v>1785</v>
      </c>
      <c r="D1255" s="13" t="n">
        <v>45365.8666666667</v>
      </c>
      <c r="E1255" s="2" t="s">
        <v>41</v>
      </c>
      <c r="F1255" s="2" t="s">
        <v>27</v>
      </c>
      <c r="G1255" s="2" t="n">
        <v>9990.54</v>
      </c>
      <c r="H1255" s="2" t="n">
        <v>48.71</v>
      </c>
      <c r="I1255" s="2" t="s">
        <v>28</v>
      </c>
      <c r="J1255" s="2" t="s">
        <v>4284</v>
      </c>
      <c r="K1255" s="2" t="s">
        <v>89</v>
      </c>
      <c r="L1255" s="2"/>
      <c r="M1255" s="2" t="s">
        <v>348</v>
      </c>
    </row>
    <row r="1256" customFormat="false" ht="15" hidden="false" customHeight="false" outlineLevel="0" collapsed="false">
      <c r="A1256" s="2" t="s">
        <v>4285</v>
      </c>
      <c r="B1256" s="2" t="s">
        <v>4286</v>
      </c>
      <c r="C1256" s="2" t="s">
        <v>4287</v>
      </c>
      <c r="D1256" s="13" t="n">
        <v>45686.5555555556</v>
      </c>
      <c r="E1256" s="2" t="s">
        <v>39</v>
      </c>
      <c r="F1256" s="2" t="s">
        <v>31</v>
      </c>
      <c r="G1256" s="2" t="n">
        <v>4132.94</v>
      </c>
      <c r="H1256" s="2" t="n">
        <v>38.03</v>
      </c>
      <c r="I1256" s="2" t="s">
        <v>26</v>
      </c>
      <c r="J1256" s="2" t="s">
        <v>4288</v>
      </c>
      <c r="K1256" s="2" t="s">
        <v>95</v>
      </c>
      <c r="L1256" s="2" t="s">
        <v>353</v>
      </c>
      <c r="M1256" s="2"/>
    </row>
    <row r="1257" customFormat="false" ht="15" hidden="false" customHeight="false" outlineLevel="0" collapsed="false">
      <c r="A1257" s="2" t="s">
        <v>4289</v>
      </c>
      <c r="B1257" s="2" t="s">
        <v>4290</v>
      </c>
      <c r="C1257" s="2" t="s">
        <v>4291</v>
      </c>
      <c r="D1257" s="13" t="n">
        <v>45854.8180555556</v>
      </c>
      <c r="E1257" s="2" t="s">
        <v>43</v>
      </c>
      <c r="F1257" s="2" t="s">
        <v>29</v>
      </c>
      <c r="G1257" s="2" t="n">
        <v>5111.42</v>
      </c>
      <c r="H1257" s="2" t="n">
        <v>49.02</v>
      </c>
      <c r="I1257" s="2" t="s">
        <v>26</v>
      </c>
      <c r="J1257" s="2" t="s">
        <v>4292</v>
      </c>
      <c r="K1257" s="2" t="s">
        <v>122</v>
      </c>
      <c r="L1257" s="2"/>
      <c r="M1257" s="2" t="s">
        <v>817</v>
      </c>
    </row>
    <row r="1258" customFormat="false" ht="15" hidden="false" customHeight="false" outlineLevel="0" collapsed="false">
      <c r="A1258" s="2" t="s">
        <v>4293</v>
      </c>
      <c r="B1258" s="2" t="s">
        <v>1979</v>
      </c>
      <c r="C1258" s="2" t="s">
        <v>1980</v>
      </c>
      <c r="D1258" s="13" t="n">
        <v>45650.825</v>
      </c>
      <c r="E1258" s="2" t="s">
        <v>37</v>
      </c>
      <c r="F1258" s="2" t="s">
        <v>32</v>
      </c>
      <c r="G1258" s="2" t="n">
        <v>2703.2</v>
      </c>
      <c r="H1258" s="2" t="n">
        <v>15.88</v>
      </c>
      <c r="I1258" s="2" t="s">
        <v>26</v>
      </c>
      <c r="J1258" s="2" t="s">
        <v>4294</v>
      </c>
      <c r="K1258" s="2" t="s">
        <v>95</v>
      </c>
      <c r="L1258" s="2" t="s">
        <v>1601</v>
      </c>
      <c r="M1258" s="2"/>
    </row>
    <row r="1259" customFormat="false" ht="15" hidden="false" customHeight="false" outlineLevel="0" collapsed="false">
      <c r="A1259" s="2" t="s">
        <v>4295</v>
      </c>
      <c r="B1259" s="2" t="s">
        <v>3686</v>
      </c>
      <c r="C1259" s="2" t="s">
        <v>3687</v>
      </c>
      <c r="D1259" s="13" t="n">
        <v>45724.5527777778</v>
      </c>
      <c r="E1259" s="2" t="s">
        <v>35</v>
      </c>
      <c r="F1259" s="2" t="s">
        <v>27</v>
      </c>
      <c r="G1259" s="2" t="n">
        <v>2520.68</v>
      </c>
      <c r="H1259" s="2" t="n">
        <v>20.89</v>
      </c>
      <c r="I1259" s="2" t="s">
        <v>28</v>
      </c>
      <c r="J1259" s="2" t="s">
        <v>4296</v>
      </c>
      <c r="K1259" s="2" t="s">
        <v>122</v>
      </c>
      <c r="L1259" s="2"/>
      <c r="M1259" s="2" t="s">
        <v>1606</v>
      </c>
    </row>
    <row r="1260" customFormat="false" ht="15" hidden="false" customHeight="false" outlineLevel="0" collapsed="false">
      <c r="A1260" s="2" t="s">
        <v>4297</v>
      </c>
      <c r="B1260" s="2" t="s">
        <v>3686</v>
      </c>
      <c r="C1260" s="2" t="s">
        <v>3687</v>
      </c>
      <c r="D1260" s="13" t="n">
        <v>45542.5875</v>
      </c>
      <c r="E1260" s="2" t="s">
        <v>41</v>
      </c>
      <c r="F1260" s="2" t="s">
        <v>29</v>
      </c>
      <c r="G1260" s="2" t="n">
        <v>4895.19</v>
      </c>
      <c r="H1260" s="2" t="n">
        <v>17.16</v>
      </c>
      <c r="I1260" s="2" t="s">
        <v>26</v>
      </c>
      <c r="J1260" s="2" t="s">
        <v>4298</v>
      </c>
      <c r="K1260" s="2" t="s">
        <v>122</v>
      </c>
      <c r="L1260" s="2" t="s">
        <v>373</v>
      </c>
      <c r="M1260" s="2"/>
    </row>
    <row r="1261" customFormat="false" ht="15" hidden="false" customHeight="false" outlineLevel="0" collapsed="false">
      <c r="A1261" s="2" t="s">
        <v>4299</v>
      </c>
      <c r="B1261" s="2" t="s">
        <v>4300</v>
      </c>
      <c r="C1261" s="2" t="s">
        <v>4301</v>
      </c>
      <c r="D1261" s="13" t="n">
        <v>45780.3527777778</v>
      </c>
      <c r="E1261" s="2" t="s">
        <v>37</v>
      </c>
      <c r="F1261" s="2" t="s">
        <v>27</v>
      </c>
      <c r="G1261" s="2" t="n">
        <v>10381.03</v>
      </c>
      <c r="H1261" s="2" t="n">
        <v>110.7</v>
      </c>
      <c r="I1261" s="2" t="s">
        <v>26</v>
      </c>
      <c r="J1261" s="2" t="s">
        <v>4302</v>
      </c>
      <c r="K1261" s="2" t="s">
        <v>95</v>
      </c>
      <c r="L1261" s="2"/>
      <c r="M1261" s="2" t="s">
        <v>378</v>
      </c>
    </row>
    <row r="1262" customFormat="false" ht="15" hidden="false" customHeight="false" outlineLevel="0" collapsed="false">
      <c r="A1262" s="2" t="s">
        <v>4303</v>
      </c>
      <c r="B1262" s="2" t="s">
        <v>460</v>
      </c>
      <c r="C1262" s="2" t="s">
        <v>461</v>
      </c>
      <c r="D1262" s="13" t="n">
        <v>45715.475</v>
      </c>
      <c r="E1262" s="2" t="s">
        <v>39</v>
      </c>
      <c r="F1262" s="2" t="s">
        <v>27</v>
      </c>
      <c r="G1262" s="2" t="n">
        <v>1958.65</v>
      </c>
      <c r="H1262" s="2" t="n">
        <v>14.46</v>
      </c>
      <c r="I1262" s="2" t="s">
        <v>26</v>
      </c>
      <c r="J1262" s="2" t="s">
        <v>4304</v>
      </c>
      <c r="K1262" s="2" t="s">
        <v>101</v>
      </c>
      <c r="L1262" s="2"/>
      <c r="M1262" s="2" t="s">
        <v>383</v>
      </c>
    </row>
    <row r="1263" customFormat="false" ht="15" hidden="false" customHeight="false" outlineLevel="0" collapsed="false">
      <c r="A1263" s="2" t="s">
        <v>4305</v>
      </c>
      <c r="B1263" s="2" t="s">
        <v>1086</v>
      </c>
      <c r="C1263" s="2" t="s">
        <v>1087</v>
      </c>
      <c r="D1263" s="13" t="n">
        <v>45799.7770833333</v>
      </c>
      <c r="E1263" s="2" t="s">
        <v>35</v>
      </c>
      <c r="F1263" s="2" t="s">
        <v>29</v>
      </c>
      <c r="G1263" s="2" t="n">
        <v>2328.57</v>
      </c>
      <c r="H1263" s="2" t="n">
        <v>10.23</v>
      </c>
      <c r="I1263" s="2" t="s">
        <v>26</v>
      </c>
      <c r="J1263" s="2" t="s">
        <v>4306</v>
      </c>
      <c r="K1263" s="2" t="s">
        <v>101</v>
      </c>
      <c r="L1263" s="2" t="s">
        <v>1044</v>
      </c>
      <c r="M1263" s="2"/>
    </row>
    <row r="1264" customFormat="false" ht="15" hidden="false" customHeight="false" outlineLevel="0" collapsed="false">
      <c r="A1264" s="2" t="s">
        <v>4307</v>
      </c>
      <c r="B1264" s="2" t="s">
        <v>4308</v>
      </c>
      <c r="C1264" s="2" t="s">
        <v>4309</v>
      </c>
      <c r="D1264" s="13" t="n">
        <v>45486.9076388889</v>
      </c>
      <c r="E1264" s="2" t="s">
        <v>39</v>
      </c>
      <c r="F1264" s="2" t="s">
        <v>32</v>
      </c>
      <c r="G1264" s="2" t="n">
        <v>3667.8</v>
      </c>
      <c r="H1264" s="2" t="n">
        <v>37.63</v>
      </c>
      <c r="I1264" s="2" t="s">
        <v>26</v>
      </c>
      <c r="J1264" s="2" t="s">
        <v>4310</v>
      </c>
      <c r="K1264" s="2" t="s">
        <v>122</v>
      </c>
      <c r="L1264" s="2" t="s">
        <v>393</v>
      </c>
      <c r="M1264" s="2"/>
    </row>
    <row r="1265" customFormat="false" ht="15" hidden="false" customHeight="false" outlineLevel="0" collapsed="false">
      <c r="A1265" s="2" t="s">
        <v>4311</v>
      </c>
      <c r="B1265" s="2" t="s">
        <v>2282</v>
      </c>
      <c r="C1265" s="2" t="s">
        <v>2283</v>
      </c>
      <c r="D1265" s="13" t="n">
        <v>45721.9291666667</v>
      </c>
      <c r="E1265" s="2" t="s">
        <v>37</v>
      </c>
      <c r="F1265" s="2" t="s">
        <v>29</v>
      </c>
      <c r="G1265" s="2" t="n">
        <v>3263.8</v>
      </c>
      <c r="H1265" s="2" t="n">
        <v>16.58</v>
      </c>
      <c r="I1265" s="2" t="s">
        <v>26</v>
      </c>
      <c r="J1265" s="2" t="s">
        <v>4312</v>
      </c>
      <c r="K1265" s="2" t="s">
        <v>101</v>
      </c>
      <c r="L1265" s="2" t="s">
        <v>1628</v>
      </c>
      <c r="M1265" s="2"/>
    </row>
    <row r="1266" customFormat="false" ht="15" hidden="false" customHeight="false" outlineLevel="0" collapsed="false">
      <c r="A1266" s="2" t="s">
        <v>4313</v>
      </c>
      <c r="B1266" s="2" t="s">
        <v>4300</v>
      </c>
      <c r="C1266" s="2" t="s">
        <v>4301</v>
      </c>
      <c r="D1266" s="13" t="n">
        <v>45369.7416666667</v>
      </c>
      <c r="E1266" s="2" t="s">
        <v>39</v>
      </c>
      <c r="F1266" s="2" t="s">
        <v>31</v>
      </c>
      <c r="G1266" s="2" t="n">
        <v>3780.48</v>
      </c>
      <c r="H1266" s="2" t="n">
        <v>36.93</v>
      </c>
      <c r="I1266" s="2" t="s">
        <v>26</v>
      </c>
      <c r="J1266" s="2" t="s">
        <v>4314</v>
      </c>
      <c r="K1266" s="2" t="s">
        <v>89</v>
      </c>
      <c r="L1266" s="2" t="s">
        <v>403</v>
      </c>
      <c r="M1266" s="2"/>
    </row>
    <row r="1267" customFormat="false" ht="15" hidden="false" customHeight="false" outlineLevel="0" collapsed="false">
      <c r="A1267" s="2" t="s">
        <v>4315</v>
      </c>
      <c r="B1267" s="2" t="s">
        <v>1492</v>
      </c>
      <c r="C1267" s="2" t="s">
        <v>1493</v>
      </c>
      <c r="D1267" s="13" t="n">
        <v>45576.3680555556</v>
      </c>
      <c r="E1267" s="2" t="s">
        <v>41</v>
      </c>
      <c r="F1267" s="2" t="s">
        <v>32</v>
      </c>
      <c r="G1267" s="2" t="n">
        <v>3104.5</v>
      </c>
      <c r="H1267" s="2" t="n">
        <v>28.75</v>
      </c>
      <c r="I1267" s="2" t="s">
        <v>30</v>
      </c>
      <c r="J1267" s="2" t="s">
        <v>4316</v>
      </c>
      <c r="K1267" s="2" t="s">
        <v>101</v>
      </c>
      <c r="L1267" s="2" t="s">
        <v>408</v>
      </c>
      <c r="M1267" s="2"/>
    </row>
    <row r="1268" customFormat="false" ht="15" hidden="false" customHeight="false" outlineLevel="0" collapsed="false">
      <c r="A1268" s="2" t="s">
        <v>4317</v>
      </c>
      <c r="B1268" s="2" t="s">
        <v>1391</v>
      </c>
      <c r="C1268" s="2" t="s">
        <v>1392</v>
      </c>
      <c r="D1268" s="13" t="n">
        <v>45561.71875</v>
      </c>
      <c r="E1268" s="2" t="s">
        <v>37</v>
      </c>
      <c r="F1268" s="2" t="s">
        <v>29</v>
      </c>
      <c r="G1268" s="2" t="n">
        <v>11493.38</v>
      </c>
      <c r="H1268" s="2" t="n">
        <v>61.32</v>
      </c>
      <c r="I1268" s="2" t="s">
        <v>26</v>
      </c>
      <c r="J1268" s="2" t="s">
        <v>4318</v>
      </c>
      <c r="K1268" s="2" t="s">
        <v>101</v>
      </c>
      <c r="L1268" s="2" t="s">
        <v>413</v>
      </c>
      <c r="M1268" s="2"/>
    </row>
    <row r="1269" customFormat="false" ht="15" hidden="false" customHeight="false" outlineLevel="0" collapsed="false">
      <c r="A1269" s="2" t="s">
        <v>4319</v>
      </c>
      <c r="B1269" s="2" t="s">
        <v>759</v>
      </c>
      <c r="C1269" s="2" t="s">
        <v>760</v>
      </c>
      <c r="D1269" s="13" t="n">
        <v>45476.5798611111</v>
      </c>
      <c r="E1269" s="2" t="s">
        <v>39</v>
      </c>
      <c r="F1269" s="2" t="s">
        <v>31</v>
      </c>
      <c r="G1269" s="2" t="n">
        <v>3553.43</v>
      </c>
      <c r="H1269" s="2" t="n">
        <v>31.4</v>
      </c>
      <c r="I1269" s="2" t="s">
        <v>26</v>
      </c>
      <c r="J1269" s="2" t="s">
        <v>4320</v>
      </c>
      <c r="K1269" s="2" t="s">
        <v>122</v>
      </c>
      <c r="L1269" s="2" t="s">
        <v>418</v>
      </c>
      <c r="M1269" s="2"/>
    </row>
    <row r="1270" customFormat="false" ht="15" hidden="false" customHeight="false" outlineLevel="0" collapsed="false">
      <c r="A1270" s="2" t="s">
        <v>4321</v>
      </c>
      <c r="B1270" s="2" t="s">
        <v>2306</v>
      </c>
      <c r="C1270" s="2" t="s">
        <v>2307</v>
      </c>
      <c r="D1270" s="13" t="n">
        <v>45876.3777777778</v>
      </c>
      <c r="E1270" s="2" t="s">
        <v>35</v>
      </c>
      <c r="F1270" s="2" t="s">
        <v>27</v>
      </c>
      <c r="G1270" s="2" t="n">
        <v>1479.38</v>
      </c>
      <c r="H1270" s="2" t="n">
        <v>7.51</v>
      </c>
      <c r="I1270" s="2" t="s">
        <v>26</v>
      </c>
      <c r="J1270" s="2" t="s">
        <v>4322</v>
      </c>
      <c r="K1270" s="2" t="s">
        <v>89</v>
      </c>
      <c r="L1270" s="2"/>
      <c r="M1270" s="2" t="s">
        <v>1645</v>
      </c>
    </row>
    <row r="1271" customFormat="false" ht="15" hidden="false" customHeight="false" outlineLevel="0" collapsed="false">
      <c r="A1271" s="2" t="s">
        <v>4323</v>
      </c>
      <c r="B1271" s="2" t="s">
        <v>4136</v>
      </c>
      <c r="C1271" s="2" t="s">
        <v>4137</v>
      </c>
      <c r="D1271" s="13" t="n">
        <v>45997.8284722222</v>
      </c>
      <c r="E1271" s="2" t="s">
        <v>35</v>
      </c>
      <c r="F1271" s="2" t="s">
        <v>32</v>
      </c>
      <c r="G1271" s="2" t="n">
        <v>2846.09</v>
      </c>
      <c r="H1271" s="2" t="n">
        <v>21.28</v>
      </c>
      <c r="I1271" s="2" t="s">
        <v>30</v>
      </c>
      <c r="J1271" s="2" t="s">
        <v>4324</v>
      </c>
      <c r="K1271" s="2" t="s">
        <v>122</v>
      </c>
      <c r="L1271" s="2" t="s">
        <v>428</v>
      </c>
      <c r="M1271" s="2"/>
    </row>
    <row r="1272" customFormat="false" ht="15" hidden="false" customHeight="false" outlineLevel="0" collapsed="false">
      <c r="A1272" s="2" t="s">
        <v>4325</v>
      </c>
      <c r="B1272" s="2" t="s">
        <v>4158</v>
      </c>
      <c r="C1272" s="2" t="s">
        <v>4159</v>
      </c>
      <c r="D1272" s="13" t="n">
        <v>45575.8104166667</v>
      </c>
      <c r="E1272" s="2" t="s">
        <v>37</v>
      </c>
      <c r="F1272" s="2" t="s">
        <v>27</v>
      </c>
      <c r="G1272" s="2" t="n">
        <v>3683.55</v>
      </c>
      <c r="H1272" s="2" t="n">
        <v>10.79</v>
      </c>
      <c r="I1272" s="2" t="s">
        <v>30</v>
      </c>
      <c r="J1272" s="2" t="s">
        <v>4326</v>
      </c>
      <c r="K1272" s="2" t="s">
        <v>89</v>
      </c>
      <c r="L1272" s="2"/>
      <c r="M1272" s="2" t="s">
        <v>1282</v>
      </c>
    </row>
    <row r="1273" customFormat="false" ht="15" hidden="false" customHeight="false" outlineLevel="0" collapsed="false">
      <c r="A1273" s="2" t="s">
        <v>4327</v>
      </c>
      <c r="B1273" s="2" t="s">
        <v>3176</v>
      </c>
      <c r="C1273" s="2" t="s">
        <v>3177</v>
      </c>
      <c r="D1273" s="13" t="n">
        <v>45764.8506944445</v>
      </c>
      <c r="E1273" s="2" t="s">
        <v>43</v>
      </c>
      <c r="F1273" s="2" t="s">
        <v>32</v>
      </c>
      <c r="G1273" s="2" t="n">
        <v>32073.2</v>
      </c>
      <c r="H1273" s="2" t="n">
        <v>331.6</v>
      </c>
      <c r="I1273" s="2" t="s">
        <v>30</v>
      </c>
      <c r="J1273" s="2" t="s">
        <v>4328</v>
      </c>
      <c r="K1273" s="2" t="s">
        <v>89</v>
      </c>
      <c r="L1273" s="2"/>
      <c r="M1273" s="2" t="s">
        <v>1287</v>
      </c>
    </row>
    <row r="1274" customFormat="false" ht="15" hidden="false" customHeight="false" outlineLevel="0" collapsed="false">
      <c r="A1274" s="2" t="s">
        <v>4329</v>
      </c>
      <c r="B1274" s="2" t="s">
        <v>4330</v>
      </c>
      <c r="C1274" s="2" t="s">
        <v>4331</v>
      </c>
      <c r="D1274" s="13" t="n">
        <v>45673.4743055556</v>
      </c>
      <c r="E1274" s="2" t="s">
        <v>39</v>
      </c>
      <c r="F1274" s="2" t="s">
        <v>29</v>
      </c>
      <c r="G1274" s="2" t="n">
        <v>4676.68</v>
      </c>
      <c r="H1274" s="2" t="n">
        <v>39.37</v>
      </c>
      <c r="I1274" s="2" t="s">
        <v>30</v>
      </c>
      <c r="J1274" s="2" t="s">
        <v>4332</v>
      </c>
      <c r="K1274" s="2" t="s">
        <v>95</v>
      </c>
      <c r="L1274" s="2" t="s">
        <v>443</v>
      </c>
      <c r="M1274" s="2"/>
    </row>
    <row r="1275" customFormat="false" ht="15" hidden="false" customHeight="false" outlineLevel="0" collapsed="false">
      <c r="A1275" s="2" t="s">
        <v>4333</v>
      </c>
      <c r="B1275" s="2" t="s">
        <v>385</v>
      </c>
      <c r="C1275" s="2" t="s">
        <v>386</v>
      </c>
      <c r="D1275" s="13" t="n">
        <v>45530.5833333333</v>
      </c>
      <c r="E1275" s="2" t="s">
        <v>37</v>
      </c>
      <c r="F1275" s="2" t="s">
        <v>29</v>
      </c>
      <c r="G1275" s="2" t="n">
        <v>10165.46</v>
      </c>
      <c r="H1275" s="2" t="n">
        <v>39.23</v>
      </c>
      <c r="I1275" s="2" t="s">
        <v>26</v>
      </c>
      <c r="J1275" s="2" t="s">
        <v>4334</v>
      </c>
      <c r="K1275" s="2" t="s">
        <v>101</v>
      </c>
      <c r="L1275" s="2" t="s">
        <v>2186</v>
      </c>
      <c r="M1275" s="2"/>
    </row>
    <row r="1276" customFormat="false" ht="15" hidden="false" customHeight="false" outlineLevel="0" collapsed="false">
      <c r="A1276" s="2" t="s">
        <v>4335</v>
      </c>
      <c r="B1276" s="2" t="s">
        <v>1559</v>
      </c>
      <c r="C1276" s="2" t="s">
        <v>1560</v>
      </c>
      <c r="D1276" s="13" t="n">
        <v>45784.6104166667</v>
      </c>
      <c r="E1276" s="2" t="s">
        <v>35</v>
      </c>
      <c r="F1276" s="2" t="s">
        <v>31</v>
      </c>
      <c r="G1276" s="2" t="n">
        <v>4327.82</v>
      </c>
      <c r="H1276" s="2" t="n">
        <v>15.39</v>
      </c>
      <c r="I1276" s="2" t="s">
        <v>26</v>
      </c>
      <c r="J1276" s="2" t="s">
        <v>4336</v>
      </c>
      <c r="K1276" s="2" t="s">
        <v>89</v>
      </c>
      <c r="L1276" s="2" t="s">
        <v>453</v>
      </c>
      <c r="M1276" s="2"/>
    </row>
    <row r="1277" customFormat="false" ht="15" hidden="false" customHeight="false" outlineLevel="0" collapsed="false">
      <c r="A1277" s="2" t="s">
        <v>4337</v>
      </c>
      <c r="B1277" s="2" t="s">
        <v>2900</v>
      </c>
      <c r="C1277" s="2" t="s">
        <v>2901</v>
      </c>
      <c r="D1277" s="13" t="n">
        <v>45382.8083333333</v>
      </c>
      <c r="E1277" s="2" t="s">
        <v>41</v>
      </c>
      <c r="F1277" s="2" t="s">
        <v>32</v>
      </c>
      <c r="G1277" s="2" t="n">
        <v>848.23</v>
      </c>
      <c r="H1277" s="2" t="n">
        <v>5.52</v>
      </c>
      <c r="I1277" s="2" t="s">
        <v>28</v>
      </c>
      <c r="J1277" s="2" t="s">
        <v>4338</v>
      </c>
      <c r="K1277" s="2" t="s">
        <v>89</v>
      </c>
      <c r="L1277" s="2" t="s">
        <v>458</v>
      </c>
      <c r="M1277" s="2"/>
    </row>
    <row r="1278" customFormat="false" ht="15" hidden="false" customHeight="false" outlineLevel="0" collapsed="false">
      <c r="A1278" s="2" t="s">
        <v>4339</v>
      </c>
      <c r="B1278" s="2" t="s">
        <v>4340</v>
      </c>
      <c r="C1278" s="2" t="s">
        <v>4341</v>
      </c>
      <c r="D1278" s="13" t="n">
        <v>45756.7152777778</v>
      </c>
      <c r="E1278" s="2" t="s">
        <v>41</v>
      </c>
      <c r="F1278" s="2" t="s">
        <v>31</v>
      </c>
      <c r="G1278" s="2" t="n">
        <v>2242.35</v>
      </c>
      <c r="H1278" s="2" t="n">
        <v>11.27</v>
      </c>
      <c r="I1278" s="2" t="s">
        <v>26</v>
      </c>
      <c r="J1278" s="2" t="s">
        <v>4342</v>
      </c>
      <c r="K1278" s="2" t="s">
        <v>101</v>
      </c>
      <c r="L1278" s="2" t="s">
        <v>1105</v>
      </c>
      <c r="M1278" s="2"/>
    </row>
    <row r="1279" customFormat="false" ht="15" hidden="false" customHeight="false" outlineLevel="0" collapsed="false">
      <c r="A1279" s="2" t="s">
        <v>4343</v>
      </c>
      <c r="B1279" s="2" t="s">
        <v>4344</v>
      </c>
      <c r="C1279" s="2" t="s">
        <v>4345</v>
      </c>
      <c r="D1279" s="13" t="n">
        <v>45560.6708333333</v>
      </c>
      <c r="E1279" s="2" t="s">
        <v>43</v>
      </c>
      <c r="F1279" s="2" t="s">
        <v>27</v>
      </c>
      <c r="G1279" s="2" t="n">
        <v>8684.27</v>
      </c>
      <c r="H1279" s="2" t="n">
        <v>80.07</v>
      </c>
      <c r="I1279" s="2" t="s">
        <v>30</v>
      </c>
      <c r="J1279" s="2" t="s">
        <v>4346</v>
      </c>
      <c r="K1279" s="2" t="s">
        <v>95</v>
      </c>
      <c r="L1279" s="2"/>
      <c r="M1279" s="2" t="s">
        <v>1677</v>
      </c>
    </row>
    <row r="1280" customFormat="false" ht="15" hidden="false" customHeight="false" outlineLevel="0" collapsed="false">
      <c r="A1280" s="2" t="s">
        <v>4347</v>
      </c>
      <c r="B1280" s="2" t="s">
        <v>1596</v>
      </c>
      <c r="C1280" s="2" t="s">
        <v>1597</v>
      </c>
      <c r="D1280" s="13" t="n">
        <v>45657.3986111111</v>
      </c>
      <c r="E1280" s="2" t="s">
        <v>37</v>
      </c>
      <c r="F1280" s="2" t="s">
        <v>27</v>
      </c>
      <c r="G1280" s="2" t="n">
        <v>8401.71</v>
      </c>
      <c r="H1280" s="2" t="n">
        <v>42.86</v>
      </c>
      <c r="I1280" s="2" t="s">
        <v>26</v>
      </c>
      <c r="J1280" s="2" t="s">
        <v>4348</v>
      </c>
      <c r="K1280" s="2" t="s">
        <v>89</v>
      </c>
      <c r="L1280" s="2"/>
      <c r="M1280" s="2" t="s">
        <v>906</v>
      </c>
    </row>
    <row r="1281" customFormat="false" ht="15" hidden="false" customHeight="false" outlineLevel="0" collapsed="false">
      <c r="A1281" s="2" t="s">
        <v>4349</v>
      </c>
      <c r="B1281" s="2" t="s">
        <v>1957</v>
      </c>
      <c r="C1281" s="2" t="s">
        <v>1958</v>
      </c>
      <c r="D1281" s="13" t="n">
        <v>45384.5819444444</v>
      </c>
      <c r="E1281" s="2" t="s">
        <v>41</v>
      </c>
      <c r="F1281" s="2" t="s">
        <v>29</v>
      </c>
      <c r="G1281" s="2" t="n">
        <v>2532.01</v>
      </c>
      <c r="H1281" s="2" t="n">
        <v>9.82</v>
      </c>
      <c r="I1281" s="2" t="s">
        <v>28</v>
      </c>
      <c r="J1281" s="2" t="s">
        <v>4350</v>
      </c>
      <c r="K1281" s="2" t="s">
        <v>101</v>
      </c>
      <c r="L1281" s="2" t="s">
        <v>478</v>
      </c>
      <c r="M1281" s="2"/>
    </row>
    <row r="1282" customFormat="false" ht="15" hidden="false" customHeight="false" outlineLevel="0" collapsed="false">
      <c r="A1282" s="2" t="s">
        <v>4351</v>
      </c>
      <c r="B1282" s="2" t="s">
        <v>4352</v>
      </c>
      <c r="C1282" s="2" t="s">
        <v>4353</v>
      </c>
      <c r="D1282" s="13" t="n">
        <v>45565.8673611111</v>
      </c>
      <c r="E1282" s="2" t="s">
        <v>43</v>
      </c>
      <c r="F1282" s="2" t="s">
        <v>29</v>
      </c>
      <c r="G1282" s="2" t="n">
        <v>748.06</v>
      </c>
      <c r="H1282" s="2" t="n">
        <v>5</v>
      </c>
      <c r="I1282" s="2" t="s">
        <v>30</v>
      </c>
      <c r="J1282" s="2" t="s">
        <v>4354</v>
      </c>
      <c r="K1282" s="2" t="s">
        <v>95</v>
      </c>
      <c r="L1282" s="2"/>
      <c r="M1282" s="2" t="s">
        <v>2044</v>
      </c>
    </row>
    <row r="1283" customFormat="false" ht="15" hidden="false" customHeight="false" outlineLevel="0" collapsed="false">
      <c r="A1283" s="2" t="s">
        <v>4355</v>
      </c>
      <c r="B1283" s="2" t="s">
        <v>3318</v>
      </c>
      <c r="C1283" s="2" t="s">
        <v>3319</v>
      </c>
      <c r="D1283" s="13" t="n">
        <v>45413.9409722222</v>
      </c>
      <c r="E1283" s="2" t="s">
        <v>43</v>
      </c>
      <c r="F1283" s="2" t="s">
        <v>31</v>
      </c>
      <c r="G1283" s="2" t="n">
        <v>5257.77</v>
      </c>
      <c r="H1283" s="2" t="n">
        <v>43.25</v>
      </c>
      <c r="I1283" s="2" t="s">
        <v>28</v>
      </c>
      <c r="J1283" s="2" t="s">
        <v>4356</v>
      </c>
      <c r="K1283" s="2" t="s">
        <v>101</v>
      </c>
      <c r="L1283" s="2"/>
      <c r="M1283" s="2" t="s">
        <v>921</v>
      </c>
    </row>
    <row r="1284" customFormat="false" ht="15" hidden="false" customHeight="false" outlineLevel="0" collapsed="false">
      <c r="A1284" s="2" t="s">
        <v>4357</v>
      </c>
      <c r="B1284" s="2" t="s">
        <v>4358</v>
      </c>
      <c r="C1284" s="2" t="s">
        <v>4359</v>
      </c>
      <c r="D1284" s="13" t="n">
        <v>45985.4152777778</v>
      </c>
      <c r="E1284" s="2" t="s">
        <v>39</v>
      </c>
      <c r="F1284" s="2" t="s">
        <v>27</v>
      </c>
      <c r="G1284" s="2" t="n">
        <v>13732.73</v>
      </c>
      <c r="H1284" s="2" t="n">
        <v>138.38</v>
      </c>
      <c r="I1284" s="2" t="s">
        <v>26</v>
      </c>
      <c r="J1284" s="2" t="s">
        <v>4360</v>
      </c>
      <c r="K1284" s="2" t="s">
        <v>101</v>
      </c>
      <c r="L1284" s="2"/>
      <c r="M1284" s="2" t="s">
        <v>493</v>
      </c>
    </row>
    <row r="1285" customFormat="false" ht="15" hidden="false" customHeight="false" outlineLevel="0" collapsed="false">
      <c r="A1285" s="2" t="s">
        <v>4361</v>
      </c>
      <c r="B1285" s="2" t="s">
        <v>2322</v>
      </c>
      <c r="C1285" s="2" t="s">
        <v>2323</v>
      </c>
      <c r="D1285" s="13" t="n">
        <v>45927.5090277778</v>
      </c>
      <c r="E1285" s="2" t="s">
        <v>41</v>
      </c>
      <c r="F1285" s="2" t="s">
        <v>29</v>
      </c>
      <c r="G1285" s="2" t="n">
        <v>12508.12</v>
      </c>
      <c r="H1285" s="2" t="n">
        <v>37.16</v>
      </c>
      <c r="I1285" s="2" t="s">
        <v>28</v>
      </c>
      <c r="J1285" s="2" t="s">
        <v>4362</v>
      </c>
      <c r="K1285" s="2" t="s">
        <v>89</v>
      </c>
      <c r="L1285" s="2" t="s">
        <v>1127</v>
      </c>
      <c r="M1285" s="2"/>
    </row>
    <row r="1286" customFormat="false" ht="15" hidden="false" customHeight="false" outlineLevel="0" collapsed="false">
      <c r="A1286" s="2" t="s">
        <v>4363</v>
      </c>
      <c r="B1286" s="2" t="s">
        <v>1820</v>
      </c>
      <c r="C1286" s="2" t="s">
        <v>1821</v>
      </c>
      <c r="D1286" s="13" t="n">
        <v>45334.3416666667</v>
      </c>
      <c r="E1286" s="2" t="s">
        <v>43</v>
      </c>
      <c r="F1286" s="2" t="s">
        <v>32</v>
      </c>
      <c r="G1286" s="2" t="n">
        <v>2049.42</v>
      </c>
      <c r="H1286" s="2" t="n">
        <v>9.41</v>
      </c>
      <c r="I1286" s="2" t="s">
        <v>26</v>
      </c>
      <c r="J1286" s="2" t="s">
        <v>4364</v>
      </c>
      <c r="K1286" s="2" t="s">
        <v>95</v>
      </c>
      <c r="L1286" s="2"/>
      <c r="M1286" s="2" t="s">
        <v>1703</v>
      </c>
    </row>
    <row r="1287" customFormat="false" ht="15" hidden="false" customHeight="false" outlineLevel="0" collapsed="false">
      <c r="A1287" s="2" t="s">
        <v>4365</v>
      </c>
      <c r="B1287" s="2" t="s">
        <v>4366</v>
      </c>
      <c r="C1287" s="2" t="s">
        <v>4367</v>
      </c>
      <c r="D1287" s="13" t="n">
        <v>45997.775</v>
      </c>
      <c r="E1287" s="2" t="s">
        <v>39</v>
      </c>
      <c r="F1287" s="2" t="s">
        <v>31</v>
      </c>
      <c r="G1287" s="2" t="n">
        <v>2707.22</v>
      </c>
      <c r="H1287" s="2" t="n">
        <v>31.89</v>
      </c>
      <c r="I1287" s="2" t="s">
        <v>26</v>
      </c>
      <c r="J1287" s="2" t="s">
        <v>4368</v>
      </c>
      <c r="K1287" s="2" t="s">
        <v>89</v>
      </c>
      <c r="L1287" s="2" t="s">
        <v>508</v>
      </c>
      <c r="M1287" s="2"/>
    </row>
    <row r="1288" customFormat="false" ht="15" hidden="false" customHeight="false" outlineLevel="0" collapsed="false">
      <c r="A1288" s="2" t="s">
        <v>4369</v>
      </c>
      <c r="B1288" s="2" t="s">
        <v>4370</v>
      </c>
      <c r="C1288" s="2" t="s">
        <v>4371</v>
      </c>
      <c r="D1288" s="13" t="n">
        <v>45613.4791666667</v>
      </c>
      <c r="E1288" s="2" t="s">
        <v>35</v>
      </c>
      <c r="F1288" s="2" t="s">
        <v>27</v>
      </c>
      <c r="G1288" s="2" t="n">
        <v>10773.21</v>
      </c>
      <c r="H1288" s="2" t="n">
        <v>128.22</v>
      </c>
      <c r="I1288" s="2" t="s">
        <v>26</v>
      </c>
      <c r="J1288" s="2" t="s">
        <v>4372</v>
      </c>
      <c r="K1288" s="2" t="s">
        <v>95</v>
      </c>
      <c r="L1288" s="2"/>
      <c r="M1288" s="2" t="s">
        <v>513</v>
      </c>
    </row>
    <row r="1289" customFormat="false" ht="15" hidden="false" customHeight="false" outlineLevel="0" collapsed="false">
      <c r="A1289" s="2" t="s">
        <v>4373</v>
      </c>
      <c r="B1289" s="2" t="s">
        <v>2337</v>
      </c>
      <c r="C1289" s="2" t="s">
        <v>2338</v>
      </c>
      <c r="D1289" s="13" t="n">
        <v>45377.7472222222</v>
      </c>
      <c r="E1289" s="2" t="s">
        <v>39</v>
      </c>
      <c r="F1289" s="2" t="s">
        <v>29</v>
      </c>
      <c r="G1289" s="2" t="n">
        <v>5882.31</v>
      </c>
      <c r="H1289" s="2" t="n">
        <v>61.7</v>
      </c>
      <c r="I1289" s="2" t="s">
        <v>26</v>
      </c>
      <c r="J1289" s="2" t="s">
        <v>4374</v>
      </c>
      <c r="K1289" s="2" t="s">
        <v>89</v>
      </c>
      <c r="L1289" s="2" t="s">
        <v>518</v>
      </c>
      <c r="M1289" s="2"/>
    </row>
    <row r="1290" customFormat="false" ht="15" hidden="false" customHeight="false" outlineLevel="0" collapsed="false">
      <c r="A1290" s="2" t="s">
        <v>4375</v>
      </c>
      <c r="B1290" s="2" t="s">
        <v>2353</v>
      </c>
      <c r="C1290" s="2" t="s">
        <v>2354</v>
      </c>
      <c r="D1290" s="13" t="n">
        <v>45352.6791666667</v>
      </c>
      <c r="E1290" s="2" t="s">
        <v>39</v>
      </c>
      <c r="F1290" s="2" t="s">
        <v>31</v>
      </c>
      <c r="G1290" s="2" t="n">
        <v>895.31</v>
      </c>
      <c r="H1290" s="2" t="n">
        <v>5</v>
      </c>
      <c r="I1290" s="2" t="s">
        <v>28</v>
      </c>
      <c r="J1290" s="2" t="s">
        <v>4376</v>
      </c>
      <c r="K1290" s="2" t="s">
        <v>122</v>
      </c>
      <c r="L1290" s="2" t="s">
        <v>523</v>
      </c>
      <c r="M1290" s="2"/>
    </row>
    <row r="1291" customFormat="false" ht="15" hidden="false" customHeight="false" outlineLevel="0" collapsed="false">
      <c r="A1291" s="2" t="s">
        <v>4377</v>
      </c>
      <c r="B1291" s="2" t="s">
        <v>405</v>
      </c>
      <c r="C1291" s="2" t="s">
        <v>406</v>
      </c>
      <c r="D1291" s="13" t="n">
        <v>45920.6958333333</v>
      </c>
      <c r="E1291" s="2" t="s">
        <v>37</v>
      </c>
      <c r="F1291" s="2" t="s">
        <v>32</v>
      </c>
      <c r="G1291" s="2" t="n">
        <v>7911.11</v>
      </c>
      <c r="H1291" s="2" t="n">
        <v>48</v>
      </c>
      <c r="I1291" s="2" t="s">
        <v>30</v>
      </c>
      <c r="J1291" s="2" t="s">
        <v>4378</v>
      </c>
      <c r="K1291" s="2" t="s">
        <v>101</v>
      </c>
      <c r="L1291" s="2" t="s">
        <v>1152</v>
      </c>
      <c r="M1291" s="2"/>
    </row>
    <row r="1292" customFormat="false" ht="15" hidden="false" customHeight="false" outlineLevel="0" collapsed="false">
      <c r="A1292" s="2" t="s">
        <v>4379</v>
      </c>
      <c r="B1292" s="2" t="s">
        <v>2881</v>
      </c>
      <c r="C1292" s="2" t="s">
        <v>2882</v>
      </c>
      <c r="D1292" s="13" t="n">
        <v>45602.4513888889</v>
      </c>
      <c r="E1292" s="2" t="s">
        <v>39</v>
      </c>
      <c r="F1292" s="2" t="s">
        <v>32</v>
      </c>
      <c r="G1292" s="2" t="n">
        <v>182525.4</v>
      </c>
      <c r="H1292" s="2" t="n">
        <v>1455.89</v>
      </c>
      <c r="I1292" s="2" t="s">
        <v>26</v>
      </c>
      <c r="J1292" s="2" t="s">
        <v>4380</v>
      </c>
      <c r="K1292" s="2" t="s">
        <v>101</v>
      </c>
      <c r="L1292" s="2" t="s">
        <v>1726</v>
      </c>
      <c r="M1292" s="2"/>
    </row>
    <row r="1293" customFormat="false" ht="15" hidden="false" customHeight="false" outlineLevel="0" collapsed="false">
      <c r="A1293" s="2" t="s">
        <v>4381</v>
      </c>
      <c r="B1293" s="2" t="s">
        <v>295</v>
      </c>
      <c r="C1293" s="2" t="s">
        <v>296</v>
      </c>
      <c r="D1293" s="13" t="n">
        <v>45448.3513888889</v>
      </c>
      <c r="E1293" s="2" t="s">
        <v>39</v>
      </c>
      <c r="F1293" s="2" t="s">
        <v>31</v>
      </c>
      <c r="G1293" s="2" t="n">
        <v>2804.32</v>
      </c>
      <c r="H1293" s="2" t="n">
        <v>22.94</v>
      </c>
      <c r="I1293" s="2" t="s">
        <v>26</v>
      </c>
      <c r="J1293" s="2" t="s">
        <v>4382</v>
      </c>
      <c r="K1293" s="2" t="s">
        <v>89</v>
      </c>
      <c r="L1293" s="2" t="s">
        <v>1160</v>
      </c>
      <c r="M1293" s="2"/>
    </row>
    <row r="1294" customFormat="false" ht="15" hidden="false" customHeight="false" outlineLevel="0" collapsed="false">
      <c r="A1294" s="2" t="s">
        <v>4383</v>
      </c>
      <c r="B1294" s="2" t="s">
        <v>4384</v>
      </c>
      <c r="C1294" s="2" t="s">
        <v>4385</v>
      </c>
      <c r="D1294" s="13" t="n">
        <v>46003.8201388889</v>
      </c>
      <c r="E1294" s="2" t="s">
        <v>43</v>
      </c>
      <c r="F1294" s="2" t="s">
        <v>32</v>
      </c>
      <c r="G1294" s="2" t="n">
        <v>2360.16</v>
      </c>
      <c r="H1294" s="2" t="n">
        <v>5.13</v>
      </c>
      <c r="I1294" s="2" t="s">
        <v>26</v>
      </c>
      <c r="J1294" s="2" t="s">
        <v>4386</v>
      </c>
      <c r="K1294" s="2" t="s">
        <v>101</v>
      </c>
      <c r="L1294" s="2"/>
      <c r="M1294" s="2" t="s">
        <v>1371</v>
      </c>
    </row>
    <row r="1295" customFormat="false" ht="15" hidden="false" customHeight="false" outlineLevel="0" collapsed="false">
      <c r="A1295" s="2" t="s">
        <v>4387</v>
      </c>
      <c r="B1295" s="2" t="s">
        <v>2889</v>
      </c>
      <c r="C1295" s="2" t="s">
        <v>2890</v>
      </c>
      <c r="D1295" s="13" t="n">
        <v>45418.8152777778</v>
      </c>
      <c r="E1295" s="2" t="s">
        <v>37</v>
      </c>
      <c r="F1295" s="2" t="s">
        <v>27</v>
      </c>
      <c r="G1295" s="2" t="n">
        <v>2031.95</v>
      </c>
      <c r="H1295" s="2" t="n">
        <v>7.53</v>
      </c>
      <c r="I1295" s="2" t="s">
        <v>26</v>
      </c>
      <c r="J1295" s="2" t="s">
        <v>4388</v>
      </c>
      <c r="K1295" s="2" t="s">
        <v>89</v>
      </c>
      <c r="L1295" s="2"/>
      <c r="M1295" s="2" t="s">
        <v>546</v>
      </c>
    </row>
    <row r="1296" customFormat="false" ht="15" hidden="false" customHeight="false" outlineLevel="0" collapsed="false">
      <c r="A1296" s="2" t="s">
        <v>4389</v>
      </c>
      <c r="B1296" s="2" t="s">
        <v>1117</v>
      </c>
      <c r="C1296" s="2" t="s">
        <v>1118</v>
      </c>
      <c r="D1296" s="13" t="n">
        <v>45490.6465277778</v>
      </c>
      <c r="E1296" s="2" t="s">
        <v>39</v>
      </c>
      <c r="F1296" s="2" t="s">
        <v>31</v>
      </c>
      <c r="G1296" s="2" t="n">
        <v>25613.83</v>
      </c>
      <c r="H1296" s="2" t="n">
        <v>73.35</v>
      </c>
      <c r="I1296" s="2" t="s">
        <v>26</v>
      </c>
      <c r="J1296" s="2" t="s">
        <v>4390</v>
      </c>
      <c r="K1296" s="2" t="s">
        <v>95</v>
      </c>
      <c r="L1296" s="2" t="s">
        <v>2735</v>
      </c>
      <c r="M1296" s="2"/>
    </row>
    <row r="1297" customFormat="false" ht="15" hidden="false" customHeight="false" outlineLevel="0" collapsed="false">
      <c r="A1297" s="2" t="s">
        <v>4391</v>
      </c>
      <c r="B1297" s="2" t="s">
        <v>4392</v>
      </c>
      <c r="C1297" s="2" t="s">
        <v>4393</v>
      </c>
      <c r="D1297" s="13" t="n">
        <v>45969.7715277778</v>
      </c>
      <c r="E1297" s="2" t="s">
        <v>39</v>
      </c>
      <c r="F1297" s="2" t="s">
        <v>32</v>
      </c>
      <c r="G1297" s="2" t="n">
        <v>1933.69</v>
      </c>
      <c r="H1297" s="2" t="n">
        <v>16</v>
      </c>
      <c r="I1297" s="2" t="s">
        <v>26</v>
      </c>
      <c r="J1297" s="2" t="s">
        <v>4394</v>
      </c>
      <c r="K1297" s="2" t="s">
        <v>95</v>
      </c>
      <c r="L1297" s="2" t="s">
        <v>556</v>
      </c>
      <c r="M1297" s="2"/>
    </row>
    <row r="1298" customFormat="false" ht="15" hidden="false" customHeight="false" outlineLevel="0" collapsed="false">
      <c r="A1298" s="2" t="s">
        <v>4395</v>
      </c>
      <c r="B1298" s="2" t="s">
        <v>4396</v>
      </c>
      <c r="C1298" s="2" t="s">
        <v>4397</v>
      </c>
      <c r="D1298" s="13" t="n">
        <v>45339.9152777778</v>
      </c>
      <c r="E1298" s="2" t="s">
        <v>41</v>
      </c>
      <c r="F1298" s="2" t="s">
        <v>29</v>
      </c>
      <c r="G1298" s="2" t="n">
        <v>15409.71</v>
      </c>
      <c r="H1298" s="2" t="n">
        <v>125.69</v>
      </c>
      <c r="I1298" s="2" t="s">
        <v>26</v>
      </c>
      <c r="J1298" s="2" t="s">
        <v>4398</v>
      </c>
      <c r="K1298" s="2" t="s">
        <v>122</v>
      </c>
      <c r="L1298" s="2" t="s">
        <v>1183</v>
      </c>
      <c r="M1298" s="2"/>
    </row>
    <row r="1299" customFormat="false" ht="15" hidden="false" customHeight="false" outlineLevel="0" collapsed="false">
      <c r="A1299" s="2" t="s">
        <v>4399</v>
      </c>
      <c r="B1299" s="2" t="s">
        <v>3414</v>
      </c>
      <c r="C1299" s="2" t="s">
        <v>3415</v>
      </c>
      <c r="D1299" s="13" t="n">
        <v>45417.4854166667</v>
      </c>
      <c r="E1299" s="2" t="s">
        <v>39</v>
      </c>
      <c r="F1299" s="2" t="s">
        <v>29</v>
      </c>
      <c r="G1299" s="2" t="n">
        <v>2790.6</v>
      </c>
      <c r="H1299" s="2" t="n">
        <v>10.78</v>
      </c>
      <c r="I1299" s="2" t="s">
        <v>30</v>
      </c>
      <c r="J1299" s="2" t="s">
        <v>4400</v>
      </c>
      <c r="K1299" s="2" t="s">
        <v>89</v>
      </c>
      <c r="L1299" s="2" t="s">
        <v>566</v>
      </c>
      <c r="M1299" s="2"/>
    </row>
    <row r="1300" customFormat="false" ht="15" hidden="false" customHeight="false" outlineLevel="0" collapsed="false">
      <c r="A1300" s="2" t="s">
        <v>4401</v>
      </c>
      <c r="B1300" s="2" t="s">
        <v>2082</v>
      </c>
      <c r="C1300" s="2" t="s">
        <v>2083</v>
      </c>
      <c r="D1300" s="13" t="n">
        <v>45442.7923611111</v>
      </c>
      <c r="E1300" s="2" t="s">
        <v>41</v>
      </c>
      <c r="F1300" s="2" t="s">
        <v>29</v>
      </c>
      <c r="G1300" s="2" t="n">
        <v>4486.38</v>
      </c>
      <c r="H1300" s="2" t="n">
        <v>50.93</v>
      </c>
      <c r="I1300" s="2" t="s">
        <v>26</v>
      </c>
      <c r="J1300" s="2" t="s">
        <v>4402</v>
      </c>
      <c r="K1300" s="2" t="s">
        <v>122</v>
      </c>
      <c r="L1300" s="2" t="s">
        <v>1190</v>
      </c>
      <c r="M1300" s="2"/>
    </row>
    <row r="1301" customFormat="false" ht="15" hidden="false" customHeight="false" outlineLevel="0" collapsed="false">
      <c r="A1301" s="2" t="s">
        <v>4403</v>
      </c>
      <c r="B1301" s="2" t="s">
        <v>4404</v>
      </c>
      <c r="C1301" s="2" t="s">
        <v>4405</v>
      </c>
      <c r="D1301" s="13" t="n">
        <v>45659.7055555556</v>
      </c>
      <c r="E1301" s="2" t="s">
        <v>43</v>
      </c>
      <c r="F1301" s="2" t="s">
        <v>29</v>
      </c>
      <c r="G1301" s="2" t="n">
        <v>3745.99</v>
      </c>
      <c r="H1301" s="2" t="n">
        <v>37.63</v>
      </c>
      <c r="I1301" s="2" t="s">
        <v>26</v>
      </c>
      <c r="J1301" s="2" t="s">
        <v>4406</v>
      </c>
      <c r="K1301" s="2" t="s">
        <v>89</v>
      </c>
      <c r="L1301" s="2"/>
      <c r="M1301" s="2" t="s">
        <v>576</v>
      </c>
    </row>
    <row r="1302" customFormat="false" ht="15" hidden="false" customHeight="false" outlineLevel="0" collapsed="false">
      <c r="A1302" s="2" t="s">
        <v>4407</v>
      </c>
      <c r="B1302" s="2" t="s">
        <v>3404</v>
      </c>
      <c r="C1302" s="2" t="s">
        <v>3405</v>
      </c>
      <c r="D1302" s="13" t="n">
        <v>45377.7270833333</v>
      </c>
      <c r="E1302" s="2" t="s">
        <v>39</v>
      </c>
      <c r="F1302" s="2" t="s">
        <v>27</v>
      </c>
      <c r="G1302" s="2" t="n">
        <v>2224.54</v>
      </c>
      <c r="H1302" s="2" t="n">
        <v>8.99</v>
      </c>
      <c r="I1302" s="2" t="s">
        <v>26</v>
      </c>
      <c r="J1302" s="2" t="s">
        <v>4408</v>
      </c>
      <c r="K1302" s="2" t="s">
        <v>101</v>
      </c>
      <c r="L1302" s="2"/>
      <c r="M1302" s="2" t="s">
        <v>581</v>
      </c>
    </row>
    <row r="1303" customFormat="false" ht="15" hidden="false" customHeight="false" outlineLevel="0" collapsed="false">
      <c r="A1303" s="2" t="s">
        <v>4409</v>
      </c>
      <c r="B1303" s="2" t="s">
        <v>4410</v>
      </c>
      <c r="C1303" s="2" t="s">
        <v>4411</v>
      </c>
      <c r="D1303" s="13" t="n">
        <v>45429.6055555556</v>
      </c>
      <c r="E1303" s="2" t="s">
        <v>37</v>
      </c>
      <c r="F1303" s="2" t="s">
        <v>27</v>
      </c>
      <c r="G1303" s="2" t="n">
        <v>4990.26</v>
      </c>
      <c r="H1303" s="2" t="n">
        <v>56.23</v>
      </c>
      <c r="I1303" s="2" t="s">
        <v>26</v>
      </c>
      <c r="J1303" s="2" t="s">
        <v>4412</v>
      </c>
      <c r="K1303" s="2" t="s">
        <v>122</v>
      </c>
      <c r="L1303" s="2"/>
      <c r="M1303" s="2" t="s">
        <v>1007</v>
      </c>
    </row>
    <row r="1304" customFormat="false" ht="15" hidden="false" customHeight="false" outlineLevel="0" collapsed="false">
      <c r="A1304" s="2" t="s">
        <v>4413</v>
      </c>
      <c r="B1304" s="2" t="s">
        <v>2865</v>
      </c>
      <c r="C1304" s="2" t="s">
        <v>2866</v>
      </c>
      <c r="D1304" s="13" t="n">
        <v>45920.5861111111</v>
      </c>
      <c r="E1304" s="2" t="s">
        <v>41</v>
      </c>
      <c r="F1304" s="2" t="s">
        <v>32</v>
      </c>
      <c r="G1304" s="2" t="n">
        <v>916.84</v>
      </c>
      <c r="H1304" s="2" t="n">
        <v>5</v>
      </c>
      <c r="I1304" s="2" t="s">
        <v>28</v>
      </c>
      <c r="J1304" s="2" t="s">
        <v>4414</v>
      </c>
      <c r="K1304" s="2" t="s">
        <v>89</v>
      </c>
      <c r="L1304" s="2" t="s">
        <v>589</v>
      </c>
      <c r="M1304" s="2"/>
    </row>
    <row r="1305" customFormat="false" ht="15" hidden="false" customHeight="false" outlineLevel="0" collapsed="false">
      <c r="A1305" s="2" t="s">
        <v>4415</v>
      </c>
      <c r="B1305" s="2" t="s">
        <v>420</v>
      </c>
      <c r="C1305" s="2" t="s">
        <v>421</v>
      </c>
      <c r="D1305" s="13" t="n">
        <v>45382.4520833333</v>
      </c>
      <c r="E1305" s="2" t="s">
        <v>35</v>
      </c>
      <c r="F1305" s="2" t="s">
        <v>27</v>
      </c>
      <c r="G1305" s="2" t="n">
        <v>6520.44</v>
      </c>
      <c r="H1305" s="2" t="n">
        <v>37.96</v>
      </c>
      <c r="I1305" s="2" t="s">
        <v>28</v>
      </c>
      <c r="J1305" s="2" t="s">
        <v>4416</v>
      </c>
      <c r="K1305" s="2" t="s">
        <v>101</v>
      </c>
      <c r="L1305" s="2"/>
      <c r="M1305" s="2" t="s">
        <v>594</v>
      </c>
    </row>
    <row r="1306" customFormat="false" ht="15" hidden="false" customHeight="false" outlineLevel="0" collapsed="false">
      <c r="A1306" s="2" t="s">
        <v>4417</v>
      </c>
      <c r="B1306" s="2" t="s">
        <v>4418</v>
      </c>
      <c r="C1306" s="2" t="s">
        <v>4419</v>
      </c>
      <c r="D1306" s="13" t="n">
        <v>45749.4083333333</v>
      </c>
      <c r="E1306" s="2" t="s">
        <v>41</v>
      </c>
      <c r="F1306" s="2" t="s">
        <v>29</v>
      </c>
      <c r="G1306" s="2" t="n">
        <v>4604.98</v>
      </c>
      <c r="H1306" s="2" t="n">
        <v>32.65</v>
      </c>
      <c r="I1306" s="2" t="s">
        <v>26</v>
      </c>
      <c r="J1306" s="2" t="s">
        <v>4420</v>
      </c>
      <c r="K1306" s="2" t="s">
        <v>101</v>
      </c>
      <c r="L1306" s="2" t="s">
        <v>599</v>
      </c>
      <c r="M1306" s="2"/>
    </row>
    <row r="1307" customFormat="false" ht="15" hidden="false" customHeight="false" outlineLevel="0" collapsed="false">
      <c r="A1307" s="2" t="s">
        <v>4421</v>
      </c>
      <c r="B1307" s="2" t="s">
        <v>4422</v>
      </c>
      <c r="C1307" s="2" t="s">
        <v>4423</v>
      </c>
      <c r="D1307" s="13" t="n">
        <v>45825.7402777778</v>
      </c>
      <c r="E1307" s="2" t="s">
        <v>35</v>
      </c>
      <c r="F1307" s="2" t="s">
        <v>29</v>
      </c>
      <c r="G1307" s="2" t="n">
        <v>2382.1</v>
      </c>
      <c r="H1307" s="2" t="n">
        <v>21.87</v>
      </c>
      <c r="I1307" s="2" t="s">
        <v>26</v>
      </c>
      <c r="J1307" s="2" t="s">
        <v>4424</v>
      </c>
      <c r="K1307" s="2" t="s">
        <v>89</v>
      </c>
      <c r="L1307" s="2" t="s">
        <v>604</v>
      </c>
      <c r="M1307" s="2"/>
    </row>
    <row r="1308" customFormat="false" ht="15" hidden="false" customHeight="false" outlineLevel="0" collapsed="false">
      <c r="A1308" s="2" t="s">
        <v>4425</v>
      </c>
      <c r="B1308" s="2" t="s">
        <v>2722</v>
      </c>
      <c r="C1308" s="2" t="s">
        <v>2723</v>
      </c>
      <c r="D1308" s="13" t="n">
        <v>45762.3493055556</v>
      </c>
      <c r="E1308" s="2" t="s">
        <v>43</v>
      </c>
      <c r="F1308" s="2" t="s">
        <v>29</v>
      </c>
      <c r="G1308" s="2" t="n">
        <v>1776.55</v>
      </c>
      <c r="H1308" s="2" t="n">
        <v>13.52</v>
      </c>
      <c r="I1308" s="2" t="s">
        <v>26</v>
      </c>
      <c r="J1308" s="2" t="s">
        <v>4426</v>
      </c>
      <c r="K1308" s="2" t="s">
        <v>122</v>
      </c>
      <c r="L1308" s="2"/>
      <c r="M1308" s="2" t="s">
        <v>1023</v>
      </c>
    </row>
    <row r="1309" customFormat="false" ht="15" hidden="false" customHeight="false" outlineLevel="0" collapsed="false">
      <c r="A1309" s="2" t="s">
        <v>4427</v>
      </c>
      <c r="B1309" s="2" t="s">
        <v>320</v>
      </c>
      <c r="C1309" s="2" t="s">
        <v>321</v>
      </c>
      <c r="D1309" s="13" t="n">
        <v>45512.3694444444</v>
      </c>
      <c r="E1309" s="2" t="s">
        <v>37</v>
      </c>
      <c r="F1309" s="2" t="s">
        <v>27</v>
      </c>
      <c r="G1309" s="2" t="n">
        <v>6046.53</v>
      </c>
      <c r="H1309" s="2" t="n">
        <v>19.72</v>
      </c>
      <c r="I1309" s="2" t="s">
        <v>26</v>
      </c>
      <c r="J1309" s="2" t="s">
        <v>4428</v>
      </c>
      <c r="K1309" s="2" t="s">
        <v>101</v>
      </c>
      <c r="L1309" s="2"/>
      <c r="M1309" s="2" t="s">
        <v>1425</v>
      </c>
    </row>
    <row r="1310" customFormat="false" ht="15" hidden="false" customHeight="false" outlineLevel="0" collapsed="false">
      <c r="A1310" s="2" t="s">
        <v>4429</v>
      </c>
      <c r="B1310" s="2" t="s">
        <v>2046</v>
      </c>
      <c r="C1310" s="2" t="s">
        <v>2047</v>
      </c>
      <c r="D1310" s="13" t="n">
        <v>45814.8277777778</v>
      </c>
      <c r="E1310" s="2" t="s">
        <v>35</v>
      </c>
      <c r="F1310" s="2" t="s">
        <v>27</v>
      </c>
      <c r="G1310" s="2" t="n">
        <v>9545.97</v>
      </c>
      <c r="H1310" s="2" t="n">
        <v>58.6</v>
      </c>
      <c r="I1310" s="2" t="s">
        <v>30</v>
      </c>
      <c r="J1310" s="2" t="s">
        <v>4430</v>
      </c>
      <c r="K1310" s="2" t="s">
        <v>95</v>
      </c>
      <c r="L1310" s="2"/>
      <c r="M1310" s="2" t="s">
        <v>617</v>
      </c>
    </row>
    <row r="1311" customFormat="false" ht="15" hidden="false" customHeight="false" outlineLevel="0" collapsed="false">
      <c r="A1311" s="2" t="s">
        <v>4431</v>
      </c>
      <c r="B1311" s="2" t="s">
        <v>809</v>
      </c>
      <c r="C1311" s="2" t="s">
        <v>810</v>
      </c>
      <c r="D1311" s="13" t="n">
        <v>45462.7840277778</v>
      </c>
      <c r="E1311" s="2" t="s">
        <v>41</v>
      </c>
      <c r="F1311" s="2" t="s">
        <v>32</v>
      </c>
      <c r="G1311" s="2" t="n">
        <v>9237.87</v>
      </c>
      <c r="H1311" s="2" t="n">
        <v>79.77</v>
      </c>
      <c r="I1311" s="2" t="s">
        <v>30</v>
      </c>
      <c r="J1311" s="2" t="s">
        <v>4432</v>
      </c>
      <c r="K1311" s="2" t="s">
        <v>89</v>
      </c>
      <c r="L1311" s="2" t="s">
        <v>622</v>
      </c>
      <c r="M1311" s="2"/>
    </row>
    <row r="1312" customFormat="false" ht="15" hidden="false" customHeight="false" outlineLevel="0" collapsed="false">
      <c r="A1312" s="2" t="s">
        <v>4433</v>
      </c>
      <c r="B1312" s="2" t="s">
        <v>634</v>
      </c>
      <c r="C1312" s="2" t="s">
        <v>635</v>
      </c>
      <c r="D1312" s="13" t="n">
        <v>45405.5479166667</v>
      </c>
      <c r="E1312" s="2" t="s">
        <v>43</v>
      </c>
      <c r="F1312" s="2" t="s">
        <v>29</v>
      </c>
      <c r="G1312" s="2" t="n">
        <v>2315.79</v>
      </c>
      <c r="H1312" s="2" t="n">
        <v>14.75</v>
      </c>
      <c r="I1312" s="2" t="s">
        <v>26</v>
      </c>
      <c r="J1312" s="2" t="s">
        <v>4434</v>
      </c>
      <c r="K1312" s="2" t="s">
        <v>101</v>
      </c>
      <c r="L1312" s="2"/>
      <c r="M1312" s="2" t="s">
        <v>627</v>
      </c>
    </row>
    <row r="1313" customFormat="false" ht="15" hidden="false" customHeight="false" outlineLevel="0" collapsed="false">
      <c r="A1313" s="2" t="s">
        <v>4435</v>
      </c>
      <c r="B1313" s="2" t="s">
        <v>4436</v>
      </c>
      <c r="C1313" s="2" t="s">
        <v>4437</v>
      </c>
      <c r="D1313" s="13" t="n">
        <v>45724.9569444444</v>
      </c>
      <c r="E1313" s="2" t="s">
        <v>37</v>
      </c>
      <c r="F1313" s="2" t="s">
        <v>29</v>
      </c>
      <c r="G1313" s="2" t="n">
        <v>2958.54</v>
      </c>
      <c r="H1313" s="2" t="n">
        <v>6.46</v>
      </c>
      <c r="I1313" s="2" t="s">
        <v>26</v>
      </c>
      <c r="J1313" s="2" t="s">
        <v>4438</v>
      </c>
      <c r="K1313" s="2" t="s">
        <v>95</v>
      </c>
      <c r="L1313" s="2" t="s">
        <v>632</v>
      </c>
      <c r="M1313" s="2"/>
    </row>
    <row r="1314" customFormat="false" ht="15" hidden="false" customHeight="false" outlineLevel="0" collapsed="false">
      <c r="A1314" s="2" t="s">
        <v>4439</v>
      </c>
      <c r="B1314" s="2" t="s">
        <v>1466</v>
      </c>
      <c r="C1314" s="2" t="s">
        <v>1467</v>
      </c>
      <c r="D1314" s="13" t="n">
        <v>45567.65</v>
      </c>
      <c r="E1314" s="2" t="s">
        <v>39</v>
      </c>
      <c r="F1314" s="2" t="s">
        <v>32</v>
      </c>
      <c r="G1314" s="2" t="n">
        <v>1989.62</v>
      </c>
      <c r="H1314" s="2" t="n">
        <v>10.64</v>
      </c>
      <c r="I1314" s="2" t="s">
        <v>26</v>
      </c>
      <c r="J1314" s="2" t="s">
        <v>4440</v>
      </c>
      <c r="K1314" s="2" t="s">
        <v>95</v>
      </c>
      <c r="L1314" s="2" t="s">
        <v>637</v>
      </c>
      <c r="M1314" s="2"/>
    </row>
    <row r="1315" customFormat="false" ht="15" hidden="false" customHeight="false" outlineLevel="0" collapsed="false">
      <c r="A1315" s="2" t="s">
        <v>4441</v>
      </c>
      <c r="B1315" s="2" t="s">
        <v>470</v>
      </c>
      <c r="C1315" s="2" t="s">
        <v>471</v>
      </c>
      <c r="D1315" s="13" t="n">
        <v>45781.7479166667</v>
      </c>
      <c r="E1315" s="2" t="s">
        <v>41</v>
      </c>
      <c r="F1315" s="2" t="s">
        <v>27</v>
      </c>
      <c r="G1315" s="2" t="n">
        <v>1149.15</v>
      </c>
      <c r="H1315" s="2" t="n">
        <v>6.09</v>
      </c>
      <c r="I1315" s="2" t="s">
        <v>26</v>
      </c>
      <c r="J1315" s="2" t="s">
        <v>4442</v>
      </c>
      <c r="K1315" s="2" t="s">
        <v>122</v>
      </c>
      <c r="L1315" s="2"/>
      <c r="M1315" s="2" t="s">
        <v>1053</v>
      </c>
    </row>
    <row r="1316" customFormat="false" ht="15" hidden="false" customHeight="false" outlineLevel="0" collapsed="false">
      <c r="A1316" s="2" t="s">
        <v>4443</v>
      </c>
      <c r="B1316" s="2" t="s">
        <v>4444</v>
      </c>
      <c r="C1316" s="2" t="s">
        <v>4445</v>
      </c>
      <c r="D1316" s="13" t="n">
        <v>45575.4048611111</v>
      </c>
      <c r="E1316" s="2" t="s">
        <v>41</v>
      </c>
      <c r="F1316" s="2" t="s">
        <v>27</v>
      </c>
      <c r="G1316" s="2" t="n">
        <v>14984.13</v>
      </c>
      <c r="H1316" s="2" t="n">
        <v>162.93</v>
      </c>
      <c r="I1316" s="2" t="s">
        <v>26</v>
      </c>
      <c r="J1316" s="2" t="s">
        <v>4446</v>
      </c>
      <c r="K1316" s="2" t="s">
        <v>101</v>
      </c>
      <c r="L1316" s="2"/>
      <c r="M1316" s="2" t="s">
        <v>1448</v>
      </c>
    </row>
    <row r="1317" customFormat="false" ht="15" hidden="false" customHeight="false" outlineLevel="0" collapsed="false">
      <c r="A1317" s="2" t="s">
        <v>4447</v>
      </c>
      <c r="B1317" s="2" t="s">
        <v>634</v>
      </c>
      <c r="C1317" s="2" t="s">
        <v>635</v>
      </c>
      <c r="D1317" s="13" t="n">
        <v>45415.4513888889</v>
      </c>
      <c r="E1317" s="2" t="s">
        <v>41</v>
      </c>
      <c r="F1317" s="2" t="s">
        <v>29</v>
      </c>
      <c r="G1317" s="2" t="n">
        <v>5980.33</v>
      </c>
      <c r="H1317" s="2" t="n">
        <v>27.34</v>
      </c>
      <c r="I1317" s="2" t="s">
        <v>28</v>
      </c>
      <c r="J1317" s="2" t="s">
        <v>4448</v>
      </c>
      <c r="K1317" s="2" t="s">
        <v>122</v>
      </c>
      <c r="L1317" s="2" t="s">
        <v>648</v>
      </c>
      <c r="M1317" s="2"/>
    </row>
    <row r="1318" customFormat="false" ht="15" hidden="false" customHeight="false" outlineLevel="0" collapsed="false">
      <c r="A1318" s="2" t="s">
        <v>4449</v>
      </c>
      <c r="B1318" s="2" t="s">
        <v>4450</v>
      </c>
      <c r="C1318" s="2" t="s">
        <v>4451</v>
      </c>
      <c r="D1318" s="13" t="n">
        <v>45617.4090277778</v>
      </c>
      <c r="E1318" s="2" t="s">
        <v>39</v>
      </c>
      <c r="F1318" s="2" t="s">
        <v>27</v>
      </c>
      <c r="G1318" s="2" t="n">
        <v>2042.09</v>
      </c>
      <c r="H1318" s="2" t="n">
        <v>10.43</v>
      </c>
      <c r="I1318" s="2" t="s">
        <v>26</v>
      </c>
      <c r="J1318" s="2" t="s">
        <v>4452</v>
      </c>
      <c r="K1318" s="2" t="s">
        <v>122</v>
      </c>
      <c r="L1318" s="2"/>
      <c r="M1318" s="2" t="s">
        <v>163</v>
      </c>
    </row>
    <row r="1319" customFormat="false" ht="15" hidden="false" customHeight="false" outlineLevel="0" collapsed="false">
      <c r="A1319" s="2" t="s">
        <v>4453</v>
      </c>
      <c r="B1319" s="2" t="s">
        <v>1808</v>
      </c>
      <c r="C1319" s="2" t="s">
        <v>1809</v>
      </c>
      <c r="D1319" s="13" t="n">
        <v>45300.3583333333</v>
      </c>
      <c r="E1319" s="2" t="s">
        <v>41</v>
      </c>
      <c r="F1319" s="2" t="s">
        <v>31</v>
      </c>
      <c r="G1319" s="2" t="n">
        <v>13409.82</v>
      </c>
      <c r="H1319" s="2" t="n">
        <v>94.45</v>
      </c>
      <c r="I1319" s="2" t="s">
        <v>26</v>
      </c>
      <c r="J1319" s="2" t="s">
        <v>4454</v>
      </c>
      <c r="K1319" s="2" t="s">
        <v>122</v>
      </c>
      <c r="L1319" s="2" t="s">
        <v>1267</v>
      </c>
      <c r="M1319" s="2"/>
    </row>
    <row r="1320" customFormat="false" ht="15" hidden="false" customHeight="false" outlineLevel="0" collapsed="false">
      <c r="A1320" s="2" t="s">
        <v>4455</v>
      </c>
      <c r="B1320" s="2" t="s">
        <v>4456</v>
      </c>
      <c r="C1320" s="2" t="s">
        <v>4457</v>
      </c>
      <c r="D1320" s="13" t="n">
        <v>45488.3368055556</v>
      </c>
      <c r="E1320" s="2" t="s">
        <v>41</v>
      </c>
      <c r="F1320" s="2" t="s">
        <v>32</v>
      </c>
      <c r="G1320" s="2" t="n">
        <v>7781.22</v>
      </c>
      <c r="H1320" s="2" t="n">
        <v>52.55</v>
      </c>
      <c r="I1320" s="2" t="s">
        <v>26</v>
      </c>
      <c r="J1320" s="2" t="s">
        <v>4458</v>
      </c>
      <c r="K1320" s="2" t="s">
        <v>95</v>
      </c>
      <c r="L1320" s="2" t="s">
        <v>1272</v>
      </c>
      <c r="M1320" s="2"/>
    </row>
    <row r="1321" customFormat="false" ht="15" hidden="false" customHeight="false" outlineLevel="0" collapsed="false">
      <c r="A1321" s="2" t="s">
        <v>4459</v>
      </c>
      <c r="B1321" s="2" t="s">
        <v>720</v>
      </c>
      <c r="C1321" s="2" t="s">
        <v>721</v>
      </c>
      <c r="D1321" s="13" t="n">
        <v>45828.6583333333</v>
      </c>
      <c r="E1321" s="2" t="s">
        <v>43</v>
      </c>
      <c r="F1321" s="2" t="s">
        <v>32</v>
      </c>
      <c r="G1321" s="2" t="n">
        <v>5318.66</v>
      </c>
      <c r="H1321" s="2" t="n">
        <v>26.88</v>
      </c>
      <c r="I1321" s="2" t="s">
        <v>26</v>
      </c>
      <c r="J1321" s="2" t="s">
        <v>4460</v>
      </c>
      <c r="K1321" s="2" t="s">
        <v>122</v>
      </c>
      <c r="L1321" s="2"/>
      <c r="M1321" s="2" t="s">
        <v>667</v>
      </c>
    </row>
    <row r="1322" customFormat="false" ht="15" hidden="false" customHeight="false" outlineLevel="0" collapsed="false">
      <c r="A1322" s="2" t="s">
        <v>4461</v>
      </c>
      <c r="B1322" s="2" t="s">
        <v>4462</v>
      </c>
      <c r="C1322" s="2" t="s">
        <v>4463</v>
      </c>
      <c r="D1322" s="13" t="n">
        <v>45858.3583333333</v>
      </c>
      <c r="E1322" s="2" t="s">
        <v>39</v>
      </c>
      <c r="F1322" s="2" t="s">
        <v>31</v>
      </c>
      <c r="G1322" s="2" t="n">
        <v>10329.25</v>
      </c>
      <c r="H1322" s="2" t="n">
        <v>65.68</v>
      </c>
      <c r="I1322" s="2" t="s">
        <v>30</v>
      </c>
      <c r="J1322" s="2" t="s">
        <v>4464</v>
      </c>
      <c r="K1322" s="2" t="s">
        <v>89</v>
      </c>
      <c r="L1322" s="2" t="s">
        <v>1837</v>
      </c>
      <c r="M1322" s="2"/>
    </row>
    <row r="1323" customFormat="false" ht="15" hidden="false" customHeight="false" outlineLevel="0" collapsed="false">
      <c r="A1323" s="2" t="s">
        <v>4465</v>
      </c>
      <c r="B1323" s="2" t="s">
        <v>4466</v>
      </c>
      <c r="C1323" s="2" t="s">
        <v>4467</v>
      </c>
      <c r="D1323" s="13" t="n">
        <v>45300.55</v>
      </c>
      <c r="E1323" s="2" t="s">
        <v>35</v>
      </c>
      <c r="F1323" s="2" t="s">
        <v>32</v>
      </c>
      <c r="G1323" s="2" t="n">
        <v>19446.45</v>
      </c>
      <c r="H1323" s="2" t="n">
        <v>52.89</v>
      </c>
      <c r="I1323" s="2" t="s">
        <v>26</v>
      </c>
      <c r="J1323" s="2" t="s">
        <v>4468</v>
      </c>
      <c r="K1323" s="2" t="s">
        <v>95</v>
      </c>
      <c r="L1323" s="2" t="s">
        <v>676</v>
      </c>
      <c r="M1323" s="2"/>
    </row>
    <row r="1324" customFormat="false" ht="15" hidden="false" customHeight="false" outlineLevel="0" collapsed="false">
      <c r="A1324" s="2" t="s">
        <v>4469</v>
      </c>
      <c r="B1324" s="2" t="s">
        <v>3006</v>
      </c>
      <c r="C1324" s="2" t="s">
        <v>3007</v>
      </c>
      <c r="D1324" s="13" t="n">
        <v>45831.8090277778</v>
      </c>
      <c r="E1324" s="2" t="s">
        <v>35</v>
      </c>
      <c r="F1324" s="2" t="s">
        <v>29</v>
      </c>
      <c r="G1324" s="2" t="n">
        <v>20425.37</v>
      </c>
      <c r="H1324" s="2" t="n">
        <v>230.51</v>
      </c>
      <c r="I1324" s="2" t="s">
        <v>26</v>
      </c>
      <c r="J1324" s="2" t="s">
        <v>4470</v>
      </c>
      <c r="K1324" s="2" t="s">
        <v>122</v>
      </c>
      <c r="L1324" s="2" t="s">
        <v>681</v>
      </c>
      <c r="M1324" s="2"/>
    </row>
    <row r="1325" customFormat="false" ht="15" hidden="false" customHeight="false" outlineLevel="0" collapsed="false">
      <c r="A1325" s="2" t="s">
        <v>4471</v>
      </c>
      <c r="B1325" s="2" t="s">
        <v>4472</v>
      </c>
      <c r="C1325" s="2" t="s">
        <v>4473</v>
      </c>
      <c r="D1325" s="13" t="n">
        <v>45308.7604166667</v>
      </c>
      <c r="E1325" s="2" t="s">
        <v>37</v>
      </c>
      <c r="F1325" s="2" t="s">
        <v>27</v>
      </c>
      <c r="G1325" s="2" t="n">
        <v>15814.97</v>
      </c>
      <c r="H1325" s="2" t="n">
        <v>38.1</v>
      </c>
      <c r="I1325" s="2" t="s">
        <v>26</v>
      </c>
      <c r="J1325" s="2" t="s">
        <v>4474</v>
      </c>
      <c r="K1325" s="2" t="s">
        <v>122</v>
      </c>
      <c r="L1325" s="2"/>
      <c r="M1325" s="2" t="s">
        <v>198</v>
      </c>
    </row>
    <row r="1326" customFormat="false" ht="15" hidden="false" customHeight="false" outlineLevel="0" collapsed="false">
      <c r="A1326" s="2" t="s">
        <v>4475</v>
      </c>
      <c r="B1326" s="2" t="s">
        <v>4476</v>
      </c>
      <c r="C1326" s="2" t="s">
        <v>4477</v>
      </c>
      <c r="D1326" s="13" t="n">
        <v>46009.4798611111</v>
      </c>
      <c r="E1326" s="2" t="s">
        <v>37</v>
      </c>
      <c r="F1326" s="2" t="s">
        <v>29</v>
      </c>
      <c r="G1326" s="2" t="n">
        <v>747.26</v>
      </c>
      <c r="H1326" s="2" t="n">
        <v>7.09</v>
      </c>
      <c r="I1326" s="2" t="s">
        <v>28</v>
      </c>
      <c r="J1326" s="2" t="s">
        <v>4478</v>
      </c>
      <c r="K1326" s="2" t="s">
        <v>89</v>
      </c>
      <c r="L1326" s="2" t="s">
        <v>1299</v>
      </c>
      <c r="M1326" s="2"/>
    </row>
    <row r="1327" customFormat="false" ht="15" hidden="false" customHeight="false" outlineLevel="0" collapsed="false">
      <c r="A1327" s="2" t="s">
        <v>4479</v>
      </c>
      <c r="B1327" s="2" t="s">
        <v>2777</v>
      </c>
      <c r="C1327" s="2" t="s">
        <v>2778</v>
      </c>
      <c r="D1327" s="13" t="n">
        <v>45905.4895833333</v>
      </c>
      <c r="E1327" s="2" t="s">
        <v>41</v>
      </c>
      <c r="F1327" s="2" t="s">
        <v>29</v>
      </c>
      <c r="G1327" s="2" t="n">
        <v>69108.77</v>
      </c>
      <c r="H1327" s="2" t="n">
        <v>420.71</v>
      </c>
      <c r="I1327" s="2" t="s">
        <v>30</v>
      </c>
      <c r="J1327" s="2" t="s">
        <v>4480</v>
      </c>
      <c r="K1327" s="2" t="s">
        <v>89</v>
      </c>
      <c r="L1327" s="2" t="s">
        <v>1854</v>
      </c>
      <c r="M1327" s="2"/>
    </row>
    <row r="1328" customFormat="false" ht="15" hidden="false" customHeight="false" outlineLevel="0" collapsed="false">
      <c r="A1328" s="2" t="s">
        <v>4481</v>
      </c>
      <c r="B1328" s="2" t="s">
        <v>2716</v>
      </c>
      <c r="C1328" s="2" t="s">
        <v>2717</v>
      </c>
      <c r="D1328" s="13" t="n">
        <v>45379.7638888889</v>
      </c>
      <c r="E1328" s="2" t="s">
        <v>41</v>
      </c>
      <c r="F1328" s="2" t="s">
        <v>32</v>
      </c>
      <c r="G1328" s="2" t="n">
        <v>51171.39</v>
      </c>
      <c r="H1328" s="2" t="n">
        <v>434.45</v>
      </c>
      <c r="I1328" s="2" t="s">
        <v>26</v>
      </c>
      <c r="J1328" s="2" t="s">
        <v>4482</v>
      </c>
      <c r="K1328" s="2" t="s">
        <v>122</v>
      </c>
      <c r="L1328" s="2" t="s">
        <v>697</v>
      </c>
      <c r="M1328" s="2"/>
    </row>
    <row r="1329" customFormat="false" ht="15" hidden="false" customHeight="false" outlineLevel="0" collapsed="false">
      <c r="A1329" s="2" t="s">
        <v>4483</v>
      </c>
      <c r="B1329" s="2" t="s">
        <v>4484</v>
      </c>
      <c r="C1329" s="2" t="s">
        <v>4485</v>
      </c>
      <c r="D1329" s="13" t="n">
        <v>45640.7326388889</v>
      </c>
      <c r="E1329" s="2" t="s">
        <v>43</v>
      </c>
      <c r="F1329" s="2" t="s">
        <v>29</v>
      </c>
      <c r="G1329" s="2" t="n">
        <v>2879.82</v>
      </c>
      <c r="H1329" s="2" t="n">
        <v>12.02</v>
      </c>
      <c r="I1329" s="2" t="s">
        <v>26</v>
      </c>
      <c r="J1329" s="2" t="s">
        <v>4486</v>
      </c>
      <c r="K1329" s="2" t="s">
        <v>122</v>
      </c>
      <c r="L1329" s="2"/>
      <c r="M1329" s="2" t="s">
        <v>700</v>
      </c>
    </row>
    <row r="1330" customFormat="false" ht="15" hidden="false" customHeight="false" outlineLevel="0" collapsed="false">
      <c r="A1330" s="2" t="s">
        <v>4487</v>
      </c>
      <c r="B1330" s="2" t="s">
        <v>1824</v>
      </c>
      <c r="C1330" s="2" t="s">
        <v>1825</v>
      </c>
      <c r="D1330" s="13" t="n">
        <v>45816.6375</v>
      </c>
      <c r="E1330" s="2" t="s">
        <v>37</v>
      </c>
      <c r="F1330" s="2" t="s">
        <v>29</v>
      </c>
      <c r="G1330" s="2" t="n">
        <v>6439.08</v>
      </c>
      <c r="H1330" s="2" t="n">
        <v>14.32</v>
      </c>
      <c r="I1330" s="2" t="s">
        <v>26</v>
      </c>
      <c r="J1330" s="2" t="s">
        <v>4488</v>
      </c>
      <c r="K1330" s="2" t="s">
        <v>89</v>
      </c>
      <c r="L1330" s="2" t="s">
        <v>703</v>
      </c>
      <c r="M1330" s="2"/>
    </row>
    <row r="1331" customFormat="false" ht="15" hidden="false" customHeight="false" outlineLevel="0" collapsed="false">
      <c r="A1331" s="2" t="s">
        <v>4489</v>
      </c>
      <c r="B1331" s="2" t="s">
        <v>1845</v>
      </c>
      <c r="C1331" s="2" t="s">
        <v>1846</v>
      </c>
      <c r="D1331" s="13" t="n">
        <v>45808.3951388889</v>
      </c>
      <c r="E1331" s="2" t="s">
        <v>35</v>
      </c>
      <c r="F1331" s="2" t="s">
        <v>29</v>
      </c>
      <c r="G1331" s="2" t="n">
        <v>3844.63</v>
      </c>
      <c r="H1331" s="2" t="n">
        <v>13.58</v>
      </c>
      <c r="I1331" s="2" t="s">
        <v>26</v>
      </c>
      <c r="J1331" s="2" t="s">
        <v>4490</v>
      </c>
      <c r="K1331" s="2" t="s">
        <v>101</v>
      </c>
      <c r="L1331" s="2" t="s">
        <v>1320</v>
      </c>
      <c r="M1331" s="2"/>
    </row>
    <row r="1332" customFormat="false" ht="15" hidden="false" customHeight="false" outlineLevel="0" collapsed="false">
      <c r="A1332" s="2" t="s">
        <v>4491</v>
      </c>
      <c r="B1332" s="2" t="s">
        <v>1497</v>
      </c>
      <c r="C1332" s="2" t="s">
        <v>1498</v>
      </c>
      <c r="D1332" s="13" t="n">
        <v>45461.7173611111</v>
      </c>
      <c r="E1332" s="2" t="s">
        <v>43</v>
      </c>
      <c r="F1332" s="2" t="s">
        <v>32</v>
      </c>
      <c r="G1332" s="2" t="n">
        <v>6752.84</v>
      </c>
      <c r="H1332" s="2" t="n">
        <v>32.12</v>
      </c>
      <c r="I1332" s="2" t="s">
        <v>28</v>
      </c>
      <c r="J1332" s="2" t="s">
        <v>4492</v>
      </c>
      <c r="K1332" s="2" t="s">
        <v>95</v>
      </c>
      <c r="L1332" s="2"/>
      <c r="M1332" s="2" t="s">
        <v>233</v>
      </c>
    </row>
    <row r="1333" customFormat="false" ht="15" hidden="false" customHeight="false" outlineLevel="0" collapsed="false">
      <c r="A1333" s="2" t="s">
        <v>4493</v>
      </c>
      <c r="B1333" s="2" t="s">
        <v>4494</v>
      </c>
      <c r="C1333" s="2" t="s">
        <v>4495</v>
      </c>
      <c r="D1333" s="13" t="n">
        <v>45951.7375</v>
      </c>
      <c r="E1333" s="2" t="s">
        <v>35</v>
      </c>
      <c r="F1333" s="2" t="s">
        <v>27</v>
      </c>
      <c r="G1333" s="2" t="n">
        <v>4749.71</v>
      </c>
      <c r="H1333" s="2" t="n">
        <v>30.63</v>
      </c>
      <c r="I1333" s="2" t="s">
        <v>26</v>
      </c>
      <c r="J1333" s="2" t="s">
        <v>4496</v>
      </c>
      <c r="K1333" s="2" t="s">
        <v>89</v>
      </c>
      <c r="L1333" s="2"/>
      <c r="M1333" s="2" t="s">
        <v>238</v>
      </c>
    </row>
    <row r="1334" customFormat="false" ht="15" hidden="false" customHeight="false" outlineLevel="0" collapsed="false">
      <c r="A1334" s="2" t="s">
        <v>4497</v>
      </c>
      <c r="B1334" s="2" t="s">
        <v>888</v>
      </c>
      <c r="C1334" s="2" t="s">
        <v>889</v>
      </c>
      <c r="D1334" s="13" t="n">
        <v>45311.7638888889</v>
      </c>
      <c r="E1334" s="2" t="s">
        <v>41</v>
      </c>
      <c r="F1334" s="2" t="s">
        <v>29</v>
      </c>
      <c r="G1334" s="2" t="n">
        <v>1681.15</v>
      </c>
      <c r="H1334" s="2" t="n">
        <v>14.27</v>
      </c>
      <c r="I1334" s="2" t="s">
        <v>26</v>
      </c>
      <c r="J1334" s="2" t="s">
        <v>4498</v>
      </c>
      <c r="K1334" s="2" t="s">
        <v>122</v>
      </c>
      <c r="L1334" s="2" t="s">
        <v>1877</v>
      </c>
      <c r="M1334" s="2"/>
    </row>
    <row r="1335" customFormat="false" ht="15" hidden="false" customHeight="false" outlineLevel="0" collapsed="false">
      <c r="A1335" s="2" t="s">
        <v>4499</v>
      </c>
      <c r="B1335" s="2" t="s">
        <v>2821</v>
      </c>
      <c r="C1335" s="2" t="s">
        <v>2822</v>
      </c>
      <c r="D1335" s="13" t="n">
        <v>45774.9208333333</v>
      </c>
      <c r="E1335" s="2" t="s">
        <v>41</v>
      </c>
      <c r="F1335" s="2" t="s">
        <v>31</v>
      </c>
      <c r="G1335" s="2" t="n">
        <v>2498.75</v>
      </c>
      <c r="H1335" s="2" t="n">
        <v>19.08</v>
      </c>
      <c r="I1335" s="2" t="s">
        <v>28</v>
      </c>
      <c r="J1335" s="2" t="s">
        <v>4500</v>
      </c>
      <c r="K1335" s="2" t="s">
        <v>101</v>
      </c>
      <c r="L1335" s="2" t="s">
        <v>1339</v>
      </c>
      <c r="M1335" s="2"/>
    </row>
    <row r="1336" customFormat="false" ht="15" hidden="false" customHeight="false" outlineLevel="0" collapsed="false">
      <c r="A1336" s="2" t="s">
        <v>4501</v>
      </c>
      <c r="B1336" s="2" t="s">
        <v>4502</v>
      </c>
      <c r="C1336" s="2" t="s">
        <v>4503</v>
      </c>
      <c r="D1336" s="13" t="n">
        <v>45919.3548611111</v>
      </c>
      <c r="E1336" s="2" t="s">
        <v>39</v>
      </c>
      <c r="F1336" s="2" t="s">
        <v>29</v>
      </c>
      <c r="G1336" s="2" t="n">
        <v>159.55</v>
      </c>
      <c r="H1336" s="2" t="n">
        <v>5</v>
      </c>
      <c r="I1336" s="2" t="s">
        <v>26</v>
      </c>
      <c r="J1336" s="2" t="s">
        <v>4504</v>
      </c>
      <c r="K1336" s="2" t="s">
        <v>101</v>
      </c>
      <c r="L1336" s="2" t="s">
        <v>1344</v>
      </c>
      <c r="M1336" s="2"/>
    </row>
    <row r="1337" customFormat="false" ht="15" hidden="false" customHeight="false" outlineLevel="0" collapsed="false">
      <c r="A1337" s="2" t="s">
        <v>4505</v>
      </c>
      <c r="B1337" s="2" t="s">
        <v>809</v>
      </c>
      <c r="C1337" s="2" t="s">
        <v>810</v>
      </c>
      <c r="D1337" s="13" t="n">
        <v>45766.8798611111</v>
      </c>
      <c r="E1337" s="2" t="s">
        <v>35</v>
      </c>
      <c r="F1337" s="2" t="s">
        <v>29</v>
      </c>
      <c r="G1337" s="2" t="n">
        <v>6359.53</v>
      </c>
      <c r="H1337" s="2" t="n">
        <v>67.34</v>
      </c>
      <c r="I1337" s="2" t="s">
        <v>26</v>
      </c>
      <c r="J1337" s="2" t="s">
        <v>4506</v>
      </c>
      <c r="K1337" s="2" t="s">
        <v>89</v>
      </c>
      <c r="L1337" s="2" t="s">
        <v>731</v>
      </c>
      <c r="M1337" s="2"/>
    </row>
    <row r="1338" customFormat="false" ht="15" hidden="false" customHeight="false" outlineLevel="0" collapsed="false">
      <c r="A1338" s="2" t="s">
        <v>4507</v>
      </c>
      <c r="B1338" s="2" t="s">
        <v>3070</v>
      </c>
      <c r="C1338" s="2" t="s">
        <v>3071</v>
      </c>
      <c r="D1338" s="13" t="n">
        <v>45967.6555555556</v>
      </c>
      <c r="E1338" s="2" t="s">
        <v>35</v>
      </c>
      <c r="F1338" s="2" t="s">
        <v>27</v>
      </c>
      <c r="G1338" s="2" t="n">
        <v>4325.93</v>
      </c>
      <c r="H1338" s="2" t="n">
        <v>23.9</v>
      </c>
      <c r="I1338" s="2" t="s">
        <v>28</v>
      </c>
      <c r="J1338" s="2" t="s">
        <v>4508</v>
      </c>
      <c r="K1338" s="2" t="s">
        <v>101</v>
      </c>
      <c r="L1338" s="2"/>
      <c r="M1338" s="2" t="s">
        <v>263</v>
      </c>
    </row>
    <row r="1339" customFormat="false" ht="15" hidden="false" customHeight="false" outlineLevel="0" collapsed="false">
      <c r="A1339" s="2" t="s">
        <v>4509</v>
      </c>
      <c r="B1339" s="2" t="s">
        <v>2183</v>
      </c>
      <c r="C1339" s="2" t="s">
        <v>2184</v>
      </c>
      <c r="D1339" s="13" t="n">
        <v>45552.4263888889</v>
      </c>
      <c r="E1339" s="2" t="s">
        <v>37</v>
      </c>
      <c r="F1339" s="2" t="s">
        <v>29</v>
      </c>
      <c r="G1339" s="2" t="n">
        <v>1867.93</v>
      </c>
      <c r="H1339" s="2" t="n">
        <v>17.39</v>
      </c>
      <c r="I1339" s="2" t="s">
        <v>26</v>
      </c>
      <c r="J1339" s="2" t="s">
        <v>4510</v>
      </c>
      <c r="K1339" s="2" t="s">
        <v>122</v>
      </c>
      <c r="L1339" s="2" t="s">
        <v>738</v>
      </c>
      <c r="M1339" s="2"/>
    </row>
    <row r="1340" customFormat="false" ht="15" hidden="false" customHeight="false" outlineLevel="0" collapsed="false">
      <c r="A1340" s="2" t="s">
        <v>4511</v>
      </c>
      <c r="B1340" s="2" t="s">
        <v>3269</v>
      </c>
      <c r="C1340" s="2" t="s">
        <v>3270</v>
      </c>
      <c r="D1340" s="13" t="n">
        <v>45628.7701388889</v>
      </c>
      <c r="E1340" s="2" t="s">
        <v>41</v>
      </c>
      <c r="F1340" s="2" t="s">
        <v>29</v>
      </c>
      <c r="G1340" s="2" t="n">
        <v>929.41</v>
      </c>
      <c r="H1340" s="2" t="n">
        <v>5</v>
      </c>
      <c r="I1340" s="2" t="s">
        <v>26</v>
      </c>
      <c r="J1340" s="2" t="s">
        <v>4512</v>
      </c>
      <c r="K1340" s="2" t="s">
        <v>101</v>
      </c>
      <c r="L1340" s="2" t="s">
        <v>743</v>
      </c>
      <c r="M1340" s="2"/>
    </row>
    <row r="1341" customFormat="false" ht="15" hidden="false" customHeight="false" outlineLevel="0" collapsed="false">
      <c r="A1341" s="2" t="s">
        <v>4513</v>
      </c>
      <c r="B1341" s="2" t="s">
        <v>4514</v>
      </c>
      <c r="C1341" s="2" t="s">
        <v>4515</v>
      </c>
      <c r="D1341" s="13" t="n">
        <v>45310.7715277778</v>
      </c>
      <c r="E1341" s="2" t="s">
        <v>43</v>
      </c>
      <c r="F1341" s="2" t="s">
        <v>31</v>
      </c>
      <c r="G1341" s="2" t="n">
        <v>7377.28</v>
      </c>
      <c r="H1341" s="2" t="n">
        <v>50.74</v>
      </c>
      <c r="I1341" s="2" t="s">
        <v>30</v>
      </c>
      <c r="J1341" s="2" t="s">
        <v>4516</v>
      </c>
      <c r="K1341" s="2" t="s">
        <v>122</v>
      </c>
      <c r="L1341" s="2"/>
      <c r="M1341" s="2" t="s">
        <v>278</v>
      </c>
    </row>
    <row r="1342" customFormat="false" ht="15" hidden="false" customHeight="false" outlineLevel="0" collapsed="false">
      <c r="A1342" s="2" t="s">
        <v>4517</v>
      </c>
      <c r="B1342" s="2" t="s">
        <v>1336</v>
      </c>
      <c r="C1342" s="2" t="s">
        <v>1337</v>
      </c>
      <c r="D1342" s="13" t="n">
        <v>45337.4930555556</v>
      </c>
      <c r="E1342" s="2" t="s">
        <v>39</v>
      </c>
      <c r="F1342" s="2" t="s">
        <v>32</v>
      </c>
      <c r="G1342" s="2" t="n">
        <v>17244.53</v>
      </c>
      <c r="H1342" s="2" t="n">
        <v>191.26</v>
      </c>
      <c r="I1342" s="2" t="s">
        <v>26</v>
      </c>
      <c r="J1342" s="2" t="s">
        <v>4518</v>
      </c>
      <c r="K1342" s="2" t="s">
        <v>95</v>
      </c>
      <c r="L1342" s="2" t="s">
        <v>752</v>
      </c>
      <c r="M1342" s="2"/>
    </row>
    <row r="1343" customFormat="false" ht="15" hidden="false" customHeight="false" outlineLevel="0" collapsed="false">
      <c r="A1343" s="2" t="s">
        <v>4519</v>
      </c>
      <c r="B1343" s="2" t="s">
        <v>3265</v>
      </c>
      <c r="C1343" s="2" t="s">
        <v>3266</v>
      </c>
      <c r="D1343" s="13" t="n">
        <v>45510.6861111111</v>
      </c>
      <c r="E1343" s="2" t="s">
        <v>37</v>
      </c>
      <c r="F1343" s="2" t="s">
        <v>31</v>
      </c>
      <c r="G1343" s="2" t="n">
        <v>1287.56</v>
      </c>
      <c r="H1343" s="2" t="n">
        <v>10.21</v>
      </c>
      <c r="I1343" s="2" t="s">
        <v>26</v>
      </c>
      <c r="J1343" s="2" t="s">
        <v>4520</v>
      </c>
      <c r="K1343" s="2" t="s">
        <v>122</v>
      </c>
      <c r="L1343" s="2" t="s">
        <v>757</v>
      </c>
      <c r="M1343" s="2"/>
    </row>
    <row r="1344" customFormat="false" ht="15" hidden="false" customHeight="false" outlineLevel="0" collapsed="false">
      <c r="A1344" s="2" t="s">
        <v>4521</v>
      </c>
      <c r="B1344" s="2" t="s">
        <v>380</v>
      </c>
      <c r="C1344" s="2" t="s">
        <v>381</v>
      </c>
      <c r="D1344" s="13" t="n">
        <v>45896.9486111111</v>
      </c>
      <c r="E1344" s="2" t="s">
        <v>35</v>
      </c>
      <c r="F1344" s="2" t="s">
        <v>29</v>
      </c>
      <c r="G1344" s="2" t="n">
        <v>2174.32</v>
      </c>
      <c r="H1344" s="2" t="n">
        <v>16.44</v>
      </c>
      <c r="I1344" s="2" t="s">
        <v>26</v>
      </c>
      <c r="J1344" s="2" t="s">
        <v>4522</v>
      </c>
      <c r="K1344" s="2" t="s">
        <v>95</v>
      </c>
      <c r="L1344" s="2" t="s">
        <v>1912</v>
      </c>
      <c r="M1344" s="2"/>
    </row>
    <row r="1345" customFormat="false" ht="15" hidden="false" customHeight="false" outlineLevel="0" collapsed="false">
      <c r="A1345" s="2" t="s">
        <v>4523</v>
      </c>
      <c r="B1345" s="2" t="s">
        <v>664</v>
      </c>
      <c r="C1345" s="2" t="s">
        <v>665</v>
      </c>
      <c r="D1345" s="13" t="n">
        <v>45582.78125</v>
      </c>
      <c r="E1345" s="2" t="s">
        <v>39</v>
      </c>
      <c r="F1345" s="2" t="s">
        <v>31</v>
      </c>
      <c r="G1345" s="2" t="n">
        <v>3708.26</v>
      </c>
      <c r="H1345" s="2" t="n">
        <v>38</v>
      </c>
      <c r="I1345" s="2" t="s">
        <v>26</v>
      </c>
      <c r="J1345" s="2" t="s">
        <v>4524</v>
      </c>
      <c r="K1345" s="2" t="s">
        <v>122</v>
      </c>
      <c r="L1345" s="2" t="s">
        <v>1374</v>
      </c>
      <c r="M1345" s="2"/>
    </row>
    <row r="1346" customFormat="false" ht="15" hidden="false" customHeight="false" outlineLevel="0" collapsed="false">
      <c r="A1346" s="2" t="s">
        <v>4525</v>
      </c>
      <c r="B1346" s="2" t="s">
        <v>2406</v>
      </c>
      <c r="C1346" s="2" t="s">
        <v>2407</v>
      </c>
      <c r="D1346" s="13" t="n">
        <v>45922.3208333333</v>
      </c>
      <c r="E1346" s="2" t="s">
        <v>43</v>
      </c>
      <c r="F1346" s="2" t="s">
        <v>29</v>
      </c>
      <c r="G1346" s="2" t="n">
        <v>3605.93</v>
      </c>
      <c r="H1346" s="2" t="n">
        <v>21.03</v>
      </c>
      <c r="I1346" s="2" t="s">
        <v>28</v>
      </c>
      <c r="J1346" s="2" t="s">
        <v>4526</v>
      </c>
      <c r="K1346" s="2" t="s">
        <v>89</v>
      </c>
      <c r="L1346" s="2"/>
      <c r="M1346" s="2" t="s">
        <v>1174</v>
      </c>
    </row>
    <row r="1347" customFormat="false" ht="15" hidden="false" customHeight="false" outlineLevel="0" collapsed="false">
      <c r="A1347" s="2" t="s">
        <v>4527</v>
      </c>
      <c r="B1347" s="2" t="s">
        <v>4528</v>
      </c>
      <c r="C1347" s="2" t="s">
        <v>4529</v>
      </c>
      <c r="D1347" s="13" t="n">
        <v>45848.8638888889</v>
      </c>
      <c r="E1347" s="2" t="s">
        <v>39</v>
      </c>
      <c r="F1347" s="2" t="s">
        <v>27</v>
      </c>
      <c r="G1347" s="2" t="n">
        <v>80158.61</v>
      </c>
      <c r="H1347" s="2" t="n">
        <v>410.89</v>
      </c>
      <c r="I1347" s="2" t="s">
        <v>30</v>
      </c>
      <c r="J1347" s="2" t="s">
        <v>4530</v>
      </c>
      <c r="K1347" s="2" t="s">
        <v>95</v>
      </c>
      <c r="L1347" s="2"/>
      <c r="M1347" s="2" t="s">
        <v>774</v>
      </c>
    </row>
    <row r="1348" customFormat="false" ht="15" hidden="false" customHeight="false" outlineLevel="0" collapsed="false">
      <c r="A1348" s="2" t="s">
        <v>4531</v>
      </c>
      <c r="B1348" s="2" t="s">
        <v>4532</v>
      </c>
      <c r="C1348" s="2" t="s">
        <v>4533</v>
      </c>
      <c r="D1348" s="13" t="n">
        <v>45665.6125</v>
      </c>
      <c r="E1348" s="2" t="s">
        <v>37</v>
      </c>
      <c r="F1348" s="2" t="s">
        <v>27</v>
      </c>
      <c r="G1348" s="2" t="n">
        <v>6055.16</v>
      </c>
      <c r="H1348" s="2" t="n">
        <v>47.56</v>
      </c>
      <c r="I1348" s="2" t="s">
        <v>30</v>
      </c>
      <c r="J1348" s="2" t="s">
        <v>4534</v>
      </c>
      <c r="K1348" s="2" t="s">
        <v>95</v>
      </c>
      <c r="L1348" s="2"/>
      <c r="M1348" s="2" t="s">
        <v>313</v>
      </c>
    </row>
    <row r="1349" customFormat="false" ht="15" hidden="false" customHeight="false" outlineLevel="0" collapsed="false">
      <c r="A1349" s="2" t="s">
        <v>4535</v>
      </c>
      <c r="B1349" s="2" t="s">
        <v>978</v>
      </c>
      <c r="C1349" s="2" t="s">
        <v>979</v>
      </c>
      <c r="D1349" s="13" t="n">
        <v>45494.8548611111</v>
      </c>
      <c r="E1349" s="2" t="s">
        <v>37</v>
      </c>
      <c r="F1349" s="2" t="s">
        <v>31</v>
      </c>
      <c r="G1349" s="2" t="n">
        <v>6393.46</v>
      </c>
      <c r="H1349" s="2" t="n">
        <v>46.49</v>
      </c>
      <c r="I1349" s="2" t="s">
        <v>26</v>
      </c>
      <c r="J1349" s="2" t="s">
        <v>4536</v>
      </c>
      <c r="K1349" s="2" t="s">
        <v>89</v>
      </c>
      <c r="L1349" s="2" t="s">
        <v>1389</v>
      </c>
      <c r="M1349" s="2"/>
    </row>
    <row r="1350" customFormat="false" ht="15" hidden="false" customHeight="false" outlineLevel="0" collapsed="false">
      <c r="A1350" s="2" t="s">
        <v>4537</v>
      </c>
      <c r="B1350" s="2" t="s">
        <v>510</v>
      </c>
      <c r="C1350" s="2" t="s">
        <v>511</v>
      </c>
      <c r="D1350" s="13" t="n">
        <v>45423.4819444444</v>
      </c>
      <c r="E1350" s="2" t="s">
        <v>41</v>
      </c>
      <c r="F1350" s="2" t="s">
        <v>32</v>
      </c>
      <c r="G1350" s="2" t="n">
        <v>4403.21</v>
      </c>
      <c r="H1350" s="2" t="n">
        <v>12.57</v>
      </c>
      <c r="I1350" s="2" t="s">
        <v>26</v>
      </c>
      <c r="J1350" s="2" t="s">
        <v>4538</v>
      </c>
      <c r="K1350" s="2" t="s">
        <v>89</v>
      </c>
      <c r="L1350" s="2" t="s">
        <v>1935</v>
      </c>
      <c r="M1350" s="2"/>
    </row>
    <row r="1351" customFormat="false" ht="15" hidden="false" customHeight="false" outlineLevel="0" collapsed="false">
      <c r="A1351" s="2" t="s">
        <v>4539</v>
      </c>
      <c r="B1351" s="2" t="s">
        <v>4076</v>
      </c>
      <c r="C1351" s="2" t="s">
        <v>4077</v>
      </c>
      <c r="D1351" s="13" t="n">
        <v>45490.2944444444</v>
      </c>
      <c r="E1351" s="2" t="s">
        <v>35</v>
      </c>
      <c r="F1351" s="2" t="s">
        <v>32</v>
      </c>
      <c r="G1351" s="2" t="n">
        <v>2669.65</v>
      </c>
      <c r="H1351" s="2" t="n">
        <v>17.84</v>
      </c>
      <c r="I1351" s="2" t="s">
        <v>26</v>
      </c>
      <c r="J1351" s="2" t="s">
        <v>4540</v>
      </c>
      <c r="K1351" s="2" t="s">
        <v>101</v>
      </c>
      <c r="L1351" s="2" t="s">
        <v>1396</v>
      </c>
      <c r="M1351" s="2"/>
    </row>
    <row r="1352" customFormat="false" ht="15" hidden="false" customHeight="false" outlineLevel="0" collapsed="false">
      <c r="A1352" s="2" t="s">
        <v>4541</v>
      </c>
      <c r="B1352" s="2" t="s">
        <v>2625</v>
      </c>
      <c r="C1352" s="2" t="s">
        <v>2626</v>
      </c>
      <c r="D1352" s="13" t="n">
        <v>45921.6020833333</v>
      </c>
      <c r="E1352" s="2" t="s">
        <v>37</v>
      </c>
      <c r="F1352" s="2" t="s">
        <v>27</v>
      </c>
      <c r="G1352" s="2" t="n">
        <v>2449.28</v>
      </c>
      <c r="H1352" s="2" t="n">
        <v>10.41</v>
      </c>
      <c r="I1352" s="2" t="s">
        <v>26</v>
      </c>
      <c r="J1352" s="2" t="s">
        <v>4542</v>
      </c>
      <c r="K1352" s="2" t="s">
        <v>89</v>
      </c>
      <c r="L1352" s="2"/>
      <c r="M1352" s="2" t="s">
        <v>795</v>
      </c>
    </row>
    <row r="1353" customFormat="false" ht="15" hidden="false" customHeight="false" outlineLevel="0" collapsed="false">
      <c r="A1353" s="2" t="s">
        <v>4543</v>
      </c>
      <c r="B1353" s="2" t="s">
        <v>4544</v>
      </c>
      <c r="C1353" s="2" t="s">
        <v>4545</v>
      </c>
      <c r="D1353" s="13" t="n">
        <v>46003.6479166667</v>
      </c>
      <c r="E1353" s="2" t="s">
        <v>41</v>
      </c>
      <c r="F1353" s="2" t="s">
        <v>29</v>
      </c>
      <c r="G1353" s="2" t="n">
        <v>9471.21</v>
      </c>
      <c r="H1353" s="2" t="n">
        <v>105.53</v>
      </c>
      <c r="I1353" s="2" t="s">
        <v>30</v>
      </c>
      <c r="J1353" s="2" t="s">
        <v>4546</v>
      </c>
      <c r="K1353" s="2" t="s">
        <v>122</v>
      </c>
      <c r="L1353" s="2" t="s">
        <v>96</v>
      </c>
      <c r="M1353" s="2"/>
    </row>
    <row r="1354" customFormat="false" ht="15" hidden="false" customHeight="false" outlineLevel="0" collapsed="false">
      <c r="A1354" s="2" t="s">
        <v>4547</v>
      </c>
      <c r="B1354" s="2" t="s">
        <v>908</v>
      </c>
      <c r="C1354" s="2" t="s">
        <v>909</v>
      </c>
      <c r="D1354" s="13" t="n">
        <v>45665.475</v>
      </c>
      <c r="E1354" s="2" t="s">
        <v>35</v>
      </c>
      <c r="F1354" s="2" t="s">
        <v>32</v>
      </c>
      <c r="G1354" s="2" t="n">
        <v>12634.38</v>
      </c>
      <c r="H1354" s="2" t="n">
        <v>148.37</v>
      </c>
      <c r="I1354" s="2" t="s">
        <v>30</v>
      </c>
      <c r="J1354" s="2" t="s">
        <v>4548</v>
      </c>
      <c r="K1354" s="2" t="s">
        <v>122</v>
      </c>
      <c r="L1354" s="2" t="s">
        <v>102</v>
      </c>
      <c r="M1354" s="2"/>
    </row>
    <row r="1355" customFormat="false" ht="15" hidden="false" customHeight="false" outlineLevel="0" collapsed="false">
      <c r="A1355" s="2" t="s">
        <v>4549</v>
      </c>
      <c r="B1355" s="2" t="s">
        <v>1484</v>
      </c>
      <c r="C1355" s="2" t="s">
        <v>1485</v>
      </c>
      <c r="D1355" s="13" t="n">
        <v>45774.65625</v>
      </c>
      <c r="E1355" s="2" t="s">
        <v>43</v>
      </c>
      <c r="F1355" s="2" t="s">
        <v>27</v>
      </c>
      <c r="G1355" s="2" t="n">
        <v>6718.54</v>
      </c>
      <c r="H1355" s="2" t="n">
        <v>72.99</v>
      </c>
      <c r="I1355" s="2" t="s">
        <v>26</v>
      </c>
      <c r="J1355" s="2" t="s">
        <v>4550</v>
      </c>
      <c r="K1355" s="2" t="s">
        <v>89</v>
      </c>
      <c r="L1355" s="2"/>
      <c r="M1355" s="2" t="s">
        <v>348</v>
      </c>
    </row>
    <row r="1356" customFormat="false" ht="15" hidden="false" customHeight="false" outlineLevel="0" collapsed="false">
      <c r="A1356" s="2" t="s">
        <v>4551</v>
      </c>
      <c r="B1356" s="2" t="s">
        <v>4300</v>
      </c>
      <c r="C1356" s="2" t="s">
        <v>4301</v>
      </c>
      <c r="D1356" s="13" t="n">
        <v>45421.4666666667</v>
      </c>
      <c r="E1356" s="2" t="s">
        <v>41</v>
      </c>
      <c r="F1356" s="2" t="s">
        <v>29</v>
      </c>
      <c r="G1356" s="2" t="n">
        <v>7410.26</v>
      </c>
      <c r="H1356" s="2" t="n">
        <v>34.37</v>
      </c>
      <c r="I1356" s="2" t="s">
        <v>26</v>
      </c>
      <c r="J1356" s="2" t="s">
        <v>4552</v>
      </c>
      <c r="K1356" s="2" t="s">
        <v>122</v>
      </c>
      <c r="L1356" s="2" t="s">
        <v>812</v>
      </c>
      <c r="M1356" s="2"/>
    </row>
    <row r="1357" customFormat="false" ht="15" hidden="false" customHeight="false" outlineLevel="0" collapsed="false">
      <c r="A1357" s="2" t="s">
        <v>4553</v>
      </c>
      <c r="B1357" s="2" t="s">
        <v>3936</v>
      </c>
      <c r="C1357" s="2" t="s">
        <v>3937</v>
      </c>
      <c r="D1357" s="13" t="n">
        <v>45402.9513888889</v>
      </c>
      <c r="E1357" s="2" t="s">
        <v>35</v>
      </c>
      <c r="F1357" s="2" t="s">
        <v>29</v>
      </c>
      <c r="G1357" s="2" t="n">
        <v>7065.91</v>
      </c>
      <c r="H1357" s="2" t="n">
        <v>83.27</v>
      </c>
      <c r="I1357" s="2" t="s">
        <v>26</v>
      </c>
      <c r="J1357" s="2" t="s">
        <v>4554</v>
      </c>
      <c r="K1357" s="2" t="s">
        <v>101</v>
      </c>
      <c r="L1357" s="2" t="s">
        <v>117</v>
      </c>
      <c r="M1357" s="2"/>
    </row>
    <row r="1358" customFormat="false" ht="15" hidden="false" customHeight="false" outlineLevel="0" collapsed="false">
      <c r="A1358" s="2" t="s">
        <v>4555</v>
      </c>
      <c r="B1358" s="2" t="s">
        <v>1214</v>
      </c>
      <c r="C1358" s="2" t="s">
        <v>1215</v>
      </c>
      <c r="D1358" s="13" t="n">
        <v>45562.6416666667</v>
      </c>
      <c r="E1358" s="2" t="s">
        <v>35</v>
      </c>
      <c r="F1358" s="2" t="s">
        <v>31</v>
      </c>
      <c r="G1358" s="2" t="n">
        <v>702.02</v>
      </c>
      <c r="H1358" s="2" t="n">
        <v>5</v>
      </c>
      <c r="I1358" s="2" t="s">
        <v>26</v>
      </c>
      <c r="J1358" s="2" t="s">
        <v>4556</v>
      </c>
      <c r="K1358" s="2" t="s">
        <v>89</v>
      </c>
      <c r="L1358" s="2" t="s">
        <v>123</v>
      </c>
      <c r="M1358" s="2"/>
    </row>
    <row r="1359" customFormat="false" ht="15" hidden="false" customHeight="false" outlineLevel="0" collapsed="false">
      <c r="A1359" s="2" t="s">
        <v>4557</v>
      </c>
      <c r="B1359" s="2" t="s">
        <v>4558</v>
      </c>
      <c r="C1359" s="2" t="s">
        <v>4559</v>
      </c>
      <c r="D1359" s="13" t="n">
        <v>45996.7118055556</v>
      </c>
      <c r="E1359" s="2" t="s">
        <v>43</v>
      </c>
      <c r="F1359" s="2" t="s">
        <v>31</v>
      </c>
      <c r="G1359" s="2" t="n">
        <v>5856.1</v>
      </c>
      <c r="H1359" s="2" t="n">
        <v>23.78</v>
      </c>
      <c r="I1359" s="2" t="s">
        <v>30</v>
      </c>
      <c r="J1359" s="2" t="s">
        <v>4560</v>
      </c>
      <c r="K1359" s="2" t="s">
        <v>95</v>
      </c>
      <c r="L1359" s="2"/>
      <c r="M1359" s="2" t="s">
        <v>1606</v>
      </c>
    </row>
    <row r="1360" customFormat="false" ht="15" hidden="false" customHeight="false" outlineLevel="0" collapsed="false">
      <c r="A1360" s="2" t="s">
        <v>4561</v>
      </c>
      <c r="B1360" s="2" t="s">
        <v>2449</v>
      </c>
      <c r="C1360" s="2" t="s">
        <v>2450</v>
      </c>
      <c r="D1360" s="13" t="n">
        <v>45731.7006944444</v>
      </c>
      <c r="E1360" s="2" t="s">
        <v>37</v>
      </c>
      <c r="F1360" s="2" t="s">
        <v>32</v>
      </c>
      <c r="G1360" s="2" t="n">
        <v>1897.59</v>
      </c>
      <c r="H1360" s="2" t="n">
        <v>5.32</v>
      </c>
      <c r="I1360" s="2" t="s">
        <v>26</v>
      </c>
      <c r="J1360" s="2" t="s">
        <v>4562</v>
      </c>
      <c r="K1360" s="2" t="s">
        <v>89</v>
      </c>
      <c r="L1360" s="2" t="s">
        <v>133</v>
      </c>
      <c r="M1360" s="2"/>
    </row>
    <row r="1361" customFormat="false" ht="15" hidden="false" customHeight="false" outlineLevel="0" collapsed="false">
      <c r="A1361" s="2" t="s">
        <v>4563</v>
      </c>
      <c r="B1361" s="2" t="s">
        <v>4564</v>
      </c>
      <c r="C1361" s="2" t="s">
        <v>4565</v>
      </c>
      <c r="D1361" s="13" t="n">
        <v>45368.6541666667</v>
      </c>
      <c r="E1361" s="2" t="s">
        <v>39</v>
      </c>
      <c r="F1361" s="2" t="s">
        <v>31</v>
      </c>
      <c r="G1361" s="2" t="n">
        <v>4219.89</v>
      </c>
      <c r="H1361" s="2" t="n">
        <v>22.1</v>
      </c>
      <c r="I1361" s="2" t="s">
        <v>26</v>
      </c>
      <c r="J1361" s="2" t="s">
        <v>4566</v>
      </c>
      <c r="K1361" s="2" t="s">
        <v>95</v>
      </c>
      <c r="L1361" s="2" t="s">
        <v>138</v>
      </c>
      <c r="M1361" s="2"/>
    </row>
    <row r="1362" customFormat="false" ht="15" hidden="false" customHeight="false" outlineLevel="0" collapsed="false">
      <c r="A1362" s="2" t="s">
        <v>4567</v>
      </c>
      <c r="B1362" s="2" t="s">
        <v>4568</v>
      </c>
      <c r="C1362" s="2" t="s">
        <v>4569</v>
      </c>
      <c r="D1362" s="13" t="n">
        <v>45465.5819444444</v>
      </c>
      <c r="E1362" s="2" t="s">
        <v>37</v>
      </c>
      <c r="F1362" s="2" t="s">
        <v>29</v>
      </c>
      <c r="G1362" s="2" t="n">
        <v>3176.8</v>
      </c>
      <c r="H1362" s="2" t="n">
        <v>22.5</v>
      </c>
      <c r="I1362" s="2" t="s">
        <v>26</v>
      </c>
      <c r="J1362" s="2" t="s">
        <v>4570</v>
      </c>
      <c r="K1362" s="2" t="s">
        <v>122</v>
      </c>
      <c r="L1362" s="2" t="s">
        <v>141</v>
      </c>
      <c r="M1362" s="2"/>
    </row>
    <row r="1363" customFormat="false" ht="15" hidden="false" customHeight="false" outlineLevel="0" collapsed="false">
      <c r="A1363" s="2" t="s">
        <v>4571</v>
      </c>
      <c r="B1363" s="2" t="s">
        <v>4572</v>
      </c>
      <c r="C1363" s="2" t="s">
        <v>4573</v>
      </c>
      <c r="D1363" s="13" t="n">
        <v>45878.3097222222</v>
      </c>
      <c r="E1363" s="2" t="s">
        <v>43</v>
      </c>
      <c r="F1363" s="2" t="s">
        <v>32</v>
      </c>
      <c r="G1363" s="2" t="n">
        <v>6875.63</v>
      </c>
      <c r="H1363" s="2" t="n">
        <v>21.2</v>
      </c>
      <c r="I1363" s="2" t="s">
        <v>26</v>
      </c>
      <c r="J1363" s="2" t="s">
        <v>4574</v>
      </c>
      <c r="K1363" s="2" t="s">
        <v>122</v>
      </c>
      <c r="L1363" s="2"/>
      <c r="M1363" s="2" t="s">
        <v>388</v>
      </c>
    </row>
    <row r="1364" customFormat="false" ht="15" hidden="false" customHeight="false" outlineLevel="0" collapsed="false">
      <c r="A1364" s="2" t="s">
        <v>4575</v>
      </c>
      <c r="B1364" s="2" t="s">
        <v>335</v>
      </c>
      <c r="C1364" s="2" t="s">
        <v>336</v>
      </c>
      <c r="D1364" s="13" t="n">
        <v>45910.75</v>
      </c>
      <c r="E1364" s="2" t="s">
        <v>39</v>
      </c>
      <c r="F1364" s="2" t="s">
        <v>27</v>
      </c>
      <c r="G1364" s="2" t="n">
        <v>3701.78</v>
      </c>
      <c r="H1364" s="2" t="n">
        <v>32.91</v>
      </c>
      <c r="I1364" s="2" t="s">
        <v>26</v>
      </c>
      <c r="J1364" s="2" t="s">
        <v>4576</v>
      </c>
      <c r="K1364" s="2" t="s">
        <v>89</v>
      </c>
      <c r="L1364" s="2"/>
      <c r="M1364" s="2" t="s">
        <v>1623</v>
      </c>
    </row>
    <row r="1365" customFormat="false" ht="15" hidden="false" customHeight="false" outlineLevel="0" collapsed="false">
      <c r="A1365" s="2" t="s">
        <v>4577</v>
      </c>
      <c r="B1365" s="2" t="s">
        <v>4578</v>
      </c>
      <c r="C1365" s="2" t="s">
        <v>4579</v>
      </c>
      <c r="D1365" s="13" t="n">
        <v>45442.3458333333</v>
      </c>
      <c r="E1365" s="2" t="s">
        <v>39</v>
      </c>
      <c r="F1365" s="2" t="s">
        <v>29</v>
      </c>
      <c r="G1365" s="2" t="n">
        <v>6677.6</v>
      </c>
      <c r="H1365" s="2" t="n">
        <v>39.72</v>
      </c>
      <c r="I1365" s="2" t="s">
        <v>26</v>
      </c>
      <c r="J1365" s="2" t="s">
        <v>4580</v>
      </c>
      <c r="K1365" s="2" t="s">
        <v>122</v>
      </c>
      <c r="L1365" s="2" t="s">
        <v>150</v>
      </c>
      <c r="M1365" s="2"/>
    </row>
    <row r="1366" customFormat="false" ht="15" hidden="false" customHeight="false" outlineLevel="0" collapsed="false">
      <c r="A1366" s="2" t="s">
        <v>4581</v>
      </c>
      <c r="B1366" s="2" t="s">
        <v>3578</v>
      </c>
      <c r="C1366" s="2" t="s">
        <v>3579</v>
      </c>
      <c r="D1366" s="13" t="n">
        <v>45880.5847222222</v>
      </c>
      <c r="E1366" s="2" t="s">
        <v>37</v>
      </c>
      <c r="F1366" s="2" t="s">
        <v>27</v>
      </c>
      <c r="G1366" s="2" t="n">
        <v>14719.7</v>
      </c>
      <c r="H1366" s="2" t="n">
        <v>67.23</v>
      </c>
      <c r="I1366" s="2" t="s">
        <v>26</v>
      </c>
      <c r="J1366" s="2" t="s">
        <v>4582</v>
      </c>
      <c r="K1366" s="2" t="s">
        <v>89</v>
      </c>
      <c r="L1366" s="2"/>
      <c r="M1366" s="2" t="s">
        <v>852</v>
      </c>
    </row>
    <row r="1367" customFormat="false" ht="15" hidden="false" customHeight="false" outlineLevel="0" collapsed="false">
      <c r="A1367" s="2" t="s">
        <v>4583</v>
      </c>
      <c r="B1367" s="2" t="s">
        <v>1653</v>
      </c>
      <c r="C1367" s="2" t="s">
        <v>1654</v>
      </c>
      <c r="D1367" s="13" t="n">
        <v>45919.3923611111</v>
      </c>
      <c r="E1367" s="2" t="s">
        <v>37</v>
      </c>
      <c r="F1367" s="2" t="s">
        <v>29</v>
      </c>
      <c r="G1367" s="2" t="n">
        <v>6074.43</v>
      </c>
      <c r="H1367" s="2" t="n">
        <v>53.56</v>
      </c>
      <c r="I1367" s="2" t="s">
        <v>28</v>
      </c>
      <c r="J1367" s="2" t="s">
        <v>4584</v>
      </c>
      <c r="K1367" s="2" t="s">
        <v>89</v>
      </c>
      <c r="L1367" s="2" t="s">
        <v>158</v>
      </c>
      <c r="M1367" s="2"/>
    </row>
    <row r="1368" customFormat="false" ht="15" hidden="false" customHeight="false" outlineLevel="0" collapsed="false">
      <c r="A1368" s="2" t="s">
        <v>4585</v>
      </c>
      <c r="B1368" s="2" t="s">
        <v>4444</v>
      </c>
      <c r="C1368" s="2" t="s">
        <v>4445</v>
      </c>
      <c r="D1368" s="13" t="n">
        <v>45870.9451388889</v>
      </c>
      <c r="E1368" s="2" t="s">
        <v>39</v>
      </c>
      <c r="F1368" s="2" t="s">
        <v>27</v>
      </c>
      <c r="G1368" s="2" t="n">
        <v>1230.64</v>
      </c>
      <c r="H1368" s="2" t="n">
        <v>6.6</v>
      </c>
      <c r="I1368" s="2" t="s">
        <v>30</v>
      </c>
      <c r="J1368" s="2" t="s">
        <v>4586</v>
      </c>
      <c r="K1368" s="2" t="s">
        <v>89</v>
      </c>
      <c r="L1368" s="2"/>
      <c r="M1368" s="2" t="s">
        <v>862</v>
      </c>
    </row>
    <row r="1369" customFormat="false" ht="15" hidden="false" customHeight="false" outlineLevel="0" collapsed="false">
      <c r="A1369" s="2" t="s">
        <v>4587</v>
      </c>
      <c r="B1369" s="2" t="s">
        <v>4588</v>
      </c>
      <c r="C1369" s="2" t="s">
        <v>4589</v>
      </c>
      <c r="D1369" s="13" t="n">
        <v>45857.4076388889</v>
      </c>
      <c r="E1369" s="2" t="s">
        <v>37</v>
      </c>
      <c r="F1369" s="2" t="s">
        <v>32</v>
      </c>
      <c r="G1369" s="2" t="n">
        <v>16522.11</v>
      </c>
      <c r="H1369" s="2" t="n">
        <v>49.54</v>
      </c>
      <c r="I1369" s="2" t="s">
        <v>28</v>
      </c>
      <c r="J1369" s="2" t="s">
        <v>4590</v>
      </c>
      <c r="K1369" s="2" t="s">
        <v>122</v>
      </c>
      <c r="L1369" s="2" t="s">
        <v>168</v>
      </c>
      <c r="M1369" s="2"/>
    </row>
    <row r="1370" customFormat="false" ht="15" hidden="false" customHeight="false" outlineLevel="0" collapsed="false">
      <c r="A1370" s="2" t="s">
        <v>4591</v>
      </c>
      <c r="B1370" s="2" t="s">
        <v>4592</v>
      </c>
      <c r="C1370" s="2" t="s">
        <v>4593</v>
      </c>
      <c r="D1370" s="13" t="n">
        <v>45303.8868055556</v>
      </c>
      <c r="E1370" s="2" t="s">
        <v>41</v>
      </c>
      <c r="F1370" s="2" t="s">
        <v>27</v>
      </c>
      <c r="G1370" s="2" t="n">
        <v>24115.07</v>
      </c>
      <c r="H1370" s="2" t="n">
        <v>130.45</v>
      </c>
      <c r="I1370" s="2" t="s">
        <v>26</v>
      </c>
      <c r="J1370" s="2" t="s">
        <v>4594</v>
      </c>
      <c r="K1370" s="2" t="s">
        <v>95</v>
      </c>
      <c r="L1370" s="2"/>
      <c r="M1370" s="2" t="s">
        <v>1645</v>
      </c>
    </row>
    <row r="1371" customFormat="false" ht="15" hidden="false" customHeight="false" outlineLevel="0" collapsed="false">
      <c r="A1371" s="2" t="s">
        <v>4595</v>
      </c>
      <c r="B1371" s="2" t="s">
        <v>4596</v>
      </c>
      <c r="C1371" s="2" t="s">
        <v>4597</v>
      </c>
      <c r="D1371" s="13" t="n">
        <v>45407.8583333333</v>
      </c>
      <c r="E1371" s="2" t="s">
        <v>43</v>
      </c>
      <c r="F1371" s="2" t="s">
        <v>27</v>
      </c>
      <c r="G1371" s="2" t="n">
        <v>21099.59</v>
      </c>
      <c r="H1371" s="2" t="n">
        <v>158.33</v>
      </c>
      <c r="I1371" s="2" t="s">
        <v>26</v>
      </c>
      <c r="J1371" s="2" t="s">
        <v>4598</v>
      </c>
      <c r="K1371" s="2" t="s">
        <v>101</v>
      </c>
      <c r="L1371" s="2"/>
      <c r="M1371" s="2" t="s">
        <v>871</v>
      </c>
    </row>
    <row r="1372" customFormat="false" ht="15" hidden="false" customHeight="false" outlineLevel="0" collapsed="false">
      <c r="A1372" s="2" t="s">
        <v>4599</v>
      </c>
      <c r="B1372" s="2" t="s">
        <v>1784</v>
      </c>
      <c r="C1372" s="2" t="s">
        <v>1785</v>
      </c>
      <c r="D1372" s="13" t="n">
        <v>45302.4965277778</v>
      </c>
      <c r="E1372" s="2" t="s">
        <v>35</v>
      </c>
      <c r="F1372" s="2" t="s">
        <v>32</v>
      </c>
      <c r="G1372" s="2" t="n">
        <v>17750.6</v>
      </c>
      <c r="H1372" s="2" t="n">
        <v>70.82</v>
      </c>
      <c r="I1372" s="2" t="s">
        <v>28</v>
      </c>
      <c r="J1372" s="2" t="s">
        <v>4600</v>
      </c>
      <c r="K1372" s="2" t="s">
        <v>101</v>
      </c>
      <c r="L1372" s="2" t="s">
        <v>874</v>
      </c>
      <c r="M1372" s="2"/>
    </row>
    <row r="1373" customFormat="false" ht="15" hidden="false" customHeight="false" outlineLevel="0" collapsed="false">
      <c r="A1373" s="2" t="s">
        <v>4601</v>
      </c>
      <c r="B1373" s="2" t="s">
        <v>1773</v>
      </c>
      <c r="C1373" s="2" t="s">
        <v>1774</v>
      </c>
      <c r="D1373" s="13" t="n">
        <v>45990.375</v>
      </c>
      <c r="E1373" s="2" t="s">
        <v>35</v>
      </c>
      <c r="F1373" s="2" t="s">
        <v>31</v>
      </c>
      <c r="G1373" s="2" t="n">
        <v>3024.61</v>
      </c>
      <c r="H1373" s="2" t="n">
        <v>32.83</v>
      </c>
      <c r="I1373" s="2" t="s">
        <v>26</v>
      </c>
      <c r="J1373" s="2" t="s">
        <v>4602</v>
      </c>
      <c r="K1373" s="2" t="s">
        <v>101</v>
      </c>
      <c r="L1373" s="2" t="s">
        <v>188</v>
      </c>
      <c r="M1373" s="2"/>
    </row>
    <row r="1374" customFormat="false" ht="15" hidden="false" customHeight="false" outlineLevel="0" collapsed="false">
      <c r="A1374" s="2" t="s">
        <v>4603</v>
      </c>
      <c r="B1374" s="2" t="s">
        <v>4604</v>
      </c>
      <c r="C1374" s="2" t="s">
        <v>4605</v>
      </c>
      <c r="D1374" s="13" t="n">
        <v>45551.8166666667</v>
      </c>
      <c r="E1374" s="2" t="s">
        <v>39</v>
      </c>
      <c r="F1374" s="2" t="s">
        <v>32</v>
      </c>
      <c r="G1374" s="2" t="n">
        <v>842.4</v>
      </c>
      <c r="H1374" s="2" t="n">
        <v>5</v>
      </c>
      <c r="I1374" s="2" t="s">
        <v>30</v>
      </c>
      <c r="J1374" s="2" t="s">
        <v>4606</v>
      </c>
      <c r="K1374" s="2" t="s">
        <v>89</v>
      </c>
      <c r="L1374" s="2" t="s">
        <v>193</v>
      </c>
      <c r="M1374" s="2"/>
    </row>
    <row r="1375" customFormat="false" ht="15" hidden="false" customHeight="false" outlineLevel="0" collapsed="false">
      <c r="A1375" s="2" t="s">
        <v>4607</v>
      </c>
      <c r="B1375" s="2" t="s">
        <v>4608</v>
      </c>
      <c r="C1375" s="2" t="s">
        <v>4609</v>
      </c>
      <c r="D1375" s="13" t="n">
        <v>45340.38125</v>
      </c>
      <c r="E1375" s="2" t="s">
        <v>35</v>
      </c>
      <c r="F1375" s="2" t="s">
        <v>29</v>
      </c>
      <c r="G1375" s="2" t="n">
        <v>10229.71</v>
      </c>
      <c r="H1375" s="2" t="n">
        <v>29.34</v>
      </c>
      <c r="I1375" s="2" t="s">
        <v>28</v>
      </c>
      <c r="J1375" s="2" t="s">
        <v>4610</v>
      </c>
      <c r="K1375" s="2" t="s">
        <v>122</v>
      </c>
      <c r="L1375" s="2" t="s">
        <v>1482</v>
      </c>
      <c r="M1375" s="2"/>
    </row>
    <row r="1376" customFormat="false" ht="15" hidden="false" customHeight="false" outlineLevel="0" collapsed="false">
      <c r="A1376" s="2" t="s">
        <v>4611</v>
      </c>
      <c r="B1376" s="2" t="s">
        <v>573</v>
      </c>
      <c r="C1376" s="2" t="s">
        <v>574</v>
      </c>
      <c r="D1376" s="13" t="n">
        <v>45884.3326388889</v>
      </c>
      <c r="E1376" s="2" t="s">
        <v>37</v>
      </c>
      <c r="F1376" s="2" t="s">
        <v>31</v>
      </c>
      <c r="G1376" s="2" t="n">
        <v>331.2</v>
      </c>
      <c r="H1376" s="2" t="n">
        <v>5</v>
      </c>
      <c r="I1376" s="2" t="s">
        <v>26</v>
      </c>
      <c r="J1376" s="2" t="s">
        <v>4612</v>
      </c>
      <c r="K1376" s="2" t="s">
        <v>122</v>
      </c>
      <c r="L1376" s="2" t="s">
        <v>891</v>
      </c>
      <c r="M1376" s="2"/>
    </row>
    <row r="1377" customFormat="false" ht="15" hidden="false" customHeight="false" outlineLevel="0" collapsed="false">
      <c r="A1377" s="2" t="s">
        <v>4613</v>
      </c>
      <c r="B1377" s="2" t="s">
        <v>470</v>
      </c>
      <c r="C1377" s="2" t="s">
        <v>471</v>
      </c>
      <c r="D1377" s="13" t="n">
        <v>45789.3</v>
      </c>
      <c r="E1377" s="2" t="s">
        <v>39</v>
      </c>
      <c r="F1377" s="2" t="s">
        <v>29</v>
      </c>
      <c r="G1377" s="2" t="n">
        <v>1032.01</v>
      </c>
      <c r="H1377" s="2" t="n">
        <v>6.73</v>
      </c>
      <c r="I1377" s="2" t="s">
        <v>26</v>
      </c>
      <c r="J1377" s="2" t="s">
        <v>4614</v>
      </c>
      <c r="K1377" s="2" t="s">
        <v>95</v>
      </c>
      <c r="L1377" s="2" t="s">
        <v>208</v>
      </c>
      <c r="M1377" s="2"/>
    </row>
    <row r="1378" customFormat="false" ht="15" hidden="false" customHeight="false" outlineLevel="0" collapsed="false">
      <c r="A1378" s="2" t="s">
        <v>4615</v>
      </c>
      <c r="B1378" s="2" t="s">
        <v>4340</v>
      </c>
      <c r="C1378" s="2" t="s">
        <v>4341</v>
      </c>
      <c r="D1378" s="13" t="n">
        <v>46007.7916666667</v>
      </c>
      <c r="E1378" s="2" t="s">
        <v>43</v>
      </c>
      <c r="F1378" s="2" t="s">
        <v>29</v>
      </c>
      <c r="G1378" s="2" t="n">
        <v>438.37</v>
      </c>
      <c r="H1378" s="2" t="n">
        <v>5</v>
      </c>
      <c r="I1378" s="2" t="s">
        <v>26</v>
      </c>
      <c r="J1378" s="2" t="s">
        <v>4616</v>
      </c>
      <c r="K1378" s="2" t="s">
        <v>95</v>
      </c>
      <c r="L1378" s="2"/>
      <c r="M1378" s="2" t="s">
        <v>463</v>
      </c>
    </row>
    <row r="1379" customFormat="false" ht="15" hidden="false" customHeight="false" outlineLevel="0" collapsed="false">
      <c r="A1379" s="2" t="s">
        <v>4617</v>
      </c>
      <c r="B1379" s="2" t="s">
        <v>1583</v>
      </c>
      <c r="C1379" s="2" t="s">
        <v>1584</v>
      </c>
      <c r="D1379" s="13" t="n">
        <v>45686.6298611111</v>
      </c>
      <c r="E1379" s="2" t="s">
        <v>37</v>
      </c>
      <c r="F1379" s="2" t="s">
        <v>27</v>
      </c>
      <c r="G1379" s="2" t="n">
        <v>8989.85</v>
      </c>
      <c r="H1379" s="2" t="n">
        <v>92.84</v>
      </c>
      <c r="I1379" s="2" t="s">
        <v>30</v>
      </c>
      <c r="J1379" s="2" t="s">
        <v>4618</v>
      </c>
      <c r="K1379" s="2" t="s">
        <v>122</v>
      </c>
      <c r="L1379" s="2"/>
      <c r="M1379" s="2" t="s">
        <v>1677</v>
      </c>
    </row>
    <row r="1380" customFormat="false" ht="15" hidden="false" customHeight="false" outlineLevel="0" collapsed="false">
      <c r="A1380" s="2" t="s">
        <v>4619</v>
      </c>
      <c r="B1380" s="2" t="s">
        <v>3852</v>
      </c>
      <c r="C1380" s="2" t="s">
        <v>3853</v>
      </c>
      <c r="D1380" s="13" t="n">
        <v>45354.3083333333</v>
      </c>
      <c r="E1380" s="2" t="s">
        <v>43</v>
      </c>
      <c r="F1380" s="2" t="s">
        <v>27</v>
      </c>
      <c r="G1380" s="2" t="n">
        <v>2327.22</v>
      </c>
      <c r="H1380" s="2" t="n">
        <v>26.57</v>
      </c>
      <c r="I1380" s="2" t="s">
        <v>30</v>
      </c>
      <c r="J1380" s="2" t="s">
        <v>4620</v>
      </c>
      <c r="K1380" s="2" t="s">
        <v>95</v>
      </c>
      <c r="L1380" s="2"/>
      <c r="M1380" s="2" t="s">
        <v>906</v>
      </c>
    </row>
    <row r="1381" customFormat="false" ht="15" hidden="false" customHeight="false" outlineLevel="0" collapsed="false">
      <c r="A1381" s="2" t="s">
        <v>4621</v>
      </c>
      <c r="B1381" s="2" t="s">
        <v>2673</v>
      </c>
      <c r="C1381" s="2" t="s">
        <v>2674</v>
      </c>
      <c r="D1381" s="13" t="n">
        <v>45373.95</v>
      </c>
      <c r="E1381" s="2" t="s">
        <v>43</v>
      </c>
      <c r="F1381" s="2" t="s">
        <v>27</v>
      </c>
      <c r="G1381" s="2" t="n">
        <v>2240.27</v>
      </c>
      <c r="H1381" s="2" t="n">
        <v>8.45</v>
      </c>
      <c r="I1381" s="2" t="s">
        <v>30</v>
      </c>
      <c r="J1381" s="2" t="s">
        <v>4622</v>
      </c>
      <c r="K1381" s="2" t="s">
        <v>122</v>
      </c>
      <c r="L1381" s="2"/>
      <c r="M1381" s="2" t="s">
        <v>1686</v>
      </c>
    </row>
    <row r="1382" customFormat="false" ht="15" hidden="false" customHeight="false" outlineLevel="0" collapsed="false">
      <c r="A1382" s="2" t="s">
        <v>4623</v>
      </c>
      <c r="B1382" s="2" t="s">
        <v>1166</v>
      </c>
      <c r="C1382" s="2" t="s">
        <v>1167</v>
      </c>
      <c r="D1382" s="13" t="n">
        <v>45803.6631944445</v>
      </c>
      <c r="E1382" s="2" t="s">
        <v>35</v>
      </c>
      <c r="F1382" s="2" t="s">
        <v>31</v>
      </c>
      <c r="G1382" s="2" t="n">
        <v>1161.54</v>
      </c>
      <c r="H1382" s="2" t="n">
        <v>5.83</v>
      </c>
      <c r="I1382" s="2" t="s">
        <v>28</v>
      </c>
      <c r="J1382" s="2" t="s">
        <v>4624</v>
      </c>
      <c r="K1382" s="2" t="s">
        <v>101</v>
      </c>
      <c r="L1382" s="2" t="s">
        <v>916</v>
      </c>
      <c r="M1382" s="2"/>
    </row>
    <row r="1383" customFormat="false" ht="15" hidden="false" customHeight="false" outlineLevel="0" collapsed="false">
      <c r="A1383" s="2" t="s">
        <v>4625</v>
      </c>
      <c r="B1383" s="2" t="s">
        <v>4626</v>
      </c>
      <c r="C1383" s="2" t="s">
        <v>4627</v>
      </c>
      <c r="D1383" s="13" t="n">
        <v>45741.5784722222</v>
      </c>
      <c r="E1383" s="2" t="s">
        <v>35</v>
      </c>
      <c r="F1383" s="2" t="s">
        <v>32</v>
      </c>
      <c r="G1383" s="2" t="n">
        <v>3065.03</v>
      </c>
      <c r="H1383" s="2" t="n">
        <v>16.58</v>
      </c>
      <c r="I1383" s="2" t="s">
        <v>26</v>
      </c>
      <c r="J1383" s="2" t="s">
        <v>4628</v>
      </c>
      <c r="K1383" s="2" t="s">
        <v>89</v>
      </c>
      <c r="L1383" s="2" t="s">
        <v>1513</v>
      </c>
      <c r="M1383" s="2"/>
    </row>
    <row r="1384" customFormat="false" ht="15" hidden="false" customHeight="false" outlineLevel="0" collapsed="false">
      <c r="A1384" s="2" t="s">
        <v>4629</v>
      </c>
      <c r="B1384" s="2" t="s">
        <v>510</v>
      </c>
      <c r="C1384" s="2" t="s">
        <v>511</v>
      </c>
      <c r="D1384" s="13" t="n">
        <v>45900.7861111111</v>
      </c>
      <c r="E1384" s="2" t="s">
        <v>37</v>
      </c>
      <c r="F1384" s="2" t="s">
        <v>31</v>
      </c>
      <c r="G1384" s="2" t="n">
        <v>13915.14</v>
      </c>
      <c r="H1384" s="2" t="n">
        <v>139.53</v>
      </c>
      <c r="I1384" s="2" t="s">
        <v>26</v>
      </c>
      <c r="J1384" s="2" t="s">
        <v>4630</v>
      </c>
      <c r="K1384" s="2" t="s">
        <v>89</v>
      </c>
      <c r="L1384" s="2" t="s">
        <v>243</v>
      </c>
      <c r="M1384" s="2"/>
    </row>
    <row r="1385" customFormat="false" ht="15" hidden="false" customHeight="false" outlineLevel="0" collapsed="false">
      <c r="A1385" s="2" t="s">
        <v>4631</v>
      </c>
      <c r="B1385" s="2" t="s">
        <v>629</v>
      </c>
      <c r="C1385" s="2" t="s">
        <v>630</v>
      </c>
      <c r="D1385" s="13" t="n">
        <v>45787.9340277778</v>
      </c>
      <c r="E1385" s="2" t="s">
        <v>35</v>
      </c>
      <c r="F1385" s="2" t="s">
        <v>27</v>
      </c>
      <c r="G1385" s="2" t="n">
        <v>2202.73</v>
      </c>
      <c r="H1385" s="2" t="n">
        <v>10.79</v>
      </c>
      <c r="I1385" s="2" t="s">
        <v>26</v>
      </c>
      <c r="J1385" s="2" t="s">
        <v>4632</v>
      </c>
      <c r="K1385" s="2" t="s">
        <v>122</v>
      </c>
      <c r="L1385" s="2"/>
      <c r="M1385" s="2" t="s">
        <v>498</v>
      </c>
    </row>
    <row r="1386" customFormat="false" ht="15" hidden="false" customHeight="false" outlineLevel="0" collapsed="false">
      <c r="A1386" s="2" t="s">
        <v>4633</v>
      </c>
      <c r="B1386" s="2" t="s">
        <v>2200</v>
      </c>
      <c r="C1386" s="2" t="s">
        <v>2201</v>
      </c>
      <c r="D1386" s="13" t="n">
        <v>45816.88125</v>
      </c>
      <c r="E1386" s="2" t="s">
        <v>43</v>
      </c>
      <c r="F1386" s="2" t="s">
        <v>29</v>
      </c>
      <c r="G1386" s="2" t="n">
        <v>661.19</v>
      </c>
      <c r="H1386" s="2" t="n">
        <v>5</v>
      </c>
      <c r="I1386" s="2" t="s">
        <v>26</v>
      </c>
      <c r="J1386" s="2" t="s">
        <v>4634</v>
      </c>
      <c r="K1386" s="2" t="s">
        <v>89</v>
      </c>
      <c r="L1386" s="2"/>
      <c r="M1386" s="2" t="s">
        <v>1703</v>
      </c>
    </row>
    <row r="1387" customFormat="false" ht="15" hidden="false" customHeight="false" outlineLevel="0" collapsed="false">
      <c r="A1387" s="2" t="s">
        <v>4635</v>
      </c>
      <c r="B1387" s="2" t="s">
        <v>2322</v>
      </c>
      <c r="C1387" s="2" t="s">
        <v>2323</v>
      </c>
      <c r="D1387" s="13" t="n">
        <v>45500.3180555556</v>
      </c>
      <c r="E1387" s="2" t="s">
        <v>35</v>
      </c>
      <c r="F1387" s="2" t="s">
        <v>27</v>
      </c>
      <c r="G1387" s="2" t="n">
        <v>5407.61</v>
      </c>
      <c r="H1387" s="2" t="n">
        <v>31.38</v>
      </c>
      <c r="I1387" s="2" t="s">
        <v>26</v>
      </c>
      <c r="J1387" s="2" t="s">
        <v>4636</v>
      </c>
      <c r="K1387" s="2" t="s">
        <v>122</v>
      </c>
      <c r="L1387" s="2"/>
      <c r="M1387" s="2" t="s">
        <v>2706</v>
      </c>
    </row>
    <row r="1388" customFormat="false" ht="15" hidden="false" customHeight="false" outlineLevel="0" collapsed="false">
      <c r="A1388" s="2" t="s">
        <v>4637</v>
      </c>
      <c r="B1388" s="2" t="s">
        <v>170</v>
      </c>
      <c r="C1388" s="2" t="s">
        <v>171</v>
      </c>
      <c r="D1388" s="13" t="n">
        <v>45896.5409722222</v>
      </c>
      <c r="E1388" s="2" t="s">
        <v>39</v>
      </c>
      <c r="F1388" s="2" t="s">
        <v>32</v>
      </c>
      <c r="G1388" s="2" t="n">
        <v>24131.61</v>
      </c>
      <c r="H1388" s="2" t="n">
        <v>256.5</v>
      </c>
      <c r="I1388" s="2" t="s">
        <v>28</v>
      </c>
      <c r="J1388" s="2" t="s">
        <v>4638</v>
      </c>
      <c r="K1388" s="2" t="s">
        <v>95</v>
      </c>
      <c r="L1388" s="2" t="s">
        <v>940</v>
      </c>
      <c r="M1388" s="2"/>
    </row>
    <row r="1389" customFormat="false" ht="15" hidden="false" customHeight="false" outlineLevel="0" collapsed="false">
      <c r="A1389" s="2" t="s">
        <v>4639</v>
      </c>
      <c r="B1389" s="2" t="s">
        <v>876</v>
      </c>
      <c r="C1389" s="2" t="s">
        <v>877</v>
      </c>
      <c r="D1389" s="13" t="n">
        <v>45711.9180555556</v>
      </c>
      <c r="E1389" s="2" t="s">
        <v>37</v>
      </c>
      <c r="F1389" s="2" t="s">
        <v>27</v>
      </c>
      <c r="G1389" s="2" t="n">
        <v>19049.28</v>
      </c>
      <c r="H1389" s="2" t="n">
        <v>206.33</v>
      </c>
      <c r="I1389" s="2" t="s">
        <v>28</v>
      </c>
      <c r="J1389" s="2" t="s">
        <v>4640</v>
      </c>
      <c r="K1389" s="2" t="s">
        <v>101</v>
      </c>
      <c r="L1389" s="2"/>
      <c r="M1389" s="2" t="s">
        <v>2390</v>
      </c>
    </row>
    <row r="1390" customFormat="false" ht="15" hidden="false" customHeight="false" outlineLevel="0" collapsed="false">
      <c r="A1390" s="2" t="s">
        <v>4641</v>
      </c>
      <c r="B1390" s="2" t="s">
        <v>2579</v>
      </c>
      <c r="C1390" s="2" t="s">
        <v>2580</v>
      </c>
      <c r="D1390" s="13" t="n">
        <v>45333.5666666667</v>
      </c>
      <c r="E1390" s="2" t="s">
        <v>41</v>
      </c>
      <c r="F1390" s="2" t="s">
        <v>27</v>
      </c>
      <c r="G1390" s="2" t="n">
        <v>7621.41</v>
      </c>
      <c r="H1390" s="2" t="n">
        <v>26.24</v>
      </c>
      <c r="I1390" s="2" t="s">
        <v>26</v>
      </c>
      <c r="J1390" s="2" t="s">
        <v>4642</v>
      </c>
      <c r="K1390" s="2" t="s">
        <v>95</v>
      </c>
      <c r="L1390" s="2"/>
      <c r="M1390" s="2" t="s">
        <v>950</v>
      </c>
    </row>
    <row r="1391" customFormat="false" ht="15" hidden="false" customHeight="false" outlineLevel="0" collapsed="false">
      <c r="A1391" s="2" t="s">
        <v>4643</v>
      </c>
      <c r="B1391" s="2" t="s">
        <v>3960</v>
      </c>
      <c r="C1391" s="2" t="s">
        <v>3961</v>
      </c>
      <c r="D1391" s="13" t="n">
        <v>45746.4041666667</v>
      </c>
      <c r="E1391" s="2" t="s">
        <v>41</v>
      </c>
      <c r="F1391" s="2" t="s">
        <v>27</v>
      </c>
      <c r="G1391" s="2" t="n">
        <v>3497.87</v>
      </c>
      <c r="H1391" s="2" t="n">
        <v>19.5</v>
      </c>
      <c r="I1391" s="2" t="s">
        <v>26</v>
      </c>
      <c r="J1391" s="2" t="s">
        <v>4644</v>
      </c>
      <c r="K1391" s="2" t="s">
        <v>95</v>
      </c>
      <c r="L1391" s="2"/>
      <c r="M1391" s="2" t="s">
        <v>528</v>
      </c>
    </row>
    <row r="1392" customFormat="false" ht="15" hidden="false" customHeight="false" outlineLevel="0" collapsed="false">
      <c r="A1392" s="2" t="s">
        <v>4645</v>
      </c>
      <c r="B1392" s="2" t="s">
        <v>754</v>
      </c>
      <c r="C1392" s="2" t="s">
        <v>755</v>
      </c>
      <c r="D1392" s="13" t="n">
        <v>45325.8569444444</v>
      </c>
      <c r="E1392" s="2" t="s">
        <v>41</v>
      </c>
      <c r="F1392" s="2" t="s">
        <v>31</v>
      </c>
      <c r="G1392" s="2" t="n">
        <v>1971.13</v>
      </c>
      <c r="H1392" s="2" t="n">
        <v>8.51</v>
      </c>
      <c r="I1392" s="2" t="s">
        <v>26</v>
      </c>
      <c r="J1392" s="2" t="s">
        <v>4646</v>
      </c>
      <c r="K1392" s="2" t="s">
        <v>95</v>
      </c>
      <c r="L1392" s="2" t="s">
        <v>283</v>
      </c>
      <c r="M1392" s="2"/>
    </row>
    <row r="1393" customFormat="false" ht="15" hidden="false" customHeight="false" outlineLevel="0" collapsed="false">
      <c r="A1393" s="2" t="s">
        <v>4647</v>
      </c>
      <c r="B1393" s="2" t="s">
        <v>2226</v>
      </c>
      <c r="C1393" s="2" t="s">
        <v>2227</v>
      </c>
      <c r="D1393" s="13" t="n">
        <v>45895.5944444445</v>
      </c>
      <c r="E1393" s="2" t="s">
        <v>37</v>
      </c>
      <c r="F1393" s="2" t="s">
        <v>29</v>
      </c>
      <c r="G1393" s="2" t="n">
        <v>2249.42</v>
      </c>
      <c r="H1393" s="2" t="n">
        <v>5.12</v>
      </c>
      <c r="I1393" s="2" t="s">
        <v>30</v>
      </c>
      <c r="J1393" s="2" t="s">
        <v>4648</v>
      </c>
      <c r="K1393" s="2" t="s">
        <v>95</v>
      </c>
      <c r="L1393" s="2" t="s">
        <v>963</v>
      </c>
      <c r="M1393" s="2"/>
    </row>
    <row r="1394" customFormat="false" ht="15" hidden="false" customHeight="false" outlineLevel="0" collapsed="false">
      <c r="A1394" s="2" t="s">
        <v>4649</v>
      </c>
      <c r="B1394" s="2" t="s">
        <v>4650</v>
      </c>
      <c r="C1394" s="2" t="s">
        <v>4651</v>
      </c>
      <c r="D1394" s="13" t="n">
        <v>45294.81875</v>
      </c>
      <c r="E1394" s="2" t="s">
        <v>43</v>
      </c>
      <c r="F1394" s="2" t="s">
        <v>27</v>
      </c>
      <c r="G1394" s="2" t="n">
        <v>2956.59</v>
      </c>
      <c r="H1394" s="2" t="n">
        <v>16</v>
      </c>
      <c r="I1394" s="2" t="s">
        <v>26</v>
      </c>
      <c r="J1394" s="2" t="s">
        <v>4652</v>
      </c>
      <c r="K1394" s="2" t="s">
        <v>95</v>
      </c>
      <c r="L1394" s="2"/>
      <c r="M1394" s="2" t="s">
        <v>1371</v>
      </c>
    </row>
    <row r="1395" customFormat="false" ht="15" hidden="false" customHeight="false" outlineLevel="0" collapsed="false">
      <c r="A1395" s="2" t="s">
        <v>4653</v>
      </c>
      <c r="B1395" s="2" t="s">
        <v>1406</v>
      </c>
      <c r="C1395" s="2" t="s">
        <v>1407</v>
      </c>
      <c r="D1395" s="13" t="n">
        <v>45604.3805555556</v>
      </c>
      <c r="E1395" s="2" t="s">
        <v>39</v>
      </c>
      <c r="F1395" s="2" t="s">
        <v>31</v>
      </c>
      <c r="G1395" s="2" t="n">
        <v>4077.52</v>
      </c>
      <c r="H1395" s="2" t="n">
        <v>37.33</v>
      </c>
      <c r="I1395" s="2" t="s">
        <v>26</v>
      </c>
      <c r="J1395" s="2" t="s">
        <v>4654</v>
      </c>
      <c r="K1395" s="2" t="s">
        <v>101</v>
      </c>
      <c r="L1395" s="2" t="s">
        <v>972</v>
      </c>
      <c r="M1395" s="2"/>
    </row>
    <row r="1396" customFormat="false" ht="15" hidden="false" customHeight="false" outlineLevel="0" collapsed="false">
      <c r="A1396" s="2" t="s">
        <v>4655</v>
      </c>
      <c r="B1396" s="2" t="s">
        <v>4340</v>
      </c>
      <c r="C1396" s="2" t="s">
        <v>4341</v>
      </c>
      <c r="D1396" s="13" t="n">
        <v>45835.7208333333</v>
      </c>
      <c r="E1396" s="2" t="s">
        <v>39</v>
      </c>
      <c r="F1396" s="2" t="s">
        <v>31</v>
      </c>
      <c r="G1396" s="2" t="n">
        <v>5151.85</v>
      </c>
      <c r="H1396" s="2" t="n">
        <v>27.85</v>
      </c>
      <c r="I1396" s="2" t="s">
        <v>28</v>
      </c>
      <c r="J1396" s="2" t="s">
        <v>4656</v>
      </c>
      <c r="K1396" s="2" t="s">
        <v>89</v>
      </c>
      <c r="L1396" s="2" t="s">
        <v>303</v>
      </c>
      <c r="M1396" s="2"/>
    </row>
    <row r="1397" customFormat="false" ht="15" hidden="false" customHeight="false" outlineLevel="0" collapsed="false">
      <c r="A1397" s="2" t="s">
        <v>4657</v>
      </c>
      <c r="B1397" s="2" t="s">
        <v>4658</v>
      </c>
      <c r="C1397" s="2" t="s">
        <v>4659</v>
      </c>
      <c r="D1397" s="13" t="n">
        <v>45462.7652777778</v>
      </c>
      <c r="E1397" s="2" t="s">
        <v>37</v>
      </c>
      <c r="F1397" s="2" t="s">
        <v>27</v>
      </c>
      <c r="G1397" s="2" t="n">
        <v>4233.47</v>
      </c>
      <c r="H1397" s="2" t="n">
        <v>18.95</v>
      </c>
      <c r="I1397" s="2" t="s">
        <v>26</v>
      </c>
      <c r="J1397" s="2" t="s">
        <v>4660</v>
      </c>
      <c r="K1397" s="2" t="s">
        <v>95</v>
      </c>
      <c r="L1397" s="2"/>
      <c r="M1397" s="2" t="s">
        <v>981</v>
      </c>
    </row>
    <row r="1398" customFormat="false" ht="15" hidden="false" customHeight="false" outlineLevel="0" collapsed="false">
      <c r="A1398" s="2" t="s">
        <v>4661</v>
      </c>
      <c r="B1398" s="2" t="s">
        <v>4662</v>
      </c>
      <c r="C1398" s="2" t="s">
        <v>4663</v>
      </c>
      <c r="D1398" s="13" t="n">
        <v>45633.3125</v>
      </c>
      <c r="E1398" s="2" t="s">
        <v>43</v>
      </c>
      <c r="F1398" s="2" t="s">
        <v>27</v>
      </c>
      <c r="G1398" s="2" t="n">
        <v>117153.4</v>
      </c>
      <c r="H1398" s="2" t="n">
        <v>731.36</v>
      </c>
      <c r="I1398" s="2" t="s">
        <v>28</v>
      </c>
      <c r="J1398" s="2" t="s">
        <v>4664</v>
      </c>
      <c r="K1398" s="2" t="s">
        <v>122</v>
      </c>
      <c r="L1398" s="2"/>
      <c r="M1398" s="2" t="s">
        <v>561</v>
      </c>
    </row>
    <row r="1399" customFormat="false" ht="15" hidden="false" customHeight="false" outlineLevel="0" collapsed="false">
      <c r="A1399" s="2" t="s">
        <v>4665</v>
      </c>
      <c r="B1399" s="2" t="s">
        <v>2669</v>
      </c>
      <c r="C1399" s="2" t="s">
        <v>2670</v>
      </c>
      <c r="D1399" s="13" t="n">
        <v>45987.5013888889</v>
      </c>
      <c r="E1399" s="2" t="s">
        <v>39</v>
      </c>
      <c r="F1399" s="2" t="s">
        <v>32</v>
      </c>
      <c r="G1399" s="2" t="n">
        <v>1292.72</v>
      </c>
      <c r="H1399" s="2" t="n">
        <v>5</v>
      </c>
      <c r="I1399" s="2" t="s">
        <v>26</v>
      </c>
      <c r="J1399" s="2" t="s">
        <v>4666</v>
      </c>
      <c r="K1399" s="2" t="s">
        <v>122</v>
      </c>
      <c r="L1399" s="2" t="s">
        <v>318</v>
      </c>
      <c r="M1399" s="2"/>
    </row>
    <row r="1400" customFormat="false" ht="15" hidden="false" customHeight="false" outlineLevel="0" collapsed="false">
      <c r="A1400" s="2" t="s">
        <v>4667</v>
      </c>
      <c r="B1400" s="2" t="s">
        <v>1046</v>
      </c>
      <c r="C1400" s="2" t="s">
        <v>1047</v>
      </c>
      <c r="D1400" s="13" t="n">
        <v>45387.7326388889</v>
      </c>
      <c r="E1400" s="2" t="s">
        <v>43</v>
      </c>
      <c r="F1400" s="2" t="s">
        <v>32</v>
      </c>
      <c r="G1400" s="2" t="n">
        <v>3012.9</v>
      </c>
      <c r="H1400" s="2" t="n">
        <v>12.32</v>
      </c>
      <c r="I1400" s="2" t="s">
        <v>28</v>
      </c>
      <c r="J1400" s="2" t="s">
        <v>4668</v>
      </c>
      <c r="K1400" s="2" t="s">
        <v>122</v>
      </c>
      <c r="L1400" s="2"/>
      <c r="M1400" s="2" t="s">
        <v>571</v>
      </c>
    </row>
    <row r="1401" customFormat="false" ht="15" hidden="false" customHeight="false" outlineLevel="0" collapsed="false">
      <c r="A1401" s="2" t="s">
        <v>4669</v>
      </c>
      <c r="B1401" s="2" t="s">
        <v>573</v>
      </c>
      <c r="C1401" s="2" t="s">
        <v>574</v>
      </c>
      <c r="D1401" s="13" t="n">
        <v>45829.9236111111</v>
      </c>
      <c r="E1401" s="2" t="s">
        <v>39</v>
      </c>
      <c r="F1401" s="2" t="s">
        <v>29</v>
      </c>
      <c r="G1401" s="2" t="n">
        <v>17999.04</v>
      </c>
      <c r="H1401" s="2" t="n">
        <v>72.53</v>
      </c>
      <c r="I1401" s="2" t="s">
        <v>26</v>
      </c>
      <c r="J1401" s="2" t="s">
        <v>4670</v>
      </c>
      <c r="K1401" s="2" t="s">
        <v>101</v>
      </c>
      <c r="L1401" s="2" t="s">
        <v>1000</v>
      </c>
      <c r="M1401" s="2"/>
    </row>
    <row r="1402" customFormat="false" ht="15" hidden="false" customHeight="false" outlineLevel="0" collapsed="false">
      <c r="A1402" s="2" t="s">
        <v>4671</v>
      </c>
      <c r="B1402" s="2" t="s">
        <v>2611</v>
      </c>
      <c r="C1402" s="2" t="s">
        <v>2612</v>
      </c>
      <c r="D1402" s="13" t="n">
        <v>45662.8409722222</v>
      </c>
      <c r="E1402" s="2" t="s">
        <v>43</v>
      </c>
      <c r="F1402" s="2" t="s">
        <v>27</v>
      </c>
      <c r="G1402" s="2" t="n">
        <v>4663.6</v>
      </c>
      <c r="H1402" s="2" t="n">
        <v>52.03</v>
      </c>
      <c r="I1402" s="2" t="s">
        <v>26</v>
      </c>
      <c r="J1402" s="2" t="s">
        <v>4672</v>
      </c>
      <c r="K1402" s="2" t="s">
        <v>101</v>
      </c>
      <c r="L1402" s="2"/>
      <c r="M1402" s="2" t="s">
        <v>581</v>
      </c>
    </row>
    <row r="1403" customFormat="false" ht="15" hidden="false" customHeight="false" outlineLevel="0" collapsed="false">
      <c r="A1403" s="2" t="s">
        <v>4673</v>
      </c>
      <c r="B1403" s="2" t="s">
        <v>1999</v>
      </c>
      <c r="C1403" s="2" t="s">
        <v>2000</v>
      </c>
      <c r="D1403" s="13" t="n">
        <v>45729.3020833333</v>
      </c>
      <c r="E1403" s="2" t="s">
        <v>39</v>
      </c>
      <c r="F1403" s="2" t="s">
        <v>27</v>
      </c>
      <c r="G1403" s="2" t="n">
        <v>2119.9</v>
      </c>
      <c r="H1403" s="2" t="n">
        <v>16.04</v>
      </c>
      <c r="I1403" s="2" t="s">
        <v>26</v>
      </c>
      <c r="J1403" s="2" t="s">
        <v>4674</v>
      </c>
      <c r="K1403" s="2" t="s">
        <v>89</v>
      </c>
      <c r="L1403" s="2"/>
      <c r="M1403" s="2" t="s">
        <v>1007</v>
      </c>
    </row>
    <row r="1404" customFormat="false" ht="15" hidden="false" customHeight="false" outlineLevel="0" collapsed="false">
      <c r="A1404" s="2" t="s">
        <v>4675</v>
      </c>
      <c r="B1404" s="2" t="s">
        <v>3652</v>
      </c>
      <c r="C1404" s="2" t="s">
        <v>3653</v>
      </c>
      <c r="D1404" s="13" t="n">
        <v>45372.3409722222</v>
      </c>
      <c r="E1404" s="2" t="s">
        <v>41</v>
      </c>
      <c r="F1404" s="2" t="s">
        <v>31</v>
      </c>
      <c r="G1404" s="2" t="n">
        <v>4304.96</v>
      </c>
      <c r="H1404" s="2" t="n">
        <v>38.09</v>
      </c>
      <c r="I1404" s="2" t="s">
        <v>26</v>
      </c>
      <c r="J1404" s="2" t="s">
        <v>4676</v>
      </c>
      <c r="K1404" s="2" t="s">
        <v>95</v>
      </c>
      <c r="L1404" s="2" t="s">
        <v>343</v>
      </c>
      <c r="M1404" s="2"/>
    </row>
    <row r="1405" customFormat="false" ht="15" hidden="false" customHeight="false" outlineLevel="0" collapsed="false">
      <c r="A1405" s="2" t="s">
        <v>4677</v>
      </c>
      <c r="B1405" s="2" t="s">
        <v>3217</v>
      </c>
      <c r="C1405" s="2" t="s">
        <v>3218</v>
      </c>
      <c r="D1405" s="13" t="n">
        <v>46012.2951388889</v>
      </c>
      <c r="E1405" s="2" t="s">
        <v>35</v>
      </c>
      <c r="F1405" s="2" t="s">
        <v>31</v>
      </c>
      <c r="G1405" s="2" t="n">
        <v>8512.84</v>
      </c>
      <c r="H1405" s="2" t="n">
        <v>42.36</v>
      </c>
      <c r="I1405" s="2" t="s">
        <v>26</v>
      </c>
      <c r="J1405" s="2" t="s">
        <v>4678</v>
      </c>
      <c r="K1405" s="2" t="s">
        <v>101</v>
      </c>
      <c r="L1405" s="2" t="s">
        <v>1012</v>
      </c>
      <c r="M1405" s="2"/>
    </row>
    <row r="1406" customFormat="false" ht="15" hidden="false" customHeight="false" outlineLevel="0" collapsed="false">
      <c r="A1406" s="2" t="s">
        <v>4679</v>
      </c>
      <c r="B1406" s="2" t="s">
        <v>1914</v>
      </c>
      <c r="C1406" s="2" t="s">
        <v>1915</v>
      </c>
      <c r="D1406" s="13" t="n">
        <v>45802.4875</v>
      </c>
      <c r="E1406" s="2" t="s">
        <v>37</v>
      </c>
      <c r="F1406" s="2" t="s">
        <v>29</v>
      </c>
      <c r="G1406" s="2" t="n">
        <v>9554.27</v>
      </c>
      <c r="H1406" s="2" t="n">
        <v>58.76</v>
      </c>
      <c r="I1406" s="2" t="s">
        <v>30</v>
      </c>
      <c r="J1406" s="2" t="s">
        <v>4680</v>
      </c>
      <c r="K1406" s="2" t="s">
        <v>89</v>
      </c>
      <c r="L1406" s="2" t="s">
        <v>353</v>
      </c>
      <c r="M1406" s="2"/>
    </row>
    <row r="1407" customFormat="false" ht="15" hidden="false" customHeight="false" outlineLevel="0" collapsed="false">
      <c r="A1407" s="2" t="s">
        <v>4681</v>
      </c>
      <c r="B1407" s="2" t="s">
        <v>2683</v>
      </c>
      <c r="C1407" s="2" t="s">
        <v>2684</v>
      </c>
      <c r="D1407" s="13" t="n">
        <v>45392.7569444445</v>
      </c>
      <c r="E1407" s="2" t="s">
        <v>35</v>
      </c>
      <c r="F1407" s="2" t="s">
        <v>32</v>
      </c>
      <c r="G1407" s="2" t="n">
        <v>2425.71</v>
      </c>
      <c r="H1407" s="2" t="n">
        <v>15.7</v>
      </c>
      <c r="I1407" s="2" t="s">
        <v>26</v>
      </c>
      <c r="J1407" s="2" t="s">
        <v>4682</v>
      </c>
      <c r="K1407" s="2" t="s">
        <v>95</v>
      </c>
      <c r="L1407" s="2" t="s">
        <v>358</v>
      </c>
      <c r="M1407" s="2"/>
    </row>
    <row r="1408" customFormat="false" ht="15" hidden="false" customHeight="false" outlineLevel="0" collapsed="false">
      <c r="A1408" s="2" t="s">
        <v>4683</v>
      </c>
      <c r="B1408" s="2" t="s">
        <v>4684</v>
      </c>
      <c r="C1408" s="2" t="s">
        <v>4685</v>
      </c>
      <c r="D1408" s="13" t="n">
        <v>45699.3541666667</v>
      </c>
      <c r="E1408" s="2" t="s">
        <v>43</v>
      </c>
      <c r="F1408" s="2" t="s">
        <v>32</v>
      </c>
      <c r="G1408" s="2" t="n">
        <v>5189.61</v>
      </c>
      <c r="H1408" s="2" t="n">
        <v>25.55</v>
      </c>
      <c r="I1408" s="2" t="s">
        <v>26</v>
      </c>
      <c r="J1408" s="2" t="s">
        <v>4686</v>
      </c>
      <c r="K1408" s="2" t="s">
        <v>89</v>
      </c>
      <c r="L1408" s="2"/>
      <c r="M1408" s="2" t="s">
        <v>1023</v>
      </c>
    </row>
    <row r="1409" customFormat="false" ht="15" hidden="false" customHeight="false" outlineLevel="0" collapsed="false">
      <c r="A1409" s="2" t="s">
        <v>4687</v>
      </c>
      <c r="B1409" s="2" t="s">
        <v>1251</v>
      </c>
      <c r="C1409" s="2" t="s">
        <v>1252</v>
      </c>
      <c r="D1409" s="13" t="n">
        <v>45673.9229166667</v>
      </c>
      <c r="E1409" s="2" t="s">
        <v>37</v>
      </c>
      <c r="F1409" s="2" t="s">
        <v>31</v>
      </c>
      <c r="G1409" s="2" t="n">
        <v>1412.42</v>
      </c>
      <c r="H1409" s="2" t="n">
        <v>11.92</v>
      </c>
      <c r="I1409" s="2" t="s">
        <v>26</v>
      </c>
      <c r="J1409" s="2" t="s">
        <v>4688</v>
      </c>
      <c r="K1409" s="2" t="s">
        <v>101</v>
      </c>
      <c r="L1409" s="2" t="s">
        <v>368</v>
      </c>
      <c r="M1409" s="2"/>
    </row>
    <row r="1410" customFormat="false" ht="15" hidden="false" customHeight="false" outlineLevel="0" collapsed="false">
      <c r="A1410" s="2" t="s">
        <v>4689</v>
      </c>
      <c r="B1410" s="2" t="s">
        <v>3630</v>
      </c>
      <c r="C1410" s="2" t="s">
        <v>3631</v>
      </c>
      <c r="D1410" s="13" t="n">
        <v>45748.4680555556</v>
      </c>
      <c r="E1410" s="2" t="s">
        <v>43</v>
      </c>
      <c r="F1410" s="2" t="s">
        <v>29</v>
      </c>
      <c r="G1410" s="2" t="n">
        <v>1190.04</v>
      </c>
      <c r="H1410" s="2" t="n">
        <v>5.57</v>
      </c>
      <c r="I1410" s="2" t="s">
        <v>28</v>
      </c>
      <c r="J1410" s="2" t="s">
        <v>4690</v>
      </c>
      <c r="K1410" s="2" t="s">
        <v>89</v>
      </c>
      <c r="L1410" s="2"/>
      <c r="M1410" s="2" t="s">
        <v>617</v>
      </c>
    </row>
    <row r="1411" customFormat="false" ht="15" hidden="false" customHeight="false" outlineLevel="0" collapsed="false">
      <c r="A1411" s="2" t="s">
        <v>4691</v>
      </c>
      <c r="B1411" s="2" t="s">
        <v>694</v>
      </c>
      <c r="C1411" s="2" t="s">
        <v>695</v>
      </c>
      <c r="D1411" s="13" t="n">
        <v>45941.875</v>
      </c>
      <c r="E1411" s="2" t="s">
        <v>37</v>
      </c>
      <c r="F1411" s="2" t="s">
        <v>32</v>
      </c>
      <c r="G1411" s="2" t="n">
        <v>1226.59</v>
      </c>
      <c r="H1411" s="2" t="n">
        <v>9.93</v>
      </c>
      <c r="I1411" s="2" t="s">
        <v>26</v>
      </c>
      <c r="J1411" s="2" t="s">
        <v>4692</v>
      </c>
      <c r="K1411" s="2" t="s">
        <v>95</v>
      </c>
      <c r="L1411" s="2" t="s">
        <v>1034</v>
      </c>
      <c r="M1411" s="2"/>
    </row>
    <row r="1412" customFormat="false" ht="15" hidden="false" customHeight="false" outlineLevel="0" collapsed="false">
      <c r="A1412" s="2" t="s">
        <v>4693</v>
      </c>
      <c r="B1412" s="2" t="s">
        <v>4694</v>
      </c>
      <c r="C1412" s="2" t="s">
        <v>4695</v>
      </c>
      <c r="D1412" s="13" t="n">
        <v>45367.4597222222</v>
      </c>
      <c r="E1412" s="2" t="s">
        <v>35</v>
      </c>
      <c r="F1412" s="2" t="s">
        <v>32</v>
      </c>
      <c r="G1412" s="2" t="n">
        <v>904.29</v>
      </c>
      <c r="H1412" s="2" t="n">
        <v>6.78</v>
      </c>
      <c r="I1412" s="2" t="s">
        <v>26</v>
      </c>
      <c r="J1412" s="2" t="s">
        <v>4696</v>
      </c>
      <c r="K1412" s="2" t="s">
        <v>95</v>
      </c>
      <c r="L1412" s="2" t="s">
        <v>1039</v>
      </c>
      <c r="M1412" s="2"/>
    </row>
    <row r="1413" customFormat="false" ht="15" hidden="false" customHeight="false" outlineLevel="0" collapsed="false">
      <c r="A1413" s="2" t="s">
        <v>4697</v>
      </c>
      <c r="B1413" s="2" t="s">
        <v>1926</v>
      </c>
      <c r="C1413" s="2" t="s">
        <v>1927</v>
      </c>
      <c r="D1413" s="13" t="n">
        <v>45444.9118055556</v>
      </c>
      <c r="E1413" s="2" t="s">
        <v>35</v>
      </c>
      <c r="F1413" s="2" t="s">
        <v>32</v>
      </c>
      <c r="G1413" s="2" t="n">
        <v>5515.28</v>
      </c>
      <c r="H1413" s="2" t="n">
        <v>37.32</v>
      </c>
      <c r="I1413" s="2" t="s">
        <v>28</v>
      </c>
      <c r="J1413" s="2" t="s">
        <v>4698</v>
      </c>
      <c r="K1413" s="2" t="s">
        <v>89</v>
      </c>
      <c r="L1413" s="2" t="s">
        <v>1044</v>
      </c>
      <c r="M1413" s="2"/>
    </row>
    <row r="1414" customFormat="false" ht="15" hidden="false" customHeight="false" outlineLevel="0" collapsed="false">
      <c r="A1414" s="2" t="s">
        <v>4699</v>
      </c>
      <c r="B1414" s="2" t="s">
        <v>4700</v>
      </c>
      <c r="C1414" s="2" t="s">
        <v>4701</v>
      </c>
      <c r="D1414" s="13" t="n">
        <v>45840.7902777778</v>
      </c>
      <c r="E1414" s="2" t="s">
        <v>41</v>
      </c>
      <c r="F1414" s="2" t="s">
        <v>27</v>
      </c>
      <c r="G1414" s="2" t="n">
        <v>2842.54</v>
      </c>
      <c r="H1414" s="2" t="n">
        <v>17.89</v>
      </c>
      <c r="I1414" s="2" t="s">
        <v>26</v>
      </c>
      <c r="J1414" s="2" t="s">
        <v>4702</v>
      </c>
      <c r="K1414" s="2" t="s">
        <v>101</v>
      </c>
      <c r="L1414" s="2"/>
      <c r="M1414" s="2" t="s">
        <v>1806</v>
      </c>
    </row>
    <row r="1415" customFormat="false" ht="15" hidden="false" customHeight="false" outlineLevel="0" collapsed="false">
      <c r="A1415" s="2" t="s">
        <v>4703</v>
      </c>
      <c r="B1415" s="2" t="s">
        <v>2139</v>
      </c>
      <c r="C1415" s="2" t="s">
        <v>2140</v>
      </c>
      <c r="D1415" s="13" t="n">
        <v>45460.33125</v>
      </c>
      <c r="E1415" s="2" t="s">
        <v>35</v>
      </c>
      <c r="F1415" s="2" t="s">
        <v>31</v>
      </c>
      <c r="G1415" s="2" t="n">
        <v>8442.1</v>
      </c>
      <c r="H1415" s="2" t="n">
        <v>95.93</v>
      </c>
      <c r="I1415" s="2" t="s">
        <v>26</v>
      </c>
      <c r="J1415" s="2" t="s">
        <v>4704</v>
      </c>
      <c r="K1415" s="2" t="s">
        <v>95</v>
      </c>
      <c r="L1415" s="2" t="s">
        <v>1628</v>
      </c>
      <c r="M1415" s="2"/>
    </row>
    <row r="1416" customFormat="false" ht="15" hidden="false" customHeight="false" outlineLevel="0" collapsed="false">
      <c r="A1416" s="2" t="s">
        <v>4705</v>
      </c>
      <c r="B1416" s="2" t="s">
        <v>725</v>
      </c>
      <c r="C1416" s="2" t="s">
        <v>726</v>
      </c>
      <c r="D1416" s="13" t="n">
        <v>45866.9111111111</v>
      </c>
      <c r="E1416" s="2" t="s">
        <v>35</v>
      </c>
      <c r="F1416" s="2" t="s">
        <v>31</v>
      </c>
      <c r="G1416" s="2" t="n">
        <v>1874.68</v>
      </c>
      <c r="H1416" s="2" t="n">
        <v>10.98</v>
      </c>
      <c r="I1416" s="2" t="s">
        <v>28</v>
      </c>
      <c r="J1416" s="2" t="s">
        <v>4706</v>
      </c>
      <c r="K1416" s="2" t="s">
        <v>95</v>
      </c>
      <c r="L1416" s="2" t="s">
        <v>403</v>
      </c>
      <c r="M1416" s="2"/>
    </row>
    <row r="1417" customFormat="false" ht="15" hidden="false" customHeight="false" outlineLevel="0" collapsed="false">
      <c r="A1417" s="2" t="s">
        <v>4707</v>
      </c>
      <c r="B1417" s="2" t="s">
        <v>1510</v>
      </c>
      <c r="C1417" s="2" t="s">
        <v>1511</v>
      </c>
      <c r="D1417" s="13" t="n">
        <v>45363.5131944444</v>
      </c>
      <c r="E1417" s="2" t="s">
        <v>37</v>
      </c>
      <c r="F1417" s="2" t="s">
        <v>27</v>
      </c>
      <c r="G1417" s="2" t="n">
        <v>6706.68</v>
      </c>
      <c r="H1417" s="2" t="n">
        <v>75.38</v>
      </c>
      <c r="I1417" s="2" t="s">
        <v>26</v>
      </c>
      <c r="J1417" s="2" t="s">
        <v>4708</v>
      </c>
      <c r="K1417" s="2" t="s">
        <v>95</v>
      </c>
      <c r="L1417" s="2"/>
      <c r="M1417" s="2" t="s">
        <v>1453</v>
      </c>
    </row>
    <row r="1418" customFormat="false" ht="15" hidden="false" customHeight="false" outlineLevel="0" collapsed="false">
      <c r="A1418" s="2" t="s">
        <v>4709</v>
      </c>
      <c r="B1418" s="2" t="s">
        <v>2066</v>
      </c>
      <c r="C1418" s="2" t="s">
        <v>2067</v>
      </c>
      <c r="D1418" s="13" t="n">
        <v>45556.675</v>
      </c>
      <c r="E1418" s="2" t="s">
        <v>35</v>
      </c>
      <c r="F1418" s="2" t="s">
        <v>27</v>
      </c>
      <c r="G1418" s="2" t="n">
        <v>5374.25</v>
      </c>
      <c r="H1418" s="2" t="n">
        <v>58.22</v>
      </c>
      <c r="I1418" s="2" t="s">
        <v>28</v>
      </c>
      <c r="J1418" s="2" t="s">
        <v>4710</v>
      </c>
      <c r="K1418" s="2" t="s">
        <v>122</v>
      </c>
      <c r="L1418" s="2"/>
      <c r="M1418" s="2" t="s">
        <v>163</v>
      </c>
    </row>
    <row r="1419" customFormat="false" ht="15" hidden="false" customHeight="false" outlineLevel="0" collapsed="false">
      <c r="A1419" s="2" t="s">
        <v>4711</v>
      </c>
      <c r="B1419" s="2" t="s">
        <v>2932</v>
      </c>
      <c r="C1419" s="2" t="s">
        <v>2933</v>
      </c>
      <c r="D1419" s="13" t="n">
        <v>45910.8076388889</v>
      </c>
      <c r="E1419" s="2" t="s">
        <v>35</v>
      </c>
      <c r="F1419" s="2" t="s">
        <v>32</v>
      </c>
      <c r="G1419" s="2" t="n">
        <v>3786.81</v>
      </c>
      <c r="H1419" s="2" t="n">
        <v>22.95</v>
      </c>
      <c r="I1419" s="2" t="s">
        <v>28</v>
      </c>
      <c r="J1419" s="2" t="s">
        <v>4712</v>
      </c>
      <c r="K1419" s="2" t="s">
        <v>89</v>
      </c>
      <c r="L1419" s="2" t="s">
        <v>418</v>
      </c>
      <c r="M1419" s="2"/>
    </row>
    <row r="1420" customFormat="false" ht="15" hidden="false" customHeight="false" outlineLevel="0" collapsed="false">
      <c r="A1420" s="2" t="s">
        <v>4713</v>
      </c>
      <c r="B1420" s="2" t="s">
        <v>1041</v>
      </c>
      <c r="C1420" s="2" t="s">
        <v>1042</v>
      </c>
      <c r="D1420" s="13" t="n">
        <v>45452.3666666667</v>
      </c>
      <c r="E1420" s="2" t="s">
        <v>39</v>
      </c>
      <c r="F1420" s="2" t="s">
        <v>29</v>
      </c>
      <c r="G1420" s="2" t="n">
        <v>8262.72</v>
      </c>
      <c r="H1420" s="2" t="n">
        <v>60.64</v>
      </c>
      <c r="I1420" s="2" t="s">
        <v>26</v>
      </c>
      <c r="J1420" s="2" t="s">
        <v>4714</v>
      </c>
      <c r="K1420" s="2" t="s">
        <v>101</v>
      </c>
      <c r="L1420" s="2" t="s">
        <v>423</v>
      </c>
      <c r="M1420" s="2"/>
    </row>
    <row r="1421" customFormat="false" ht="15" hidden="false" customHeight="false" outlineLevel="0" collapsed="false">
      <c r="A1421" s="2" t="s">
        <v>4715</v>
      </c>
      <c r="B1421" s="2" t="s">
        <v>1014</v>
      </c>
      <c r="C1421" s="2" t="s">
        <v>1015</v>
      </c>
      <c r="D1421" s="13" t="n">
        <v>45887.8354166667</v>
      </c>
      <c r="E1421" s="2" t="s">
        <v>39</v>
      </c>
      <c r="F1421" s="2" t="s">
        <v>31</v>
      </c>
      <c r="G1421" s="2" t="n">
        <v>8757.96</v>
      </c>
      <c r="H1421" s="2" t="n">
        <v>67.23</v>
      </c>
      <c r="I1421" s="2" t="s">
        <v>26</v>
      </c>
      <c r="J1421" s="2" t="s">
        <v>4716</v>
      </c>
      <c r="K1421" s="2" t="s">
        <v>101</v>
      </c>
      <c r="L1421" s="2" t="s">
        <v>428</v>
      </c>
      <c r="M1421" s="2"/>
    </row>
    <row r="1422" customFormat="false" ht="15" hidden="false" customHeight="false" outlineLevel="0" collapsed="false">
      <c r="A1422" s="2" t="s">
        <v>4717</v>
      </c>
      <c r="B1422" s="2" t="s">
        <v>2539</v>
      </c>
      <c r="C1422" s="2" t="s">
        <v>2540</v>
      </c>
      <c r="D1422" s="13" t="n">
        <v>45525.9347222222</v>
      </c>
      <c r="E1422" s="2" t="s">
        <v>41</v>
      </c>
      <c r="F1422" s="2" t="s">
        <v>32</v>
      </c>
      <c r="G1422" s="2" t="n">
        <v>2367.04</v>
      </c>
      <c r="H1422" s="2" t="n">
        <v>27.67</v>
      </c>
      <c r="I1422" s="2" t="s">
        <v>26</v>
      </c>
      <c r="J1422" s="2" t="s">
        <v>4718</v>
      </c>
      <c r="K1422" s="2" t="s">
        <v>101</v>
      </c>
      <c r="L1422" s="2" t="s">
        <v>433</v>
      </c>
      <c r="M1422" s="2"/>
    </row>
    <row r="1423" customFormat="false" ht="15" hidden="false" customHeight="false" outlineLevel="0" collapsed="false">
      <c r="A1423" s="2" t="s">
        <v>4719</v>
      </c>
      <c r="B1423" s="2" t="s">
        <v>4720</v>
      </c>
      <c r="C1423" s="2" t="s">
        <v>4721</v>
      </c>
      <c r="D1423" s="13" t="n">
        <v>45449.3430555556</v>
      </c>
      <c r="E1423" s="2" t="s">
        <v>39</v>
      </c>
      <c r="F1423" s="2" t="s">
        <v>29</v>
      </c>
      <c r="G1423" s="2" t="n">
        <v>2766.94</v>
      </c>
      <c r="H1423" s="2" t="n">
        <v>7</v>
      </c>
      <c r="I1423" s="2" t="s">
        <v>30</v>
      </c>
      <c r="J1423" s="2" t="s">
        <v>4722</v>
      </c>
      <c r="K1423" s="2" t="s">
        <v>89</v>
      </c>
      <c r="L1423" s="2" t="s">
        <v>438</v>
      </c>
      <c r="M1423" s="2"/>
    </row>
    <row r="1424" customFormat="false" ht="15" hidden="false" customHeight="false" outlineLevel="0" collapsed="false">
      <c r="A1424" s="2" t="s">
        <v>4723</v>
      </c>
      <c r="B1424" s="2" t="s">
        <v>4724</v>
      </c>
      <c r="C1424" s="2" t="s">
        <v>4725</v>
      </c>
      <c r="D1424" s="13" t="n">
        <v>45394.7145833333</v>
      </c>
      <c r="E1424" s="2" t="s">
        <v>37</v>
      </c>
      <c r="F1424" s="2" t="s">
        <v>32</v>
      </c>
      <c r="G1424" s="2" t="n">
        <v>3774.49</v>
      </c>
      <c r="H1424" s="2" t="n">
        <v>34.38</v>
      </c>
      <c r="I1424" s="2" t="s">
        <v>26</v>
      </c>
      <c r="J1424" s="2" t="s">
        <v>4726</v>
      </c>
      <c r="K1424" s="2" t="s">
        <v>122</v>
      </c>
      <c r="L1424" s="2" t="s">
        <v>443</v>
      </c>
      <c r="M1424" s="2"/>
    </row>
    <row r="1425" customFormat="false" ht="15" hidden="false" customHeight="false" outlineLevel="0" collapsed="false">
      <c r="A1425" s="2" t="s">
        <v>4727</v>
      </c>
      <c r="B1425" s="2" t="s">
        <v>1742</v>
      </c>
      <c r="C1425" s="2" t="s">
        <v>1743</v>
      </c>
      <c r="D1425" s="13" t="n">
        <v>45359.6465277778</v>
      </c>
      <c r="E1425" s="2" t="s">
        <v>39</v>
      </c>
      <c r="F1425" s="2" t="s">
        <v>31</v>
      </c>
      <c r="G1425" s="2" t="n">
        <v>13026.96</v>
      </c>
      <c r="H1425" s="2" t="n">
        <v>100.51</v>
      </c>
      <c r="I1425" s="2" t="s">
        <v>30</v>
      </c>
      <c r="J1425" s="2" t="s">
        <v>4728</v>
      </c>
      <c r="K1425" s="2" t="s">
        <v>89</v>
      </c>
      <c r="L1425" s="2" t="s">
        <v>2186</v>
      </c>
      <c r="M1425" s="2"/>
    </row>
    <row r="1426" customFormat="false" ht="15" hidden="false" customHeight="false" outlineLevel="0" collapsed="false">
      <c r="A1426" s="2" t="s">
        <v>4729</v>
      </c>
      <c r="B1426" s="2" t="s">
        <v>1094</v>
      </c>
      <c r="C1426" s="2" t="s">
        <v>1095</v>
      </c>
      <c r="D1426" s="13" t="n">
        <v>45564.4986111111</v>
      </c>
      <c r="E1426" s="2" t="s">
        <v>43</v>
      </c>
      <c r="F1426" s="2" t="s">
        <v>29</v>
      </c>
      <c r="G1426" s="2" t="n">
        <v>5133.94</v>
      </c>
      <c r="H1426" s="2" t="n">
        <v>60.52</v>
      </c>
      <c r="I1426" s="2" t="s">
        <v>26</v>
      </c>
      <c r="J1426" s="2" t="s">
        <v>4730</v>
      </c>
      <c r="K1426" s="2" t="s">
        <v>101</v>
      </c>
      <c r="L1426" s="2"/>
      <c r="M1426" s="2" t="s">
        <v>203</v>
      </c>
    </row>
    <row r="1427" customFormat="false" ht="15" hidden="false" customHeight="false" outlineLevel="0" collapsed="false">
      <c r="A1427" s="2" t="s">
        <v>4731</v>
      </c>
      <c r="B1427" s="2" t="s">
        <v>2551</v>
      </c>
      <c r="C1427" s="2" t="s">
        <v>2552</v>
      </c>
      <c r="D1427" s="13" t="n">
        <v>45453.6201388889</v>
      </c>
      <c r="E1427" s="2" t="s">
        <v>43</v>
      </c>
      <c r="F1427" s="2" t="s">
        <v>27</v>
      </c>
      <c r="G1427" s="2" t="n">
        <v>33379</v>
      </c>
      <c r="H1427" s="2" t="n">
        <v>321.1</v>
      </c>
      <c r="I1427" s="2" t="s">
        <v>30</v>
      </c>
      <c r="J1427" s="2" t="s">
        <v>4732</v>
      </c>
      <c r="K1427" s="2" t="s">
        <v>122</v>
      </c>
      <c r="L1427" s="2"/>
      <c r="M1427" s="2" t="s">
        <v>692</v>
      </c>
    </row>
    <row r="1428" customFormat="false" ht="15" hidden="false" customHeight="false" outlineLevel="0" collapsed="false">
      <c r="A1428" s="2" t="s">
        <v>4733</v>
      </c>
      <c r="B1428" s="2" t="s">
        <v>683</v>
      </c>
      <c r="C1428" s="2" t="s">
        <v>684</v>
      </c>
      <c r="D1428" s="13" t="n">
        <v>46002.9513888889</v>
      </c>
      <c r="E1428" s="2" t="s">
        <v>41</v>
      </c>
      <c r="F1428" s="2" t="s">
        <v>31</v>
      </c>
      <c r="G1428" s="2" t="n">
        <v>2189.18</v>
      </c>
      <c r="H1428" s="2" t="n">
        <v>25.9</v>
      </c>
      <c r="I1428" s="2" t="s">
        <v>26</v>
      </c>
      <c r="J1428" s="2" t="s">
        <v>4734</v>
      </c>
      <c r="K1428" s="2" t="s">
        <v>95</v>
      </c>
      <c r="L1428" s="2" t="s">
        <v>1105</v>
      </c>
      <c r="M1428" s="2"/>
    </row>
    <row r="1429" customFormat="false" ht="15" hidden="false" customHeight="false" outlineLevel="0" collapsed="false">
      <c r="A1429" s="2" t="s">
        <v>4735</v>
      </c>
      <c r="B1429" s="2" t="s">
        <v>4410</v>
      </c>
      <c r="C1429" s="2" t="s">
        <v>4411</v>
      </c>
      <c r="D1429" s="13" t="n">
        <v>45459.6868055556</v>
      </c>
      <c r="E1429" s="2" t="s">
        <v>39</v>
      </c>
      <c r="F1429" s="2" t="s">
        <v>32</v>
      </c>
      <c r="G1429" s="2" t="n">
        <v>6724.31</v>
      </c>
      <c r="H1429" s="2" t="n">
        <v>35.27</v>
      </c>
      <c r="I1429" s="2" t="s">
        <v>26</v>
      </c>
      <c r="J1429" s="2" t="s">
        <v>4736</v>
      </c>
      <c r="K1429" s="2" t="s">
        <v>89</v>
      </c>
      <c r="L1429" s="2" t="s">
        <v>468</v>
      </c>
      <c r="M1429" s="2"/>
    </row>
    <row r="1430" customFormat="false" ht="15" hidden="false" customHeight="false" outlineLevel="0" collapsed="false">
      <c r="A1430" s="2" t="s">
        <v>4737</v>
      </c>
      <c r="B1430" s="2" t="s">
        <v>1885</v>
      </c>
      <c r="C1430" s="2" t="s">
        <v>1886</v>
      </c>
      <c r="D1430" s="13" t="n">
        <v>45330.3520833333</v>
      </c>
      <c r="E1430" s="2" t="s">
        <v>35</v>
      </c>
      <c r="F1430" s="2" t="s">
        <v>29</v>
      </c>
      <c r="G1430" s="2" t="n">
        <v>2152.43</v>
      </c>
      <c r="H1430" s="2" t="n">
        <v>5.76</v>
      </c>
      <c r="I1430" s="2" t="s">
        <v>26</v>
      </c>
      <c r="J1430" s="2" t="s">
        <v>4738</v>
      </c>
      <c r="K1430" s="2" t="s">
        <v>122</v>
      </c>
      <c r="L1430" s="2" t="s">
        <v>473</v>
      </c>
      <c r="M1430" s="2"/>
    </row>
    <row r="1431" customFormat="false" ht="15" hidden="false" customHeight="false" outlineLevel="0" collapsed="false">
      <c r="A1431" s="2" t="s">
        <v>4739</v>
      </c>
      <c r="B1431" s="2" t="s">
        <v>4740</v>
      </c>
      <c r="C1431" s="2" t="s">
        <v>4741</v>
      </c>
      <c r="D1431" s="13" t="n">
        <v>45792.6201388889</v>
      </c>
      <c r="E1431" s="2" t="s">
        <v>39</v>
      </c>
      <c r="F1431" s="2" t="s">
        <v>29</v>
      </c>
      <c r="G1431" s="2" t="n">
        <v>7358.61</v>
      </c>
      <c r="H1431" s="2" t="n">
        <v>33.84</v>
      </c>
      <c r="I1431" s="2" t="s">
        <v>26</v>
      </c>
      <c r="J1431" s="2" t="s">
        <v>4742</v>
      </c>
      <c r="K1431" s="2" t="s">
        <v>95</v>
      </c>
      <c r="L1431" s="2" t="s">
        <v>478</v>
      </c>
      <c r="M1431" s="2"/>
    </row>
    <row r="1432" customFormat="false" ht="15" hidden="false" customHeight="false" outlineLevel="0" collapsed="false">
      <c r="A1432" s="2" t="s">
        <v>4743</v>
      </c>
      <c r="B1432" s="2" t="s">
        <v>4280</v>
      </c>
      <c r="C1432" s="2" t="s">
        <v>4281</v>
      </c>
      <c r="D1432" s="13" t="n">
        <v>45702.9430555556</v>
      </c>
      <c r="E1432" s="2" t="s">
        <v>37</v>
      </c>
      <c r="F1432" s="2" t="s">
        <v>27</v>
      </c>
      <c r="G1432" s="2" t="n">
        <v>505.29</v>
      </c>
      <c r="H1432" s="2" t="n">
        <v>5</v>
      </c>
      <c r="I1432" s="2" t="s">
        <v>26</v>
      </c>
      <c r="J1432" s="2" t="s">
        <v>4744</v>
      </c>
      <c r="K1432" s="2" t="s">
        <v>101</v>
      </c>
      <c r="L1432" s="2"/>
      <c r="M1432" s="2" t="s">
        <v>233</v>
      </c>
    </row>
    <row r="1433" customFormat="false" ht="15" hidden="false" customHeight="false" outlineLevel="0" collapsed="false">
      <c r="A1433" s="2" t="s">
        <v>4745</v>
      </c>
      <c r="B1433" s="2" t="s">
        <v>4564</v>
      </c>
      <c r="C1433" s="2" t="s">
        <v>4565</v>
      </c>
      <c r="D1433" s="13" t="n">
        <v>45876.6104166667</v>
      </c>
      <c r="E1433" s="2" t="s">
        <v>35</v>
      </c>
      <c r="F1433" s="2" t="s">
        <v>32</v>
      </c>
      <c r="G1433" s="2" t="n">
        <v>6809.36</v>
      </c>
      <c r="H1433" s="2" t="n">
        <v>14.93</v>
      </c>
      <c r="I1433" s="2" t="s">
        <v>30</v>
      </c>
      <c r="J1433" s="2" t="s">
        <v>4746</v>
      </c>
      <c r="K1433" s="2" t="s">
        <v>95</v>
      </c>
      <c r="L1433" s="2" t="s">
        <v>488</v>
      </c>
      <c r="M1433" s="2"/>
    </row>
    <row r="1434" customFormat="false" ht="15" hidden="false" customHeight="false" outlineLevel="0" collapsed="false">
      <c r="A1434" s="2" t="s">
        <v>4747</v>
      </c>
      <c r="B1434" s="2" t="s">
        <v>1649</v>
      </c>
      <c r="C1434" s="2" t="s">
        <v>1650</v>
      </c>
      <c r="D1434" s="13" t="n">
        <v>45997.7576388889</v>
      </c>
      <c r="E1434" s="2" t="s">
        <v>37</v>
      </c>
      <c r="F1434" s="2" t="s">
        <v>32</v>
      </c>
      <c r="G1434" s="2" t="n">
        <v>4238.4</v>
      </c>
      <c r="H1434" s="2" t="n">
        <v>17.9</v>
      </c>
      <c r="I1434" s="2" t="s">
        <v>26</v>
      </c>
      <c r="J1434" s="2" t="s">
        <v>4748</v>
      </c>
      <c r="K1434" s="2" t="s">
        <v>89</v>
      </c>
      <c r="L1434" s="2" t="s">
        <v>1122</v>
      </c>
      <c r="M1434" s="2"/>
    </row>
    <row r="1435" customFormat="false" ht="15" hidden="false" customHeight="false" outlineLevel="0" collapsed="false">
      <c r="A1435" s="2" t="s">
        <v>4749</v>
      </c>
      <c r="B1435" s="2" t="s">
        <v>4750</v>
      </c>
      <c r="C1435" s="2" t="s">
        <v>4751</v>
      </c>
      <c r="D1435" s="13" t="n">
        <v>45518.5840277778</v>
      </c>
      <c r="E1435" s="2" t="s">
        <v>41</v>
      </c>
      <c r="F1435" s="2" t="s">
        <v>31</v>
      </c>
      <c r="G1435" s="2" t="n">
        <v>10620.9</v>
      </c>
      <c r="H1435" s="2" t="n">
        <v>57.39</v>
      </c>
      <c r="I1435" s="2" t="s">
        <v>26</v>
      </c>
      <c r="J1435" s="2" t="s">
        <v>4752</v>
      </c>
      <c r="K1435" s="2" t="s">
        <v>95</v>
      </c>
      <c r="L1435" s="2" t="s">
        <v>1127</v>
      </c>
      <c r="M1435" s="2"/>
    </row>
    <row r="1436" customFormat="false" ht="15" hidden="false" customHeight="false" outlineLevel="0" collapsed="false">
      <c r="A1436" s="2" t="s">
        <v>4753</v>
      </c>
      <c r="B1436" s="2" t="s">
        <v>4754</v>
      </c>
      <c r="C1436" s="2" t="s">
        <v>4755</v>
      </c>
      <c r="D1436" s="13" t="n">
        <v>45609.4541666667</v>
      </c>
      <c r="E1436" s="2" t="s">
        <v>35</v>
      </c>
      <c r="F1436" s="2" t="s">
        <v>31</v>
      </c>
      <c r="G1436" s="2" t="n">
        <v>1845.06</v>
      </c>
      <c r="H1436" s="2" t="n">
        <v>12.47</v>
      </c>
      <c r="I1436" s="2" t="s">
        <v>30</v>
      </c>
      <c r="J1436" s="2" t="s">
        <v>4756</v>
      </c>
      <c r="K1436" s="2" t="s">
        <v>101</v>
      </c>
      <c r="L1436" s="2" t="s">
        <v>503</v>
      </c>
      <c r="M1436" s="2"/>
    </row>
    <row r="1437" customFormat="false" ht="15" hidden="false" customHeight="false" outlineLevel="0" collapsed="false">
      <c r="A1437" s="2" t="s">
        <v>4757</v>
      </c>
      <c r="B1437" s="2" t="s">
        <v>4758</v>
      </c>
      <c r="C1437" s="2" t="s">
        <v>4759</v>
      </c>
      <c r="D1437" s="13" t="n">
        <v>45761.5020833333</v>
      </c>
      <c r="E1437" s="2" t="s">
        <v>39</v>
      </c>
      <c r="F1437" s="2" t="s">
        <v>27</v>
      </c>
      <c r="G1437" s="2" t="n">
        <v>2041.92</v>
      </c>
      <c r="H1437" s="2" t="n">
        <v>10.7</v>
      </c>
      <c r="I1437" s="2" t="s">
        <v>26</v>
      </c>
      <c r="J1437" s="2" t="s">
        <v>4760</v>
      </c>
      <c r="K1437" s="2" t="s">
        <v>95</v>
      </c>
      <c r="L1437" s="2"/>
      <c r="M1437" s="2" t="s">
        <v>1134</v>
      </c>
    </row>
    <row r="1438" customFormat="false" ht="15" hidden="false" customHeight="false" outlineLevel="0" collapsed="false">
      <c r="A1438" s="2" t="s">
        <v>4761</v>
      </c>
      <c r="B1438" s="2" t="s">
        <v>4762</v>
      </c>
      <c r="C1438" s="2" t="s">
        <v>4763</v>
      </c>
      <c r="D1438" s="13" t="n">
        <v>45427.7125</v>
      </c>
      <c r="E1438" s="2" t="s">
        <v>35</v>
      </c>
      <c r="F1438" s="2" t="s">
        <v>29</v>
      </c>
      <c r="G1438" s="2" t="n">
        <v>11699.09</v>
      </c>
      <c r="H1438" s="2" t="n">
        <v>33.9</v>
      </c>
      <c r="I1438" s="2" t="s">
        <v>28</v>
      </c>
      <c r="J1438" s="2" t="s">
        <v>4764</v>
      </c>
      <c r="K1438" s="2" t="s">
        <v>122</v>
      </c>
      <c r="L1438" s="2" t="s">
        <v>1139</v>
      </c>
      <c r="M1438" s="2"/>
    </row>
    <row r="1439" customFormat="false" ht="15" hidden="false" customHeight="false" outlineLevel="0" collapsed="false">
      <c r="A1439" s="2" t="s">
        <v>4765</v>
      </c>
      <c r="B1439" s="2" t="s">
        <v>1734</v>
      </c>
      <c r="C1439" s="2" t="s">
        <v>1735</v>
      </c>
      <c r="D1439" s="13" t="n">
        <v>45893.6527777778</v>
      </c>
      <c r="E1439" s="2" t="s">
        <v>37</v>
      </c>
      <c r="F1439" s="2" t="s">
        <v>29</v>
      </c>
      <c r="G1439" s="2" t="n">
        <v>21550.65</v>
      </c>
      <c r="H1439" s="2" t="n">
        <v>247.04</v>
      </c>
      <c r="I1439" s="2" t="s">
        <v>26</v>
      </c>
      <c r="J1439" s="2" t="s">
        <v>4766</v>
      </c>
      <c r="K1439" s="2" t="s">
        <v>89</v>
      </c>
      <c r="L1439" s="2" t="s">
        <v>518</v>
      </c>
      <c r="M1439" s="2"/>
    </row>
    <row r="1440" customFormat="false" ht="15" hidden="false" customHeight="false" outlineLevel="0" collapsed="false">
      <c r="A1440" s="2" t="s">
        <v>4767</v>
      </c>
      <c r="B1440" s="2" t="s">
        <v>809</v>
      </c>
      <c r="C1440" s="2" t="s">
        <v>810</v>
      </c>
      <c r="D1440" s="13" t="n">
        <v>45927.5159722222</v>
      </c>
      <c r="E1440" s="2" t="s">
        <v>39</v>
      </c>
      <c r="F1440" s="2" t="s">
        <v>27</v>
      </c>
      <c r="G1440" s="2" t="n">
        <v>1765.98</v>
      </c>
      <c r="H1440" s="2" t="n">
        <v>17.67</v>
      </c>
      <c r="I1440" s="2" t="s">
        <v>28</v>
      </c>
      <c r="J1440" s="2" t="s">
        <v>4768</v>
      </c>
      <c r="K1440" s="2" t="s">
        <v>89</v>
      </c>
      <c r="L1440" s="2"/>
      <c r="M1440" s="2" t="s">
        <v>273</v>
      </c>
    </row>
    <row r="1441" customFormat="false" ht="15" hidden="false" customHeight="false" outlineLevel="0" collapsed="false">
      <c r="A1441" s="2" t="s">
        <v>4769</v>
      </c>
      <c r="B1441" s="2" t="s">
        <v>1797</v>
      </c>
      <c r="C1441" s="2" t="s">
        <v>1798</v>
      </c>
      <c r="D1441" s="13" t="n">
        <v>45385.6194444444</v>
      </c>
      <c r="E1441" s="2" t="s">
        <v>41</v>
      </c>
      <c r="F1441" s="2" t="s">
        <v>29</v>
      </c>
      <c r="G1441" s="2" t="n">
        <v>3067.92</v>
      </c>
      <c r="H1441" s="2" t="n">
        <v>28.09</v>
      </c>
      <c r="I1441" s="2" t="s">
        <v>28</v>
      </c>
      <c r="J1441" s="2" t="s">
        <v>4770</v>
      </c>
      <c r="K1441" s="2" t="s">
        <v>101</v>
      </c>
      <c r="L1441" s="2" t="s">
        <v>1152</v>
      </c>
      <c r="M1441" s="2"/>
    </row>
    <row r="1442" customFormat="false" ht="15" hidden="false" customHeight="false" outlineLevel="0" collapsed="false">
      <c r="A1442" s="2" t="s">
        <v>4771</v>
      </c>
      <c r="B1442" s="2" t="s">
        <v>876</v>
      </c>
      <c r="C1442" s="2" t="s">
        <v>877</v>
      </c>
      <c r="D1442" s="13" t="n">
        <v>45362.9215277778</v>
      </c>
      <c r="E1442" s="2" t="s">
        <v>35</v>
      </c>
      <c r="F1442" s="2" t="s">
        <v>27</v>
      </c>
      <c r="G1442" s="2" t="n">
        <v>2277.45</v>
      </c>
      <c r="H1442" s="2" t="n">
        <v>21.78</v>
      </c>
      <c r="I1442" s="2" t="s">
        <v>26</v>
      </c>
      <c r="J1442" s="2" t="s">
        <v>4772</v>
      </c>
      <c r="K1442" s="2" t="s">
        <v>122</v>
      </c>
      <c r="L1442" s="2"/>
      <c r="M1442" s="2" t="s">
        <v>1157</v>
      </c>
    </row>
    <row r="1443" customFormat="false" ht="15" hidden="false" customHeight="false" outlineLevel="0" collapsed="false">
      <c r="A1443" s="2" t="s">
        <v>4773</v>
      </c>
      <c r="B1443" s="2" t="s">
        <v>4774</v>
      </c>
      <c r="C1443" s="2" t="s">
        <v>4775</v>
      </c>
      <c r="D1443" s="13" t="n">
        <v>45528.5222222222</v>
      </c>
      <c r="E1443" s="2" t="s">
        <v>41</v>
      </c>
      <c r="F1443" s="2" t="s">
        <v>31</v>
      </c>
      <c r="G1443" s="2" t="n">
        <v>5220.44</v>
      </c>
      <c r="H1443" s="2" t="n">
        <v>24.94</v>
      </c>
      <c r="I1443" s="2" t="s">
        <v>26</v>
      </c>
      <c r="J1443" s="2" t="s">
        <v>4776</v>
      </c>
      <c r="K1443" s="2" t="s">
        <v>89</v>
      </c>
      <c r="L1443" s="2" t="s">
        <v>1160</v>
      </c>
      <c r="M1443" s="2"/>
    </row>
    <row r="1444" customFormat="false" ht="15" hidden="false" customHeight="false" outlineLevel="0" collapsed="false">
      <c r="A1444" s="2" t="s">
        <v>4777</v>
      </c>
      <c r="B1444" s="2" t="s">
        <v>4778</v>
      </c>
      <c r="C1444" s="2" t="s">
        <v>4779</v>
      </c>
      <c r="D1444" s="13" t="n">
        <v>45712.4958333333</v>
      </c>
      <c r="E1444" s="2" t="s">
        <v>35</v>
      </c>
      <c r="F1444" s="2" t="s">
        <v>27</v>
      </c>
      <c r="G1444" s="2" t="n">
        <v>25280.93</v>
      </c>
      <c r="H1444" s="2" t="n">
        <v>271.17</v>
      </c>
      <c r="I1444" s="2" t="s">
        <v>26</v>
      </c>
      <c r="J1444" s="2" t="s">
        <v>4780</v>
      </c>
      <c r="K1444" s="2" t="s">
        <v>101</v>
      </c>
      <c r="L1444" s="2"/>
      <c r="M1444" s="2" t="s">
        <v>762</v>
      </c>
    </row>
    <row r="1445" customFormat="false" ht="15" hidden="false" customHeight="false" outlineLevel="0" collapsed="false">
      <c r="A1445" s="2" t="s">
        <v>4781</v>
      </c>
      <c r="B1445" s="2" t="s">
        <v>1441</v>
      </c>
      <c r="C1445" s="2" t="s">
        <v>1442</v>
      </c>
      <c r="D1445" s="13" t="n">
        <v>45301.3118055556</v>
      </c>
      <c r="E1445" s="2" t="s">
        <v>41</v>
      </c>
      <c r="F1445" s="2" t="s">
        <v>31</v>
      </c>
      <c r="G1445" s="2" t="n">
        <v>3573.15</v>
      </c>
      <c r="H1445" s="2" t="n">
        <v>8.63</v>
      </c>
      <c r="I1445" s="2" t="s">
        <v>26</v>
      </c>
      <c r="J1445" s="2" t="s">
        <v>4782</v>
      </c>
      <c r="K1445" s="2" t="s">
        <v>122</v>
      </c>
      <c r="L1445" s="2" t="s">
        <v>1169</v>
      </c>
      <c r="M1445" s="2"/>
    </row>
    <row r="1446" customFormat="false" ht="15" hidden="false" customHeight="false" outlineLevel="0" collapsed="false">
      <c r="A1446" s="2" t="s">
        <v>4783</v>
      </c>
      <c r="B1446" s="2" t="s">
        <v>3462</v>
      </c>
      <c r="C1446" s="2" t="s">
        <v>3463</v>
      </c>
      <c r="D1446" s="13" t="n">
        <v>45659.8597222222</v>
      </c>
      <c r="E1446" s="2" t="s">
        <v>41</v>
      </c>
      <c r="F1446" s="2" t="s">
        <v>27</v>
      </c>
      <c r="G1446" s="2" t="n">
        <v>1875.68</v>
      </c>
      <c r="H1446" s="2" t="n">
        <v>9.49</v>
      </c>
      <c r="I1446" s="2" t="s">
        <v>26</v>
      </c>
      <c r="J1446" s="2" t="s">
        <v>4784</v>
      </c>
      <c r="K1446" s="2" t="s">
        <v>89</v>
      </c>
      <c r="L1446" s="2"/>
      <c r="M1446" s="2" t="s">
        <v>1174</v>
      </c>
    </row>
    <row r="1447" customFormat="false" ht="15" hidden="false" customHeight="false" outlineLevel="0" collapsed="false">
      <c r="A1447" s="2" t="s">
        <v>4785</v>
      </c>
      <c r="B1447" s="2" t="s">
        <v>838</v>
      </c>
      <c r="C1447" s="2" t="s">
        <v>839</v>
      </c>
      <c r="D1447" s="13" t="n">
        <v>45899.3375</v>
      </c>
      <c r="E1447" s="2" t="s">
        <v>39</v>
      </c>
      <c r="F1447" s="2" t="s">
        <v>32</v>
      </c>
      <c r="G1447" s="2" t="n">
        <v>8790.63</v>
      </c>
      <c r="H1447" s="2" t="n">
        <v>26.02</v>
      </c>
      <c r="I1447" s="2" t="s">
        <v>28</v>
      </c>
      <c r="J1447" s="2" t="s">
        <v>4786</v>
      </c>
      <c r="K1447" s="2" t="s">
        <v>95</v>
      </c>
      <c r="L1447" s="2" t="s">
        <v>556</v>
      </c>
      <c r="M1447" s="2"/>
    </row>
    <row r="1448" customFormat="false" ht="15" hidden="false" customHeight="false" outlineLevel="0" collapsed="false">
      <c r="A1448" s="2" t="s">
        <v>4787</v>
      </c>
      <c r="B1448" s="2" t="s">
        <v>1201</v>
      </c>
      <c r="C1448" s="2" t="s">
        <v>1202</v>
      </c>
      <c r="D1448" s="13" t="n">
        <v>45817.4402777778</v>
      </c>
      <c r="E1448" s="2" t="s">
        <v>37</v>
      </c>
      <c r="F1448" s="2" t="s">
        <v>31</v>
      </c>
      <c r="G1448" s="2" t="n">
        <v>4757.57</v>
      </c>
      <c r="H1448" s="2" t="n">
        <v>47.54</v>
      </c>
      <c r="I1448" s="2" t="s">
        <v>26</v>
      </c>
      <c r="J1448" s="2" t="s">
        <v>4788</v>
      </c>
      <c r="K1448" s="2" t="s">
        <v>95</v>
      </c>
      <c r="L1448" s="2" t="s">
        <v>1183</v>
      </c>
      <c r="M1448" s="2"/>
    </row>
    <row r="1449" customFormat="false" ht="15" hidden="false" customHeight="false" outlineLevel="0" collapsed="false">
      <c r="A1449" s="2" t="s">
        <v>4789</v>
      </c>
      <c r="B1449" s="2" t="s">
        <v>340</v>
      </c>
      <c r="C1449" s="2" t="s">
        <v>341</v>
      </c>
      <c r="D1449" s="13" t="n">
        <v>45827.4347222222</v>
      </c>
      <c r="E1449" s="2" t="s">
        <v>35</v>
      </c>
      <c r="F1449" s="2" t="s">
        <v>31</v>
      </c>
      <c r="G1449" s="2" t="n">
        <v>18402.09</v>
      </c>
      <c r="H1449" s="2" t="n">
        <v>135.38</v>
      </c>
      <c r="I1449" s="2" t="s">
        <v>28</v>
      </c>
      <c r="J1449" s="2" t="s">
        <v>4790</v>
      </c>
      <c r="K1449" s="2" t="s">
        <v>101</v>
      </c>
      <c r="L1449" s="2" t="s">
        <v>566</v>
      </c>
      <c r="M1449" s="2"/>
    </row>
    <row r="1450" customFormat="false" ht="15" hidden="false" customHeight="false" outlineLevel="0" collapsed="false">
      <c r="A1450" s="2" t="s">
        <v>4791</v>
      </c>
      <c r="B1450" s="2" t="s">
        <v>2109</v>
      </c>
      <c r="C1450" s="2" t="s">
        <v>2110</v>
      </c>
      <c r="D1450" s="13" t="n">
        <v>45722.3486111111</v>
      </c>
      <c r="E1450" s="2" t="s">
        <v>37</v>
      </c>
      <c r="F1450" s="2" t="s">
        <v>32</v>
      </c>
      <c r="G1450" s="2" t="n">
        <v>7676.95</v>
      </c>
      <c r="H1450" s="2" t="n">
        <v>44.67</v>
      </c>
      <c r="I1450" s="2" t="s">
        <v>26</v>
      </c>
      <c r="J1450" s="2" t="s">
        <v>4792</v>
      </c>
      <c r="K1450" s="2" t="s">
        <v>122</v>
      </c>
      <c r="L1450" s="2" t="s">
        <v>1190</v>
      </c>
      <c r="M1450" s="2"/>
    </row>
    <row r="1451" customFormat="false" ht="15" hidden="false" customHeight="false" outlineLevel="0" collapsed="false">
      <c r="A1451" s="2" t="s">
        <v>4793</v>
      </c>
      <c r="B1451" s="2" t="s">
        <v>4794</v>
      </c>
      <c r="C1451" s="2" t="s">
        <v>4795</v>
      </c>
      <c r="D1451" s="13" t="n">
        <v>45828.3333333333</v>
      </c>
      <c r="E1451" s="2" t="s">
        <v>39</v>
      </c>
      <c r="F1451" s="2" t="s">
        <v>31</v>
      </c>
      <c r="G1451" s="2" t="n">
        <v>3857.02</v>
      </c>
      <c r="H1451" s="2" t="n">
        <v>26.55</v>
      </c>
      <c r="I1451" s="2" t="s">
        <v>30</v>
      </c>
      <c r="J1451" s="2" t="s">
        <v>4796</v>
      </c>
      <c r="K1451" s="2" t="s">
        <v>101</v>
      </c>
      <c r="L1451" s="2" t="s">
        <v>1759</v>
      </c>
      <c r="M1451" s="2"/>
    </row>
    <row r="1452" customFormat="false" ht="15" hidden="false" customHeight="false" outlineLevel="0" collapsed="false">
      <c r="A1452" s="2" t="s">
        <v>4797</v>
      </c>
      <c r="B1452" s="2" t="s">
        <v>1583</v>
      </c>
      <c r="C1452" s="2" t="s">
        <v>1584</v>
      </c>
      <c r="D1452" s="13" t="n">
        <v>45450.5618055556</v>
      </c>
      <c r="E1452" s="2" t="s">
        <v>43</v>
      </c>
      <c r="F1452" s="2" t="s">
        <v>32</v>
      </c>
      <c r="G1452" s="2" t="n">
        <v>1710.56</v>
      </c>
      <c r="H1452" s="2" t="n">
        <v>5</v>
      </c>
      <c r="I1452" s="2" t="s">
        <v>30</v>
      </c>
      <c r="J1452" s="2" t="s">
        <v>4798</v>
      </c>
      <c r="K1452" s="2" t="s">
        <v>89</v>
      </c>
      <c r="L1452" s="2"/>
      <c r="M1452" s="2" t="s">
        <v>795</v>
      </c>
    </row>
    <row r="1453" customFormat="false" ht="15" hidden="false" customHeight="false" outlineLevel="0" collapsed="false">
      <c r="A1453" s="2" t="s">
        <v>4799</v>
      </c>
      <c r="B1453" s="2" t="s">
        <v>4800</v>
      </c>
      <c r="C1453" s="2" t="s">
        <v>4801</v>
      </c>
      <c r="D1453" s="13" t="n">
        <v>45838.5854166667</v>
      </c>
      <c r="E1453" s="2" t="s">
        <v>43</v>
      </c>
      <c r="F1453" s="2" t="s">
        <v>29</v>
      </c>
      <c r="G1453" s="2" t="n">
        <v>12872.1</v>
      </c>
      <c r="H1453" s="2" t="n">
        <v>148.33</v>
      </c>
      <c r="I1453" s="2" t="s">
        <v>26</v>
      </c>
      <c r="J1453" s="2" t="s">
        <v>4802</v>
      </c>
      <c r="K1453" s="2" t="s">
        <v>101</v>
      </c>
      <c r="L1453" s="2"/>
      <c r="M1453" s="2" t="s">
        <v>3207</v>
      </c>
    </row>
    <row r="1454" customFormat="false" ht="15" hidden="false" customHeight="false" outlineLevel="0" collapsed="false">
      <c r="A1454" s="2" t="s">
        <v>4803</v>
      </c>
      <c r="B1454" s="2" t="s">
        <v>1756</v>
      </c>
      <c r="C1454" s="2" t="s">
        <v>1757</v>
      </c>
      <c r="D1454" s="13" t="n">
        <v>45582.5597222222</v>
      </c>
      <c r="E1454" s="2" t="s">
        <v>35</v>
      </c>
      <c r="F1454" s="2" t="s">
        <v>31</v>
      </c>
      <c r="G1454" s="2" t="n">
        <v>3744.94</v>
      </c>
      <c r="H1454" s="2" t="n">
        <v>22</v>
      </c>
      <c r="I1454" s="2" t="s">
        <v>26</v>
      </c>
      <c r="J1454" s="2" t="s">
        <v>4804</v>
      </c>
      <c r="K1454" s="2" t="s">
        <v>122</v>
      </c>
      <c r="L1454" s="2" t="s">
        <v>589</v>
      </c>
      <c r="M1454" s="2"/>
    </row>
    <row r="1455" customFormat="false" ht="15" hidden="false" customHeight="false" outlineLevel="0" collapsed="false">
      <c r="A1455" s="2" t="s">
        <v>4805</v>
      </c>
      <c r="B1455" s="2" t="s">
        <v>771</v>
      </c>
      <c r="C1455" s="2" t="s">
        <v>772</v>
      </c>
      <c r="D1455" s="13" t="n">
        <v>45819.8527777778</v>
      </c>
      <c r="E1455" s="2" t="s">
        <v>37</v>
      </c>
      <c r="F1455" s="2" t="s">
        <v>31</v>
      </c>
      <c r="G1455" s="2" t="n">
        <v>764.27</v>
      </c>
      <c r="H1455" s="2" t="n">
        <v>5</v>
      </c>
      <c r="I1455" s="2" t="s">
        <v>26</v>
      </c>
      <c r="J1455" s="2" t="s">
        <v>4806</v>
      </c>
      <c r="K1455" s="2" t="s">
        <v>122</v>
      </c>
      <c r="L1455" s="2" t="s">
        <v>1212</v>
      </c>
      <c r="M1455" s="2"/>
    </row>
    <row r="1456" customFormat="false" ht="15" hidden="false" customHeight="false" outlineLevel="0" collapsed="false">
      <c r="A1456" s="2" t="s">
        <v>4807</v>
      </c>
      <c r="B1456" s="2" t="s">
        <v>4608</v>
      </c>
      <c r="C1456" s="2" t="s">
        <v>4609</v>
      </c>
      <c r="D1456" s="13" t="n">
        <v>45654.8347222222</v>
      </c>
      <c r="E1456" s="2" t="s">
        <v>37</v>
      </c>
      <c r="F1456" s="2" t="s">
        <v>32</v>
      </c>
      <c r="G1456" s="2" t="n">
        <v>2098.48</v>
      </c>
      <c r="H1456" s="2" t="n">
        <v>11.87</v>
      </c>
      <c r="I1456" s="2" t="s">
        <v>26</v>
      </c>
      <c r="J1456" s="2" t="s">
        <v>4808</v>
      </c>
      <c r="K1456" s="2" t="s">
        <v>95</v>
      </c>
      <c r="L1456" s="2" t="s">
        <v>599</v>
      </c>
      <c r="M1456" s="2"/>
    </row>
    <row r="1457" customFormat="false" ht="15" hidden="false" customHeight="false" outlineLevel="0" collapsed="false">
      <c r="A1457" s="2" t="s">
        <v>4809</v>
      </c>
      <c r="B1457" s="2" t="s">
        <v>1059</v>
      </c>
      <c r="C1457" s="2" t="s">
        <v>1060</v>
      </c>
      <c r="D1457" s="13" t="n">
        <v>45383.3736111111</v>
      </c>
      <c r="E1457" s="2" t="s">
        <v>41</v>
      </c>
      <c r="F1457" s="2" t="s">
        <v>31</v>
      </c>
      <c r="G1457" s="2" t="n">
        <v>5911.61</v>
      </c>
      <c r="H1457" s="2" t="n">
        <v>46.62</v>
      </c>
      <c r="I1457" s="2" t="s">
        <v>30</v>
      </c>
      <c r="J1457" s="2" t="s">
        <v>4810</v>
      </c>
      <c r="K1457" s="2" t="s">
        <v>89</v>
      </c>
      <c r="L1457" s="2" t="s">
        <v>604</v>
      </c>
      <c r="M1457" s="2"/>
    </row>
    <row r="1458" customFormat="false" ht="15" hidden="false" customHeight="false" outlineLevel="0" collapsed="false">
      <c r="A1458" s="2" t="s">
        <v>4811</v>
      </c>
      <c r="B1458" s="2" t="s">
        <v>2889</v>
      </c>
      <c r="C1458" s="2" t="s">
        <v>2890</v>
      </c>
      <c r="D1458" s="13" t="n">
        <v>45649.76875</v>
      </c>
      <c r="E1458" s="2" t="s">
        <v>37</v>
      </c>
      <c r="F1458" s="2" t="s">
        <v>27</v>
      </c>
      <c r="G1458" s="2" t="n">
        <v>1007.3</v>
      </c>
      <c r="H1458" s="2" t="n">
        <v>5</v>
      </c>
      <c r="I1458" s="2" t="s">
        <v>26</v>
      </c>
      <c r="J1458" s="2" t="s">
        <v>4812</v>
      </c>
      <c r="K1458" s="2" t="s">
        <v>95</v>
      </c>
      <c r="L1458" s="2"/>
      <c r="M1458" s="2" t="s">
        <v>363</v>
      </c>
    </row>
    <row r="1459" customFormat="false" ht="15" hidden="false" customHeight="false" outlineLevel="0" collapsed="false">
      <c r="A1459" s="2" t="s">
        <v>4813</v>
      </c>
      <c r="B1459" s="2" t="s">
        <v>4814</v>
      </c>
      <c r="C1459" s="2" t="s">
        <v>4815</v>
      </c>
      <c r="D1459" s="13" t="n">
        <v>45985.5458333333</v>
      </c>
      <c r="E1459" s="2" t="s">
        <v>43</v>
      </c>
      <c r="F1459" s="2" t="s">
        <v>32</v>
      </c>
      <c r="G1459" s="2" t="n">
        <v>2065.5</v>
      </c>
      <c r="H1459" s="2" t="n">
        <v>14.07</v>
      </c>
      <c r="I1459" s="2" t="s">
        <v>26</v>
      </c>
      <c r="J1459" s="2" t="s">
        <v>4816</v>
      </c>
      <c r="K1459" s="2" t="s">
        <v>89</v>
      </c>
      <c r="L1459" s="2"/>
      <c r="M1459" s="2" t="s">
        <v>1606</v>
      </c>
    </row>
    <row r="1460" customFormat="false" ht="15" hidden="false" customHeight="false" outlineLevel="0" collapsed="false">
      <c r="A1460" s="2" t="s">
        <v>4817</v>
      </c>
      <c r="B1460" s="2" t="s">
        <v>2665</v>
      </c>
      <c r="C1460" s="2" t="s">
        <v>2666</v>
      </c>
      <c r="D1460" s="13" t="n">
        <v>45581.9465277778</v>
      </c>
      <c r="E1460" s="2" t="s">
        <v>35</v>
      </c>
      <c r="F1460" s="2" t="s">
        <v>29</v>
      </c>
      <c r="G1460" s="2" t="n">
        <v>649.32</v>
      </c>
      <c r="H1460" s="2" t="n">
        <v>5</v>
      </c>
      <c r="I1460" s="2" t="s">
        <v>26</v>
      </c>
      <c r="J1460" s="2" t="s">
        <v>4818</v>
      </c>
      <c r="K1460" s="2" t="s">
        <v>101</v>
      </c>
      <c r="L1460" s="2" t="s">
        <v>1232</v>
      </c>
      <c r="M1460" s="2"/>
    </row>
    <row r="1461" customFormat="false" ht="15" hidden="false" customHeight="false" outlineLevel="0" collapsed="false">
      <c r="A1461" s="2" t="s">
        <v>4819</v>
      </c>
      <c r="B1461" s="2" t="s">
        <v>548</v>
      </c>
      <c r="C1461" s="2" t="s">
        <v>549</v>
      </c>
      <c r="D1461" s="13" t="n">
        <v>45965.3479166667</v>
      </c>
      <c r="E1461" s="2" t="s">
        <v>43</v>
      </c>
      <c r="F1461" s="2" t="s">
        <v>32</v>
      </c>
      <c r="G1461" s="2" t="n">
        <v>4225.37</v>
      </c>
      <c r="H1461" s="2" t="n">
        <v>9.99</v>
      </c>
      <c r="I1461" s="2" t="s">
        <v>28</v>
      </c>
      <c r="J1461" s="2" t="s">
        <v>4820</v>
      </c>
      <c r="K1461" s="2" t="s">
        <v>122</v>
      </c>
      <c r="L1461" s="2"/>
      <c r="M1461" s="2" t="s">
        <v>378</v>
      </c>
    </row>
    <row r="1462" customFormat="false" ht="15" hidden="false" customHeight="false" outlineLevel="0" collapsed="false">
      <c r="A1462" s="2" t="s">
        <v>4821</v>
      </c>
      <c r="B1462" s="2" t="s">
        <v>2086</v>
      </c>
      <c r="C1462" s="2" t="s">
        <v>2087</v>
      </c>
      <c r="D1462" s="13" t="n">
        <v>45938.8854166667</v>
      </c>
      <c r="E1462" s="2" t="s">
        <v>39</v>
      </c>
      <c r="F1462" s="2" t="s">
        <v>27</v>
      </c>
      <c r="G1462" s="2" t="n">
        <v>4303.47</v>
      </c>
      <c r="H1462" s="2" t="n">
        <v>21.94</v>
      </c>
      <c r="I1462" s="2" t="s">
        <v>26</v>
      </c>
      <c r="J1462" s="2" t="s">
        <v>4822</v>
      </c>
      <c r="K1462" s="2" t="s">
        <v>89</v>
      </c>
      <c r="L1462" s="2"/>
      <c r="M1462" s="2" t="s">
        <v>383</v>
      </c>
    </row>
    <row r="1463" customFormat="false" ht="15" hidden="false" customHeight="false" outlineLevel="0" collapsed="false">
      <c r="A1463" s="2" t="s">
        <v>4823</v>
      </c>
      <c r="B1463" s="2" t="s">
        <v>1296</v>
      </c>
      <c r="C1463" s="2" t="s">
        <v>1297</v>
      </c>
      <c r="D1463" s="13" t="n">
        <v>45580.60625</v>
      </c>
      <c r="E1463" s="2" t="s">
        <v>43</v>
      </c>
      <c r="F1463" s="2" t="s">
        <v>31</v>
      </c>
      <c r="G1463" s="2" t="n">
        <v>932.25</v>
      </c>
      <c r="H1463" s="2" t="n">
        <v>5</v>
      </c>
      <c r="I1463" s="2" t="s">
        <v>26</v>
      </c>
      <c r="J1463" s="2" t="s">
        <v>4824</v>
      </c>
      <c r="K1463" s="2" t="s">
        <v>95</v>
      </c>
      <c r="L1463" s="2"/>
      <c r="M1463" s="2" t="s">
        <v>388</v>
      </c>
    </row>
    <row r="1464" customFormat="false" ht="15" hidden="false" customHeight="false" outlineLevel="0" collapsed="false">
      <c r="A1464" s="2" t="s">
        <v>4825</v>
      </c>
      <c r="B1464" s="2" t="s">
        <v>601</v>
      </c>
      <c r="C1464" s="2" t="s">
        <v>602</v>
      </c>
      <c r="D1464" s="13" t="n">
        <v>45453.69375</v>
      </c>
      <c r="E1464" s="2" t="s">
        <v>37</v>
      </c>
      <c r="F1464" s="2" t="s">
        <v>27</v>
      </c>
      <c r="G1464" s="2" t="n">
        <v>2346.47</v>
      </c>
      <c r="H1464" s="2" t="n">
        <v>11.22</v>
      </c>
      <c r="I1464" s="2" t="s">
        <v>26</v>
      </c>
      <c r="J1464" s="2" t="s">
        <v>4826</v>
      </c>
      <c r="K1464" s="2" t="s">
        <v>101</v>
      </c>
      <c r="L1464" s="2"/>
      <c r="M1464" s="2" t="s">
        <v>1623</v>
      </c>
    </row>
    <row r="1465" customFormat="false" ht="15" hidden="false" customHeight="false" outlineLevel="0" collapsed="false">
      <c r="A1465" s="2" t="s">
        <v>4827</v>
      </c>
      <c r="B1465" s="2" t="s">
        <v>4828</v>
      </c>
      <c r="C1465" s="2" t="s">
        <v>4829</v>
      </c>
      <c r="D1465" s="13" t="n">
        <v>45688.4805555556</v>
      </c>
      <c r="E1465" s="2" t="s">
        <v>43</v>
      </c>
      <c r="F1465" s="2" t="s">
        <v>27</v>
      </c>
      <c r="G1465" s="2" t="n">
        <v>7836.01</v>
      </c>
      <c r="H1465" s="2" t="n">
        <v>43.82</v>
      </c>
      <c r="I1465" s="2" t="s">
        <v>26</v>
      </c>
      <c r="J1465" s="2" t="s">
        <v>4830</v>
      </c>
      <c r="K1465" s="2" t="s">
        <v>95</v>
      </c>
      <c r="L1465" s="2"/>
      <c r="M1465" s="2" t="s">
        <v>398</v>
      </c>
    </row>
    <row r="1466" customFormat="false" ht="15" hidden="false" customHeight="false" outlineLevel="0" collapsed="false">
      <c r="A1466" s="2" t="s">
        <v>4831</v>
      </c>
      <c r="B1466" s="2" t="s">
        <v>4832</v>
      </c>
      <c r="C1466" s="2" t="s">
        <v>4833</v>
      </c>
      <c r="D1466" s="13" t="n">
        <v>45450.9090277778</v>
      </c>
      <c r="E1466" s="2" t="s">
        <v>41</v>
      </c>
      <c r="F1466" s="2" t="s">
        <v>32</v>
      </c>
      <c r="G1466" s="2" t="n">
        <v>2447.28</v>
      </c>
      <c r="H1466" s="2" t="n">
        <v>5</v>
      </c>
      <c r="I1466" s="2" t="s">
        <v>26</v>
      </c>
      <c r="J1466" s="2" t="s">
        <v>4834</v>
      </c>
      <c r="K1466" s="2" t="s">
        <v>95</v>
      </c>
      <c r="L1466" s="2" t="s">
        <v>645</v>
      </c>
      <c r="M1466" s="2"/>
    </row>
    <row r="1467" customFormat="false" ht="15" hidden="false" customHeight="false" outlineLevel="0" collapsed="false">
      <c r="A1467" s="2" t="s">
        <v>4835</v>
      </c>
      <c r="B1467" s="2" t="s">
        <v>4836</v>
      </c>
      <c r="C1467" s="2" t="s">
        <v>4837</v>
      </c>
      <c r="D1467" s="13" t="n">
        <v>45585.3493055556</v>
      </c>
      <c r="E1467" s="2" t="s">
        <v>39</v>
      </c>
      <c r="F1467" s="2" t="s">
        <v>32</v>
      </c>
      <c r="G1467" s="2" t="n">
        <v>2752.31</v>
      </c>
      <c r="H1467" s="2" t="n">
        <v>28.99</v>
      </c>
      <c r="I1467" s="2" t="s">
        <v>26</v>
      </c>
      <c r="J1467" s="2" t="s">
        <v>4838</v>
      </c>
      <c r="K1467" s="2" t="s">
        <v>89</v>
      </c>
      <c r="L1467" s="2" t="s">
        <v>648</v>
      </c>
      <c r="M1467" s="2"/>
    </row>
    <row r="1468" customFormat="false" ht="15" hidden="false" customHeight="false" outlineLevel="0" collapsed="false">
      <c r="A1468" s="2" t="s">
        <v>4839</v>
      </c>
      <c r="B1468" s="2" t="s">
        <v>2414</v>
      </c>
      <c r="C1468" s="2" t="s">
        <v>2415</v>
      </c>
      <c r="D1468" s="13" t="n">
        <v>45669.3694444444</v>
      </c>
      <c r="E1468" s="2" t="s">
        <v>39</v>
      </c>
      <c r="F1468" s="2" t="s">
        <v>29</v>
      </c>
      <c r="G1468" s="2" t="n">
        <v>8280.65</v>
      </c>
      <c r="H1468" s="2" t="n">
        <v>87.95</v>
      </c>
      <c r="I1468" s="2" t="s">
        <v>26</v>
      </c>
      <c r="J1468" s="2" t="s">
        <v>4840</v>
      </c>
      <c r="K1468" s="2" t="s">
        <v>122</v>
      </c>
      <c r="L1468" s="2" t="s">
        <v>1262</v>
      </c>
      <c r="M1468" s="2"/>
    </row>
    <row r="1469" customFormat="false" ht="15" hidden="false" customHeight="false" outlineLevel="0" collapsed="false">
      <c r="A1469" s="2" t="s">
        <v>4841</v>
      </c>
      <c r="B1469" s="2" t="s">
        <v>1336</v>
      </c>
      <c r="C1469" s="2" t="s">
        <v>1337</v>
      </c>
      <c r="D1469" s="13" t="n">
        <v>45733.3645833333</v>
      </c>
      <c r="E1469" s="2" t="s">
        <v>43</v>
      </c>
      <c r="F1469" s="2" t="s">
        <v>32</v>
      </c>
      <c r="G1469" s="2" t="n">
        <v>4367.33</v>
      </c>
      <c r="H1469" s="2" t="n">
        <v>16.58</v>
      </c>
      <c r="I1469" s="2" t="s">
        <v>26</v>
      </c>
      <c r="J1469" s="2" t="s">
        <v>4842</v>
      </c>
      <c r="K1469" s="2" t="s">
        <v>101</v>
      </c>
      <c r="L1469" s="2"/>
      <c r="M1469" s="2" t="s">
        <v>2325</v>
      </c>
    </row>
    <row r="1470" customFormat="false" ht="15" hidden="false" customHeight="false" outlineLevel="0" collapsed="false">
      <c r="A1470" s="2" t="s">
        <v>4843</v>
      </c>
      <c r="B1470" s="2" t="s">
        <v>2906</v>
      </c>
      <c r="C1470" s="2" t="s">
        <v>2907</v>
      </c>
      <c r="D1470" s="13" t="n">
        <v>45574.9444444445</v>
      </c>
      <c r="E1470" s="2" t="s">
        <v>41</v>
      </c>
      <c r="F1470" s="2" t="s">
        <v>27</v>
      </c>
      <c r="G1470" s="2" t="n">
        <v>6442.4</v>
      </c>
      <c r="H1470" s="2" t="n">
        <v>37.47</v>
      </c>
      <c r="I1470" s="2" t="s">
        <v>26</v>
      </c>
      <c r="J1470" s="2" t="s">
        <v>4844</v>
      </c>
      <c r="K1470" s="2" t="s">
        <v>101</v>
      </c>
      <c r="L1470" s="2"/>
      <c r="M1470" s="2" t="s">
        <v>1645</v>
      </c>
    </row>
    <row r="1471" customFormat="false" ht="15" hidden="false" customHeight="false" outlineLevel="0" collapsed="false">
      <c r="A1471" s="2" t="s">
        <v>4845</v>
      </c>
      <c r="B1471" s="2" t="s">
        <v>1075</v>
      </c>
      <c r="C1471" s="2" t="s">
        <v>1076</v>
      </c>
      <c r="D1471" s="13" t="n">
        <v>45777.81875</v>
      </c>
      <c r="E1471" s="2" t="s">
        <v>35</v>
      </c>
      <c r="F1471" s="2" t="s">
        <v>29</v>
      </c>
      <c r="G1471" s="2" t="n">
        <v>2043.82</v>
      </c>
      <c r="H1471" s="2" t="n">
        <v>20.68</v>
      </c>
      <c r="I1471" s="2" t="s">
        <v>26</v>
      </c>
      <c r="J1471" s="2" t="s">
        <v>4846</v>
      </c>
      <c r="K1471" s="2" t="s">
        <v>95</v>
      </c>
      <c r="L1471" s="2" t="s">
        <v>1277</v>
      </c>
      <c r="M1471" s="2"/>
    </row>
    <row r="1472" customFormat="false" ht="15" hidden="false" customHeight="false" outlineLevel="0" collapsed="false">
      <c r="A1472" s="2" t="s">
        <v>4847</v>
      </c>
      <c r="B1472" s="2" t="s">
        <v>4848</v>
      </c>
      <c r="C1472" s="2" t="s">
        <v>4849</v>
      </c>
      <c r="D1472" s="13" t="n">
        <v>45440.5354166667</v>
      </c>
      <c r="E1472" s="2" t="s">
        <v>41</v>
      </c>
      <c r="F1472" s="2" t="s">
        <v>31</v>
      </c>
      <c r="G1472" s="2" t="n">
        <v>1097.7</v>
      </c>
      <c r="H1472" s="2" t="n">
        <v>11.38</v>
      </c>
      <c r="I1472" s="2" t="s">
        <v>26</v>
      </c>
      <c r="J1472" s="2" t="s">
        <v>4850</v>
      </c>
      <c r="K1472" s="2" t="s">
        <v>122</v>
      </c>
      <c r="L1472" s="2" t="s">
        <v>1837</v>
      </c>
      <c r="M1472" s="2"/>
    </row>
    <row r="1473" customFormat="false" ht="15" hidden="false" customHeight="false" outlineLevel="0" collapsed="false">
      <c r="A1473" s="2" t="s">
        <v>4851</v>
      </c>
      <c r="B1473" s="2" t="s">
        <v>1632</v>
      </c>
      <c r="C1473" s="2" t="s">
        <v>1633</v>
      </c>
      <c r="D1473" s="13" t="n">
        <v>45765.3881944444</v>
      </c>
      <c r="E1473" s="2" t="s">
        <v>39</v>
      </c>
      <c r="F1473" s="2" t="s">
        <v>31</v>
      </c>
      <c r="G1473" s="2" t="n">
        <v>2996.06</v>
      </c>
      <c r="H1473" s="2" t="n">
        <v>8.2</v>
      </c>
      <c r="I1473" s="2" t="s">
        <v>30</v>
      </c>
      <c r="J1473" s="2" t="s">
        <v>4852</v>
      </c>
      <c r="K1473" s="2" t="s">
        <v>95</v>
      </c>
      <c r="L1473" s="2" t="s">
        <v>676</v>
      </c>
      <c r="M1473" s="2"/>
    </row>
    <row r="1474" customFormat="false" ht="15" hidden="false" customHeight="false" outlineLevel="0" collapsed="false">
      <c r="A1474" s="2" t="s">
        <v>4853</v>
      </c>
      <c r="B1474" s="2" t="s">
        <v>3146</v>
      </c>
      <c r="C1474" s="2" t="s">
        <v>3147</v>
      </c>
      <c r="D1474" s="13" t="n">
        <v>45987.8194444445</v>
      </c>
      <c r="E1474" s="2" t="s">
        <v>39</v>
      </c>
      <c r="F1474" s="2" t="s">
        <v>32</v>
      </c>
      <c r="G1474" s="2" t="n">
        <v>4770.76</v>
      </c>
      <c r="H1474" s="2" t="n">
        <v>22.12</v>
      </c>
      <c r="I1474" s="2" t="s">
        <v>30</v>
      </c>
      <c r="J1474" s="2" t="s">
        <v>4854</v>
      </c>
      <c r="K1474" s="2" t="s">
        <v>122</v>
      </c>
      <c r="L1474" s="2" t="s">
        <v>681</v>
      </c>
      <c r="M1474" s="2"/>
    </row>
    <row r="1475" customFormat="false" ht="15" hidden="false" customHeight="false" outlineLevel="0" collapsed="false">
      <c r="A1475" s="2" t="s">
        <v>4855</v>
      </c>
      <c r="B1475" s="2" t="s">
        <v>119</v>
      </c>
      <c r="C1475" s="2" t="s">
        <v>120</v>
      </c>
      <c r="D1475" s="13" t="n">
        <v>45684.3756944445</v>
      </c>
      <c r="E1475" s="2" t="s">
        <v>43</v>
      </c>
      <c r="F1475" s="2" t="s">
        <v>32</v>
      </c>
      <c r="G1475" s="2" t="n">
        <v>6344.8</v>
      </c>
      <c r="H1475" s="2" t="n">
        <v>65.4</v>
      </c>
      <c r="I1475" s="2" t="s">
        <v>30</v>
      </c>
      <c r="J1475" s="2" t="s">
        <v>4856</v>
      </c>
      <c r="K1475" s="2" t="s">
        <v>101</v>
      </c>
      <c r="L1475" s="2"/>
      <c r="M1475" s="2" t="s">
        <v>448</v>
      </c>
    </row>
    <row r="1476" customFormat="false" ht="15" hidden="false" customHeight="false" outlineLevel="0" collapsed="false">
      <c r="A1476" s="2" t="s">
        <v>4857</v>
      </c>
      <c r="B1476" s="2" t="s">
        <v>2861</v>
      </c>
      <c r="C1476" s="2" t="s">
        <v>2862</v>
      </c>
      <c r="D1476" s="13" t="n">
        <v>45679.4972222222</v>
      </c>
      <c r="E1476" s="2" t="s">
        <v>41</v>
      </c>
      <c r="F1476" s="2" t="s">
        <v>29</v>
      </c>
      <c r="G1476" s="2" t="n">
        <v>2089.79</v>
      </c>
      <c r="H1476" s="2" t="n">
        <v>15.89</v>
      </c>
      <c r="I1476" s="2" t="s">
        <v>26</v>
      </c>
      <c r="J1476" s="2" t="s">
        <v>4858</v>
      </c>
      <c r="K1476" s="2" t="s">
        <v>89</v>
      </c>
      <c r="L1476" s="2" t="s">
        <v>1299</v>
      </c>
      <c r="M1476" s="2"/>
    </row>
    <row r="1477" customFormat="false" ht="15" hidden="false" customHeight="false" outlineLevel="0" collapsed="false">
      <c r="A1477" s="2" t="s">
        <v>4859</v>
      </c>
      <c r="B1477" s="2" t="s">
        <v>1279</v>
      </c>
      <c r="C1477" s="2" t="s">
        <v>1280</v>
      </c>
      <c r="D1477" s="13" t="n">
        <v>45560.3868055556</v>
      </c>
      <c r="E1477" s="2" t="s">
        <v>43</v>
      </c>
      <c r="F1477" s="2" t="s">
        <v>31</v>
      </c>
      <c r="G1477" s="2" t="n">
        <v>4147.38</v>
      </c>
      <c r="H1477" s="2" t="n">
        <v>43.87</v>
      </c>
      <c r="I1477" s="2" t="s">
        <v>26</v>
      </c>
      <c r="J1477" s="2" t="s">
        <v>4860</v>
      </c>
      <c r="K1477" s="2" t="s">
        <v>89</v>
      </c>
      <c r="L1477" s="2"/>
      <c r="M1477" s="2" t="s">
        <v>1304</v>
      </c>
    </row>
    <row r="1478" customFormat="false" ht="15" hidden="false" customHeight="false" outlineLevel="0" collapsed="false">
      <c r="A1478" s="2" t="s">
        <v>4861</v>
      </c>
      <c r="B1478" s="2" t="s">
        <v>505</v>
      </c>
      <c r="C1478" s="2" t="s">
        <v>506</v>
      </c>
      <c r="D1478" s="13" t="n">
        <v>45642.4055555556</v>
      </c>
      <c r="E1478" s="2" t="s">
        <v>37</v>
      </c>
      <c r="F1478" s="2" t="s">
        <v>31</v>
      </c>
      <c r="G1478" s="2" t="n">
        <v>6091.64</v>
      </c>
      <c r="H1478" s="2" t="n">
        <v>50.94</v>
      </c>
      <c r="I1478" s="2" t="s">
        <v>26</v>
      </c>
      <c r="J1478" s="2" t="s">
        <v>4862</v>
      </c>
      <c r="K1478" s="2" t="s">
        <v>101</v>
      </c>
      <c r="L1478" s="2" t="s">
        <v>697</v>
      </c>
      <c r="M1478" s="2"/>
    </row>
    <row r="1479" customFormat="false" ht="15" hidden="false" customHeight="false" outlineLevel="0" collapsed="false">
      <c r="A1479" s="2" t="s">
        <v>4863</v>
      </c>
      <c r="B1479" s="2" t="s">
        <v>4864</v>
      </c>
      <c r="C1479" s="2" t="s">
        <v>4865</v>
      </c>
      <c r="D1479" s="13" t="n">
        <v>45331.7680555556</v>
      </c>
      <c r="E1479" s="2" t="s">
        <v>43</v>
      </c>
      <c r="F1479" s="2" t="s">
        <v>27</v>
      </c>
      <c r="G1479" s="2" t="n">
        <v>14237.3</v>
      </c>
      <c r="H1479" s="2" t="n">
        <v>70.6</v>
      </c>
      <c r="I1479" s="2" t="s">
        <v>28</v>
      </c>
      <c r="J1479" s="2" t="s">
        <v>4866</v>
      </c>
      <c r="K1479" s="2" t="s">
        <v>95</v>
      </c>
      <c r="L1479" s="2"/>
      <c r="M1479" s="2" t="s">
        <v>1677</v>
      </c>
    </row>
    <row r="1480" customFormat="false" ht="15" hidden="false" customHeight="false" outlineLevel="0" collapsed="false">
      <c r="A1480" s="2" t="s">
        <v>4867</v>
      </c>
      <c r="B1480" s="2" t="s">
        <v>1909</v>
      </c>
      <c r="C1480" s="2" t="s">
        <v>1910</v>
      </c>
      <c r="D1480" s="13" t="n">
        <v>45314.5458333333</v>
      </c>
      <c r="E1480" s="2" t="s">
        <v>37</v>
      </c>
      <c r="F1480" s="2" t="s">
        <v>29</v>
      </c>
      <c r="G1480" s="2" t="n">
        <v>486.8</v>
      </c>
      <c r="H1480" s="2" t="n">
        <v>5</v>
      </c>
      <c r="I1480" s="2" t="s">
        <v>26</v>
      </c>
      <c r="J1480" s="2" t="s">
        <v>4868</v>
      </c>
      <c r="K1480" s="2" t="s">
        <v>122</v>
      </c>
      <c r="L1480" s="2" t="s">
        <v>703</v>
      </c>
      <c r="M1480" s="2"/>
    </row>
    <row r="1481" customFormat="false" ht="15" hidden="false" customHeight="false" outlineLevel="0" collapsed="false">
      <c r="A1481" s="2" t="s">
        <v>4869</v>
      </c>
      <c r="B1481" s="2" t="s">
        <v>4870</v>
      </c>
      <c r="C1481" s="2" t="s">
        <v>4871</v>
      </c>
      <c r="D1481" s="13" t="n">
        <v>45448.8888888889</v>
      </c>
      <c r="E1481" s="2" t="s">
        <v>39</v>
      </c>
      <c r="F1481" s="2" t="s">
        <v>27</v>
      </c>
      <c r="G1481" s="2" t="n">
        <v>6800.66</v>
      </c>
      <c r="H1481" s="2" t="n">
        <v>31.88</v>
      </c>
      <c r="I1481" s="2" t="s">
        <v>30</v>
      </c>
      <c r="J1481" s="2" t="s">
        <v>4872</v>
      </c>
      <c r="K1481" s="2" t="s">
        <v>101</v>
      </c>
      <c r="L1481" s="2"/>
      <c r="M1481" s="2" t="s">
        <v>1686</v>
      </c>
    </row>
    <row r="1482" customFormat="false" ht="15" hidden="false" customHeight="false" outlineLevel="0" collapsed="false">
      <c r="A1482" s="2" t="s">
        <v>4873</v>
      </c>
      <c r="B1482" s="2" t="s">
        <v>4874</v>
      </c>
      <c r="C1482" s="2" t="s">
        <v>4875</v>
      </c>
      <c r="D1482" s="13" t="n">
        <v>45519.5791666667</v>
      </c>
      <c r="E1482" s="2" t="s">
        <v>43</v>
      </c>
      <c r="F1482" s="2" t="s">
        <v>27</v>
      </c>
      <c r="G1482" s="2" t="n">
        <v>18720.78</v>
      </c>
      <c r="H1482" s="2" t="n">
        <v>85.79</v>
      </c>
      <c r="I1482" s="2" t="s">
        <v>26</v>
      </c>
      <c r="J1482" s="2" t="s">
        <v>4876</v>
      </c>
      <c r="K1482" s="2" t="s">
        <v>95</v>
      </c>
      <c r="L1482" s="2"/>
      <c r="M1482" s="2" t="s">
        <v>2044</v>
      </c>
    </row>
    <row r="1483" customFormat="false" ht="15" hidden="false" customHeight="false" outlineLevel="0" collapsed="false">
      <c r="A1483" s="2" t="s">
        <v>4877</v>
      </c>
      <c r="B1483" s="2" t="s">
        <v>4878</v>
      </c>
      <c r="C1483" s="2" t="s">
        <v>4879</v>
      </c>
      <c r="D1483" s="13" t="n">
        <v>45915.4479166667</v>
      </c>
      <c r="E1483" s="2" t="s">
        <v>35</v>
      </c>
      <c r="F1483" s="2" t="s">
        <v>31</v>
      </c>
      <c r="G1483" s="2" t="n">
        <v>635.87</v>
      </c>
      <c r="H1483" s="2" t="n">
        <v>7.62</v>
      </c>
      <c r="I1483" s="2" t="s">
        <v>26</v>
      </c>
      <c r="J1483" s="2" t="s">
        <v>4880</v>
      </c>
      <c r="K1483" s="2" t="s">
        <v>122</v>
      </c>
      <c r="L1483" s="2" t="s">
        <v>1330</v>
      </c>
      <c r="M1483" s="2"/>
    </row>
    <row r="1484" customFormat="false" ht="15" hidden="false" customHeight="false" outlineLevel="0" collapsed="false">
      <c r="A1484" s="2" t="s">
        <v>4881</v>
      </c>
      <c r="B1484" s="2" t="s">
        <v>1967</v>
      </c>
      <c r="C1484" s="2" t="s">
        <v>1968</v>
      </c>
      <c r="D1484" s="13" t="n">
        <v>45599.375</v>
      </c>
      <c r="E1484" s="2" t="s">
        <v>41</v>
      </c>
      <c r="F1484" s="2" t="s">
        <v>31</v>
      </c>
      <c r="G1484" s="2" t="n">
        <v>377.94</v>
      </c>
      <c r="H1484" s="2" t="n">
        <v>5</v>
      </c>
      <c r="I1484" s="2" t="s">
        <v>30</v>
      </c>
      <c r="J1484" s="2" t="s">
        <v>4882</v>
      </c>
      <c r="K1484" s="2" t="s">
        <v>89</v>
      </c>
      <c r="L1484" s="2" t="s">
        <v>1877</v>
      </c>
      <c r="M1484" s="2"/>
    </row>
    <row r="1485" customFormat="false" ht="15" hidden="false" customHeight="false" outlineLevel="0" collapsed="false">
      <c r="A1485" s="2" t="s">
        <v>4883</v>
      </c>
      <c r="B1485" s="2" t="s">
        <v>2406</v>
      </c>
      <c r="C1485" s="2" t="s">
        <v>2407</v>
      </c>
      <c r="D1485" s="13" t="n">
        <v>45792.8020833333</v>
      </c>
      <c r="E1485" s="2" t="s">
        <v>39</v>
      </c>
      <c r="F1485" s="2" t="s">
        <v>32</v>
      </c>
      <c r="G1485" s="2" t="n">
        <v>6596.14</v>
      </c>
      <c r="H1485" s="2" t="n">
        <v>32.67</v>
      </c>
      <c r="I1485" s="2" t="s">
        <v>26</v>
      </c>
      <c r="J1485" s="2" t="s">
        <v>4884</v>
      </c>
      <c r="K1485" s="2" t="s">
        <v>95</v>
      </c>
      <c r="L1485" s="2" t="s">
        <v>1339</v>
      </c>
      <c r="M1485" s="2"/>
    </row>
    <row r="1486" customFormat="false" ht="15" hidden="false" customHeight="false" outlineLevel="0" collapsed="false">
      <c r="A1486" s="2" t="s">
        <v>4885</v>
      </c>
      <c r="B1486" s="2" t="s">
        <v>2659</v>
      </c>
      <c r="C1486" s="2" t="s">
        <v>2660</v>
      </c>
      <c r="D1486" s="13" t="n">
        <v>45330.8326388889</v>
      </c>
      <c r="E1486" s="2" t="s">
        <v>43</v>
      </c>
      <c r="F1486" s="2" t="s">
        <v>27</v>
      </c>
      <c r="G1486" s="2" t="n">
        <v>2734.32</v>
      </c>
      <c r="H1486" s="2" t="n">
        <v>17.52</v>
      </c>
      <c r="I1486" s="2" t="s">
        <v>26</v>
      </c>
      <c r="J1486" s="2" t="s">
        <v>4886</v>
      </c>
      <c r="K1486" s="2" t="s">
        <v>101</v>
      </c>
      <c r="L1486" s="2"/>
      <c r="M1486" s="2" t="s">
        <v>1703</v>
      </c>
    </row>
    <row r="1487" customFormat="false" ht="15" hidden="false" customHeight="false" outlineLevel="0" collapsed="false">
      <c r="A1487" s="2" t="s">
        <v>4887</v>
      </c>
      <c r="B1487" s="2" t="s">
        <v>4888</v>
      </c>
      <c r="C1487" s="2" t="s">
        <v>4889</v>
      </c>
      <c r="D1487" s="13" t="n">
        <v>45866.8256944444</v>
      </c>
      <c r="E1487" s="2" t="s">
        <v>35</v>
      </c>
      <c r="F1487" s="2" t="s">
        <v>29</v>
      </c>
      <c r="G1487" s="2" t="n">
        <v>7037.02</v>
      </c>
      <c r="H1487" s="2" t="n">
        <v>50.58</v>
      </c>
      <c r="I1487" s="2" t="s">
        <v>28</v>
      </c>
      <c r="J1487" s="2" t="s">
        <v>4890</v>
      </c>
      <c r="K1487" s="2" t="s">
        <v>89</v>
      </c>
      <c r="L1487" s="2" t="s">
        <v>731</v>
      </c>
      <c r="M1487" s="2"/>
    </row>
    <row r="1488" customFormat="false" ht="15" hidden="false" customHeight="false" outlineLevel="0" collapsed="false">
      <c r="A1488" s="2" t="s">
        <v>4891</v>
      </c>
      <c r="B1488" s="2" t="s">
        <v>4892</v>
      </c>
      <c r="C1488" s="2" t="s">
        <v>4893</v>
      </c>
      <c r="D1488" s="13" t="n">
        <v>45304.6006944445</v>
      </c>
      <c r="E1488" s="2" t="s">
        <v>41</v>
      </c>
      <c r="F1488" s="2" t="s">
        <v>27</v>
      </c>
      <c r="G1488" s="2" t="n">
        <v>963.04</v>
      </c>
      <c r="H1488" s="2" t="n">
        <v>11.13</v>
      </c>
      <c r="I1488" s="2" t="s">
        <v>26</v>
      </c>
      <c r="J1488" s="2" t="s">
        <v>4894</v>
      </c>
      <c r="K1488" s="2" t="s">
        <v>101</v>
      </c>
      <c r="L1488" s="2"/>
      <c r="M1488" s="2" t="s">
        <v>513</v>
      </c>
    </row>
    <row r="1489" customFormat="false" ht="15" hidden="false" customHeight="false" outlineLevel="0" collapsed="false">
      <c r="A1489" s="2" t="s">
        <v>4895</v>
      </c>
      <c r="B1489" s="2" t="s">
        <v>4896</v>
      </c>
      <c r="C1489" s="2" t="s">
        <v>4897</v>
      </c>
      <c r="D1489" s="13" t="n">
        <v>45494.5777777778</v>
      </c>
      <c r="E1489" s="2" t="s">
        <v>37</v>
      </c>
      <c r="F1489" s="2" t="s">
        <v>31</v>
      </c>
      <c r="G1489" s="2" t="n">
        <v>4245.59</v>
      </c>
      <c r="H1489" s="2" t="n">
        <v>46.06</v>
      </c>
      <c r="I1489" s="2" t="s">
        <v>28</v>
      </c>
      <c r="J1489" s="2" t="s">
        <v>4898</v>
      </c>
      <c r="K1489" s="2" t="s">
        <v>122</v>
      </c>
      <c r="L1489" s="2" t="s">
        <v>738</v>
      </c>
      <c r="M1489" s="2"/>
    </row>
    <row r="1490" customFormat="false" ht="15" hidden="false" customHeight="false" outlineLevel="0" collapsed="false">
      <c r="A1490" s="2" t="s">
        <v>4899</v>
      </c>
      <c r="B1490" s="2" t="s">
        <v>3164</v>
      </c>
      <c r="C1490" s="2" t="s">
        <v>3165</v>
      </c>
      <c r="D1490" s="13" t="n">
        <v>45345.3451388889</v>
      </c>
      <c r="E1490" s="2" t="s">
        <v>35</v>
      </c>
      <c r="F1490" s="2" t="s">
        <v>29</v>
      </c>
      <c r="G1490" s="2" t="n">
        <v>5115.37</v>
      </c>
      <c r="H1490" s="2" t="n">
        <v>14.98</v>
      </c>
      <c r="I1490" s="2" t="s">
        <v>26</v>
      </c>
      <c r="J1490" s="2" t="s">
        <v>4900</v>
      </c>
      <c r="K1490" s="2" t="s">
        <v>101</v>
      </c>
      <c r="L1490" s="2" t="s">
        <v>743</v>
      </c>
      <c r="M1490" s="2"/>
    </row>
    <row r="1491" customFormat="false" ht="15" hidden="false" customHeight="false" outlineLevel="0" collapsed="false">
      <c r="A1491" s="2" t="s">
        <v>4901</v>
      </c>
      <c r="B1491" s="2" t="s">
        <v>4902</v>
      </c>
      <c r="C1491" s="2" t="s">
        <v>4903</v>
      </c>
      <c r="D1491" s="13" t="n">
        <v>45898.8527777778</v>
      </c>
      <c r="E1491" s="2" t="s">
        <v>43</v>
      </c>
      <c r="F1491" s="2" t="s">
        <v>29</v>
      </c>
      <c r="G1491" s="2" t="n">
        <v>2457.29</v>
      </c>
      <c r="H1491" s="2" t="n">
        <v>21.27</v>
      </c>
      <c r="I1491" s="2" t="s">
        <v>30</v>
      </c>
      <c r="J1491" s="2" t="s">
        <v>4904</v>
      </c>
      <c r="K1491" s="2" t="s">
        <v>122</v>
      </c>
      <c r="L1491" s="2"/>
      <c r="M1491" s="2" t="s">
        <v>528</v>
      </c>
    </row>
    <row r="1492" customFormat="false" ht="15" hidden="false" customHeight="false" outlineLevel="0" collapsed="false">
      <c r="A1492" s="2" t="s">
        <v>4905</v>
      </c>
      <c r="B1492" s="2" t="s">
        <v>385</v>
      </c>
      <c r="C1492" s="2" t="s">
        <v>386</v>
      </c>
      <c r="D1492" s="13" t="n">
        <v>45642.7569444445</v>
      </c>
      <c r="E1492" s="2" t="s">
        <v>41</v>
      </c>
      <c r="F1492" s="2" t="s">
        <v>29</v>
      </c>
      <c r="G1492" s="2" t="n">
        <v>3615.98</v>
      </c>
      <c r="H1492" s="2" t="n">
        <v>36.83</v>
      </c>
      <c r="I1492" s="2" t="s">
        <v>26</v>
      </c>
      <c r="J1492" s="2" t="s">
        <v>4906</v>
      </c>
      <c r="K1492" s="2" t="s">
        <v>89</v>
      </c>
      <c r="L1492" s="2" t="s">
        <v>752</v>
      </c>
      <c r="M1492" s="2"/>
    </row>
    <row r="1493" customFormat="false" ht="15" hidden="false" customHeight="false" outlineLevel="0" collapsed="false">
      <c r="A1493" s="2" t="s">
        <v>4907</v>
      </c>
      <c r="B1493" s="2" t="s">
        <v>4888</v>
      </c>
      <c r="C1493" s="2" t="s">
        <v>4889</v>
      </c>
      <c r="D1493" s="13" t="n">
        <v>45348.69375</v>
      </c>
      <c r="E1493" s="2" t="s">
        <v>37</v>
      </c>
      <c r="F1493" s="2" t="s">
        <v>29</v>
      </c>
      <c r="G1493" s="2" t="n">
        <v>9011.69</v>
      </c>
      <c r="H1493" s="2" t="n">
        <v>34.25</v>
      </c>
      <c r="I1493" s="2" t="s">
        <v>26</v>
      </c>
      <c r="J1493" s="2" t="s">
        <v>4908</v>
      </c>
      <c r="K1493" s="2" t="s">
        <v>122</v>
      </c>
      <c r="L1493" s="2" t="s">
        <v>757</v>
      </c>
      <c r="M1493" s="2"/>
    </row>
    <row r="1494" customFormat="false" ht="15" hidden="false" customHeight="false" outlineLevel="0" collapsed="false">
      <c r="A1494" s="2" t="s">
        <v>4909</v>
      </c>
      <c r="B1494" s="2" t="s">
        <v>1918</v>
      </c>
      <c r="C1494" s="2" t="s">
        <v>1919</v>
      </c>
      <c r="D1494" s="13" t="n">
        <v>45406.9451388889</v>
      </c>
      <c r="E1494" s="2" t="s">
        <v>41</v>
      </c>
      <c r="F1494" s="2" t="s">
        <v>29</v>
      </c>
      <c r="G1494" s="2" t="n">
        <v>8464.87</v>
      </c>
      <c r="H1494" s="2" t="n">
        <v>101.11</v>
      </c>
      <c r="I1494" s="2" t="s">
        <v>26</v>
      </c>
      <c r="J1494" s="2" t="s">
        <v>4910</v>
      </c>
      <c r="K1494" s="2" t="s">
        <v>95</v>
      </c>
      <c r="L1494" s="2" t="s">
        <v>1912</v>
      </c>
      <c r="M1494" s="2"/>
    </row>
    <row r="1495" customFormat="false" ht="15" hidden="false" customHeight="false" outlineLevel="0" collapsed="false">
      <c r="A1495" s="2" t="s">
        <v>4911</v>
      </c>
      <c r="B1495" s="2" t="s">
        <v>4912</v>
      </c>
      <c r="C1495" s="2" t="s">
        <v>4913</v>
      </c>
      <c r="D1495" s="13" t="n">
        <v>45810.9479166667</v>
      </c>
      <c r="E1495" s="2" t="s">
        <v>35</v>
      </c>
      <c r="F1495" s="2" t="s">
        <v>27</v>
      </c>
      <c r="G1495" s="2" t="n">
        <v>515.57</v>
      </c>
      <c r="H1495" s="2" t="n">
        <v>5</v>
      </c>
      <c r="I1495" s="2" t="s">
        <v>26</v>
      </c>
      <c r="J1495" s="2" t="s">
        <v>4914</v>
      </c>
      <c r="K1495" s="2" t="s">
        <v>95</v>
      </c>
      <c r="L1495" s="2"/>
      <c r="M1495" s="2" t="s">
        <v>546</v>
      </c>
    </row>
    <row r="1496" customFormat="false" ht="15" hidden="false" customHeight="false" outlineLevel="0" collapsed="false">
      <c r="A1496" s="2" t="s">
        <v>4915</v>
      </c>
      <c r="B1496" s="2" t="s">
        <v>3074</v>
      </c>
      <c r="C1496" s="2" t="s">
        <v>3075</v>
      </c>
      <c r="D1496" s="13" t="n">
        <v>45928.4965277778</v>
      </c>
      <c r="E1496" s="2" t="s">
        <v>39</v>
      </c>
      <c r="F1496" s="2" t="s">
        <v>29</v>
      </c>
      <c r="G1496" s="2" t="n">
        <v>3326.86</v>
      </c>
      <c r="H1496" s="2" t="n">
        <v>25.06</v>
      </c>
      <c r="I1496" s="2" t="s">
        <v>30</v>
      </c>
      <c r="J1496" s="2" t="s">
        <v>4916</v>
      </c>
      <c r="K1496" s="2" t="s">
        <v>89</v>
      </c>
      <c r="L1496" s="2" t="s">
        <v>769</v>
      </c>
      <c r="M1496" s="2"/>
    </row>
    <row r="1497" customFormat="false" ht="15" hidden="false" customHeight="false" outlineLevel="0" collapsed="false">
      <c r="A1497" s="2" t="s">
        <v>4917</v>
      </c>
      <c r="B1497" s="2" t="s">
        <v>1535</v>
      </c>
      <c r="C1497" s="2" t="s">
        <v>1536</v>
      </c>
      <c r="D1497" s="13" t="n">
        <v>45539.65</v>
      </c>
      <c r="E1497" s="2" t="s">
        <v>43</v>
      </c>
      <c r="F1497" s="2" t="s">
        <v>27</v>
      </c>
      <c r="G1497" s="2" t="n">
        <v>2238.88</v>
      </c>
      <c r="H1497" s="2" t="n">
        <v>21.61</v>
      </c>
      <c r="I1497" s="2" t="s">
        <v>26</v>
      </c>
      <c r="J1497" s="2" t="s">
        <v>4918</v>
      </c>
      <c r="K1497" s="2" t="s">
        <v>89</v>
      </c>
      <c r="L1497" s="2"/>
      <c r="M1497" s="2" t="s">
        <v>981</v>
      </c>
    </row>
    <row r="1498" customFormat="false" ht="15" hidden="false" customHeight="false" outlineLevel="0" collapsed="false">
      <c r="A1498" s="2" t="s">
        <v>4919</v>
      </c>
      <c r="B1498" s="2" t="s">
        <v>3036</v>
      </c>
      <c r="C1498" s="2" t="s">
        <v>3037</v>
      </c>
      <c r="D1498" s="13" t="n">
        <v>45298.7659722222</v>
      </c>
      <c r="E1498" s="2" t="s">
        <v>35</v>
      </c>
      <c r="F1498" s="2" t="s">
        <v>27</v>
      </c>
      <c r="G1498" s="2" t="n">
        <v>4505.4</v>
      </c>
      <c r="H1498" s="2" t="n">
        <v>48.33</v>
      </c>
      <c r="I1498" s="2" t="s">
        <v>28</v>
      </c>
      <c r="J1498" s="2" t="s">
        <v>4920</v>
      </c>
      <c r="K1498" s="2" t="s">
        <v>95</v>
      </c>
      <c r="L1498" s="2"/>
      <c r="M1498" s="2" t="s">
        <v>561</v>
      </c>
    </row>
    <row r="1499" customFormat="false" ht="15" hidden="false" customHeight="false" outlineLevel="0" collapsed="false">
      <c r="A1499" s="2" t="s">
        <v>4921</v>
      </c>
      <c r="B1499" s="2" t="s">
        <v>2461</v>
      </c>
      <c r="C1499" s="2" t="s">
        <v>2462</v>
      </c>
      <c r="D1499" s="13" t="n">
        <v>45416.7972222222</v>
      </c>
      <c r="E1499" s="2" t="s">
        <v>43</v>
      </c>
      <c r="F1499" s="2" t="s">
        <v>32</v>
      </c>
      <c r="G1499" s="2" t="n">
        <v>2552.5</v>
      </c>
      <c r="H1499" s="2" t="n">
        <v>25.82</v>
      </c>
      <c r="I1499" s="2" t="s">
        <v>26</v>
      </c>
      <c r="J1499" s="2" t="s">
        <v>4922</v>
      </c>
      <c r="K1499" s="2" t="s">
        <v>101</v>
      </c>
      <c r="L1499" s="2"/>
      <c r="M1499" s="2" t="s">
        <v>2097</v>
      </c>
    </row>
    <row r="1500" customFormat="false" ht="15" hidden="false" customHeight="false" outlineLevel="0" collapsed="false">
      <c r="A1500" s="2" t="s">
        <v>4923</v>
      </c>
      <c r="B1500" s="2" t="s">
        <v>3834</v>
      </c>
      <c r="C1500" s="2" t="s">
        <v>3835</v>
      </c>
      <c r="D1500" s="13" t="n">
        <v>45601.8006944444</v>
      </c>
      <c r="E1500" s="2" t="s">
        <v>39</v>
      </c>
      <c r="F1500" s="2" t="s">
        <v>31</v>
      </c>
      <c r="G1500" s="2" t="n">
        <v>13087.75</v>
      </c>
      <c r="H1500" s="2" t="n">
        <v>104.17</v>
      </c>
      <c r="I1500" s="2" t="s">
        <v>26</v>
      </c>
      <c r="J1500" s="2" t="s">
        <v>4924</v>
      </c>
      <c r="K1500" s="2" t="s">
        <v>101</v>
      </c>
      <c r="L1500" s="2" t="s">
        <v>1935</v>
      </c>
      <c r="M1500" s="2"/>
    </row>
    <row r="1501" customFormat="false" ht="15" hidden="false" customHeight="false" outlineLevel="0" collapsed="false">
      <c r="A1501" s="2" t="s">
        <v>4925</v>
      </c>
      <c r="B1501" s="2" t="s">
        <v>405</v>
      </c>
      <c r="C1501" s="2" t="s">
        <v>406</v>
      </c>
      <c r="D1501" s="13" t="n">
        <v>45789.3291666667</v>
      </c>
      <c r="E1501" s="2" t="s">
        <v>41</v>
      </c>
      <c r="F1501" s="2" t="s">
        <v>27</v>
      </c>
      <c r="G1501" s="2" t="n">
        <v>19948.72</v>
      </c>
      <c r="H1501" s="2" t="n">
        <v>87.24</v>
      </c>
      <c r="I1501" s="2" t="s">
        <v>30</v>
      </c>
      <c r="J1501" s="2" t="s">
        <v>4926</v>
      </c>
      <c r="K1501" s="2" t="s">
        <v>89</v>
      </c>
      <c r="L1501" s="2"/>
      <c r="M1501" s="2" t="s">
        <v>576</v>
      </c>
    </row>
    <row r="1502" customFormat="false" ht="15" hidden="false" customHeight="false" outlineLevel="0" collapsed="false">
      <c r="A1502" s="2" t="s">
        <v>4927</v>
      </c>
      <c r="B1502" s="2" t="s">
        <v>4024</v>
      </c>
      <c r="C1502" s="2" t="s">
        <v>4025</v>
      </c>
      <c r="D1502" s="13" t="n">
        <v>45845.8090277778</v>
      </c>
      <c r="E1502" s="2" t="s">
        <v>35</v>
      </c>
      <c r="F1502" s="2" t="s">
        <v>32</v>
      </c>
      <c r="G1502" s="2" t="n">
        <v>26046.35</v>
      </c>
      <c r="H1502" s="2" t="n">
        <v>91.4</v>
      </c>
      <c r="I1502" s="2" t="s">
        <v>28</v>
      </c>
      <c r="J1502" s="2" t="s">
        <v>4928</v>
      </c>
      <c r="K1502" s="2" t="s">
        <v>89</v>
      </c>
      <c r="L1502" s="2" t="s">
        <v>90</v>
      </c>
      <c r="M1502" s="2"/>
    </row>
    <row r="1503" customFormat="false" ht="15" hidden="false" customHeight="false" outlineLevel="0" collapsed="false">
      <c r="A1503" s="2" t="s">
        <v>4929</v>
      </c>
      <c r="B1503" s="2" t="s">
        <v>2469</v>
      </c>
      <c r="C1503" s="2" t="s">
        <v>2470</v>
      </c>
      <c r="D1503" s="13" t="n">
        <v>45316.5166666667</v>
      </c>
      <c r="E1503" s="2" t="s">
        <v>39</v>
      </c>
      <c r="F1503" s="2" t="s">
        <v>31</v>
      </c>
      <c r="G1503" s="2" t="n">
        <v>15114.99</v>
      </c>
      <c r="H1503" s="2" t="n">
        <v>150.59</v>
      </c>
      <c r="I1503" s="2" t="s">
        <v>26</v>
      </c>
      <c r="J1503" s="2" t="s">
        <v>4930</v>
      </c>
      <c r="K1503" s="2" t="s">
        <v>101</v>
      </c>
      <c r="L1503" s="2" t="s">
        <v>96</v>
      </c>
      <c r="M1503" s="2"/>
    </row>
    <row r="1504" customFormat="false" ht="15" hidden="false" customHeight="false" outlineLevel="0" collapsed="false">
      <c r="A1504" s="2" t="s">
        <v>4931</v>
      </c>
      <c r="B1504" s="2" t="s">
        <v>4246</v>
      </c>
      <c r="C1504" s="2" t="s">
        <v>4247</v>
      </c>
      <c r="D1504" s="13" t="n">
        <v>45367.8361111111</v>
      </c>
      <c r="E1504" s="2" t="s">
        <v>35</v>
      </c>
      <c r="F1504" s="2" t="s">
        <v>31</v>
      </c>
      <c r="G1504" s="2" t="n">
        <v>12074.16</v>
      </c>
      <c r="H1504" s="2" t="n">
        <v>91.99</v>
      </c>
      <c r="I1504" s="2" t="s">
        <v>26</v>
      </c>
      <c r="J1504" s="2" t="s">
        <v>4932</v>
      </c>
      <c r="K1504" s="2" t="s">
        <v>89</v>
      </c>
      <c r="L1504" s="2" t="s">
        <v>102</v>
      </c>
      <c r="M1504" s="2"/>
    </row>
    <row r="1505" customFormat="false" ht="15" hidden="false" customHeight="false" outlineLevel="0" collapsed="false">
      <c r="A1505" s="2" t="s">
        <v>4933</v>
      </c>
      <c r="B1505" s="2" t="s">
        <v>4030</v>
      </c>
      <c r="C1505" s="2" t="s">
        <v>4031</v>
      </c>
      <c r="D1505" s="13" t="n">
        <v>45528.29375</v>
      </c>
      <c r="E1505" s="2" t="s">
        <v>41</v>
      </c>
      <c r="F1505" s="2" t="s">
        <v>29</v>
      </c>
      <c r="G1505" s="2" t="n">
        <v>7839.26</v>
      </c>
      <c r="H1505" s="2" t="n">
        <v>26.65</v>
      </c>
      <c r="I1505" s="2" t="s">
        <v>30</v>
      </c>
      <c r="J1505" s="2" t="s">
        <v>4934</v>
      </c>
      <c r="K1505" s="2" t="s">
        <v>122</v>
      </c>
      <c r="L1505" s="2" t="s">
        <v>107</v>
      </c>
      <c r="M1505" s="2"/>
    </row>
    <row r="1506" customFormat="false" ht="15" hidden="false" customHeight="false" outlineLevel="0" collapsed="false">
      <c r="A1506" s="2" t="s">
        <v>4935</v>
      </c>
      <c r="B1506" s="2" t="s">
        <v>3164</v>
      </c>
      <c r="C1506" s="2" t="s">
        <v>3165</v>
      </c>
      <c r="D1506" s="13" t="n">
        <v>45878.3666666667</v>
      </c>
      <c r="E1506" s="2" t="s">
        <v>41</v>
      </c>
      <c r="F1506" s="2" t="s">
        <v>31</v>
      </c>
      <c r="G1506" s="2" t="n">
        <v>12826.66</v>
      </c>
      <c r="H1506" s="2" t="n">
        <v>50.88</v>
      </c>
      <c r="I1506" s="2" t="s">
        <v>26</v>
      </c>
      <c r="J1506" s="2" t="s">
        <v>4936</v>
      </c>
      <c r="K1506" s="2" t="s">
        <v>101</v>
      </c>
      <c r="L1506" s="2" t="s">
        <v>812</v>
      </c>
      <c r="M1506" s="2"/>
    </row>
    <row r="1507" customFormat="false" ht="15" hidden="false" customHeight="false" outlineLevel="0" collapsed="false">
      <c r="A1507" s="2" t="s">
        <v>4937</v>
      </c>
      <c r="B1507" s="2" t="s">
        <v>4418</v>
      </c>
      <c r="C1507" s="2" t="s">
        <v>4419</v>
      </c>
      <c r="D1507" s="13" t="n">
        <v>45560.4381944445</v>
      </c>
      <c r="E1507" s="2" t="s">
        <v>37</v>
      </c>
      <c r="F1507" s="2" t="s">
        <v>29</v>
      </c>
      <c r="G1507" s="2" t="n">
        <v>3443.02</v>
      </c>
      <c r="H1507" s="2" t="n">
        <v>28.51</v>
      </c>
      <c r="I1507" s="2" t="s">
        <v>26</v>
      </c>
      <c r="J1507" s="2" t="s">
        <v>4938</v>
      </c>
      <c r="K1507" s="2" t="s">
        <v>122</v>
      </c>
      <c r="L1507" s="2" t="s">
        <v>117</v>
      </c>
      <c r="M1507" s="2"/>
    </row>
    <row r="1508" customFormat="false" ht="15" hidden="false" customHeight="false" outlineLevel="0" collapsed="false">
      <c r="A1508" s="2" t="s">
        <v>4939</v>
      </c>
      <c r="B1508" s="2" t="s">
        <v>4204</v>
      </c>
      <c r="C1508" s="2" t="s">
        <v>4205</v>
      </c>
      <c r="D1508" s="13" t="n">
        <v>45912.4638888889</v>
      </c>
      <c r="E1508" s="2" t="s">
        <v>37</v>
      </c>
      <c r="F1508" s="2" t="s">
        <v>32</v>
      </c>
      <c r="G1508" s="2" t="n">
        <v>4273.51</v>
      </c>
      <c r="H1508" s="2" t="n">
        <v>14.52</v>
      </c>
      <c r="I1508" s="2" t="s">
        <v>26</v>
      </c>
      <c r="J1508" s="2" t="s">
        <v>4940</v>
      </c>
      <c r="K1508" s="2" t="s">
        <v>122</v>
      </c>
      <c r="L1508" s="2" t="s">
        <v>123</v>
      </c>
      <c r="M1508" s="2"/>
    </row>
    <row r="1509" customFormat="false" ht="15" hidden="false" customHeight="false" outlineLevel="0" collapsed="false">
      <c r="A1509" s="2" t="s">
        <v>4941</v>
      </c>
      <c r="B1509" s="2" t="s">
        <v>1124</v>
      </c>
      <c r="C1509" s="2" t="s">
        <v>1125</v>
      </c>
      <c r="D1509" s="13" t="n">
        <v>45586.4375</v>
      </c>
      <c r="E1509" s="2" t="s">
        <v>41</v>
      </c>
      <c r="F1509" s="2" t="s">
        <v>31</v>
      </c>
      <c r="G1509" s="2" t="n">
        <v>2326.42</v>
      </c>
      <c r="H1509" s="2" t="n">
        <v>19.25</v>
      </c>
      <c r="I1509" s="2" t="s">
        <v>26</v>
      </c>
      <c r="J1509" s="2" t="s">
        <v>4942</v>
      </c>
      <c r="K1509" s="2" t="s">
        <v>95</v>
      </c>
      <c r="L1509" s="2" t="s">
        <v>128</v>
      </c>
      <c r="M1509" s="2"/>
    </row>
    <row r="1510" customFormat="false" ht="15" hidden="false" customHeight="false" outlineLevel="0" collapsed="false">
      <c r="A1510" s="2" t="s">
        <v>4943</v>
      </c>
      <c r="B1510" s="2" t="s">
        <v>4828</v>
      </c>
      <c r="C1510" s="2" t="s">
        <v>4829</v>
      </c>
      <c r="D1510" s="13" t="n">
        <v>45560.4472222222</v>
      </c>
      <c r="E1510" s="2" t="s">
        <v>41</v>
      </c>
      <c r="F1510" s="2" t="s">
        <v>29</v>
      </c>
      <c r="G1510" s="2" t="n">
        <v>7034.76</v>
      </c>
      <c r="H1510" s="2" t="n">
        <v>43.87</v>
      </c>
      <c r="I1510" s="2" t="s">
        <v>30</v>
      </c>
      <c r="J1510" s="2" t="s">
        <v>4944</v>
      </c>
      <c r="K1510" s="2" t="s">
        <v>89</v>
      </c>
      <c r="L1510" s="2" t="s">
        <v>133</v>
      </c>
      <c r="M1510" s="2"/>
    </row>
    <row r="1511" customFormat="false" ht="15" hidden="false" customHeight="false" outlineLevel="0" collapsed="false">
      <c r="A1511" s="2" t="s">
        <v>4945</v>
      </c>
      <c r="B1511" s="2" t="s">
        <v>4828</v>
      </c>
      <c r="C1511" s="2" t="s">
        <v>4829</v>
      </c>
      <c r="D1511" s="13" t="n">
        <v>45765.8451388889</v>
      </c>
      <c r="E1511" s="2" t="s">
        <v>43</v>
      </c>
      <c r="F1511" s="2" t="s">
        <v>32</v>
      </c>
      <c r="G1511" s="2" t="n">
        <v>1319.45</v>
      </c>
      <c r="H1511" s="2" t="n">
        <v>5</v>
      </c>
      <c r="I1511" s="2" t="s">
        <v>30</v>
      </c>
      <c r="J1511" s="2" t="s">
        <v>4946</v>
      </c>
      <c r="K1511" s="2" t="s">
        <v>95</v>
      </c>
      <c r="L1511" s="2"/>
      <c r="M1511" s="2" t="s">
        <v>1795</v>
      </c>
    </row>
    <row r="1512" customFormat="false" ht="15" hidden="false" customHeight="false" outlineLevel="0" collapsed="false">
      <c r="A1512" s="2" t="s">
        <v>4947</v>
      </c>
      <c r="B1512" s="2" t="s">
        <v>4700</v>
      </c>
      <c r="C1512" s="2" t="s">
        <v>4701</v>
      </c>
      <c r="D1512" s="13" t="n">
        <v>45435.4972222222</v>
      </c>
      <c r="E1512" s="2" t="s">
        <v>43</v>
      </c>
      <c r="F1512" s="2" t="s">
        <v>29</v>
      </c>
      <c r="G1512" s="2" t="n">
        <v>1382.39</v>
      </c>
      <c r="H1512" s="2" t="n">
        <v>11.13</v>
      </c>
      <c r="I1512" s="2" t="s">
        <v>26</v>
      </c>
      <c r="J1512" s="2" t="s">
        <v>4948</v>
      </c>
      <c r="K1512" s="2" t="s">
        <v>95</v>
      </c>
      <c r="L1512" s="2"/>
      <c r="M1512" s="2" t="s">
        <v>627</v>
      </c>
    </row>
    <row r="1513" customFormat="false" ht="15" hidden="false" customHeight="false" outlineLevel="0" collapsed="false">
      <c r="A1513" s="2" t="s">
        <v>4949</v>
      </c>
      <c r="B1513" s="2" t="s">
        <v>601</v>
      </c>
      <c r="C1513" s="2" t="s">
        <v>602</v>
      </c>
      <c r="D1513" s="13" t="n">
        <v>45481.8666666667</v>
      </c>
      <c r="E1513" s="2" t="s">
        <v>41</v>
      </c>
      <c r="F1513" s="2" t="s">
        <v>27</v>
      </c>
      <c r="G1513" s="2" t="n">
        <v>2217.24</v>
      </c>
      <c r="H1513" s="2" t="n">
        <v>15.97</v>
      </c>
      <c r="I1513" s="2" t="s">
        <v>30</v>
      </c>
      <c r="J1513" s="2" t="s">
        <v>4950</v>
      </c>
      <c r="K1513" s="2" t="s">
        <v>122</v>
      </c>
      <c r="L1513" s="2"/>
      <c r="M1513" s="2" t="s">
        <v>144</v>
      </c>
    </row>
    <row r="1514" customFormat="false" ht="15" hidden="false" customHeight="false" outlineLevel="0" collapsed="false">
      <c r="A1514" s="2" t="s">
        <v>4951</v>
      </c>
      <c r="B1514" s="2" t="s">
        <v>230</v>
      </c>
      <c r="C1514" s="2" t="s">
        <v>231</v>
      </c>
      <c r="D1514" s="13" t="n">
        <v>45407.4194444444</v>
      </c>
      <c r="E1514" s="2" t="s">
        <v>43</v>
      </c>
      <c r="F1514" s="2" t="s">
        <v>31</v>
      </c>
      <c r="G1514" s="2" t="n">
        <v>1746.52</v>
      </c>
      <c r="H1514" s="2" t="n">
        <v>5</v>
      </c>
      <c r="I1514" s="2" t="s">
        <v>26</v>
      </c>
      <c r="J1514" s="2" t="s">
        <v>4952</v>
      </c>
      <c r="K1514" s="2" t="s">
        <v>122</v>
      </c>
      <c r="L1514" s="2"/>
      <c r="M1514" s="2" t="s">
        <v>1806</v>
      </c>
    </row>
    <row r="1515" customFormat="false" ht="15" hidden="false" customHeight="false" outlineLevel="0" collapsed="false">
      <c r="A1515" s="2" t="s">
        <v>4953</v>
      </c>
      <c r="B1515" s="2" t="s">
        <v>2015</v>
      </c>
      <c r="C1515" s="2" t="s">
        <v>2016</v>
      </c>
      <c r="D1515" s="13" t="n">
        <v>45379.7222222222</v>
      </c>
      <c r="E1515" s="2" t="s">
        <v>39</v>
      </c>
      <c r="F1515" s="2" t="s">
        <v>27</v>
      </c>
      <c r="G1515" s="2" t="n">
        <v>9463.67</v>
      </c>
      <c r="H1515" s="2" t="n">
        <v>81.38</v>
      </c>
      <c r="I1515" s="2" t="s">
        <v>30</v>
      </c>
      <c r="J1515" s="2" t="s">
        <v>4954</v>
      </c>
      <c r="K1515" s="2" t="s">
        <v>95</v>
      </c>
      <c r="L1515" s="2"/>
      <c r="M1515" s="2" t="s">
        <v>1053</v>
      </c>
    </row>
    <row r="1516" customFormat="false" ht="15" hidden="false" customHeight="false" outlineLevel="0" collapsed="false">
      <c r="A1516" s="2" t="s">
        <v>4955</v>
      </c>
      <c r="B1516" s="2" t="s">
        <v>2683</v>
      </c>
      <c r="C1516" s="2" t="s">
        <v>2684</v>
      </c>
      <c r="D1516" s="13" t="n">
        <v>45785.9576388889</v>
      </c>
      <c r="E1516" s="2" t="s">
        <v>39</v>
      </c>
      <c r="F1516" s="2" t="s">
        <v>32</v>
      </c>
      <c r="G1516" s="2" t="n">
        <v>5050.87</v>
      </c>
      <c r="H1516" s="2" t="n">
        <v>28.1</v>
      </c>
      <c r="I1516" s="2" t="s">
        <v>26</v>
      </c>
      <c r="J1516" s="2" t="s">
        <v>4956</v>
      </c>
      <c r="K1516" s="2" t="s">
        <v>101</v>
      </c>
      <c r="L1516" s="2" t="s">
        <v>153</v>
      </c>
      <c r="M1516" s="2"/>
    </row>
    <row r="1517" customFormat="false" ht="15" hidden="false" customHeight="false" outlineLevel="0" collapsed="false">
      <c r="A1517" s="2" t="s">
        <v>4957</v>
      </c>
      <c r="B1517" s="2" t="s">
        <v>375</v>
      </c>
      <c r="C1517" s="2" t="s">
        <v>376</v>
      </c>
      <c r="D1517" s="13" t="n">
        <v>45691.6034722222</v>
      </c>
      <c r="E1517" s="2" t="s">
        <v>37</v>
      </c>
      <c r="F1517" s="2" t="s">
        <v>27</v>
      </c>
      <c r="G1517" s="2" t="n">
        <v>1527.65</v>
      </c>
      <c r="H1517" s="2" t="n">
        <v>16.6</v>
      </c>
      <c r="I1517" s="2" t="s">
        <v>30</v>
      </c>
      <c r="J1517" s="2" t="s">
        <v>4958</v>
      </c>
      <c r="K1517" s="2" t="s">
        <v>89</v>
      </c>
      <c r="L1517" s="2"/>
      <c r="M1517" s="2" t="s">
        <v>1453</v>
      </c>
    </row>
    <row r="1518" customFormat="false" ht="15" hidden="false" customHeight="false" outlineLevel="0" collapsed="false">
      <c r="A1518" s="2" t="s">
        <v>4959</v>
      </c>
      <c r="B1518" s="2" t="s">
        <v>2900</v>
      </c>
      <c r="C1518" s="2" t="s">
        <v>2901</v>
      </c>
      <c r="D1518" s="13" t="n">
        <v>45441.5555555556</v>
      </c>
      <c r="E1518" s="2" t="s">
        <v>41</v>
      </c>
      <c r="F1518" s="2" t="s">
        <v>29</v>
      </c>
      <c r="G1518" s="2" t="n">
        <v>4089.3</v>
      </c>
      <c r="H1518" s="2" t="n">
        <v>40.74</v>
      </c>
      <c r="I1518" s="2" t="s">
        <v>26</v>
      </c>
      <c r="J1518" s="2" t="s">
        <v>4960</v>
      </c>
      <c r="K1518" s="2" t="s">
        <v>122</v>
      </c>
      <c r="L1518" s="2" t="s">
        <v>1456</v>
      </c>
      <c r="M1518" s="2"/>
    </row>
    <row r="1519" customFormat="false" ht="15" hidden="false" customHeight="false" outlineLevel="0" collapsed="false">
      <c r="A1519" s="2" t="s">
        <v>4961</v>
      </c>
      <c r="B1519" s="2" t="s">
        <v>2579</v>
      </c>
      <c r="C1519" s="2" t="s">
        <v>2580</v>
      </c>
      <c r="D1519" s="13" t="n">
        <v>45524.9152777778</v>
      </c>
      <c r="E1519" s="2" t="s">
        <v>37</v>
      </c>
      <c r="F1519" s="2" t="s">
        <v>29</v>
      </c>
      <c r="G1519" s="2" t="n">
        <v>7575.27</v>
      </c>
      <c r="H1519" s="2" t="n">
        <v>78.07</v>
      </c>
      <c r="I1519" s="2" t="s">
        <v>26</v>
      </c>
      <c r="J1519" s="2" t="s">
        <v>4962</v>
      </c>
      <c r="K1519" s="2" t="s">
        <v>89</v>
      </c>
      <c r="L1519" s="2" t="s">
        <v>168</v>
      </c>
      <c r="M1519" s="2"/>
    </row>
    <row r="1520" customFormat="false" ht="15" hidden="false" customHeight="false" outlineLevel="0" collapsed="false">
      <c r="A1520" s="2" t="s">
        <v>4963</v>
      </c>
      <c r="B1520" s="2" t="s">
        <v>1234</v>
      </c>
      <c r="C1520" s="2" t="s">
        <v>1235</v>
      </c>
      <c r="D1520" s="13" t="n">
        <v>45950.4694444445</v>
      </c>
      <c r="E1520" s="2" t="s">
        <v>39</v>
      </c>
      <c r="F1520" s="2" t="s">
        <v>27</v>
      </c>
      <c r="G1520" s="2" t="n">
        <v>6742.35</v>
      </c>
      <c r="H1520" s="2" t="n">
        <v>19.24</v>
      </c>
      <c r="I1520" s="2" t="s">
        <v>30</v>
      </c>
      <c r="J1520" s="2" t="s">
        <v>4964</v>
      </c>
      <c r="K1520" s="2" t="s">
        <v>95</v>
      </c>
      <c r="L1520" s="2"/>
      <c r="M1520" s="2" t="s">
        <v>662</v>
      </c>
    </row>
    <row r="1521" customFormat="false" ht="15" hidden="false" customHeight="false" outlineLevel="0" collapsed="false">
      <c r="A1521" s="2" t="s">
        <v>4965</v>
      </c>
      <c r="B1521" s="2" t="s">
        <v>3088</v>
      </c>
      <c r="C1521" s="2" t="s">
        <v>3089</v>
      </c>
      <c r="D1521" s="13" t="n">
        <v>45758.3006944444</v>
      </c>
      <c r="E1521" s="2" t="s">
        <v>37</v>
      </c>
      <c r="F1521" s="2" t="s">
        <v>27</v>
      </c>
      <c r="G1521" s="2" t="n">
        <v>7545.8</v>
      </c>
      <c r="H1521" s="2" t="n">
        <v>87.63</v>
      </c>
      <c r="I1521" s="2" t="s">
        <v>26</v>
      </c>
      <c r="J1521" s="2" t="s">
        <v>4966</v>
      </c>
      <c r="K1521" s="2" t="s">
        <v>89</v>
      </c>
      <c r="L1521" s="2"/>
      <c r="M1521" s="2" t="s">
        <v>667</v>
      </c>
    </row>
    <row r="1522" customFormat="false" ht="15" hidden="false" customHeight="false" outlineLevel="0" collapsed="false">
      <c r="A1522" s="2" t="s">
        <v>4967</v>
      </c>
      <c r="B1522" s="2" t="s">
        <v>4366</v>
      </c>
      <c r="C1522" s="2" t="s">
        <v>4367</v>
      </c>
      <c r="D1522" s="13" t="n">
        <v>45456.7743055556</v>
      </c>
      <c r="E1522" s="2" t="s">
        <v>39</v>
      </c>
      <c r="F1522" s="2" t="s">
        <v>31</v>
      </c>
      <c r="G1522" s="2" t="n">
        <v>370.45</v>
      </c>
      <c r="H1522" s="2" t="n">
        <v>5</v>
      </c>
      <c r="I1522" s="2" t="s">
        <v>28</v>
      </c>
      <c r="J1522" s="2" t="s">
        <v>4968</v>
      </c>
      <c r="K1522" s="2" t="s">
        <v>89</v>
      </c>
      <c r="L1522" s="2" t="s">
        <v>874</v>
      </c>
      <c r="M1522" s="2"/>
    </row>
    <row r="1523" customFormat="false" ht="15" hidden="false" customHeight="false" outlineLevel="0" collapsed="false">
      <c r="A1523" s="2" t="s">
        <v>4969</v>
      </c>
      <c r="B1523" s="2" t="s">
        <v>880</v>
      </c>
      <c r="C1523" s="2" t="s">
        <v>881</v>
      </c>
      <c r="D1523" s="13" t="n">
        <v>45699.5847222222</v>
      </c>
      <c r="E1523" s="2" t="s">
        <v>41</v>
      </c>
      <c r="F1523" s="2" t="s">
        <v>29</v>
      </c>
      <c r="G1523" s="2" t="n">
        <v>9395.51</v>
      </c>
      <c r="H1523" s="2" t="n">
        <v>32.52</v>
      </c>
      <c r="I1523" s="2" t="s">
        <v>30</v>
      </c>
      <c r="J1523" s="2" t="s">
        <v>4970</v>
      </c>
      <c r="K1523" s="2" t="s">
        <v>95</v>
      </c>
      <c r="L1523" s="2" t="s">
        <v>188</v>
      </c>
      <c r="M1523" s="2"/>
    </row>
    <row r="1524" customFormat="false" ht="15" hidden="false" customHeight="false" outlineLevel="0" collapsed="false">
      <c r="A1524" s="2" t="s">
        <v>4971</v>
      </c>
      <c r="B1524" s="2" t="s">
        <v>3504</v>
      </c>
      <c r="C1524" s="2" t="s">
        <v>3505</v>
      </c>
      <c r="D1524" s="13" t="n">
        <v>45769.6236111111</v>
      </c>
      <c r="E1524" s="2" t="s">
        <v>37</v>
      </c>
      <c r="F1524" s="2" t="s">
        <v>32</v>
      </c>
      <c r="G1524" s="2" t="n">
        <v>8110.01</v>
      </c>
      <c r="H1524" s="2" t="n">
        <v>25.19</v>
      </c>
      <c r="I1524" s="2" t="s">
        <v>26</v>
      </c>
      <c r="J1524" s="2" t="s">
        <v>4972</v>
      </c>
      <c r="K1524" s="2" t="s">
        <v>95</v>
      </c>
      <c r="L1524" s="2" t="s">
        <v>193</v>
      </c>
      <c r="M1524" s="2"/>
    </row>
    <row r="1525" customFormat="false" ht="15" hidden="false" customHeight="false" outlineLevel="0" collapsed="false">
      <c r="A1525" s="2" t="s">
        <v>4973</v>
      </c>
      <c r="B1525" s="2" t="s">
        <v>3014</v>
      </c>
      <c r="C1525" s="2" t="s">
        <v>3015</v>
      </c>
      <c r="D1525" s="13" t="n">
        <v>45743.6145833333</v>
      </c>
      <c r="E1525" s="2" t="s">
        <v>43</v>
      </c>
      <c r="F1525" s="2" t="s">
        <v>29</v>
      </c>
      <c r="G1525" s="2" t="n">
        <v>3313.49</v>
      </c>
      <c r="H1525" s="2" t="n">
        <v>37.1</v>
      </c>
      <c r="I1525" s="2" t="s">
        <v>26</v>
      </c>
      <c r="J1525" s="2" t="s">
        <v>4974</v>
      </c>
      <c r="K1525" s="2" t="s">
        <v>95</v>
      </c>
      <c r="L1525" s="2"/>
      <c r="M1525" s="2" t="s">
        <v>198</v>
      </c>
    </row>
    <row r="1526" customFormat="false" ht="15" hidden="false" customHeight="false" outlineLevel="0" collapsed="false">
      <c r="A1526" s="2" t="s">
        <v>4975</v>
      </c>
      <c r="B1526" s="2" t="s">
        <v>98</v>
      </c>
      <c r="C1526" s="2" t="s">
        <v>99</v>
      </c>
      <c r="D1526" s="13" t="n">
        <v>45775.4583333333</v>
      </c>
      <c r="E1526" s="2" t="s">
        <v>35</v>
      </c>
      <c r="F1526" s="2" t="s">
        <v>32</v>
      </c>
      <c r="G1526" s="2" t="n">
        <v>1035.07</v>
      </c>
      <c r="H1526" s="2" t="n">
        <v>5</v>
      </c>
      <c r="I1526" s="2" t="s">
        <v>28</v>
      </c>
      <c r="J1526" s="2" t="s">
        <v>4976</v>
      </c>
      <c r="K1526" s="2" t="s">
        <v>122</v>
      </c>
      <c r="L1526" s="2" t="s">
        <v>891</v>
      </c>
      <c r="M1526" s="2"/>
    </row>
    <row r="1527" customFormat="false" ht="15" hidden="false" customHeight="false" outlineLevel="0" collapsed="false">
      <c r="A1527" s="2" t="s">
        <v>4977</v>
      </c>
      <c r="B1527" s="2" t="s">
        <v>4340</v>
      </c>
      <c r="C1527" s="2" t="s">
        <v>4341</v>
      </c>
      <c r="D1527" s="13" t="n">
        <v>45981.39375</v>
      </c>
      <c r="E1527" s="2" t="s">
        <v>37</v>
      </c>
      <c r="F1527" s="2" t="s">
        <v>32</v>
      </c>
      <c r="G1527" s="2" t="n">
        <v>5834.38</v>
      </c>
      <c r="H1527" s="2" t="n">
        <v>47.44</v>
      </c>
      <c r="I1527" s="2" t="s">
        <v>30</v>
      </c>
      <c r="J1527" s="2" t="s">
        <v>4978</v>
      </c>
      <c r="K1527" s="2" t="s">
        <v>122</v>
      </c>
      <c r="L1527" s="2" t="s">
        <v>208</v>
      </c>
      <c r="M1527" s="2"/>
    </row>
    <row r="1528" customFormat="false" ht="15" hidden="false" customHeight="false" outlineLevel="0" collapsed="false">
      <c r="A1528" s="2" t="s">
        <v>4979</v>
      </c>
      <c r="B1528" s="2" t="s">
        <v>2410</v>
      </c>
      <c r="C1528" s="2" t="s">
        <v>2411</v>
      </c>
      <c r="D1528" s="13" t="n">
        <v>45359.5270833333</v>
      </c>
      <c r="E1528" s="2" t="s">
        <v>39</v>
      </c>
      <c r="F1528" s="2" t="s">
        <v>31</v>
      </c>
      <c r="G1528" s="2" t="n">
        <v>7258.91</v>
      </c>
      <c r="H1528" s="2" t="n">
        <v>38.62</v>
      </c>
      <c r="I1528" s="2" t="s">
        <v>26</v>
      </c>
      <c r="J1528" s="2" t="s">
        <v>4980</v>
      </c>
      <c r="K1528" s="2" t="s">
        <v>89</v>
      </c>
      <c r="L1528" s="2" t="s">
        <v>213</v>
      </c>
      <c r="M1528" s="2"/>
    </row>
    <row r="1529" customFormat="false" ht="15" hidden="false" customHeight="false" outlineLevel="0" collapsed="false">
      <c r="A1529" s="2" t="s">
        <v>4981</v>
      </c>
      <c r="B1529" s="2" t="s">
        <v>2222</v>
      </c>
      <c r="C1529" s="2" t="s">
        <v>2223</v>
      </c>
      <c r="D1529" s="13" t="n">
        <v>45817.44375</v>
      </c>
      <c r="E1529" s="2" t="s">
        <v>41</v>
      </c>
      <c r="F1529" s="2" t="s">
        <v>32</v>
      </c>
      <c r="G1529" s="2" t="n">
        <v>1941.06</v>
      </c>
      <c r="H1529" s="2" t="n">
        <v>8.85</v>
      </c>
      <c r="I1529" s="2" t="s">
        <v>26</v>
      </c>
      <c r="J1529" s="2" t="s">
        <v>4982</v>
      </c>
      <c r="K1529" s="2" t="s">
        <v>95</v>
      </c>
      <c r="L1529" s="2" t="s">
        <v>218</v>
      </c>
      <c r="M1529" s="2"/>
    </row>
    <row r="1530" customFormat="false" ht="15" hidden="false" customHeight="false" outlineLevel="0" collapsed="false">
      <c r="A1530" s="2" t="s">
        <v>4983</v>
      </c>
      <c r="B1530" s="2" t="s">
        <v>669</v>
      </c>
      <c r="C1530" s="2" t="s">
        <v>670</v>
      </c>
      <c r="D1530" s="13" t="n">
        <v>45998.3333333333</v>
      </c>
      <c r="E1530" s="2" t="s">
        <v>41</v>
      </c>
      <c r="F1530" s="2" t="s">
        <v>32</v>
      </c>
      <c r="G1530" s="2" t="n">
        <v>3659.41</v>
      </c>
      <c r="H1530" s="2" t="n">
        <v>19.11</v>
      </c>
      <c r="I1530" s="2" t="s">
        <v>26</v>
      </c>
      <c r="J1530" s="2" t="s">
        <v>4984</v>
      </c>
      <c r="K1530" s="2" t="s">
        <v>95</v>
      </c>
      <c r="L1530" s="2" t="s">
        <v>1504</v>
      </c>
      <c r="M1530" s="2"/>
    </row>
    <row r="1531" customFormat="false" ht="15" hidden="false" customHeight="false" outlineLevel="0" collapsed="false">
      <c r="A1531" s="2" t="s">
        <v>4985</v>
      </c>
      <c r="B1531" s="2" t="s">
        <v>380</v>
      </c>
      <c r="C1531" s="2" t="s">
        <v>381</v>
      </c>
      <c r="D1531" s="13" t="n">
        <v>45570.4972222222</v>
      </c>
      <c r="E1531" s="2" t="s">
        <v>35</v>
      </c>
      <c r="F1531" s="2" t="s">
        <v>32</v>
      </c>
      <c r="G1531" s="2" t="n">
        <v>8562.32</v>
      </c>
      <c r="H1531" s="2" t="n">
        <v>102.39</v>
      </c>
      <c r="I1531" s="2" t="s">
        <v>28</v>
      </c>
      <c r="J1531" s="2" t="s">
        <v>4986</v>
      </c>
      <c r="K1531" s="2" t="s">
        <v>89</v>
      </c>
      <c r="L1531" s="2" t="s">
        <v>911</v>
      </c>
      <c r="M1531" s="2"/>
    </row>
    <row r="1532" customFormat="false" ht="15" hidden="false" customHeight="false" outlineLevel="0" collapsed="false">
      <c r="A1532" s="2" t="s">
        <v>4987</v>
      </c>
      <c r="B1532" s="2" t="s">
        <v>4988</v>
      </c>
      <c r="C1532" s="2" t="s">
        <v>4989</v>
      </c>
      <c r="D1532" s="13" t="n">
        <v>45878.4958333333</v>
      </c>
      <c r="E1532" s="2" t="s">
        <v>41</v>
      </c>
      <c r="F1532" s="2" t="s">
        <v>31</v>
      </c>
      <c r="G1532" s="2" t="n">
        <v>16543.94</v>
      </c>
      <c r="H1532" s="2" t="n">
        <v>150.46</v>
      </c>
      <c r="I1532" s="2" t="s">
        <v>26</v>
      </c>
      <c r="J1532" s="2" t="s">
        <v>4990</v>
      </c>
      <c r="K1532" s="2" t="s">
        <v>122</v>
      </c>
      <c r="L1532" s="2" t="s">
        <v>916</v>
      </c>
      <c r="M1532" s="2"/>
    </row>
    <row r="1533" customFormat="false" ht="15" hidden="false" customHeight="false" outlineLevel="0" collapsed="false">
      <c r="A1533" s="2" t="s">
        <v>4991</v>
      </c>
      <c r="B1533" s="2" t="s">
        <v>2741</v>
      </c>
      <c r="C1533" s="2" t="s">
        <v>2742</v>
      </c>
      <c r="D1533" s="13" t="n">
        <v>45686.9486111111</v>
      </c>
      <c r="E1533" s="2" t="s">
        <v>39</v>
      </c>
      <c r="F1533" s="2" t="s">
        <v>27</v>
      </c>
      <c r="G1533" s="2" t="n">
        <v>364.28</v>
      </c>
      <c r="H1533" s="2" t="n">
        <v>5</v>
      </c>
      <c r="I1533" s="2" t="s">
        <v>26</v>
      </c>
      <c r="J1533" s="2" t="s">
        <v>4992</v>
      </c>
      <c r="K1533" s="2" t="s">
        <v>122</v>
      </c>
      <c r="L1533" s="2"/>
      <c r="M1533" s="2" t="s">
        <v>238</v>
      </c>
    </row>
    <row r="1534" customFormat="false" ht="15" hidden="false" customHeight="false" outlineLevel="0" collapsed="false">
      <c r="A1534" s="2" t="s">
        <v>4993</v>
      </c>
      <c r="B1534" s="2" t="s">
        <v>3088</v>
      </c>
      <c r="C1534" s="2" t="s">
        <v>3089</v>
      </c>
      <c r="D1534" s="13" t="n">
        <v>45562.875</v>
      </c>
      <c r="E1534" s="2" t="s">
        <v>35</v>
      </c>
      <c r="F1534" s="2" t="s">
        <v>31</v>
      </c>
      <c r="G1534" s="2" t="n">
        <v>681.34</v>
      </c>
      <c r="H1534" s="2" t="n">
        <v>5</v>
      </c>
      <c r="I1534" s="2" t="s">
        <v>26</v>
      </c>
      <c r="J1534" s="2" t="s">
        <v>4994</v>
      </c>
      <c r="K1534" s="2" t="s">
        <v>101</v>
      </c>
      <c r="L1534" s="2" t="s">
        <v>243</v>
      </c>
      <c r="M1534" s="2"/>
    </row>
    <row r="1535" customFormat="false" ht="15" hidden="false" customHeight="false" outlineLevel="0" collapsed="false">
      <c r="A1535" s="2" t="s">
        <v>4995</v>
      </c>
      <c r="B1535" s="2" t="s">
        <v>1930</v>
      </c>
      <c r="C1535" s="2" t="s">
        <v>1931</v>
      </c>
      <c r="D1535" s="13" t="n">
        <v>45963.4381944445</v>
      </c>
      <c r="E1535" s="2" t="s">
        <v>41</v>
      </c>
      <c r="F1535" s="2" t="s">
        <v>31</v>
      </c>
      <c r="G1535" s="2" t="n">
        <v>3342.03</v>
      </c>
      <c r="H1535" s="2" t="n">
        <v>38.28</v>
      </c>
      <c r="I1535" s="2" t="s">
        <v>28</v>
      </c>
      <c r="J1535" s="2" t="s">
        <v>4996</v>
      </c>
      <c r="K1535" s="2" t="s">
        <v>95</v>
      </c>
      <c r="L1535" s="2" t="s">
        <v>248</v>
      </c>
      <c r="M1535" s="2"/>
    </row>
    <row r="1536" customFormat="false" ht="15" hidden="false" customHeight="false" outlineLevel="0" collapsed="false">
      <c r="A1536" s="2" t="s">
        <v>4997</v>
      </c>
      <c r="B1536" s="2" t="s">
        <v>3764</v>
      </c>
      <c r="C1536" s="2" t="s">
        <v>3765</v>
      </c>
      <c r="D1536" s="13" t="n">
        <v>45390.4319444444</v>
      </c>
      <c r="E1536" s="2" t="s">
        <v>39</v>
      </c>
      <c r="F1536" s="2" t="s">
        <v>32</v>
      </c>
      <c r="G1536" s="2" t="n">
        <v>2779.52</v>
      </c>
      <c r="H1536" s="2" t="n">
        <v>25.16</v>
      </c>
      <c r="I1536" s="2" t="s">
        <v>26</v>
      </c>
      <c r="J1536" s="2" t="s">
        <v>4998</v>
      </c>
      <c r="K1536" s="2" t="s">
        <v>101</v>
      </c>
      <c r="L1536" s="2" t="s">
        <v>253</v>
      </c>
      <c r="M1536" s="2"/>
    </row>
    <row r="1537" customFormat="false" ht="15" hidden="false" customHeight="false" outlineLevel="0" collapsed="false">
      <c r="A1537" s="2" t="s">
        <v>4999</v>
      </c>
      <c r="B1537" s="2" t="s">
        <v>1577</v>
      </c>
      <c r="C1537" s="2" t="s">
        <v>1578</v>
      </c>
      <c r="D1537" s="13" t="n">
        <v>45458.7243055556</v>
      </c>
      <c r="E1537" s="2" t="s">
        <v>43</v>
      </c>
      <c r="F1537" s="2" t="s">
        <v>31</v>
      </c>
      <c r="G1537" s="2" t="n">
        <v>1858.36</v>
      </c>
      <c r="H1537" s="2" t="n">
        <v>6.74</v>
      </c>
      <c r="I1537" s="2" t="s">
        <v>26</v>
      </c>
      <c r="J1537" s="2" t="s">
        <v>5000</v>
      </c>
      <c r="K1537" s="2" t="s">
        <v>95</v>
      </c>
      <c r="L1537" s="2"/>
      <c r="M1537" s="2" t="s">
        <v>1134</v>
      </c>
    </row>
    <row r="1538" customFormat="false" ht="15" hidden="false" customHeight="false" outlineLevel="0" collapsed="false">
      <c r="A1538" s="2" t="s">
        <v>5001</v>
      </c>
      <c r="B1538" s="2" t="s">
        <v>1540</v>
      </c>
      <c r="C1538" s="2" t="s">
        <v>1541</v>
      </c>
      <c r="D1538" s="13" t="n">
        <v>45955.9027777778</v>
      </c>
      <c r="E1538" s="2" t="s">
        <v>39</v>
      </c>
      <c r="F1538" s="2" t="s">
        <v>29</v>
      </c>
      <c r="G1538" s="2" t="n">
        <v>2400.07</v>
      </c>
      <c r="H1538" s="2" t="n">
        <v>11.3</v>
      </c>
      <c r="I1538" s="2" t="s">
        <v>26</v>
      </c>
      <c r="J1538" s="2" t="s">
        <v>5002</v>
      </c>
      <c r="K1538" s="2" t="s">
        <v>122</v>
      </c>
      <c r="L1538" s="2" t="s">
        <v>940</v>
      </c>
      <c r="M1538" s="2"/>
    </row>
    <row r="1539" customFormat="false" ht="15" hidden="false" customHeight="false" outlineLevel="0" collapsed="false">
      <c r="A1539" s="2" t="s">
        <v>5003</v>
      </c>
      <c r="B1539" s="2" t="s">
        <v>4596</v>
      </c>
      <c r="C1539" s="2" t="s">
        <v>4597</v>
      </c>
      <c r="D1539" s="13" t="n">
        <v>45640.5680555556</v>
      </c>
      <c r="E1539" s="2" t="s">
        <v>35</v>
      </c>
      <c r="F1539" s="2" t="s">
        <v>32</v>
      </c>
      <c r="G1539" s="2" t="n">
        <v>1450.32</v>
      </c>
      <c r="H1539" s="2" t="n">
        <v>5</v>
      </c>
      <c r="I1539" s="2" t="s">
        <v>26</v>
      </c>
      <c r="J1539" s="2" t="s">
        <v>5004</v>
      </c>
      <c r="K1539" s="2" t="s">
        <v>101</v>
      </c>
      <c r="L1539" s="2" t="s">
        <v>945</v>
      </c>
      <c r="M1539" s="2"/>
    </row>
    <row r="1540" customFormat="false" ht="15" hidden="false" customHeight="false" outlineLevel="0" collapsed="false">
      <c r="A1540" s="2" t="s">
        <v>5005</v>
      </c>
      <c r="B1540" s="2" t="s">
        <v>5006</v>
      </c>
      <c r="C1540" s="2" t="s">
        <v>5007</v>
      </c>
      <c r="D1540" s="13" t="n">
        <v>45994.8701388889</v>
      </c>
      <c r="E1540" s="2" t="s">
        <v>43</v>
      </c>
      <c r="F1540" s="2" t="s">
        <v>32</v>
      </c>
      <c r="G1540" s="2" t="n">
        <v>1502.93</v>
      </c>
      <c r="H1540" s="2" t="n">
        <v>11.17</v>
      </c>
      <c r="I1540" s="2" t="s">
        <v>26</v>
      </c>
      <c r="J1540" s="2" t="s">
        <v>5008</v>
      </c>
      <c r="K1540" s="2" t="s">
        <v>89</v>
      </c>
      <c r="L1540" s="2"/>
      <c r="M1540" s="2" t="s">
        <v>273</v>
      </c>
    </row>
    <row r="1541" customFormat="false" ht="15" hidden="false" customHeight="false" outlineLevel="0" collapsed="false">
      <c r="A1541" s="2" t="s">
        <v>5009</v>
      </c>
      <c r="B1541" s="2" t="s">
        <v>2268</v>
      </c>
      <c r="C1541" s="2" t="s">
        <v>2269</v>
      </c>
      <c r="D1541" s="13" t="n">
        <v>45376.8868055556</v>
      </c>
      <c r="E1541" s="2" t="s">
        <v>35</v>
      </c>
      <c r="F1541" s="2" t="s">
        <v>29</v>
      </c>
      <c r="G1541" s="2" t="n">
        <v>4251.85</v>
      </c>
      <c r="H1541" s="2" t="n">
        <v>18.62</v>
      </c>
      <c r="I1541" s="2" t="s">
        <v>28</v>
      </c>
      <c r="J1541" s="2" t="s">
        <v>5010</v>
      </c>
      <c r="K1541" s="2" t="s">
        <v>89</v>
      </c>
      <c r="L1541" s="2" t="s">
        <v>1543</v>
      </c>
      <c r="M1541" s="2"/>
    </row>
    <row r="1542" customFormat="false" ht="15" hidden="false" customHeight="false" outlineLevel="0" collapsed="false">
      <c r="A1542" s="2" t="s">
        <v>5011</v>
      </c>
      <c r="B1542" s="2" t="s">
        <v>2082</v>
      </c>
      <c r="C1542" s="2" t="s">
        <v>2083</v>
      </c>
      <c r="D1542" s="13" t="n">
        <v>45899.9215277778</v>
      </c>
      <c r="E1542" s="2" t="s">
        <v>35</v>
      </c>
      <c r="F1542" s="2" t="s">
        <v>32</v>
      </c>
      <c r="G1542" s="2" t="n">
        <v>11122.52</v>
      </c>
      <c r="H1542" s="2" t="n">
        <v>111.14</v>
      </c>
      <c r="I1542" s="2" t="s">
        <v>26</v>
      </c>
      <c r="J1542" s="2" t="s">
        <v>5012</v>
      </c>
      <c r="K1542" s="2" t="s">
        <v>95</v>
      </c>
      <c r="L1542" s="2" t="s">
        <v>283</v>
      </c>
      <c r="M1542" s="2"/>
    </row>
    <row r="1543" customFormat="false" ht="15" hidden="false" customHeight="false" outlineLevel="0" collapsed="false">
      <c r="A1543" s="2" t="s">
        <v>5013</v>
      </c>
      <c r="B1543" s="2" t="s">
        <v>1841</v>
      </c>
      <c r="C1543" s="2" t="s">
        <v>1842</v>
      </c>
      <c r="D1543" s="13" t="n">
        <v>46011.7388888889</v>
      </c>
      <c r="E1543" s="2" t="s">
        <v>41</v>
      </c>
      <c r="F1543" s="2" t="s">
        <v>31</v>
      </c>
      <c r="G1543" s="2" t="n">
        <v>15616.42</v>
      </c>
      <c r="H1543" s="2" t="n">
        <v>88.15</v>
      </c>
      <c r="I1543" s="2" t="s">
        <v>26</v>
      </c>
      <c r="J1543" s="2" t="s">
        <v>5014</v>
      </c>
      <c r="K1543" s="2" t="s">
        <v>101</v>
      </c>
      <c r="L1543" s="2" t="s">
        <v>963</v>
      </c>
      <c r="M1543" s="2"/>
    </row>
    <row r="1544" customFormat="false" ht="15" hidden="false" customHeight="false" outlineLevel="0" collapsed="false">
      <c r="A1544" s="2" t="s">
        <v>5015</v>
      </c>
      <c r="B1544" s="2" t="s">
        <v>1234</v>
      </c>
      <c r="C1544" s="2" t="s">
        <v>1235</v>
      </c>
      <c r="D1544" s="13" t="n">
        <v>45708.8888888889</v>
      </c>
      <c r="E1544" s="2" t="s">
        <v>39</v>
      </c>
      <c r="F1544" s="2" t="s">
        <v>31</v>
      </c>
      <c r="G1544" s="2" t="n">
        <v>3177.99</v>
      </c>
      <c r="H1544" s="2" t="n">
        <v>37.58</v>
      </c>
      <c r="I1544" s="2" t="s">
        <v>30</v>
      </c>
      <c r="J1544" s="2" t="s">
        <v>5016</v>
      </c>
      <c r="K1544" s="2" t="s">
        <v>95</v>
      </c>
      <c r="L1544" s="2" t="s">
        <v>293</v>
      </c>
      <c r="M1544" s="2"/>
    </row>
    <row r="1545" customFormat="false" ht="15" hidden="false" customHeight="false" outlineLevel="0" collapsed="false">
      <c r="A1545" s="2" t="s">
        <v>5017</v>
      </c>
      <c r="B1545" s="2" t="s">
        <v>5018</v>
      </c>
      <c r="C1545" s="2" t="s">
        <v>5019</v>
      </c>
      <c r="D1545" s="13" t="n">
        <v>45751.5840277778</v>
      </c>
      <c r="E1545" s="2" t="s">
        <v>41</v>
      </c>
      <c r="F1545" s="2" t="s">
        <v>27</v>
      </c>
      <c r="G1545" s="2" t="n">
        <v>17724.46</v>
      </c>
      <c r="H1545" s="2" t="n">
        <v>118.35</v>
      </c>
      <c r="I1545" s="2" t="s">
        <v>26</v>
      </c>
      <c r="J1545" s="2" t="s">
        <v>5020</v>
      </c>
      <c r="K1545" s="2" t="s">
        <v>101</v>
      </c>
      <c r="L1545" s="2"/>
      <c r="M1545" s="2" t="s">
        <v>298</v>
      </c>
    </row>
    <row r="1546" customFormat="false" ht="15" hidden="false" customHeight="false" outlineLevel="0" collapsed="false">
      <c r="A1546" s="2" t="s">
        <v>5021</v>
      </c>
      <c r="B1546" s="2" t="s">
        <v>3134</v>
      </c>
      <c r="C1546" s="2" t="s">
        <v>3135</v>
      </c>
      <c r="D1546" s="13" t="n">
        <v>45991.4201388889</v>
      </c>
      <c r="E1546" s="2" t="s">
        <v>43</v>
      </c>
      <c r="F1546" s="2" t="s">
        <v>27</v>
      </c>
      <c r="G1546" s="2" t="n">
        <v>12256.32</v>
      </c>
      <c r="H1546" s="2" t="n">
        <v>68.22</v>
      </c>
      <c r="I1546" s="2" t="s">
        <v>26</v>
      </c>
      <c r="J1546" s="2" t="s">
        <v>5022</v>
      </c>
      <c r="K1546" s="2" t="s">
        <v>89</v>
      </c>
      <c r="L1546" s="2"/>
      <c r="M1546" s="2" t="s">
        <v>1174</v>
      </c>
    </row>
    <row r="1547" customFormat="false" ht="15" hidden="false" customHeight="false" outlineLevel="0" collapsed="false">
      <c r="A1547" s="2" t="s">
        <v>5023</v>
      </c>
      <c r="B1547" s="2" t="s">
        <v>5024</v>
      </c>
      <c r="C1547" s="2" t="s">
        <v>5025</v>
      </c>
      <c r="D1547" s="13" t="n">
        <v>45648.5076388889</v>
      </c>
      <c r="E1547" s="2" t="s">
        <v>43</v>
      </c>
      <c r="F1547" s="2" t="s">
        <v>27</v>
      </c>
      <c r="G1547" s="2" t="n">
        <v>1757.9</v>
      </c>
      <c r="H1547" s="2" t="n">
        <v>10.18</v>
      </c>
      <c r="I1547" s="2" t="s">
        <v>26</v>
      </c>
      <c r="J1547" s="2" t="s">
        <v>5026</v>
      </c>
      <c r="K1547" s="2" t="s">
        <v>89</v>
      </c>
      <c r="L1547" s="2"/>
      <c r="M1547" s="2" t="s">
        <v>774</v>
      </c>
    </row>
    <row r="1548" customFormat="false" ht="15" hidden="false" customHeight="false" outlineLevel="0" collapsed="false">
      <c r="A1548" s="2" t="s">
        <v>5027</v>
      </c>
      <c r="B1548" s="2" t="s">
        <v>3566</v>
      </c>
      <c r="C1548" s="2" t="s">
        <v>3567</v>
      </c>
      <c r="D1548" s="13" t="n">
        <v>45818.5534722222</v>
      </c>
      <c r="E1548" s="2" t="s">
        <v>43</v>
      </c>
      <c r="F1548" s="2" t="s">
        <v>32</v>
      </c>
      <c r="G1548" s="2" t="n">
        <v>3219.63</v>
      </c>
      <c r="H1548" s="2" t="n">
        <v>8.7</v>
      </c>
      <c r="I1548" s="2" t="s">
        <v>26</v>
      </c>
      <c r="J1548" s="2" t="s">
        <v>5028</v>
      </c>
      <c r="K1548" s="2" t="s">
        <v>122</v>
      </c>
      <c r="L1548" s="2"/>
      <c r="M1548" s="2" t="s">
        <v>313</v>
      </c>
    </row>
    <row r="1549" customFormat="false" ht="15" hidden="false" customHeight="false" outlineLevel="0" collapsed="false">
      <c r="A1549" s="2" t="s">
        <v>5029</v>
      </c>
      <c r="B1549" s="2" t="s">
        <v>3176</v>
      </c>
      <c r="C1549" s="2" t="s">
        <v>3177</v>
      </c>
      <c r="D1549" s="13" t="n">
        <v>45691.4493055556</v>
      </c>
      <c r="E1549" s="2" t="s">
        <v>43</v>
      </c>
      <c r="F1549" s="2" t="s">
        <v>27</v>
      </c>
      <c r="G1549" s="2" t="n">
        <v>1681.97</v>
      </c>
      <c r="H1549" s="2" t="n">
        <v>17.44</v>
      </c>
      <c r="I1549" s="2" t="s">
        <v>28</v>
      </c>
      <c r="J1549" s="2" t="s">
        <v>5030</v>
      </c>
      <c r="K1549" s="2" t="s">
        <v>95</v>
      </c>
      <c r="L1549" s="2"/>
      <c r="M1549" s="2" t="s">
        <v>784</v>
      </c>
    </row>
    <row r="1550" customFormat="false" ht="15" hidden="false" customHeight="false" outlineLevel="0" collapsed="false">
      <c r="A1550" s="2" t="s">
        <v>5031</v>
      </c>
      <c r="B1550" s="2" t="s">
        <v>5032</v>
      </c>
      <c r="C1550" s="2" t="s">
        <v>5033</v>
      </c>
      <c r="D1550" s="13" t="n">
        <v>45399.7388888889</v>
      </c>
      <c r="E1550" s="2" t="s">
        <v>41</v>
      </c>
      <c r="F1550" s="2" t="s">
        <v>32</v>
      </c>
      <c r="G1550" s="2" t="n">
        <v>3323.46</v>
      </c>
      <c r="H1550" s="2" t="n">
        <v>32.67</v>
      </c>
      <c r="I1550" s="2" t="s">
        <v>28</v>
      </c>
      <c r="J1550" s="2" t="s">
        <v>5034</v>
      </c>
      <c r="K1550" s="2" t="s">
        <v>122</v>
      </c>
      <c r="L1550" s="2" t="s">
        <v>995</v>
      </c>
      <c r="M1550" s="2"/>
    </row>
    <row r="1551" customFormat="false" ht="15" hidden="false" customHeight="false" outlineLevel="0" collapsed="false">
      <c r="A1551" s="2" t="s">
        <v>5035</v>
      </c>
      <c r="B1551" s="2" t="s">
        <v>5036</v>
      </c>
      <c r="C1551" s="2" t="s">
        <v>5037</v>
      </c>
      <c r="D1551" s="13" t="n">
        <v>45845.7888888889</v>
      </c>
      <c r="E1551" s="2" t="s">
        <v>43</v>
      </c>
      <c r="F1551" s="2" t="s">
        <v>27</v>
      </c>
      <c r="G1551" s="2" t="n">
        <v>12821.3</v>
      </c>
      <c r="H1551" s="2" t="n">
        <v>119.74</v>
      </c>
      <c r="I1551" s="2" t="s">
        <v>28</v>
      </c>
      <c r="J1551" s="2" t="s">
        <v>5038</v>
      </c>
      <c r="K1551" s="2" t="s">
        <v>89</v>
      </c>
      <c r="L1551" s="2"/>
      <c r="M1551" s="2" t="s">
        <v>328</v>
      </c>
    </row>
    <row r="1552" customFormat="false" ht="15" hidden="false" customHeight="false" outlineLevel="0" collapsed="false">
      <c r="A1552" s="2" t="s">
        <v>5039</v>
      </c>
      <c r="B1552" s="2" t="s">
        <v>5040</v>
      </c>
      <c r="C1552" s="2" t="s">
        <v>5041</v>
      </c>
      <c r="D1552" s="13" t="n">
        <v>45556.6083333333</v>
      </c>
      <c r="E1552" s="2" t="s">
        <v>43</v>
      </c>
      <c r="F1552" s="2" t="s">
        <v>31</v>
      </c>
      <c r="G1552" s="2" t="n">
        <v>3346.56</v>
      </c>
      <c r="H1552" s="2" t="n">
        <v>8.4</v>
      </c>
      <c r="I1552" s="2" t="s">
        <v>30</v>
      </c>
      <c r="J1552" s="2" t="s">
        <v>5042</v>
      </c>
      <c r="K1552" s="2" t="s">
        <v>89</v>
      </c>
      <c r="L1552" s="2"/>
      <c r="M1552" s="2" t="s">
        <v>795</v>
      </c>
    </row>
    <row r="1553" customFormat="false" ht="15" hidden="false" customHeight="false" outlineLevel="0" collapsed="false">
      <c r="A1553" s="2" t="s">
        <v>5043</v>
      </c>
      <c r="B1553" s="2" t="s">
        <v>3066</v>
      </c>
      <c r="C1553" s="2" t="s">
        <v>3067</v>
      </c>
      <c r="D1553" s="13" t="n">
        <v>45534.9423611111</v>
      </c>
      <c r="E1553" s="2" t="s">
        <v>35</v>
      </c>
      <c r="F1553" s="2" t="s">
        <v>29</v>
      </c>
      <c r="G1553" s="2" t="n">
        <v>1660.72</v>
      </c>
      <c r="H1553" s="2" t="n">
        <v>13.48</v>
      </c>
      <c r="I1553" s="2" t="s">
        <v>26</v>
      </c>
      <c r="J1553" s="2" t="s">
        <v>5044</v>
      </c>
      <c r="K1553" s="2" t="s">
        <v>122</v>
      </c>
      <c r="L1553" s="2" t="s">
        <v>338</v>
      </c>
      <c r="M1553" s="2"/>
    </row>
    <row r="1554" customFormat="false" ht="15" hidden="false" customHeight="false" outlineLevel="0" collapsed="false">
      <c r="A1554" s="2" t="s">
        <v>5045</v>
      </c>
      <c r="B1554" s="2" t="s">
        <v>475</v>
      </c>
      <c r="C1554" s="2" t="s">
        <v>476</v>
      </c>
      <c r="D1554" s="13" t="n">
        <v>45949.6631944445</v>
      </c>
      <c r="E1554" s="2" t="s">
        <v>39</v>
      </c>
      <c r="F1554" s="2" t="s">
        <v>27</v>
      </c>
      <c r="G1554" s="2" t="n">
        <v>8199.84</v>
      </c>
      <c r="H1554" s="2" t="n">
        <v>86.1</v>
      </c>
      <c r="I1554" s="2" t="s">
        <v>26</v>
      </c>
      <c r="J1554" s="2" t="s">
        <v>5046</v>
      </c>
      <c r="K1554" s="2" t="s">
        <v>95</v>
      </c>
      <c r="L1554" s="2"/>
      <c r="M1554" s="2" t="s">
        <v>1588</v>
      </c>
    </row>
    <row r="1555" customFormat="false" ht="15" hidden="false" customHeight="false" outlineLevel="0" collapsed="false">
      <c r="A1555" s="2" t="s">
        <v>5047</v>
      </c>
      <c r="B1555" s="2" t="s">
        <v>4104</v>
      </c>
      <c r="C1555" s="2" t="s">
        <v>4105</v>
      </c>
      <c r="D1555" s="13" t="n">
        <v>45728.475</v>
      </c>
      <c r="E1555" s="2" t="s">
        <v>35</v>
      </c>
      <c r="F1555" s="2" t="s">
        <v>31</v>
      </c>
      <c r="G1555" s="2" t="n">
        <v>2487.8</v>
      </c>
      <c r="H1555" s="2" t="n">
        <v>24.1</v>
      </c>
      <c r="I1555" s="2" t="s">
        <v>30</v>
      </c>
      <c r="J1555" s="2" t="s">
        <v>5048</v>
      </c>
      <c r="K1555" s="2" t="s">
        <v>122</v>
      </c>
      <c r="L1555" s="2" t="s">
        <v>1012</v>
      </c>
      <c r="M1555" s="2"/>
    </row>
    <row r="1556" customFormat="false" ht="15" hidden="false" customHeight="false" outlineLevel="0" collapsed="false">
      <c r="A1556" s="2" t="s">
        <v>5049</v>
      </c>
      <c r="B1556" s="2" t="s">
        <v>4396</v>
      </c>
      <c r="C1556" s="2" t="s">
        <v>4397</v>
      </c>
      <c r="D1556" s="13" t="n">
        <v>45557.5979166667</v>
      </c>
      <c r="E1556" s="2" t="s">
        <v>43</v>
      </c>
      <c r="F1556" s="2" t="s">
        <v>29</v>
      </c>
      <c r="G1556" s="2" t="n">
        <v>22059.37</v>
      </c>
      <c r="H1556" s="2" t="n">
        <v>90.29</v>
      </c>
      <c r="I1556" s="2" t="s">
        <v>30</v>
      </c>
      <c r="J1556" s="2" t="s">
        <v>5050</v>
      </c>
      <c r="K1556" s="2" t="s">
        <v>89</v>
      </c>
      <c r="L1556" s="2"/>
      <c r="M1556" s="2" t="s">
        <v>1217</v>
      </c>
    </row>
    <row r="1557" customFormat="false" ht="15" hidden="false" customHeight="false" outlineLevel="0" collapsed="false">
      <c r="A1557" s="2" t="s">
        <v>5051</v>
      </c>
      <c r="B1557" s="2" t="s">
        <v>315</v>
      </c>
      <c r="C1557" s="2" t="s">
        <v>316</v>
      </c>
      <c r="D1557" s="13" t="n">
        <v>45912.8493055556</v>
      </c>
      <c r="E1557" s="2" t="s">
        <v>41</v>
      </c>
      <c r="F1557" s="2" t="s">
        <v>27</v>
      </c>
      <c r="G1557" s="2" t="n">
        <v>4087.6</v>
      </c>
      <c r="H1557" s="2" t="n">
        <v>28.92</v>
      </c>
      <c r="I1557" s="2" t="s">
        <v>26</v>
      </c>
      <c r="J1557" s="2" t="s">
        <v>5052</v>
      </c>
      <c r="K1557" s="2" t="s">
        <v>122</v>
      </c>
      <c r="L1557" s="2"/>
      <c r="M1557" s="2" t="s">
        <v>817</v>
      </c>
    </row>
    <row r="1558" customFormat="false" ht="15" hidden="false" customHeight="false" outlineLevel="0" collapsed="false">
      <c r="A1558" s="2" t="s">
        <v>5053</v>
      </c>
      <c r="B1558" s="2" t="s">
        <v>4418</v>
      </c>
      <c r="C1558" s="2" t="s">
        <v>4419</v>
      </c>
      <c r="D1558" s="13" t="n">
        <v>45857.3916666667</v>
      </c>
      <c r="E1558" s="2" t="s">
        <v>35</v>
      </c>
      <c r="F1558" s="2" t="s">
        <v>31</v>
      </c>
      <c r="G1558" s="2" t="n">
        <v>3799.95</v>
      </c>
      <c r="H1558" s="2" t="n">
        <v>38.9</v>
      </c>
      <c r="I1558" s="2" t="s">
        <v>26</v>
      </c>
      <c r="J1558" s="2" t="s">
        <v>5054</v>
      </c>
      <c r="K1558" s="2" t="s">
        <v>95</v>
      </c>
      <c r="L1558" s="2" t="s">
        <v>1601</v>
      </c>
      <c r="M1558" s="2"/>
    </row>
    <row r="1559" customFormat="false" ht="15" hidden="false" customHeight="false" outlineLevel="0" collapsed="false">
      <c r="A1559" s="2" t="s">
        <v>5055</v>
      </c>
      <c r="B1559" s="2" t="s">
        <v>1521</v>
      </c>
      <c r="C1559" s="2" t="s">
        <v>1522</v>
      </c>
      <c r="D1559" s="13" t="n">
        <v>45745.4520833333</v>
      </c>
      <c r="E1559" s="2" t="s">
        <v>39</v>
      </c>
      <c r="F1559" s="2" t="s">
        <v>32</v>
      </c>
      <c r="G1559" s="2" t="n">
        <v>7330.41</v>
      </c>
      <c r="H1559" s="2" t="n">
        <v>84.83</v>
      </c>
      <c r="I1559" s="2" t="s">
        <v>26</v>
      </c>
      <c r="J1559" s="2" t="s">
        <v>5056</v>
      </c>
      <c r="K1559" s="2" t="s">
        <v>89</v>
      </c>
      <c r="L1559" s="2" t="s">
        <v>368</v>
      </c>
      <c r="M1559" s="2"/>
    </row>
    <row r="1560" customFormat="false" ht="15" hidden="false" customHeight="false" outlineLevel="0" collapsed="false">
      <c r="A1560" s="2" t="s">
        <v>5057</v>
      </c>
      <c r="B1560" s="2" t="s">
        <v>3626</v>
      </c>
      <c r="C1560" s="2" t="s">
        <v>3627</v>
      </c>
      <c r="D1560" s="13" t="n">
        <v>45933.3131944445</v>
      </c>
      <c r="E1560" s="2" t="s">
        <v>41</v>
      </c>
      <c r="F1560" s="2" t="s">
        <v>32</v>
      </c>
      <c r="G1560" s="2" t="n">
        <v>4093.86</v>
      </c>
      <c r="H1560" s="2" t="n">
        <v>32.09</v>
      </c>
      <c r="I1560" s="2" t="s">
        <v>26</v>
      </c>
      <c r="J1560" s="2" t="s">
        <v>5058</v>
      </c>
      <c r="K1560" s="2" t="s">
        <v>101</v>
      </c>
      <c r="L1560" s="2" t="s">
        <v>373</v>
      </c>
      <c r="M1560" s="2"/>
    </row>
    <row r="1561" customFormat="false" ht="15" hidden="false" customHeight="false" outlineLevel="0" collapsed="false">
      <c r="A1561" s="2" t="s">
        <v>5059</v>
      </c>
      <c r="B1561" s="2" t="s">
        <v>5060</v>
      </c>
      <c r="C1561" s="2" t="s">
        <v>5061</v>
      </c>
      <c r="D1561" s="13" t="n">
        <v>45305.6229166667</v>
      </c>
      <c r="E1561" s="2" t="s">
        <v>41</v>
      </c>
      <c r="F1561" s="2" t="s">
        <v>29</v>
      </c>
      <c r="G1561" s="2" t="n">
        <v>1124.48</v>
      </c>
      <c r="H1561" s="2" t="n">
        <v>9.04</v>
      </c>
      <c r="I1561" s="2" t="s">
        <v>30</v>
      </c>
      <c r="J1561" s="2" t="s">
        <v>5062</v>
      </c>
      <c r="K1561" s="2" t="s">
        <v>89</v>
      </c>
      <c r="L1561" s="2" t="s">
        <v>1034</v>
      </c>
      <c r="M1561" s="2"/>
    </row>
    <row r="1562" customFormat="false" ht="15" hidden="false" customHeight="false" outlineLevel="0" collapsed="false">
      <c r="A1562" s="2" t="s">
        <v>5063</v>
      </c>
      <c r="B1562" s="2" t="s">
        <v>5064</v>
      </c>
      <c r="C1562" s="2" t="s">
        <v>5065</v>
      </c>
      <c r="D1562" s="13" t="n">
        <v>45483.5868055556</v>
      </c>
      <c r="E1562" s="2" t="s">
        <v>35</v>
      </c>
      <c r="F1562" s="2" t="s">
        <v>29</v>
      </c>
      <c r="G1562" s="2" t="n">
        <v>3200.09</v>
      </c>
      <c r="H1562" s="2" t="n">
        <v>21.08</v>
      </c>
      <c r="I1562" s="2" t="s">
        <v>26</v>
      </c>
      <c r="J1562" s="2" t="s">
        <v>5066</v>
      </c>
      <c r="K1562" s="2" t="s">
        <v>101</v>
      </c>
      <c r="L1562" s="2" t="s">
        <v>1039</v>
      </c>
      <c r="M1562" s="2"/>
    </row>
    <row r="1563" customFormat="false" ht="15" hidden="false" customHeight="false" outlineLevel="0" collapsed="false">
      <c r="A1563" s="2" t="s">
        <v>5067</v>
      </c>
      <c r="B1563" s="2" t="s">
        <v>2976</v>
      </c>
      <c r="C1563" s="2" t="s">
        <v>2977</v>
      </c>
      <c r="D1563" s="13" t="n">
        <v>45753.4694444445</v>
      </c>
      <c r="E1563" s="2" t="s">
        <v>41</v>
      </c>
      <c r="F1563" s="2" t="s">
        <v>32</v>
      </c>
      <c r="G1563" s="2" t="n">
        <v>4773.45</v>
      </c>
      <c r="H1563" s="2" t="n">
        <v>16.21</v>
      </c>
      <c r="I1563" s="2" t="s">
        <v>26</v>
      </c>
      <c r="J1563" s="2" t="s">
        <v>5068</v>
      </c>
      <c r="K1563" s="2" t="s">
        <v>122</v>
      </c>
      <c r="L1563" s="2" t="s">
        <v>1044</v>
      </c>
      <c r="M1563" s="2"/>
    </row>
    <row r="1564" customFormat="false" ht="15" hidden="false" customHeight="false" outlineLevel="0" collapsed="false">
      <c r="A1564" s="2" t="s">
        <v>5069</v>
      </c>
      <c r="B1564" s="2" t="s">
        <v>280</v>
      </c>
      <c r="C1564" s="2" t="s">
        <v>281</v>
      </c>
      <c r="D1564" s="13" t="n">
        <v>45368.6854166667</v>
      </c>
      <c r="E1564" s="2" t="s">
        <v>41</v>
      </c>
      <c r="F1564" s="2" t="s">
        <v>29</v>
      </c>
      <c r="G1564" s="2" t="n">
        <v>8500.76</v>
      </c>
      <c r="H1564" s="2" t="n">
        <v>19.84</v>
      </c>
      <c r="I1564" s="2" t="s">
        <v>26</v>
      </c>
      <c r="J1564" s="2" t="s">
        <v>5070</v>
      </c>
      <c r="K1564" s="2" t="s">
        <v>101</v>
      </c>
      <c r="L1564" s="2" t="s">
        <v>393</v>
      </c>
      <c r="M1564" s="2"/>
    </row>
    <row r="1565" customFormat="false" ht="15" hidden="false" customHeight="false" outlineLevel="0" collapsed="false">
      <c r="A1565" s="2" t="s">
        <v>5071</v>
      </c>
      <c r="B1565" s="2" t="s">
        <v>2039</v>
      </c>
      <c r="C1565" s="2" t="s">
        <v>2040</v>
      </c>
      <c r="D1565" s="13" t="n">
        <v>46003.8763888889</v>
      </c>
      <c r="E1565" s="2" t="s">
        <v>35</v>
      </c>
      <c r="F1565" s="2" t="s">
        <v>29</v>
      </c>
      <c r="G1565" s="2" t="n">
        <v>2370.04</v>
      </c>
      <c r="H1565" s="2" t="n">
        <v>27.83</v>
      </c>
      <c r="I1565" s="2" t="s">
        <v>28</v>
      </c>
      <c r="J1565" s="2" t="s">
        <v>5072</v>
      </c>
      <c r="K1565" s="2" t="s">
        <v>101</v>
      </c>
      <c r="L1565" s="2" t="s">
        <v>1628</v>
      </c>
      <c r="M1565" s="2"/>
    </row>
    <row r="1566" customFormat="false" ht="15" hidden="false" customHeight="false" outlineLevel="0" collapsed="false">
      <c r="A1566" s="2" t="s">
        <v>5073</v>
      </c>
      <c r="B1566" s="2" t="s">
        <v>5074</v>
      </c>
      <c r="C1566" s="2" t="s">
        <v>5075</v>
      </c>
      <c r="D1566" s="13" t="n">
        <v>45773.7965277778</v>
      </c>
      <c r="E1566" s="2" t="s">
        <v>43</v>
      </c>
      <c r="F1566" s="2" t="s">
        <v>31</v>
      </c>
      <c r="G1566" s="2" t="n">
        <v>6710.28</v>
      </c>
      <c r="H1566" s="2" t="n">
        <v>51.25</v>
      </c>
      <c r="I1566" s="2" t="s">
        <v>30</v>
      </c>
      <c r="J1566" s="2" t="s">
        <v>5076</v>
      </c>
      <c r="K1566" s="2" t="s">
        <v>95</v>
      </c>
      <c r="L1566" s="2"/>
      <c r="M1566" s="2" t="s">
        <v>852</v>
      </c>
    </row>
    <row r="1567" customFormat="false" ht="15" hidden="false" customHeight="false" outlineLevel="0" collapsed="false">
      <c r="A1567" s="2" t="s">
        <v>5077</v>
      </c>
      <c r="B1567" s="2" t="s">
        <v>553</v>
      </c>
      <c r="C1567" s="2" t="s">
        <v>554</v>
      </c>
      <c r="D1567" s="13" t="n">
        <v>45985.3284722222</v>
      </c>
      <c r="E1567" s="2" t="s">
        <v>39</v>
      </c>
      <c r="F1567" s="2" t="s">
        <v>32</v>
      </c>
      <c r="G1567" s="2" t="n">
        <v>3483.76</v>
      </c>
      <c r="H1567" s="2" t="n">
        <v>32.57</v>
      </c>
      <c r="I1567" s="2" t="s">
        <v>26</v>
      </c>
      <c r="J1567" s="2" t="s">
        <v>5078</v>
      </c>
      <c r="K1567" s="2" t="s">
        <v>95</v>
      </c>
      <c r="L1567" s="2" t="s">
        <v>408</v>
      </c>
      <c r="M1567" s="2"/>
    </row>
    <row r="1568" customFormat="false" ht="15" hidden="false" customHeight="false" outlineLevel="0" collapsed="false">
      <c r="A1568" s="2" t="s">
        <v>5079</v>
      </c>
      <c r="B1568" s="2" t="s">
        <v>2986</v>
      </c>
      <c r="C1568" s="2" t="s">
        <v>2987</v>
      </c>
      <c r="D1568" s="13" t="n">
        <v>45846.6118055556</v>
      </c>
      <c r="E1568" s="2" t="s">
        <v>35</v>
      </c>
      <c r="F1568" s="2" t="s">
        <v>32</v>
      </c>
      <c r="G1568" s="2" t="n">
        <v>3064.43</v>
      </c>
      <c r="H1568" s="2" t="n">
        <v>23.21</v>
      </c>
      <c r="I1568" s="2" t="s">
        <v>30</v>
      </c>
      <c r="J1568" s="2" t="s">
        <v>5080</v>
      </c>
      <c r="K1568" s="2" t="s">
        <v>89</v>
      </c>
      <c r="L1568" s="2" t="s">
        <v>413</v>
      </c>
      <c r="M1568" s="2"/>
    </row>
    <row r="1569" customFormat="false" ht="15" hidden="false" customHeight="false" outlineLevel="0" collapsed="false">
      <c r="A1569" s="2" t="s">
        <v>5081</v>
      </c>
      <c r="B1569" s="2" t="s">
        <v>5082</v>
      </c>
      <c r="C1569" s="2" t="s">
        <v>5083</v>
      </c>
      <c r="D1569" s="13" t="n">
        <v>45554.7659722222</v>
      </c>
      <c r="E1569" s="2" t="s">
        <v>41</v>
      </c>
      <c r="F1569" s="2" t="s">
        <v>29</v>
      </c>
      <c r="G1569" s="2" t="n">
        <v>4655.34</v>
      </c>
      <c r="H1569" s="2" t="n">
        <v>54.45</v>
      </c>
      <c r="I1569" s="2" t="s">
        <v>26</v>
      </c>
      <c r="J1569" s="2" t="s">
        <v>5084</v>
      </c>
      <c r="K1569" s="2" t="s">
        <v>89</v>
      </c>
      <c r="L1569" s="2" t="s">
        <v>418</v>
      </c>
      <c r="M1569" s="2"/>
    </row>
    <row r="1570" customFormat="false" ht="15" hidden="false" customHeight="false" outlineLevel="0" collapsed="false">
      <c r="A1570" s="2" t="s">
        <v>5085</v>
      </c>
      <c r="B1570" s="2" t="s">
        <v>664</v>
      </c>
      <c r="C1570" s="2" t="s">
        <v>665</v>
      </c>
      <c r="D1570" s="13" t="n">
        <v>45802.9506944444</v>
      </c>
      <c r="E1570" s="2" t="s">
        <v>41</v>
      </c>
      <c r="F1570" s="2" t="s">
        <v>32</v>
      </c>
      <c r="G1570" s="2" t="n">
        <v>5638.36</v>
      </c>
      <c r="H1570" s="2" t="n">
        <v>28.85</v>
      </c>
      <c r="I1570" s="2" t="s">
        <v>30</v>
      </c>
      <c r="J1570" s="2" t="s">
        <v>5086</v>
      </c>
      <c r="K1570" s="2" t="s">
        <v>95</v>
      </c>
      <c r="L1570" s="2" t="s">
        <v>423</v>
      </c>
      <c r="M1570" s="2"/>
    </row>
    <row r="1571" customFormat="false" ht="15" hidden="false" customHeight="false" outlineLevel="0" collapsed="false">
      <c r="A1571" s="2" t="s">
        <v>5087</v>
      </c>
      <c r="B1571" s="2" t="s">
        <v>4110</v>
      </c>
      <c r="C1571" s="2" t="s">
        <v>4111</v>
      </c>
      <c r="D1571" s="13" t="n">
        <v>45711.5666666667</v>
      </c>
      <c r="E1571" s="2" t="s">
        <v>37</v>
      </c>
      <c r="F1571" s="2" t="s">
        <v>31</v>
      </c>
      <c r="G1571" s="2" t="n">
        <v>6051.41</v>
      </c>
      <c r="H1571" s="2" t="n">
        <v>53.15</v>
      </c>
      <c r="I1571" s="2" t="s">
        <v>26</v>
      </c>
      <c r="J1571" s="2" t="s">
        <v>5088</v>
      </c>
      <c r="K1571" s="2" t="s">
        <v>95</v>
      </c>
      <c r="L1571" s="2" t="s">
        <v>428</v>
      </c>
      <c r="M1571" s="2"/>
    </row>
    <row r="1572" customFormat="false" ht="15" hidden="false" customHeight="false" outlineLevel="0" collapsed="false">
      <c r="A1572" s="2" t="s">
        <v>5089</v>
      </c>
      <c r="B1572" s="2" t="s">
        <v>3318</v>
      </c>
      <c r="C1572" s="2" t="s">
        <v>3319</v>
      </c>
      <c r="D1572" s="13" t="n">
        <v>45542.8166666667</v>
      </c>
      <c r="E1572" s="2" t="s">
        <v>41</v>
      </c>
      <c r="F1572" s="2" t="s">
        <v>27</v>
      </c>
      <c r="G1572" s="2" t="n">
        <v>2160.88</v>
      </c>
      <c r="H1572" s="2" t="n">
        <v>22.03</v>
      </c>
      <c r="I1572" s="2" t="s">
        <v>28</v>
      </c>
      <c r="J1572" s="2" t="s">
        <v>5090</v>
      </c>
      <c r="K1572" s="2" t="s">
        <v>89</v>
      </c>
      <c r="L1572" s="2"/>
      <c r="M1572" s="2" t="s">
        <v>1282</v>
      </c>
    </row>
    <row r="1573" customFormat="false" ht="15" hidden="false" customHeight="false" outlineLevel="0" collapsed="false">
      <c r="A1573" s="2" t="s">
        <v>5091</v>
      </c>
      <c r="B1573" s="2" t="s">
        <v>2535</v>
      </c>
      <c r="C1573" s="2" t="s">
        <v>2536</v>
      </c>
      <c r="D1573" s="13" t="n">
        <v>45994.50625</v>
      </c>
      <c r="E1573" s="2" t="s">
        <v>39</v>
      </c>
      <c r="F1573" s="2" t="s">
        <v>27</v>
      </c>
      <c r="G1573" s="2" t="n">
        <v>1041.56</v>
      </c>
      <c r="H1573" s="2" t="n">
        <v>11.97</v>
      </c>
      <c r="I1573" s="2" t="s">
        <v>26</v>
      </c>
      <c r="J1573" s="2" t="s">
        <v>5092</v>
      </c>
      <c r="K1573" s="2" t="s">
        <v>122</v>
      </c>
      <c r="L1573" s="2"/>
      <c r="M1573" s="2" t="s">
        <v>1287</v>
      </c>
    </row>
    <row r="1574" customFormat="false" ht="15" hidden="false" customHeight="false" outlineLevel="0" collapsed="false">
      <c r="A1574" s="2" t="s">
        <v>5093</v>
      </c>
      <c r="B1574" s="2" t="s">
        <v>3826</v>
      </c>
      <c r="C1574" s="2" t="s">
        <v>3827</v>
      </c>
      <c r="D1574" s="13" t="n">
        <v>45912.3520833333</v>
      </c>
      <c r="E1574" s="2" t="s">
        <v>39</v>
      </c>
      <c r="F1574" s="2" t="s">
        <v>29</v>
      </c>
      <c r="G1574" s="2" t="n">
        <v>75146.3</v>
      </c>
      <c r="H1574" s="2" t="n">
        <v>168.15</v>
      </c>
      <c r="I1574" s="2" t="s">
        <v>30</v>
      </c>
      <c r="J1574" s="2" t="s">
        <v>5094</v>
      </c>
      <c r="K1574" s="2" t="s">
        <v>89</v>
      </c>
      <c r="L1574" s="2" t="s">
        <v>443</v>
      </c>
      <c r="M1574" s="2"/>
    </row>
    <row r="1575" customFormat="false" ht="15" hidden="false" customHeight="false" outlineLevel="0" collapsed="false">
      <c r="A1575" s="2" t="s">
        <v>5095</v>
      </c>
      <c r="B1575" s="2" t="s">
        <v>3026</v>
      </c>
      <c r="C1575" s="2" t="s">
        <v>3027</v>
      </c>
      <c r="D1575" s="13" t="n">
        <v>45331.3423611111</v>
      </c>
      <c r="E1575" s="2" t="s">
        <v>39</v>
      </c>
      <c r="F1575" s="2" t="s">
        <v>27</v>
      </c>
      <c r="G1575" s="2" t="n">
        <v>4827.92</v>
      </c>
      <c r="H1575" s="2" t="n">
        <v>24.59</v>
      </c>
      <c r="I1575" s="2" t="s">
        <v>26</v>
      </c>
      <c r="J1575" s="2" t="s">
        <v>5096</v>
      </c>
      <c r="K1575" s="2" t="s">
        <v>122</v>
      </c>
      <c r="L1575" s="2"/>
      <c r="M1575" s="2" t="s">
        <v>448</v>
      </c>
    </row>
    <row r="1576" customFormat="false" ht="15" hidden="false" customHeight="false" outlineLevel="0" collapsed="false">
      <c r="A1576" s="2" t="s">
        <v>5097</v>
      </c>
      <c r="B1576" s="2" t="s">
        <v>2851</v>
      </c>
      <c r="C1576" s="2" t="s">
        <v>2852</v>
      </c>
      <c r="D1576" s="13" t="n">
        <v>45459.4333333333</v>
      </c>
      <c r="E1576" s="2" t="s">
        <v>41</v>
      </c>
      <c r="F1576" s="2" t="s">
        <v>31</v>
      </c>
      <c r="G1576" s="2" t="n">
        <v>9081.58</v>
      </c>
      <c r="H1576" s="2" t="n">
        <v>86.72</v>
      </c>
      <c r="I1576" s="2" t="s">
        <v>30</v>
      </c>
      <c r="J1576" s="2" t="s">
        <v>5098</v>
      </c>
      <c r="K1576" s="2" t="s">
        <v>95</v>
      </c>
      <c r="L1576" s="2" t="s">
        <v>453</v>
      </c>
      <c r="M1576" s="2"/>
    </row>
    <row r="1577" customFormat="false" ht="15" hidden="false" customHeight="false" outlineLevel="0" collapsed="false">
      <c r="A1577" s="2" t="s">
        <v>5099</v>
      </c>
      <c r="B1577" s="2" t="s">
        <v>305</v>
      </c>
      <c r="C1577" s="2" t="s">
        <v>306</v>
      </c>
      <c r="D1577" s="13" t="n">
        <v>45678.4631944444</v>
      </c>
      <c r="E1577" s="2" t="s">
        <v>43</v>
      </c>
      <c r="F1577" s="2" t="s">
        <v>32</v>
      </c>
      <c r="G1577" s="2" t="n">
        <v>1536.52</v>
      </c>
      <c r="H1577" s="2" t="n">
        <v>16.38</v>
      </c>
      <c r="I1577" s="2" t="s">
        <v>26</v>
      </c>
      <c r="J1577" s="2" t="s">
        <v>5100</v>
      </c>
      <c r="K1577" s="2" t="s">
        <v>95</v>
      </c>
      <c r="L1577" s="2"/>
      <c r="M1577" s="2" t="s">
        <v>1304</v>
      </c>
    </row>
    <row r="1578" customFormat="false" ht="15" hidden="false" customHeight="false" outlineLevel="0" collapsed="false">
      <c r="A1578" s="2" t="s">
        <v>5101</v>
      </c>
      <c r="B1578" s="2" t="s">
        <v>5102</v>
      </c>
      <c r="C1578" s="2" t="s">
        <v>5103</v>
      </c>
      <c r="D1578" s="13" t="n">
        <v>45766.9076388889</v>
      </c>
      <c r="E1578" s="2" t="s">
        <v>35</v>
      </c>
      <c r="F1578" s="2" t="s">
        <v>29</v>
      </c>
      <c r="G1578" s="2" t="n">
        <v>2013.98</v>
      </c>
      <c r="H1578" s="2" t="n">
        <v>5.12</v>
      </c>
      <c r="I1578" s="2" t="s">
        <v>26</v>
      </c>
      <c r="J1578" s="2" t="s">
        <v>5104</v>
      </c>
      <c r="K1578" s="2" t="s">
        <v>122</v>
      </c>
      <c r="L1578" s="2" t="s">
        <v>1105</v>
      </c>
      <c r="M1578" s="2"/>
    </row>
    <row r="1579" customFormat="false" ht="15" hidden="false" customHeight="false" outlineLevel="0" collapsed="false">
      <c r="A1579" s="2" t="s">
        <v>5105</v>
      </c>
      <c r="B1579" s="2" t="s">
        <v>1723</v>
      </c>
      <c r="C1579" s="2" t="s">
        <v>1724</v>
      </c>
      <c r="D1579" s="13" t="n">
        <v>45462.4604166667</v>
      </c>
      <c r="E1579" s="2" t="s">
        <v>43</v>
      </c>
      <c r="F1579" s="2" t="s">
        <v>31</v>
      </c>
      <c r="G1579" s="2" t="n">
        <v>3289.41</v>
      </c>
      <c r="H1579" s="2" t="n">
        <v>29.37</v>
      </c>
      <c r="I1579" s="2" t="s">
        <v>26</v>
      </c>
      <c r="J1579" s="2" t="s">
        <v>5106</v>
      </c>
      <c r="K1579" s="2" t="s">
        <v>95</v>
      </c>
      <c r="L1579" s="2"/>
      <c r="M1579" s="2" t="s">
        <v>1677</v>
      </c>
    </row>
    <row r="1580" customFormat="false" ht="15" hidden="false" customHeight="false" outlineLevel="0" collapsed="false">
      <c r="A1580" s="2" t="s">
        <v>5107</v>
      </c>
      <c r="B1580" s="2" t="s">
        <v>2529</v>
      </c>
      <c r="C1580" s="2" t="s">
        <v>2530</v>
      </c>
      <c r="D1580" s="13" t="n">
        <v>45882.3729166667</v>
      </c>
      <c r="E1580" s="2" t="s">
        <v>43</v>
      </c>
      <c r="F1580" s="2" t="s">
        <v>29</v>
      </c>
      <c r="G1580" s="2" t="n">
        <v>2178.73</v>
      </c>
      <c r="H1580" s="2" t="n">
        <v>13.49</v>
      </c>
      <c r="I1580" s="2" t="s">
        <v>26</v>
      </c>
      <c r="J1580" s="2" t="s">
        <v>5108</v>
      </c>
      <c r="K1580" s="2" t="s">
        <v>101</v>
      </c>
      <c r="L1580" s="2"/>
      <c r="M1580" s="2" t="s">
        <v>906</v>
      </c>
    </row>
    <row r="1581" customFormat="false" ht="15" hidden="false" customHeight="false" outlineLevel="0" collapsed="false">
      <c r="A1581" s="2" t="s">
        <v>5109</v>
      </c>
      <c r="B1581" s="2" t="s">
        <v>2726</v>
      </c>
      <c r="C1581" s="2" t="s">
        <v>2727</v>
      </c>
      <c r="D1581" s="13" t="n">
        <v>45710.3291666667</v>
      </c>
      <c r="E1581" s="2" t="s">
        <v>37</v>
      </c>
      <c r="F1581" s="2" t="s">
        <v>29</v>
      </c>
      <c r="G1581" s="2" t="n">
        <v>7641.83</v>
      </c>
      <c r="H1581" s="2" t="n">
        <v>78.09</v>
      </c>
      <c r="I1581" s="2" t="s">
        <v>26</v>
      </c>
      <c r="J1581" s="2" t="s">
        <v>5110</v>
      </c>
      <c r="K1581" s="2" t="s">
        <v>95</v>
      </c>
      <c r="L1581" s="2" t="s">
        <v>478</v>
      </c>
      <c r="M1581" s="2"/>
    </row>
    <row r="1582" customFormat="false" ht="15" hidden="false" customHeight="false" outlineLevel="0" collapsed="false">
      <c r="A1582" s="2" t="s">
        <v>5111</v>
      </c>
      <c r="B1582" s="2" t="s">
        <v>200</v>
      </c>
      <c r="C1582" s="2" t="s">
        <v>201</v>
      </c>
      <c r="D1582" s="13" t="n">
        <v>45934.6652777778</v>
      </c>
      <c r="E1582" s="2" t="s">
        <v>41</v>
      </c>
      <c r="F1582" s="2" t="s">
        <v>27</v>
      </c>
      <c r="G1582" s="2" t="n">
        <v>9192.66</v>
      </c>
      <c r="H1582" s="2" t="n">
        <v>51.64</v>
      </c>
      <c r="I1582" s="2" t="s">
        <v>28</v>
      </c>
      <c r="J1582" s="2" t="s">
        <v>5112</v>
      </c>
      <c r="K1582" s="2" t="s">
        <v>122</v>
      </c>
      <c r="L1582" s="2"/>
      <c r="M1582" s="2" t="s">
        <v>2044</v>
      </c>
    </row>
    <row r="1583" customFormat="false" ht="15" hidden="false" customHeight="false" outlineLevel="0" collapsed="false">
      <c r="A1583" s="2" t="s">
        <v>5113</v>
      </c>
      <c r="B1583" s="2" t="s">
        <v>200</v>
      </c>
      <c r="C1583" s="2" t="s">
        <v>201</v>
      </c>
      <c r="D1583" s="13" t="n">
        <v>45548.9381944445</v>
      </c>
      <c r="E1583" s="2" t="s">
        <v>39</v>
      </c>
      <c r="F1583" s="2" t="s">
        <v>29</v>
      </c>
      <c r="G1583" s="2" t="n">
        <v>4796.22</v>
      </c>
      <c r="H1583" s="2" t="n">
        <v>10.27</v>
      </c>
      <c r="I1583" s="2" t="s">
        <v>26</v>
      </c>
      <c r="J1583" s="2" t="s">
        <v>5114</v>
      </c>
      <c r="K1583" s="2" t="s">
        <v>101</v>
      </c>
      <c r="L1583" s="2" t="s">
        <v>488</v>
      </c>
      <c r="M1583" s="2"/>
    </row>
    <row r="1584" customFormat="false" ht="15" hidden="false" customHeight="false" outlineLevel="0" collapsed="false">
      <c r="A1584" s="2" t="s">
        <v>5115</v>
      </c>
      <c r="B1584" s="2" t="s">
        <v>2015</v>
      </c>
      <c r="C1584" s="2" t="s">
        <v>2016</v>
      </c>
      <c r="D1584" s="13" t="n">
        <v>45771.9090277778</v>
      </c>
      <c r="E1584" s="2" t="s">
        <v>41</v>
      </c>
      <c r="F1584" s="2" t="s">
        <v>29</v>
      </c>
      <c r="G1584" s="2" t="n">
        <v>4276.28</v>
      </c>
      <c r="H1584" s="2" t="n">
        <v>49.33</v>
      </c>
      <c r="I1584" s="2" t="s">
        <v>26</v>
      </c>
      <c r="J1584" s="2" t="s">
        <v>5116</v>
      </c>
      <c r="K1584" s="2" t="s">
        <v>122</v>
      </c>
      <c r="L1584" s="2" t="s">
        <v>1122</v>
      </c>
      <c r="M1584" s="2"/>
    </row>
    <row r="1585" customFormat="false" ht="15" hidden="false" customHeight="false" outlineLevel="0" collapsed="false">
      <c r="A1585" s="2" t="s">
        <v>5117</v>
      </c>
      <c r="B1585" s="2" t="s">
        <v>1094</v>
      </c>
      <c r="C1585" s="2" t="s">
        <v>1095</v>
      </c>
      <c r="D1585" s="13" t="n">
        <v>45354.4805555556</v>
      </c>
      <c r="E1585" s="2" t="s">
        <v>39</v>
      </c>
      <c r="F1585" s="2" t="s">
        <v>27</v>
      </c>
      <c r="G1585" s="2" t="n">
        <v>7305.27</v>
      </c>
      <c r="H1585" s="2" t="n">
        <v>43.91</v>
      </c>
      <c r="I1585" s="2" t="s">
        <v>26</v>
      </c>
      <c r="J1585" s="2" t="s">
        <v>5118</v>
      </c>
      <c r="K1585" s="2" t="s">
        <v>89</v>
      </c>
      <c r="L1585" s="2"/>
      <c r="M1585" s="2" t="s">
        <v>498</v>
      </c>
    </row>
    <row r="1586" customFormat="false" ht="15" hidden="false" customHeight="false" outlineLevel="0" collapsed="false">
      <c r="A1586" s="2" t="s">
        <v>5119</v>
      </c>
      <c r="B1586" s="2" t="s">
        <v>5120</v>
      </c>
      <c r="C1586" s="2" t="s">
        <v>5121</v>
      </c>
      <c r="D1586" s="13" t="n">
        <v>45319.30625</v>
      </c>
      <c r="E1586" s="2" t="s">
        <v>37</v>
      </c>
      <c r="F1586" s="2" t="s">
        <v>31</v>
      </c>
      <c r="G1586" s="2" t="n">
        <v>1438.8</v>
      </c>
      <c r="H1586" s="2" t="n">
        <v>12.16</v>
      </c>
      <c r="I1586" s="2" t="s">
        <v>26</v>
      </c>
      <c r="J1586" s="2" t="s">
        <v>5122</v>
      </c>
      <c r="K1586" s="2" t="s">
        <v>122</v>
      </c>
      <c r="L1586" s="2" t="s">
        <v>503</v>
      </c>
      <c r="M1586" s="2"/>
    </row>
    <row r="1587" customFormat="false" ht="15" hidden="false" customHeight="false" outlineLevel="0" collapsed="false">
      <c r="A1587" s="2" t="s">
        <v>5123</v>
      </c>
      <c r="B1587" s="2" t="s">
        <v>1930</v>
      </c>
      <c r="C1587" s="2" t="s">
        <v>1931</v>
      </c>
      <c r="D1587" s="13" t="n">
        <v>45699.3263888889</v>
      </c>
      <c r="E1587" s="2" t="s">
        <v>37</v>
      </c>
      <c r="F1587" s="2" t="s">
        <v>27</v>
      </c>
      <c r="G1587" s="2" t="n">
        <v>770.43</v>
      </c>
      <c r="H1587" s="2" t="n">
        <v>8.97</v>
      </c>
      <c r="I1587" s="2" t="s">
        <v>26</v>
      </c>
      <c r="J1587" s="2" t="s">
        <v>5124</v>
      </c>
      <c r="K1587" s="2" t="s">
        <v>122</v>
      </c>
      <c r="L1587" s="2"/>
      <c r="M1587" s="2" t="s">
        <v>2706</v>
      </c>
    </row>
    <row r="1588" customFormat="false" ht="15" hidden="false" customHeight="false" outlineLevel="0" collapsed="false">
      <c r="A1588" s="2" t="s">
        <v>5125</v>
      </c>
      <c r="B1588" s="2" t="s">
        <v>5126</v>
      </c>
      <c r="C1588" s="2" t="s">
        <v>5127</v>
      </c>
      <c r="D1588" s="13" t="n">
        <v>45883.7777777778</v>
      </c>
      <c r="E1588" s="2" t="s">
        <v>39</v>
      </c>
      <c r="F1588" s="2" t="s">
        <v>32</v>
      </c>
      <c r="G1588" s="2" t="n">
        <v>991.37</v>
      </c>
      <c r="H1588" s="2" t="n">
        <v>7.17</v>
      </c>
      <c r="I1588" s="2" t="s">
        <v>26</v>
      </c>
      <c r="J1588" s="2" t="s">
        <v>5128</v>
      </c>
      <c r="K1588" s="2" t="s">
        <v>95</v>
      </c>
      <c r="L1588" s="2" t="s">
        <v>1139</v>
      </c>
      <c r="M1588" s="2"/>
    </row>
    <row r="1589" customFormat="false" ht="15" hidden="false" customHeight="false" outlineLevel="0" collapsed="false">
      <c r="A1589" s="2" t="s">
        <v>5129</v>
      </c>
      <c r="B1589" s="2" t="s">
        <v>3172</v>
      </c>
      <c r="C1589" s="2" t="s">
        <v>3173</v>
      </c>
      <c r="D1589" s="13" t="n">
        <v>45993.7604166667</v>
      </c>
      <c r="E1589" s="2" t="s">
        <v>39</v>
      </c>
      <c r="F1589" s="2" t="s">
        <v>31</v>
      </c>
      <c r="G1589" s="2" t="n">
        <v>350.07</v>
      </c>
      <c r="H1589" s="2" t="n">
        <v>5</v>
      </c>
      <c r="I1589" s="2" t="s">
        <v>28</v>
      </c>
      <c r="J1589" s="2" t="s">
        <v>5130</v>
      </c>
      <c r="K1589" s="2" t="s">
        <v>101</v>
      </c>
      <c r="L1589" s="2" t="s">
        <v>518</v>
      </c>
      <c r="M1589" s="2"/>
    </row>
    <row r="1590" customFormat="false" ht="15" hidden="false" customHeight="false" outlineLevel="0" collapsed="false">
      <c r="A1590" s="2" t="s">
        <v>5131</v>
      </c>
      <c r="B1590" s="2" t="s">
        <v>5132</v>
      </c>
      <c r="C1590" s="2" t="s">
        <v>5133</v>
      </c>
      <c r="D1590" s="13" t="n">
        <v>45312.875</v>
      </c>
      <c r="E1590" s="2" t="s">
        <v>39</v>
      </c>
      <c r="F1590" s="2" t="s">
        <v>29</v>
      </c>
      <c r="G1590" s="2" t="n">
        <v>7636.37</v>
      </c>
      <c r="H1590" s="2" t="n">
        <v>81.88</v>
      </c>
      <c r="I1590" s="2" t="s">
        <v>26</v>
      </c>
      <c r="J1590" s="2" t="s">
        <v>5134</v>
      </c>
      <c r="K1590" s="2" t="s">
        <v>89</v>
      </c>
      <c r="L1590" s="2" t="s">
        <v>523</v>
      </c>
      <c r="M1590" s="2"/>
    </row>
    <row r="1591" customFormat="false" ht="15" hidden="false" customHeight="false" outlineLevel="0" collapsed="false">
      <c r="A1591" s="2" t="s">
        <v>5135</v>
      </c>
      <c r="B1591" s="2" t="s">
        <v>1466</v>
      </c>
      <c r="C1591" s="2" t="s">
        <v>1467</v>
      </c>
      <c r="D1591" s="13" t="n">
        <v>45770.4486111111</v>
      </c>
      <c r="E1591" s="2" t="s">
        <v>35</v>
      </c>
      <c r="F1591" s="2" t="s">
        <v>32</v>
      </c>
      <c r="G1591" s="2" t="n">
        <v>17276.04</v>
      </c>
      <c r="H1591" s="2" t="n">
        <v>83.83</v>
      </c>
      <c r="I1591" s="2" t="s">
        <v>26</v>
      </c>
      <c r="J1591" s="2" t="s">
        <v>5136</v>
      </c>
      <c r="K1591" s="2" t="s">
        <v>122</v>
      </c>
      <c r="L1591" s="2" t="s">
        <v>1152</v>
      </c>
      <c r="M1591" s="2"/>
    </row>
    <row r="1592" customFormat="false" ht="15" hidden="false" customHeight="false" outlineLevel="0" collapsed="false">
      <c r="A1592" s="2" t="s">
        <v>5137</v>
      </c>
      <c r="B1592" s="2" t="s">
        <v>2625</v>
      </c>
      <c r="C1592" s="2" t="s">
        <v>2626</v>
      </c>
      <c r="D1592" s="13" t="n">
        <v>45853.7819444445</v>
      </c>
      <c r="E1592" s="2" t="s">
        <v>35</v>
      </c>
      <c r="F1592" s="2" t="s">
        <v>27</v>
      </c>
      <c r="G1592" s="2" t="n">
        <v>3433.89</v>
      </c>
      <c r="H1592" s="2" t="n">
        <v>30.88</v>
      </c>
      <c r="I1592" s="2" t="s">
        <v>26</v>
      </c>
      <c r="J1592" s="2" t="s">
        <v>5138</v>
      </c>
      <c r="K1592" s="2" t="s">
        <v>89</v>
      </c>
      <c r="L1592" s="2"/>
      <c r="M1592" s="2" t="s">
        <v>531</v>
      </c>
    </row>
    <row r="1593" customFormat="false" ht="15" hidden="false" customHeight="false" outlineLevel="0" collapsed="false">
      <c r="A1593" s="2" t="s">
        <v>5139</v>
      </c>
      <c r="B1593" s="2" t="s">
        <v>2599</v>
      </c>
      <c r="C1593" s="2" t="s">
        <v>2600</v>
      </c>
      <c r="D1593" s="13" t="n">
        <v>45360.3763888889</v>
      </c>
      <c r="E1593" s="2" t="s">
        <v>37</v>
      </c>
      <c r="F1593" s="2" t="s">
        <v>31</v>
      </c>
      <c r="G1593" s="2" t="n">
        <v>22106.61</v>
      </c>
      <c r="H1593" s="2" t="n">
        <v>44.32</v>
      </c>
      <c r="I1593" s="2" t="s">
        <v>26</v>
      </c>
      <c r="J1593" s="2" t="s">
        <v>5140</v>
      </c>
      <c r="K1593" s="2" t="s">
        <v>122</v>
      </c>
      <c r="L1593" s="2" t="s">
        <v>1160</v>
      </c>
      <c r="M1593" s="2"/>
    </row>
    <row r="1594" customFormat="false" ht="15" hidden="false" customHeight="false" outlineLevel="0" collapsed="false">
      <c r="A1594" s="2" t="s">
        <v>5141</v>
      </c>
      <c r="B1594" s="2" t="s">
        <v>340</v>
      </c>
      <c r="C1594" s="2" t="s">
        <v>341</v>
      </c>
      <c r="D1594" s="13" t="n">
        <v>45662.3236111111</v>
      </c>
      <c r="E1594" s="2" t="s">
        <v>35</v>
      </c>
      <c r="F1594" s="2" t="s">
        <v>27</v>
      </c>
      <c r="G1594" s="2" t="n">
        <v>1662.82</v>
      </c>
      <c r="H1594" s="2" t="n">
        <v>5.8</v>
      </c>
      <c r="I1594" s="2" t="s">
        <v>26</v>
      </c>
      <c r="J1594" s="2" t="s">
        <v>5142</v>
      </c>
      <c r="K1594" s="2" t="s">
        <v>95</v>
      </c>
      <c r="L1594" s="2"/>
      <c r="M1594" s="2" t="s">
        <v>1371</v>
      </c>
    </row>
    <row r="1595" customFormat="false" ht="15" hidden="false" customHeight="false" outlineLevel="0" collapsed="false">
      <c r="A1595" s="2" t="s">
        <v>5143</v>
      </c>
      <c r="B1595" s="2" t="s">
        <v>1592</v>
      </c>
      <c r="C1595" s="2" t="s">
        <v>1593</v>
      </c>
      <c r="D1595" s="13" t="n">
        <v>45991.5013888889</v>
      </c>
      <c r="E1595" s="2" t="s">
        <v>37</v>
      </c>
      <c r="F1595" s="2" t="s">
        <v>29</v>
      </c>
      <c r="G1595" s="2" t="n">
        <v>2376.23</v>
      </c>
      <c r="H1595" s="2" t="n">
        <v>23.54</v>
      </c>
      <c r="I1595" s="2" t="s">
        <v>30</v>
      </c>
      <c r="J1595" s="2" t="s">
        <v>5144</v>
      </c>
      <c r="K1595" s="2" t="s">
        <v>122</v>
      </c>
      <c r="L1595" s="2" t="s">
        <v>1169</v>
      </c>
      <c r="M1595" s="2"/>
    </row>
    <row r="1596" customFormat="false" ht="15" hidden="false" customHeight="false" outlineLevel="0" collapsed="false">
      <c r="A1596" s="2" t="s">
        <v>5145</v>
      </c>
      <c r="B1596" s="2" t="s">
        <v>3974</v>
      </c>
      <c r="C1596" s="2" t="s">
        <v>3975</v>
      </c>
      <c r="D1596" s="13" t="n">
        <v>46001.7361111111</v>
      </c>
      <c r="E1596" s="2" t="s">
        <v>37</v>
      </c>
      <c r="F1596" s="2" t="s">
        <v>29</v>
      </c>
      <c r="G1596" s="2" t="n">
        <v>1267.47</v>
      </c>
      <c r="H1596" s="2" t="n">
        <v>6.61</v>
      </c>
      <c r="I1596" s="2" t="s">
        <v>26</v>
      </c>
      <c r="J1596" s="2" t="s">
        <v>5146</v>
      </c>
      <c r="K1596" s="2" t="s">
        <v>95</v>
      </c>
      <c r="L1596" s="2" t="s">
        <v>2735</v>
      </c>
      <c r="M1596" s="2"/>
    </row>
    <row r="1597" customFormat="false" ht="15" hidden="false" customHeight="false" outlineLevel="0" collapsed="false">
      <c r="A1597" s="2" t="s">
        <v>5147</v>
      </c>
      <c r="B1597" s="2" t="s">
        <v>1756</v>
      </c>
      <c r="C1597" s="2" t="s">
        <v>1757</v>
      </c>
      <c r="D1597" s="13" t="n">
        <v>45446.8208333333</v>
      </c>
      <c r="E1597" s="2" t="s">
        <v>41</v>
      </c>
      <c r="F1597" s="2" t="s">
        <v>31</v>
      </c>
      <c r="G1597" s="2" t="n">
        <v>8911.92</v>
      </c>
      <c r="H1597" s="2" t="n">
        <v>83.95</v>
      </c>
      <c r="I1597" s="2" t="s">
        <v>26</v>
      </c>
      <c r="J1597" s="2" t="s">
        <v>5148</v>
      </c>
      <c r="K1597" s="2" t="s">
        <v>89</v>
      </c>
      <c r="L1597" s="2" t="s">
        <v>556</v>
      </c>
      <c r="M1597" s="2"/>
    </row>
    <row r="1598" customFormat="false" ht="15" hidden="false" customHeight="false" outlineLevel="0" collapsed="false">
      <c r="A1598" s="2" t="s">
        <v>5149</v>
      </c>
      <c r="B1598" s="2" t="s">
        <v>1102</v>
      </c>
      <c r="C1598" s="2" t="s">
        <v>1103</v>
      </c>
      <c r="D1598" s="13" t="n">
        <v>45583.4319444444</v>
      </c>
      <c r="E1598" s="2" t="s">
        <v>35</v>
      </c>
      <c r="F1598" s="2" t="s">
        <v>31</v>
      </c>
      <c r="G1598" s="2" t="n">
        <v>7374.78</v>
      </c>
      <c r="H1598" s="2" t="n">
        <v>36.26</v>
      </c>
      <c r="I1598" s="2" t="s">
        <v>26</v>
      </c>
      <c r="J1598" s="2" t="s">
        <v>5150</v>
      </c>
      <c r="K1598" s="2" t="s">
        <v>95</v>
      </c>
      <c r="L1598" s="2" t="s">
        <v>1183</v>
      </c>
      <c r="M1598" s="2"/>
    </row>
    <row r="1599" customFormat="false" ht="15" hidden="false" customHeight="false" outlineLevel="0" collapsed="false">
      <c r="A1599" s="2" t="s">
        <v>5151</v>
      </c>
      <c r="B1599" s="2" t="s">
        <v>5152</v>
      </c>
      <c r="C1599" s="2" t="s">
        <v>5153</v>
      </c>
      <c r="D1599" s="13" t="n">
        <v>45919.6215277778</v>
      </c>
      <c r="E1599" s="2" t="s">
        <v>43</v>
      </c>
      <c r="F1599" s="2" t="s">
        <v>27</v>
      </c>
      <c r="G1599" s="2" t="n">
        <v>3407.38</v>
      </c>
      <c r="H1599" s="2" t="n">
        <v>32.42</v>
      </c>
      <c r="I1599" s="2" t="s">
        <v>26</v>
      </c>
      <c r="J1599" s="2" t="s">
        <v>5154</v>
      </c>
      <c r="K1599" s="2" t="s">
        <v>89</v>
      </c>
      <c r="L1599" s="2"/>
      <c r="M1599" s="2" t="s">
        <v>2097</v>
      </c>
    </row>
    <row r="1600" customFormat="false" ht="15" hidden="false" customHeight="false" outlineLevel="0" collapsed="false">
      <c r="A1600" s="2" t="s">
        <v>5155</v>
      </c>
      <c r="B1600" s="2" t="s">
        <v>4104</v>
      </c>
      <c r="C1600" s="2" t="s">
        <v>4105</v>
      </c>
      <c r="D1600" s="13" t="n">
        <v>45984.8256944444</v>
      </c>
      <c r="E1600" s="2" t="s">
        <v>37</v>
      </c>
      <c r="F1600" s="2" t="s">
        <v>29</v>
      </c>
      <c r="G1600" s="2" t="n">
        <v>2181.14</v>
      </c>
      <c r="H1600" s="2" t="n">
        <v>6.29</v>
      </c>
      <c r="I1600" s="2" t="s">
        <v>28</v>
      </c>
      <c r="J1600" s="2" t="s">
        <v>5156</v>
      </c>
      <c r="K1600" s="2" t="s">
        <v>89</v>
      </c>
      <c r="L1600" s="2" t="s">
        <v>1190</v>
      </c>
      <c r="M1600" s="2"/>
    </row>
    <row r="1601" customFormat="false" ht="15" hidden="false" customHeight="false" outlineLevel="0" collapsed="false">
      <c r="A1601" s="2" t="s">
        <v>5157</v>
      </c>
      <c r="B1601" s="2" t="s">
        <v>3738</v>
      </c>
      <c r="C1601" s="2" t="s">
        <v>3739</v>
      </c>
      <c r="D1601" s="13" t="n">
        <v>45663.69375</v>
      </c>
      <c r="E1601" s="2" t="s">
        <v>35</v>
      </c>
      <c r="F1601" s="2" t="s">
        <v>31</v>
      </c>
      <c r="G1601" s="2" t="n">
        <v>8891.46</v>
      </c>
      <c r="H1601" s="2" t="n">
        <v>24.79</v>
      </c>
      <c r="I1601" s="2" t="s">
        <v>28</v>
      </c>
      <c r="J1601" s="2" t="s">
        <v>5158</v>
      </c>
      <c r="K1601" s="2" t="s">
        <v>89</v>
      </c>
      <c r="L1601" s="2" t="s">
        <v>1759</v>
      </c>
      <c r="M1601" s="2"/>
    </row>
    <row r="1602" customFormat="false" ht="15" hidden="false" customHeight="false" outlineLevel="0" collapsed="false">
      <c r="A1602" s="2" t="s">
        <v>5159</v>
      </c>
      <c r="B1602" s="2" t="s">
        <v>952</v>
      </c>
      <c r="C1602" s="2" t="s">
        <v>953</v>
      </c>
      <c r="D1602" s="13" t="n">
        <v>45637.7986111111</v>
      </c>
      <c r="E1602" s="2" t="s">
        <v>35</v>
      </c>
      <c r="F1602" s="2" t="s">
        <v>29</v>
      </c>
      <c r="G1602" s="2" t="n">
        <v>2725.94</v>
      </c>
      <c r="H1602" s="2" t="n">
        <v>15.14</v>
      </c>
      <c r="I1602" s="2" t="s">
        <v>26</v>
      </c>
      <c r="J1602" s="2" t="s">
        <v>5160</v>
      </c>
      <c r="K1602" s="2" t="s">
        <v>89</v>
      </c>
      <c r="L1602" s="2" t="s">
        <v>1199</v>
      </c>
      <c r="M1602" s="2"/>
    </row>
    <row r="1603" customFormat="false" ht="15" hidden="false" customHeight="false" outlineLevel="0" collapsed="false">
      <c r="A1603" s="2" t="s">
        <v>5161</v>
      </c>
      <c r="B1603" s="2" t="s">
        <v>2964</v>
      </c>
      <c r="C1603" s="2" t="s">
        <v>2965</v>
      </c>
      <c r="D1603" s="13" t="n">
        <v>45924.8423611111</v>
      </c>
      <c r="E1603" s="2" t="s">
        <v>41</v>
      </c>
      <c r="F1603" s="2" t="s">
        <v>27</v>
      </c>
      <c r="G1603" s="2" t="n">
        <v>1686.64</v>
      </c>
      <c r="H1603" s="2" t="n">
        <v>7.48</v>
      </c>
      <c r="I1603" s="2" t="s">
        <v>30</v>
      </c>
      <c r="J1603" s="2" t="s">
        <v>5162</v>
      </c>
      <c r="K1603" s="2" t="s">
        <v>89</v>
      </c>
      <c r="L1603" s="2"/>
      <c r="M1603" s="2" t="s">
        <v>1007</v>
      </c>
    </row>
    <row r="1604" customFormat="false" ht="15" hidden="false" customHeight="false" outlineLevel="0" collapsed="false">
      <c r="A1604" s="2" t="s">
        <v>5163</v>
      </c>
      <c r="B1604" s="2" t="s">
        <v>1698</v>
      </c>
      <c r="C1604" s="2" t="s">
        <v>1699</v>
      </c>
      <c r="D1604" s="13" t="n">
        <v>45411.4055555556</v>
      </c>
      <c r="E1604" s="2" t="s">
        <v>43</v>
      </c>
      <c r="F1604" s="2" t="s">
        <v>29</v>
      </c>
      <c r="G1604" s="2" t="n">
        <v>4701.32</v>
      </c>
      <c r="H1604" s="2" t="n">
        <v>49.91</v>
      </c>
      <c r="I1604" s="2" t="s">
        <v>26</v>
      </c>
      <c r="J1604" s="2" t="s">
        <v>5164</v>
      </c>
      <c r="K1604" s="2" t="s">
        <v>122</v>
      </c>
      <c r="L1604" s="2"/>
      <c r="M1604" s="2" t="s">
        <v>2435</v>
      </c>
    </row>
    <row r="1605" customFormat="false" ht="15" hidden="false" customHeight="false" outlineLevel="0" collapsed="false">
      <c r="A1605" s="2" t="s">
        <v>5165</v>
      </c>
      <c r="B1605" s="2" t="s">
        <v>2994</v>
      </c>
      <c r="C1605" s="2" t="s">
        <v>2995</v>
      </c>
      <c r="D1605" s="13" t="n">
        <v>45815.7347222222</v>
      </c>
      <c r="E1605" s="2" t="s">
        <v>43</v>
      </c>
      <c r="F1605" s="2" t="s">
        <v>27</v>
      </c>
      <c r="G1605" s="2" t="n">
        <v>2273.24</v>
      </c>
      <c r="H1605" s="2" t="n">
        <v>10.07</v>
      </c>
      <c r="I1605" s="2" t="s">
        <v>26</v>
      </c>
      <c r="J1605" s="2" t="s">
        <v>5166</v>
      </c>
      <c r="K1605" s="2" t="s">
        <v>95</v>
      </c>
      <c r="L1605" s="2"/>
      <c r="M1605" s="2" t="s">
        <v>594</v>
      </c>
    </row>
    <row r="1606" customFormat="false" ht="15" hidden="false" customHeight="false" outlineLevel="0" collapsed="false">
      <c r="A1606" s="2" t="s">
        <v>5167</v>
      </c>
      <c r="B1606" s="2" t="s">
        <v>2547</v>
      </c>
      <c r="C1606" s="2" t="s">
        <v>2548</v>
      </c>
      <c r="D1606" s="13" t="n">
        <v>45966.9069444445</v>
      </c>
      <c r="E1606" s="2" t="s">
        <v>43</v>
      </c>
      <c r="F1606" s="2" t="s">
        <v>31</v>
      </c>
      <c r="G1606" s="2" t="n">
        <v>10460.48</v>
      </c>
      <c r="H1606" s="2" t="n">
        <v>93.43</v>
      </c>
      <c r="I1606" s="2" t="s">
        <v>26</v>
      </c>
      <c r="J1606" s="2" t="s">
        <v>5168</v>
      </c>
      <c r="K1606" s="2" t="s">
        <v>95</v>
      </c>
      <c r="L1606" s="2"/>
      <c r="M1606" s="2" t="s">
        <v>112</v>
      </c>
    </row>
    <row r="1607" customFormat="false" ht="15" hidden="false" customHeight="false" outlineLevel="0" collapsed="false">
      <c r="A1607" s="2" t="s">
        <v>5169</v>
      </c>
      <c r="B1607" s="2" t="s">
        <v>5170</v>
      </c>
      <c r="C1607" s="2" t="s">
        <v>5171</v>
      </c>
      <c r="D1607" s="13" t="n">
        <v>45964.8444444445</v>
      </c>
      <c r="E1607" s="2" t="s">
        <v>41</v>
      </c>
      <c r="F1607" s="2" t="s">
        <v>31</v>
      </c>
      <c r="G1607" s="2" t="n">
        <v>860.31</v>
      </c>
      <c r="H1607" s="2" t="n">
        <v>9.88</v>
      </c>
      <c r="I1607" s="2" t="s">
        <v>26</v>
      </c>
      <c r="J1607" s="2" t="s">
        <v>5172</v>
      </c>
      <c r="K1607" s="2" t="s">
        <v>101</v>
      </c>
      <c r="L1607" s="2" t="s">
        <v>604</v>
      </c>
      <c r="M1607" s="2"/>
    </row>
    <row r="1608" customFormat="false" ht="15" hidden="false" customHeight="false" outlineLevel="0" collapsed="false">
      <c r="A1608" s="2" t="s">
        <v>5173</v>
      </c>
      <c r="B1608" s="2" t="s">
        <v>5174</v>
      </c>
      <c r="C1608" s="2" t="s">
        <v>5175</v>
      </c>
      <c r="D1608" s="13" t="n">
        <v>45851.5361111111</v>
      </c>
      <c r="E1608" s="2" t="s">
        <v>43</v>
      </c>
      <c r="F1608" s="2" t="s">
        <v>31</v>
      </c>
      <c r="G1608" s="2" t="n">
        <v>10726.3</v>
      </c>
      <c r="H1608" s="2" t="n">
        <v>120.91</v>
      </c>
      <c r="I1608" s="2" t="s">
        <v>30</v>
      </c>
      <c r="J1608" s="2" t="s">
        <v>5176</v>
      </c>
      <c r="K1608" s="2" t="s">
        <v>95</v>
      </c>
      <c r="L1608" s="2"/>
      <c r="M1608" s="2" t="s">
        <v>1023</v>
      </c>
    </row>
    <row r="1609" customFormat="false" ht="15" hidden="false" customHeight="false" outlineLevel="0" collapsed="false">
      <c r="A1609" s="2" t="s">
        <v>5177</v>
      </c>
      <c r="B1609" s="2" t="s">
        <v>5178</v>
      </c>
      <c r="C1609" s="2" t="s">
        <v>5179</v>
      </c>
      <c r="D1609" s="13" t="n">
        <v>45357.6875</v>
      </c>
      <c r="E1609" s="2" t="s">
        <v>39</v>
      </c>
      <c r="F1609" s="2" t="s">
        <v>29</v>
      </c>
      <c r="G1609" s="2" t="n">
        <v>6941.63</v>
      </c>
      <c r="H1609" s="2" t="n">
        <v>35.06</v>
      </c>
      <c r="I1609" s="2" t="s">
        <v>26</v>
      </c>
      <c r="J1609" s="2" t="s">
        <v>5180</v>
      </c>
      <c r="K1609" s="2" t="s">
        <v>95</v>
      </c>
      <c r="L1609" s="2" t="s">
        <v>612</v>
      </c>
      <c r="M1609" s="2"/>
    </row>
    <row r="1610" customFormat="false" ht="15" hidden="false" customHeight="false" outlineLevel="0" collapsed="false">
      <c r="A1610" s="2" t="s">
        <v>5181</v>
      </c>
      <c r="B1610" s="2" t="s">
        <v>5182</v>
      </c>
      <c r="C1610" s="2" t="s">
        <v>5183</v>
      </c>
      <c r="D1610" s="13" t="n">
        <v>45758.4375</v>
      </c>
      <c r="E1610" s="2" t="s">
        <v>43</v>
      </c>
      <c r="F1610" s="2" t="s">
        <v>31</v>
      </c>
      <c r="G1610" s="2" t="n">
        <v>3221.93</v>
      </c>
      <c r="H1610" s="2" t="n">
        <v>22.52</v>
      </c>
      <c r="I1610" s="2" t="s">
        <v>26</v>
      </c>
      <c r="J1610" s="2" t="s">
        <v>5184</v>
      </c>
      <c r="K1610" s="2" t="s">
        <v>101</v>
      </c>
      <c r="L1610" s="2"/>
      <c r="M1610" s="2" t="s">
        <v>617</v>
      </c>
    </row>
    <row r="1611" customFormat="false" ht="15" hidden="false" customHeight="false" outlineLevel="0" collapsed="false">
      <c r="A1611" s="2" t="s">
        <v>5185</v>
      </c>
      <c r="B1611" s="2" t="s">
        <v>3738</v>
      </c>
      <c r="C1611" s="2" t="s">
        <v>3739</v>
      </c>
      <c r="D1611" s="13" t="n">
        <v>45439.51875</v>
      </c>
      <c r="E1611" s="2" t="s">
        <v>43</v>
      </c>
      <c r="F1611" s="2" t="s">
        <v>27</v>
      </c>
      <c r="G1611" s="2" t="n">
        <v>798.38</v>
      </c>
      <c r="H1611" s="2" t="n">
        <v>5.01</v>
      </c>
      <c r="I1611" s="2" t="s">
        <v>28</v>
      </c>
      <c r="J1611" s="2" t="s">
        <v>5186</v>
      </c>
      <c r="K1611" s="2" t="s">
        <v>122</v>
      </c>
      <c r="L1611" s="2"/>
      <c r="M1611" s="2" t="s">
        <v>1795</v>
      </c>
    </row>
    <row r="1612" customFormat="false" ht="15" hidden="false" customHeight="false" outlineLevel="0" collapsed="false">
      <c r="A1612" s="2" t="s">
        <v>5187</v>
      </c>
      <c r="B1612" s="2" t="s">
        <v>2942</v>
      </c>
      <c r="C1612" s="2" t="s">
        <v>2943</v>
      </c>
      <c r="D1612" s="13" t="n">
        <v>45773.7208333333</v>
      </c>
      <c r="E1612" s="2" t="s">
        <v>35</v>
      </c>
      <c r="F1612" s="2" t="s">
        <v>31</v>
      </c>
      <c r="G1612" s="2" t="n">
        <v>1846.73</v>
      </c>
      <c r="H1612" s="2" t="n">
        <v>20.01</v>
      </c>
      <c r="I1612" s="2" t="s">
        <v>26</v>
      </c>
      <c r="J1612" s="2" t="s">
        <v>5188</v>
      </c>
      <c r="K1612" s="2" t="s">
        <v>101</v>
      </c>
      <c r="L1612" s="2" t="s">
        <v>1241</v>
      </c>
      <c r="M1612" s="2"/>
    </row>
    <row r="1613" customFormat="false" ht="15" hidden="false" customHeight="false" outlineLevel="0" collapsed="false">
      <c r="A1613" s="2" t="s">
        <v>5189</v>
      </c>
      <c r="B1613" s="2" t="s">
        <v>109</v>
      </c>
      <c r="C1613" s="2" t="s">
        <v>110</v>
      </c>
      <c r="D1613" s="13" t="n">
        <v>45410.4902777778</v>
      </c>
      <c r="E1613" s="2" t="s">
        <v>39</v>
      </c>
      <c r="F1613" s="2" t="s">
        <v>29</v>
      </c>
      <c r="G1613" s="2" t="n">
        <v>16661.06</v>
      </c>
      <c r="H1613" s="2" t="n">
        <v>181.69</v>
      </c>
      <c r="I1613" s="2" t="s">
        <v>28</v>
      </c>
      <c r="J1613" s="2" t="s">
        <v>5190</v>
      </c>
      <c r="K1613" s="2" t="s">
        <v>122</v>
      </c>
      <c r="L1613" s="2" t="s">
        <v>632</v>
      </c>
      <c r="M1613" s="2"/>
    </row>
    <row r="1614" customFormat="false" ht="15" hidden="false" customHeight="false" outlineLevel="0" collapsed="false">
      <c r="A1614" s="2" t="s">
        <v>5191</v>
      </c>
      <c r="B1614" s="2" t="s">
        <v>1660</v>
      </c>
      <c r="C1614" s="2" t="s">
        <v>1661</v>
      </c>
      <c r="D1614" s="13" t="n">
        <v>46004.8895833333</v>
      </c>
      <c r="E1614" s="2" t="s">
        <v>41</v>
      </c>
      <c r="F1614" s="2" t="s">
        <v>29</v>
      </c>
      <c r="G1614" s="2" t="n">
        <v>5429.74</v>
      </c>
      <c r="H1614" s="2" t="n">
        <v>48.78</v>
      </c>
      <c r="I1614" s="2" t="s">
        <v>26</v>
      </c>
      <c r="J1614" s="2" t="s">
        <v>5192</v>
      </c>
      <c r="K1614" s="2" t="s">
        <v>95</v>
      </c>
      <c r="L1614" s="2" t="s">
        <v>637</v>
      </c>
      <c r="M1614" s="2"/>
    </row>
    <row r="1615" customFormat="false" ht="15" hidden="false" customHeight="false" outlineLevel="0" collapsed="false">
      <c r="A1615" s="2" t="s">
        <v>5193</v>
      </c>
      <c r="B1615" s="2" t="s">
        <v>5194</v>
      </c>
      <c r="C1615" s="2" t="s">
        <v>5195</v>
      </c>
      <c r="D1615" s="13" t="n">
        <v>45909.2965277778</v>
      </c>
      <c r="E1615" s="2" t="s">
        <v>35</v>
      </c>
      <c r="F1615" s="2" t="s">
        <v>29</v>
      </c>
      <c r="G1615" s="2" t="n">
        <v>1763.47</v>
      </c>
      <c r="H1615" s="2" t="n">
        <v>20.76</v>
      </c>
      <c r="I1615" s="2" t="s">
        <v>26</v>
      </c>
      <c r="J1615" s="2" t="s">
        <v>5196</v>
      </c>
      <c r="K1615" s="2" t="s">
        <v>95</v>
      </c>
      <c r="L1615" s="2" t="s">
        <v>640</v>
      </c>
      <c r="M1615" s="2"/>
    </row>
    <row r="1616" customFormat="false" ht="15" hidden="false" customHeight="false" outlineLevel="0" collapsed="false">
      <c r="A1616" s="2" t="s">
        <v>5197</v>
      </c>
      <c r="B1616" s="2" t="s">
        <v>1834</v>
      </c>
      <c r="C1616" s="2" t="s">
        <v>1835</v>
      </c>
      <c r="D1616" s="13" t="n">
        <v>45977.7680555556</v>
      </c>
      <c r="E1616" s="2" t="s">
        <v>41</v>
      </c>
      <c r="F1616" s="2" t="s">
        <v>32</v>
      </c>
      <c r="G1616" s="2" t="n">
        <v>16287.71</v>
      </c>
      <c r="H1616" s="2" t="n">
        <v>163.42</v>
      </c>
      <c r="I1616" s="2" t="s">
        <v>30</v>
      </c>
      <c r="J1616" s="2" t="s">
        <v>5198</v>
      </c>
      <c r="K1616" s="2" t="s">
        <v>95</v>
      </c>
      <c r="L1616" s="2" t="s">
        <v>645</v>
      </c>
      <c r="M1616" s="2"/>
    </row>
    <row r="1617" customFormat="false" ht="15" hidden="false" customHeight="false" outlineLevel="0" collapsed="false">
      <c r="A1617" s="2" t="s">
        <v>5199</v>
      </c>
      <c r="B1617" s="2" t="s">
        <v>4684</v>
      </c>
      <c r="C1617" s="2" t="s">
        <v>4685</v>
      </c>
      <c r="D1617" s="13" t="n">
        <v>45355.8756944445</v>
      </c>
      <c r="E1617" s="2" t="s">
        <v>39</v>
      </c>
      <c r="F1617" s="2" t="s">
        <v>29</v>
      </c>
      <c r="G1617" s="2" t="n">
        <v>6037.77</v>
      </c>
      <c r="H1617" s="2" t="n">
        <v>27.31</v>
      </c>
      <c r="I1617" s="2" t="s">
        <v>26</v>
      </c>
      <c r="J1617" s="2" t="s">
        <v>5200</v>
      </c>
      <c r="K1617" s="2" t="s">
        <v>89</v>
      </c>
      <c r="L1617" s="2" t="s">
        <v>648</v>
      </c>
      <c r="M1617" s="2"/>
    </row>
    <row r="1618" customFormat="false" ht="15" hidden="false" customHeight="false" outlineLevel="0" collapsed="false">
      <c r="A1618" s="2" t="s">
        <v>5201</v>
      </c>
      <c r="B1618" s="2" t="s">
        <v>5202</v>
      </c>
      <c r="C1618" s="2" t="s">
        <v>5203</v>
      </c>
      <c r="D1618" s="13" t="n">
        <v>45327.4895833333</v>
      </c>
      <c r="E1618" s="2" t="s">
        <v>41</v>
      </c>
      <c r="F1618" s="2" t="s">
        <v>31</v>
      </c>
      <c r="G1618" s="2" t="n">
        <v>706.5</v>
      </c>
      <c r="H1618" s="2" t="n">
        <v>5</v>
      </c>
      <c r="I1618" s="2" t="s">
        <v>26</v>
      </c>
      <c r="J1618" s="2" t="s">
        <v>5204</v>
      </c>
      <c r="K1618" s="2" t="s">
        <v>122</v>
      </c>
      <c r="L1618" s="2" t="s">
        <v>1262</v>
      </c>
      <c r="M1618" s="2"/>
    </row>
    <row r="1619" customFormat="false" ht="15" hidden="false" customHeight="false" outlineLevel="0" collapsed="false">
      <c r="A1619" s="2" t="s">
        <v>5205</v>
      </c>
      <c r="B1619" s="2" t="s">
        <v>673</v>
      </c>
      <c r="C1619" s="2" t="s">
        <v>674</v>
      </c>
      <c r="D1619" s="13" t="n">
        <v>45983.5354166667</v>
      </c>
      <c r="E1619" s="2" t="s">
        <v>37</v>
      </c>
      <c r="F1619" s="2" t="s">
        <v>31</v>
      </c>
      <c r="G1619" s="2" t="n">
        <v>26633.14</v>
      </c>
      <c r="H1619" s="2" t="n">
        <v>253.14</v>
      </c>
      <c r="I1619" s="2" t="s">
        <v>28</v>
      </c>
      <c r="J1619" s="2" t="s">
        <v>5206</v>
      </c>
      <c r="K1619" s="2" t="s">
        <v>122</v>
      </c>
      <c r="L1619" s="2" t="s">
        <v>1267</v>
      </c>
      <c r="M1619" s="2"/>
    </row>
    <row r="1620" customFormat="false" ht="15" hidden="false" customHeight="false" outlineLevel="0" collapsed="false">
      <c r="A1620" s="2" t="s">
        <v>5207</v>
      </c>
      <c r="B1620" s="2" t="s">
        <v>5208</v>
      </c>
      <c r="C1620" s="2" t="s">
        <v>5209</v>
      </c>
      <c r="D1620" s="13" t="n">
        <v>45956.5125</v>
      </c>
      <c r="E1620" s="2" t="s">
        <v>41</v>
      </c>
      <c r="F1620" s="2" t="s">
        <v>31</v>
      </c>
      <c r="G1620" s="2" t="n">
        <v>268.2</v>
      </c>
      <c r="H1620" s="2" t="n">
        <v>5</v>
      </c>
      <c r="I1620" s="2" t="s">
        <v>26</v>
      </c>
      <c r="J1620" s="2" t="s">
        <v>5210</v>
      </c>
      <c r="K1620" s="2" t="s">
        <v>95</v>
      </c>
      <c r="L1620" s="2" t="s">
        <v>1272</v>
      </c>
      <c r="M1620" s="2"/>
    </row>
    <row r="1621" customFormat="false" ht="15" hidden="false" customHeight="false" outlineLevel="0" collapsed="false">
      <c r="A1621" s="2" t="s">
        <v>5211</v>
      </c>
      <c r="B1621" s="2" t="s">
        <v>5212</v>
      </c>
      <c r="C1621" s="2" t="s">
        <v>5213</v>
      </c>
      <c r="D1621" s="13" t="n">
        <v>45370.5652777778</v>
      </c>
      <c r="E1621" s="2" t="s">
        <v>43</v>
      </c>
      <c r="F1621" s="2" t="s">
        <v>27</v>
      </c>
      <c r="G1621" s="2" t="n">
        <v>7862.28</v>
      </c>
      <c r="H1621" s="2" t="n">
        <v>82.35</v>
      </c>
      <c r="I1621" s="2" t="s">
        <v>28</v>
      </c>
      <c r="J1621" s="2" t="s">
        <v>5214</v>
      </c>
      <c r="K1621" s="2" t="s">
        <v>89</v>
      </c>
      <c r="L1621" s="2"/>
      <c r="M1621" s="2" t="s">
        <v>667</v>
      </c>
    </row>
    <row r="1622" customFormat="false" ht="15" hidden="false" customHeight="false" outlineLevel="0" collapsed="false">
      <c r="A1622" s="2" t="s">
        <v>5215</v>
      </c>
      <c r="B1622" s="2" t="s">
        <v>3510</v>
      </c>
      <c r="C1622" s="2" t="s">
        <v>3511</v>
      </c>
      <c r="D1622" s="13" t="n">
        <v>45696.8361111111</v>
      </c>
      <c r="E1622" s="2" t="s">
        <v>43</v>
      </c>
      <c r="F1622" s="2" t="s">
        <v>29</v>
      </c>
      <c r="G1622" s="2" t="n">
        <v>289.38</v>
      </c>
      <c r="H1622" s="2" t="n">
        <v>5</v>
      </c>
      <c r="I1622" s="2" t="s">
        <v>28</v>
      </c>
      <c r="J1622" s="2" t="s">
        <v>5216</v>
      </c>
      <c r="K1622" s="2" t="s">
        <v>122</v>
      </c>
      <c r="L1622" s="2"/>
      <c r="M1622" s="2" t="s">
        <v>183</v>
      </c>
    </row>
    <row r="1623" customFormat="false" ht="15" hidden="false" customHeight="false" outlineLevel="0" collapsed="false">
      <c r="A1623" s="2" t="s">
        <v>5217</v>
      </c>
      <c r="B1623" s="2" t="s">
        <v>2341</v>
      </c>
      <c r="C1623" s="2" t="s">
        <v>2342</v>
      </c>
      <c r="D1623" s="13" t="n">
        <v>45529.76875</v>
      </c>
      <c r="E1623" s="2" t="s">
        <v>39</v>
      </c>
      <c r="F1623" s="2" t="s">
        <v>32</v>
      </c>
      <c r="G1623" s="2" t="n">
        <v>671.52</v>
      </c>
      <c r="H1623" s="2" t="n">
        <v>5</v>
      </c>
      <c r="I1623" s="2" t="s">
        <v>30</v>
      </c>
      <c r="J1623" s="2" t="s">
        <v>5218</v>
      </c>
      <c r="K1623" s="2" t="s">
        <v>95</v>
      </c>
      <c r="L1623" s="2" t="s">
        <v>676</v>
      </c>
      <c r="M1623" s="2"/>
    </row>
    <row r="1624" customFormat="false" ht="15" hidden="false" customHeight="false" outlineLevel="0" collapsed="false">
      <c r="A1624" s="2" t="s">
        <v>5219</v>
      </c>
      <c r="B1624" s="2" t="s">
        <v>4604</v>
      </c>
      <c r="C1624" s="2" t="s">
        <v>4605</v>
      </c>
      <c r="D1624" s="13" t="n">
        <v>45434.3819444445</v>
      </c>
      <c r="E1624" s="2" t="s">
        <v>37</v>
      </c>
      <c r="F1624" s="2" t="s">
        <v>31</v>
      </c>
      <c r="G1624" s="2" t="n">
        <v>17908.91</v>
      </c>
      <c r="H1624" s="2" t="n">
        <v>132.58</v>
      </c>
      <c r="I1624" s="2" t="s">
        <v>26</v>
      </c>
      <c r="J1624" s="2" t="s">
        <v>5220</v>
      </c>
      <c r="K1624" s="2" t="s">
        <v>101</v>
      </c>
      <c r="L1624" s="2" t="s">
        <v>681</v>
      </c>
      <c r="M1624" s="2"/>
    </row>
    <row r="1625" customFormat="false" ht="15" hidden="false" customHeight="false" outlineLevel="0" collapsed="false">
      <c r="A1625" s="2" t="s">
        <v>5221</v>
      </c>
      <c r="B1625" s="2" t="s">
        <v>2555</v>
      </c>
      <c r="C1625" s="2" t="s">
        <v>2556</v>
      </c>
      <c r="D1625" s="13" t="n">
        <v>45895.6743055556</v>
      </c>
      <c r="E1625" s="2" t="s">
        <v>43</v>
      </c>
      <c r="F1625" s="2" t="s">
        <v>29</v>
      </c>
      <c r="G1625" s="2" t="n">
        <v>7170.69</v>
      </c>
      <c r="H1625" s="2" t="n">
        <v>85.58</v>
      </c>
      <c r="I1625" s="2" t="s">
        <v>26</v>
      </c>
      <c r="J1625" s="2" t="s">
        <v>5222</v>
      </c>
      <c r="K1625" s="2" t="s">
        <v>89</v>
      </c>
      <c r="L1625" s="2"/>
      <c r="M1625" s="2" t="s">
        <v>198</v>
      </c>
    </row>
    <row r="1626" customFormat="false" ht="15" hidden="false" customHeight="false" outlineLevel="0" collapsed="false">
      <c r="A1626" s="2" t="s">
        <v>5223</v>
      </c>
      <c r="B1626" s="2" t="s">
        <v>776</v>
      </c>
      <c r="C1626" s="2" t="s">
        <v>777</v>
      </c>
      <c r="D1626" s="13" t="n">
        <v>45449.34375</v>
      </c>
      <c r="E1626" s="2" t="s">
        <v>43</v>
      </c>
      <c r="F1626" s="2" t="s">
        <v>27</v>
      </c>
      <c r="G1626" s="2" t="n">
        <v>1594.52</v>
      </c>
      <c r="H1626" s="2" t="n">
        <v>13.94</v>
      </c>
      <c r="I1626" s="2" t="s">
        <v>26</v>
      </c>
      <c r="J1626" s="2" t="s">
        <v>5224</v>
      </c>
      <c r="K1626" s="2" t="s">
        <v>95</v>
      </c>
      <c r="L1626" s="2"/>
      <c r="M1626" s="2" t="s">
        <v>203</v>
      </c>
    </row>
    <row r="1627" customFormat="false" ht="15" hidden="false" customHeight="false" outlineLevel="0" collapsed="false">
      <c r="A1627" s="2" t="s">
        <v>5225</v>
      </c>
      <c r="B1627" s="2" t="s">
        <v>2113</v>
      </c>
      <c r="C1627" s="2" t="s">
        <v>2114</v>
      </c>
      <c r="D1627" s="13" t="n">
        <v>45455.3006944444</v>
      </c>
      <c r="E1627" s="2" t="s">
        <v>37</v>
      </c>
      <c r="F1627" s="2" t="s">
        <v>27</v>
      </c>
      <c r="G1627" s="2" t="n">
        <v>29292.6</v>
      </c>
      <c r="H1627" s="2" t="n">
        <v>95.72</v>
      </c>
      <c r="I1627" s="2" t="s">
        <v>28</v>
      </c>
      <c r="J1627" s="2" t="s">
        <v>5226</v>
      </c>
      <c r="K1627" s="2" t="s">
        <v>122</v>
      </c>
      <c r="L1627" s="2"/>
      <c r="M1627" s="2" t="s">
        <v>692</v>
      </c>
    </row>
    <row r="1628" customFormat="false" ht="15" hidden="false" customHeight="false" outlineLevel="0" collapsed="false">
      <c r="A1628" s="2" t="s">
        <v>5227</v>
      </c>
      <c r="B1628" s="2" t="s">
        <v>711</v>
      </c>
      <c r="C1628" s="2" t="s">
        <v>712</v>
      </c>
      <c r="D1628" s="13" t="n">
        <v>45729.7159722222</v>
      </c>
      <c r="E1628" s="2" t="s">
        <v>39</v>
      </c>
      <c r="F1628" s="2" t="s">
        <v>32</v>
      </c>
      <c r="G1628" s="2" t="n">
        <v>3622.99</v>
      </c>
      <c r="H1628" s="2" t="n">
        <v>34.01</v>
      </c>
      <c r="I1628" s="2" t="s">
        <v>26</v>
      </c>
      <c r="J1628" s="2" t="s">
        <v>5228</v>
      </c>
      <c r="K1628" s="2" t="s">
        <v>89</v>
      </c>
      <c r="L1628" s="2" t="s">
        <v>697</v>
      </c>
      <c r="M1628" s="2"/>
    </row>
    <row r="1629" customFormat="false" ht="15" hidden="false" customHeight="false" outlineLevel="0" collapsed="false">
      <c r="A1629" s="2" t="s">
        <v>5229</v>
      </c>
      <c r="B1629" s="2" t="s">
        <v>3094</v>
      </c>
      <c r="C1629" s="2" t="s">
        <v>3095</v>
      </c>
      <c r="D1629" s="13" t="n">
        <v>45786.8993055556</v>
      </c>
      <c r="E1629" s="2" t="s">
        <v>39</v>
      </c>
      <c r="F1629" s="2" t="s">
        <v>27</v>
      </c>
      <c r="G1629" s="2" t="n">
        <v>2118.48</v>
      </c>
      <c r="H1629" s="2" t="n">
        <v>24.79</v>
      </c>
      <c r="I1629" s="2" t="s">
        <v>26</v>
      </c>
      <c r="J1629" s="2" t="s">
        <v>5230</v>
      </c>
      <c r="K1629" s="2" t="s">
        <v>95</v>
      </c>
      <c r="L1629" s="2"/>
      <c r="M1629" s="2" t="s">
        <v>700</v>
      </c>
    </row>
    <row r="1630" customFormat="false" ht="15" hidden="false" customHeight="false" outlineLevel="0" collapsed="false">
      <c r="A1630" s="2" t="s">
        <v>5231</v>
      </c>
      <c r="B1630" s="2" t="s">
        <v>2559</v>
      </c>
      <c r="C1630" s="2" t="s">
        <v>2560</v>
      </c>
      <c r="D1630" s="13" t="n">
        <v>45519.6527777778</v>
      </c>
      <c r="E1630" s="2" t="s">
        <v>35</v>
      </c>
      <c r="F1630" s="2" t="s">
        <v>27</v>
      </c>
      <c r="G1630" s="2" t="n">
        <v>13692.25</v>
      </c>
      <c r="H1630" s="2" t="n">
        <v>130.68</v>
      </c>
      <c r="I1630" s="2" t="s">
        <v>26</v>
      </c>
      <c r="J1630" s="2" t="s">
        <v>5232</v>
      </c>
      <c r="K1630" s="2" t="s">
        <v>101</v>
      </c>
      <c r="L1630" s="2"/>
      <c r="M1630" s="2" t="s">
        <v>223</v>
      </c>
    </row>
    <row r="1631" customFormat="false" ht="15" hidden="false" customHeight="false" outlineLevel="0" collapsed="false">
      <c r="A1631" s="2" t="s">
        <v>5233</v>
      </c>
      <c r="B1631" s="2" t="s">
        <v>5234</v>
      </c>
      <c r="C1631" s="2" t="s">
        <v>5235</v>
      </c>
      <c r="D1631" s="13" t="n">
        <v>45727.5083333333</v>
      </c>
      <c r="E1631" s="2" t="s">
        <v>35</v>
      </c>
      <c r="F1631" s="2" t="s">
        <v>29</v>
      </c>
      <c r="G1631" s="2" t="n">
        <v>4016.78</v>
      </c>
      <c r="H1631" s="2" t="n">
        <v>9.5</v>
      </c>
      <c r="I1631" s="2" t="s">
        <v>26</v>
      </c>
      <c r="J1631" s="2" t="s">
        <v>5236</v>
      </c>
      <c r="K1631" s="2" t="s">
        <v>101</v>
      </c>
      <c r="L1631" s="2" t="s">
        <v>1320</v>
      </c>
      <c r="M1631" s="2"/>
    </row>
    <row r="1632" customFormat="false" ht="15" hidden="false" customHeight="false" outlineLevel="0" collapsed="false">
      <c r="A1632" s="2" t="s">
        <v>5237</v>
      </c>
      <c r="B1632" s="2" t="s">
        <v>5238</v>
      </c>
      <c r="C1632" s="2" t="s">
        <v>5239</v>
      </c>
      <c r="D1632" s="13" t="n">
        <v>45657.9256944444</v>
      </c>
      <c r="E1632" s="2" t="s">
        <v>41</v>
      </c>
      <c r="F1632" s="2" t="s">
        <v>32</v>
      </c>
      <c r="G1632" s="2" t="n">
        <v>3120.62</v>
      </c>
      <c r="H1632" s="2" t="n">
        <v>27.12</v>
      </c>
      <c r="I1632" s="2" t="s">
        <v>28</v>
      </c>
      <c r="J1632" s="2" t="s">
        <v>5240</v>
      </c>
      <c r="K1632" s="2" t="s">
        <v>101</v>
      </c>
      <c r="L1632" s="2" t="s">
        <v>1325</v>
      </c>
      <c r="M1632" s="2"/>
    </row>
    <row r="1633" customFormat="false" ht="15" hidden="false" customHeight="false" outlineLevel="0" collapsed="false">
      <c r="A1633" s="2" t="s">
        <v>5241</v>
      </c>
      <c r="B1633" s="2" t="s">
        <v>3360</v>
      </c>
      <c r="C1633" s="2" t="s">
        <v>3361</v>
      </c>
      <c r="D1633" s="13" t="n">
        <v>45750.3048611111</v>
      </c>
      <c r="E1633" s="2" t="s">
        <v>41</v>
      </c>
      <c r="F1633" s="2" t="s">
        <v>29</v>
      </c>
      <c r="G1633" s="2" t="n">
        <v>21983.25</v>
      </c>
      <c r="H1633" s="2" t="n">
        <v>53.15</v>
      </c>
      <c r="I1633" s="2" t="s">
        <v>26</v>
      </c>
      <c r="J1633" s="2" t="s">
        <v>5242</v>
      </c>
      <c r="K1633" s="2" t="s">
        <v>101</v>
      </c>
      <c r="L1633" s="2" t="s">
        <v>1330</v>
      </c>
      <c r="M1633" s="2"/>
    </row>
    <row r="1634" customFormat="false" ht="15" hidden="false" customHeight="false" outlineLevel="0" collapsed="false">
      <c r="A1634" s="2" t="s">
        <v>5243</v>
      </c>
      <c r="B1634" s="2" t="s">
        <v>525</v>
      </c>
      <c r="C1634" s="2" t="s">
        <v>526</v>
      </c>
      <c r="D1634" s="13" t="n">
        <v>45712.6090277778</v>
      </c>
      <c r="E1634" s="2" t="s">
        <v>43</v>
      </c>
      <c r="F1634" s="2" t="s">
        <v>31</v>
      </c>
      <c r="G1634" s="2" t="n">
        <v>2708.08</v>
      </c>
      <c r="H1634" s="2" t="n">
        <v>18.32</v>
      </c>
      <c r="I1634" s="2" t="s">
        <v>26</v>
      </c>
      <c r="J1634" s="2" t="s">
        <v>5244</v>
      </c>
      <c r="K1634" s="2" t="s">
        <v>122</v>
      </c>
      <c r="L1634" s="2"/>
      <c r="M1634" s="2" t="s">
        <v>718</v>
      </c>
    </row>
    <row r="1635" customFormat="false" ht="15" hidden="false" customHeight="false" outlineLevel="0" collapsed="false">
      <c r="A1635" s="2" t="s">
        <v>5245</v>
      </c>
      <c r="B1635" s="2" t="s">
        <v>1985</v>
      </c>
      <c r="C1635" s="2" t="s">
        <v>1986</v>
      </c>
      <c r="D1635" s="13" t="n">
        <v>45584.8298611111</v>
      </c>
      <c r="E1635" s="2" t="s">
        <v>35</v>
      </c>
      <c r="F1635" s="2" t="s">
        <v>27</v>
      </c>
      <c r="G1635" s="2" t="n">
        <v>5564.05</v>
      </c>
      <c r="H1635" s="2" t="n">
        <v>32.88</v>
      </c>
      <c r="I1635" s="2" t="s">
        <v>28</v>
      </c>
      <c r="J1635" s="2" t="s">
        <v>5246</v>
      </c>
      <c r="K1635" s="2" t="s">
        <v>89</v>
      </c>
      <c r="L1635" s="2"/>
      <c r="M1635" s="2" t="s">
        <v>723</v>
      </c>
    </row>
    <row r="1636" customFormat="false" ht="15" hidden="false" customHeight="false" outlineLevel="0" collapsed="false">
      <c r="A1636" s="2" t="s">
        <v>5247</v>
      </c>
      <c r="B1636" s="2" t="s">
        <v>2521</v>
      </c>
      <c r="C1636" s="2" t="s">
        <v>2522</v>
      </c>
      <c r="D1636" s="13" t="n">
        <v>45577.6576388889</v>
      </c>
      <c r="E1636" s="2" t="s">
        <v>41</v>
      </c>
      <c r="F1636" s="2" t="s">
        <v>32</v>
      </c>
      <c r="G1636" s="2" t="n">
        <v>7233.81</v>
      </c>
      <c r="H1636" s="2" t="n">
        <v>30.98</v>
      </c>
      <c r="I1636" s="2" t="s">
        <v>28</v>
      </c>
      <c r="J1636" s="2" t="s">
        <v>5248</v>
      </c>
      <c r="K1636" s="2" t="s">
        <v>89</v>
      </c>
      <c r="L1636" s="2" t="s">
        <v>1344</v>
      </c>
      <c r="M1636" s="2"/>
    </row>
    <row r="1637" customFormat="false" ht="15" hidden="false" customHeight="false" outlineLevel="0" collapsed="false">
      <c r="A1637" s="2" t="s">
        <v>5249</v>
      </c>
      <c r="B1637" s="2" t="s">
        <v>1433</v>
      </c>
      <c r="C1637" s="2" t="s">
        <v>1434</v>
      </c>
      <c r="D1637" s="13" t="n">
        <v>45998.5125</v>
      </c>
      <c r="E1637" s="2" t="s">
        <v>37</v>
      </c>
      <c r="F1637" s="2" t="s">
        <v>31</v>
      </c>
      <c r="G1637" s="2" t="n">
        <v>4508.14</v>
      </c>
      <c r="H1637" s="2" t="n">
        <v>33.12</v>
      </c>
      <c r="I1637" s="2" t="s">
        <v>26</v>
      </c>
      <c r="J1637" s="2" t="s">
        <v>5250</v>
      </c>
      <c r="K1637" s="2" t="s">
        <v>122</v>
      </c>
      <c r="L1637" s="2" t="s">
        <v>731</v>
      </c>
      <c r="M1637" s="2"/>
    </row>
    <row r="1638" customFormat="false" ht="15" hidden="false" customHeight="false" outlineLevel="0" collapsed="false">
      <c r="A1638" s="2" t="s">
        <v>5251</v>
      </c>
      <c r="B1638" s="2" t="s">
        <v>5234</v>
      </c>
      <c r="C1638" s="2" t="s">
        <v>5235</v>
      </c>
      <c r="D1638" s="13" t="n">
        <v>45457.6131944444</v>
      </c>
      <c r="E1638" s="2" t="s">
        <v>43</v>
      </c>
      <c r="F1638" s="2" t="s">
        <v>29</v>
      </c>
      <c r="G1638" s="2" t="n">
        <v>107782.86</v>
      </c>
      <c r="H1638" s="2" t="n">
        <v>843.6</v>
      </c>
      <c r="I1638" s="2" t="s">
        <v>26</v>
      </c>
      <c r="J1638" s="2" t="s">
        <v>5252</v>
      </c>
      <c r="K1638" s="2" t="s">
        <v>122</v>
      </c>
      <c r="L1638" s="2"/>
      <c r="M1638" s="2" t="s">
        <v>263</v>
      </c>
    </row>
    <row r="1639" customFormat="false" ht="15" hidden="false" customHeight="false" outlineLevel="0" collapsed="false">
      <c r="A1639" s="2" t="s">
        <v>5253</v>
      </c>
      <c r="B1639" s="2" t="s">
        <v>4466</v>
      </c>
      <c r="C1639" s="2" t="s">
        <v>4467</v>
      </c>
      <c r="D1639" s="13" t="n">
        <v>45324.9347222222</v>
      </c>
      <c r="E1639" s="2" t="s">
        <v>39</v>
      </c>
      <c r="F1639" s="2" t="s">
        <v>32</v>
      </c>
      <c r="G1639" s="2" t="n">
        <v>2914.1</v>
      </c>
      <c r="H1639" s="2" t="n">
        <v>9.58</v>
      </c>
      <c r="I1639" s="2" t="s">
        <v>26</v>
      </c>
      <c r="J1639" s="2" t="s">
        <v>5254</v>
      </c>
      <c r="K1639" s="2" t="s">
        <v>89</v>
      </c>
      <c r="L1639" s="2" t="s">
        <v>738</v>
      </c>
      <c r="M1639" s="2"/>
    </row>
    <row r="1640" customFormat="false" ht="15" hidden="false" customHeight="false" outlineLevel="0" collapsed="false">
      <c r="A1640" s="2" t="s">
        <v>5255</v>
      </c>
      <c r="B1640" s="2" t="s">
        <v>3318</v>
      </c>
      <c r="C1640" s="2" t="s">
        <v>3319</v>
      </c>
      <c r="D1640" s="13" t="n">
        <v>45412.6152777778</v>
      </c>
      <c r="E1640" s="2" t="s">
        <v>37</v>
      </c>
      <c r="F1640" s="2" t="s">
        <v>32</v>
      </c>
      <c r="G1640" s="2" t="n">
        <v>18476.68</v>
      </c>
      <c r="H1640" s="2" t="n">
        <v>197.17</v>
      </c>
      <c r="I1640" s="2" t="s">
        <v>28</v>
      </c>
      <c r="J1640" s="2" t="s">
        <v>5256</v>
      </c>
      <c r="K1640" s="2" t="s">
        <v>95</v>
      </c>
      <c r="L1640" s="2" t="s">
        <v>743</v>
      </c>
      <c r="M1640" s="2"/>
    </row>
    <row r="1641" customFormat="false" ht="15" hidden="false" customHeight="false" outlineLevel="0" collapsed="false">
      <c r="A1641" s="2" t="s">
        <v>5257</v>
      </c>
      <c r="B1641" s="2" t="s">
        <v>2050</v>
      </c>
      <c r="C1641" s="2" t="s">
        <v>2051</v>
      </c>
      <c r="D1641" s="13" t="n">
        <v>45656.8576388889</v>
      </c>
      <c r="E1641" s="2" t="s">
        <v>39</v>
      </c>
      <c r="F1641" s="2" t="s">
        <v>31</v>
      </c>
      <c r="G1641" s="2" t="n">
        <v>5510.7</v>
      </c>
      <c r="H1641" s="2" t="n">
        <v>59.94</v>
      </c>
      <c r="I1641" s="2" t="s">
        <v>28</v>
      </c>
      <c r="J1641" s="2" t="s">
        <v>5258</v>
      </c>
      <c r="K1641" s="2" t="s">
        <v>89</v>
      </c>
      <c r="L1641" s="2" t="s">
        <v>1901</v>
      </c>
      <c r="M1641" s="2"/>
    </row>
    <row r="1642" customFormat="false" ht="15" hidden="false" customHeight="false" outlineLevel="0" collapsed="false">
      <c r="A1642" s="2" t="s">
        <v>5259</v>
      </c>
      <c r="B1642" s="2" t="s">
        <v>2503</v>
      </c>
      <c r="C1642" s="2" t="s">
        <v>2504</v>
      </c>
      <c r="D1642" s="13" t="n">
        <v>45411.7861111111</v>
      </c>
      <c r="E1642" s="2" t="s">
        <v>41</v>
      </c>
      <c r="F1642" s="2" t="s">
        <v>29</v>
      </c>
      <c r="G1642" s="2" t="n">
        <v>1653.18</v>
      </c>
      <c r="H1642" s="2" t="n">
        <v>17.16</v>
      </c>
      <c r="I1642" s="2" t="s">
        <v>26</v>
      </c>
      <c r="J1642" s="2" t="s">
        <v>5260</v>
      </c>
      <c r="K1642" s="2" t="s">
        <v>122</v>
      </c>
      <c r="L1642" s="2" t="s">
        <v>752</v>
      </c>
      <c r="M1642" s="2"/>
    </row>
    <row r="1643" customFormat="false" ht="15" hidden="false" customHeight="false" outlineLevel="0" collapsed="false">
      <c r="A1643" s="2" t="s">
        <v>5261</v>
      </c>
      <c r="B1643" s="2" t="s">
        <v>5262</v>
      </c>
      <c r="C1643" s="2" t="s">
        <v>5263</v>
      </c>
      <c r="D1643" s="13" t="n">
        <v>45424.8965277778</v>
      </c>
      <c r="E1643" s="2" t="s">
        <v>43</v>
      </c>
      <c r="F1643" s="2" t="s">
        <v>27</v>
      </c>
      <c r="G1643" s="2" t="n">
        <v>1365.6</v>
      </c>
      <c r="H1643" s="2" t="n">
        <v>7.93</v>
      </c>
      <c r="I1643" s="2" t="s">
        <v>30</v>
      </c>
      <c r="J1643" s="2" t="s">
        <v>5264</v>
      </c>
      <c r="K1643" s="2" t="s">
        <v>101</v>
      </c>
      <c r="L1643" s="2"/>
      <c r="M1643" s="2" t="s">
        <v>288</v>
      </c>
    </row>
    <row r="1644" customFormat="false" ht="15" hidden="false" customHeight="false" outlineLevel="0" collapsed="false">
      <c r="A1644" s="2" t="s">
        <v>5265</v>
      </c>
      <c r="B1644" s="2" t="s">
        <v>315</v>
      </c>
      <c r="C1644" s="2" t="s">
        <v>316</v>
      </c>
      <c r="D1644" s="13" t="n">
        <v>46005.6819444444</v>
      </c>
      <c r="E1644" s="2" t="s">
        <v>43</v>
      </c>
      <c r="F1644" s="2" t="s">
        <v>29</v>
      </c>
      <c r="G1644" s="2" t="n">
        <v>13341.91</v>
      </c>
      <c r="H1644" s="2" t="n">
        <v>72.48</v>
      </c>
      <c r="I1644" s="2" t="s">
        <v>26</v>
      </c>
      <c r="J1644" s="2" t="s">
        <v>5266</v>
      </c>
      <c r="K1644" s="2" t="s">
        <v>89</v>
      </c>
      <c r="L1644" s="2"/>
      <c r="M1644" s="2" t="s">
        <v>762</v>
      </c>
    </row>
    <row r="1645" customFormat="false" ht="15" hidden="false" customHeight="false" outlineLevel="0" collapsed="false">
      <c r="A1645" s="2" t="s">
        <v>5267</v>
      </c>
      <c r="B1645" s="2" t="s">
        <v>5234</v>
      </c>
      <c r="C1645" s="2" t="s">
        <v>5235</v>
      </c>
      <c r="D1645" s="13" t="n">
        <v>45642.7479166667</v>
      </c>
      <c r="E1645" s="2" t="s">
        <v>43</v>
      </c>
      <c r="F1645" s="2" t="s">
        <v>31</v>
      </c>
      <c r="G1645" s="2" t="n">
        <v>9114.28</v>
      </c>
      <c r="H1645" s="2" t="n">
        <v>53.48</v>
      </c>
      <c r="I1645" s="2" t="s">
        <v>26</v>
      </c>
      <c r="J1645" s="2" t="s">
        <v>5268</v>
      </c>
      <c r="K1645" s="2" t="s">
        <v>89</v>
      </c>
      <c r="L1645" s="2"/>
      <c r="M1645" s="2" t="s">
        <v>298</v>
      </c>
    </row>
    <row r="1646" customFormat="false" ht="15" hidden="false" customHeight="false" outlineLevel="0" collapsed="false">
      <c r="A1646" s="2" t="s">
        <v>5269</v>
      </c>
      <c r="B1646" s="2" t="s">
        <v>5270</v>
      </c>
      <c r="C1646" s="2" t="s">
        <v>5271</v>
      </c>
      <c r="D1646" s="13" t="n">
        <v>45818.7888888889</v>
      </c>
      <c r="E1646" s="2" t="s">
        <v>41</v>
      </c>
      <c r="F1646" s="2" t="s">
        <v>29</v>
      </c>
      <c r="G1646" s="2" t="n">
        <v>18903.69</v>
      </c>
      <c r="H1646" s="2" t="n">
        <v>155.82</v>
      </c>
      <c r="I1646" s="2" t="s">
        <v>26</v>
      </c>
      <c r="J1646" s="2" t="s">
        <v>5272</v>
      </c>
      <c r="K1646" s="2" t="s">
        <v>101</v>
      </c>
      <c r="L1646" s="2" t="s">
        <v>769</v>
      </c>
      <c r="M1646" s="2"/>
    </row>
    <row r="1647" customFormat="false" ht="15" hidden="false" customHeight="false" outlineLevel="0" collapsed="false">
      <c r="A1647" s="2" t="s">
        <v>5273</v>
      </c>
      <c r="B1647" s="2" t="s">
        <v>2629</v>
      </c>
      <c r="C1647" s="2" t="s">
        <v>2630</v>
      </c>
      <c r="D1647" s="13" t="n">
        <v>45355.9145833333</v>
      </c>
      <c r="E1647" s="2" t="s">
        <v>41</v>
      </c>
      <c r="F1647" s="2" t="s">
        <v>31</v>
      </c>
      <c r="G1647" s="2" t="n">
        <v>7445.47</v>
      </c>
      <c r="H1647" s="2" t="n">
        <v>87.6</v>
      </c>
      <c r="I1647" s="2" t="s">
        <v>26</v>
      </c>
      <c r="J1647" s="2" t="s">
        <v>5274</v>
      </c>
      <c r="K1647" s="2" t="s">
        <v>101</v>
      </c>
      <c r="L1647" s="2" t="s">
        <v>2892</v>
      </c>
      <c r="M1647" s="2"/>
    </row>
    <row r="1648" customFormat="false" ht="15" hidden="false" customHeight="false" outlineLevel="0" collapsed="false">
      <c r="A1648" s="2" t="s">
        <v>5275</v>
      </c>
      <c r="B1648" s="2" t="s">
        <v>5276</v>
      </c>
      <c r="C1648" s="2" t="s">
        <v>5277</v>
      </c>
      <c r="D1648" s="13" t="n">
        <v>45360.5034722222</v>
      </c>
      <c r="E1648" s="2" t="s">
        <v>39</v>
      </c>
      <c r="F1648" s="2" t="s">
        <v>32</v>
      </c>
      <c r="G1648" s="2" t="n">
        <v>3824.51</v>
      </c>
      <c r="H1648" s="2" t="n">
        <v>19.87</v>
      </c>
      <c r="I1648" s="2" t="s">
        <v>26</v>
      </c>
      <c r="J1648" s="2" t="s">
        <v>5278</v>
      </c>
      <c r="K1648" s="2" t="s">
        <v>95</v>
      </c>
      <c r="L1648" s="2" t="s">
        <v>779</v>
      </c>
      <c r="M1648" s="2"/>
    </row>
    <row r="1649" customFormat="false" ht="15" hidden="false" customHeight="false" outlineLevel="0" collapsed="false">
      <c r="A1649" s="2" t="s">
        <v>5279</v>
      </c>
      <c r="B1649" s="2" t="s">
        <v>5280</v>
      </c>
      <c r="C1649" s="2" t="s">
        <v>5281</v>
      </c>
      <c r="D1649" s="13" t="n">
        <v>45937.825</v>
      </c>
      <c r="E1649" s="2" t="s">
        <v>43</v>
      </c>
      <c r="F1649" s="2" t="s">
        <v>32</v>
      </c>
      <c r="G1649" s="2" t="n">
        <v>5355.4</v>
      </c>
      <c r="H1649" s="2" t="n">
        <v>21.55</v>
      </c>
      <c r="I1649" s="2" t="s">
        <v>26</v>
      </c>
      <c r="J1649" s="2" t="s">
        <v>5282</v>
      </c>
      <c r="K1649" s="2" t="s">
        <v>89</v>
      </c>
      <c r="L1649" s="2"/>
      <c r="M1649" s="2" t="s">
        <v>784</v>
      </c>
    </row>
    <row r="1650" customFormat="false" ht="15" hidden="false" customHeight="false" outlineLevel="0" collapsed="false">
      <c r="A1650" s="2" t="s">
        <v>5283</v>
      </c>
      <c r="B1650" s="2" t="s">
        <v>5284</v>
      </c>
      <c r="C1650" s="2" t="s">
        <v>5285</v>
      </c>
      <c r="D1650" s="13" t="n">
        <v>45663.5909722222</v>
      </c>
      <c r="E1650" s="2" t="s">
        <v>35</v>
      </c>
      <c r="F1650" s="2" t="s">
        <v>29</v>
      </c>
      <c r="G1650" s="2" t="n">
        <v>6136.79</v>
      </c>
      <c r="H1650" s="2" t="n">
        <v>22.62</v>
      </c>
      <c r="I1650" s="2" t="s">
        <v>26</v>
      </c>
      <c r="J1650" s="2" t="s">
        <v>5286</v>
      </c>
      <c r="K1650" s="2" t="s">
        <v>95</v>
      </c>
      <c r="L1650" s="2" t="s">
        <v>1935</v>
      </c>
      <c r="M1650" s="2"/>
    </row>
    <row r="1651" customFormat="false" ht="15" hidden="false" customHeight="false" outlineLevel="0" collapsed="false">
      <c r="A1651" s="2" t="s">
        <v>5287</v>
      </c>
      <c r="B1651" s="2" t="s">
        <v>3530</v>
      </c>
      <c r="C1651" s="2" t="s">
        <v>3531</v>
      </c>
      <c r="D1651" s="13" t="n">
        <v>45497.8430555556</v>
      </c>
      <c r="E1651" s="2" t="s">
        <v>43</v>
      </c>
      <c r="F1651" s="2" t="s">
        <v>29</v>
      </c>
      <c r="G1651" s="2" t="n">
        <v>448.29</v>
      </c>
      <c r="H1651" s="2" t="n">
        <v>5</v>
      </c>
      <c r="I1651" s="2" t="s">
        <v>26</v>
      </c>
      <c r="J1651" s="2" t="s">
        <v>5288</v>
      </c>
      <c r="K1651" s="2" t="s">
        <v>95</v>
      </c>
      <c r="L1651" s="2"/>
      <c r="M1651" s="2" t="s">
        <v>328</v>
      </c>
    </row>
    <row r="1652" customFormat="false" ht="15" hidden="false" customHeight="false" outlineLevel="0" collapsed="false">
      <c r="A1652" s="2" t="s">
        <v>5289</v>
      </c>
      <c r="B1652" s="2" t="s">
        <v>4558</v>
      </c>
      <c r="C1652" s="2" t="s">
        <v>4559</v>
      </c>
      <c r="D1652" s="13" t="n">
        <v>45382.3493055556</v>
      </c>
      <c r="E1652" s="2" t="s">
        <v>43</v>
      </c>
      <c r="F1652" s="2" t="s">
        <v>29</v>
      </c>
      <c r="G1652" s="2" t="n">
        <v>12115.47</v>
      </c>
      <c r="H1652" s="2" t="n">
        <v>67.07</v>
      </c>
      <c r="I1652" s="2" t="s">
        <v>28</v>
      </c>
      <c r="J1652" s="2" t="s">
        <v>5290</v>
      </c>
      <c r="K1652" s="2" t="s">
        <v>89</v>
      </c>
      <c r="L1652" s="2"/>
      <c r="M1652" s="2" t="s">
        <v>795</v>
      </c>
    </row>
    <row r="1653" customFormat="false" ht="15" hidden="false" customHeight="false" outlineLevel="0" collapsed="false">
      <c r="A1653" s="2" t="s">
        <v>5291</v>
      </c>
      <c r="B1653" s="2" t="s">
        <v>5292</v>
      </c>
      <c r="C1653" s="2" t="s">
        <v>5293</v>
      </c>
      <c r="D1653" s="13" t="n">
        <v>45319.7076388889</v>
      </c>
      <c r="E1653" s="2" t="s">
        <v>41</v>
      </c>
      <c r="F1653" s="2" t="s">
        <v>32</v>
      </c>
      <c r="G1653" s="2" t="n">
        <v>16120.4</v>
      </c>
      <c r="H1653" s="2" t="n">
        <v>73.01</v>
      </c>
      <c r="I1653" s="2" t="s">
        <v>26</v>
      </c>
      <c r="J1653" s="2" t="s">
        <v>5294</v>
      </c>
      <c r="K1653" s="2" t="s">
        <v>101</v>
      </c>
      <c r="L1653" s="2" t="s">
        <v>96</v>
      </c>
      <c r="M1653" s="2"/>
    </row>
    <row r="1654" customFormat="false" ht="15" hidden="false" customHeight="false" outlineLevel="0" collapsed="false">
      <c r="A1654" s="2" t="s">
        <v>5295</v>
      </c>
      <c r="B1654" s="2" t="s">
        <v>1856</v>
      </c>
      <c r="C1654" s="2" t="s">
        <v>1857</v>
      </c>
      <c r="D1654" s="13" t="n">
        <v>45708.2951388889</v>
      </c>
      <c r="E1654" s="2" t="s">
        <v>39</v>
      </c>
      <c r="F1654" s="2" t="s">
        <v>32</v>
      </c>
      <c r="G1654" s="2" t="n">
        <v>5049.52</v>
      </c>
      <c r="H1654" s="2" t="n">
        <v>58.31</v>
      </c>
      <c r="I1654" s="2" t="s">
        <v>26</v>
      </c>
      <c r="J1654" s="2" t="s">
        <v>5296</v>
      </c>
      <c r="K1654" s="2" t="s">
        <v>95</v>
      </c>
      <c r="L1654" s="2" t="s">
        <v>102</v>
      </c>
      <c r="M1654" s="2"/>
    </row>
    <row r="1655" customFormat="false" ht="15" hidden="false" customHeight="false" outlineLevel="0" collapsed="false">
      <c r="A1655" s="2" t="s">
        <v>5297</v>
      </c>
      <c r="B1655" s="2" t="s">
        <v>2383</v>
      </c>
      <c r="C1655" s="2" t="s">
        <v>2384</v>
      </c>
      <c r="D1655" s="13" t="n">
        <v>45806.7708333333</v>
      </c>
      <c r="E1655" s="2" t="s">
        <v>43</v>
      </c>
      <c r="F1655" s="2" t="s">
        <v>27</v>
      </c>
      <c r="G1655" s="2" t="n">
        <v>1568.92</v>
      </c>
      <c r="H1655" s="2" t="n">
        <v>15.17</v>
      </c>
      <c r="I1655" s="2" t="s">
        <v>30</v>
      </c>
      <c r="J1655" s="2" t="s">
        <v>5298</v>
      </c>
      <c r="K1655" s="2" t="s">
        <v>95</v>
      </c>
      <c r="L1655" s="2"/>
      <c r="M1655" s="2" t="s">
        <v>348</v>
      </c>
    </row>
    <row r="1656" customFormat="false" ht="15" hidden="false" customHeight="false" outlineLevel="0" collapsed="false">
      <c r="A1656" s="2" t="s">
        <v>5299</v>
      </c>
      <c r="B1656" s="2" t="s">
        <v>4750</v>
      </c>
      <c r="C1656" s="2" t="s">
        <v>4751</v>
      </c>
      <c r="D1656" s="13" t="n">
        <v>45764.8569444444</v>
      </c>
      <c r="E1656" s="2" t="s">
        <v>41</v>
      </c>
      <c r="F1656" s="2" t="s">
        <v>31</v>
      </c>
      <c r="G1656" s="2" t="n">
        <v>3371.35</v>
      </c>
      <c r="H1656" s="2" t="n">
        <v>14.81</v>
      </c>
      <c r="I1656" s="2" t="s">
        <v>26</v>
      </c>
      <c r="J1656" s="2" t="s">
        <v>5300</v>
      </c>
      <c r="K1656" s="2" t="s">
        <v>95</v>
      </c>
      <c r="L1656" s="2" t="s">
        <v>812</v>
      </c>
      <c r="M1656" s="2"/>
    </row>
    <row r="1657" customFormat="false" ht="15" hidden="false" customHeight="false" outlineLevel="0" collapsed="false">
      <c r="A1657" s="2" t="s">
        <v>5301</v>
      </c>
      <c r="B1657" s="2" t="s">
        <v>2689</v>
      </c>
      <c r="C1657" s="2" t="s">
        <v>2690</v>
      </c>
      <c r="D1657" s="13" t="n">
        <v>45461.4138888889</v>
      </c>
      <c r="E1657" s="2" t="s">
        <v>41</v>
      </c>
      <c r="F1657" s="2" t="s">
        <v>31</v>
      </c>
      <c r="G1657" s="2" t="n">
        <v>6135.83</v>
      </c>
      <c r="H1657" s="2" t="n">
        <v>17.4</v>
      </c>
      <c r="I1657" s="2" t="s">
        <v>26</v>
      </c>
      <c r="J1657" s="2" t="s">
        <v>5302</v>
      </c>
      <c r="K1657" s="2" t="s">
        <v>101</v>
      </c>
      <c r="L1657" s="2" t="s">
        <v>117</v>
      </c>
      <c r="M1657" s="2"/>
    </row>
    <row r="1658" customFormat="false" ht="15" hidden="false" customHeight="false" outlineLevel="0" collapsed="false">
      <c r="A1658" s="2" t="s">
        <v>5303</v>
      </c>
      <c r="B1658" s="2" t="s">
        <v>1308</v>
      </c>
      <c r="C1658" s="2" t="s">
        <v>1309</v>
      </c>
      <c r="D1658" s="13" t="n">
        <v>45604.3402777778</v>
      </c>
      <c r="E1658" s="2" t="s">
        <v>39</v>
      </c>
      <c r="F1658" s="2" t="s">
        <v>27</v>
      </c>
      <c r="G1658" s="2" t="n">
        <v>739.5</v>
      </c>
      <c r="H1658" s="2" t="n">
        <v>5.39</v>
      </c>
      <c r="I1658" s="2" t="s">
        <v>30</v>
      </c>
      <c r="J1658" s="2" t="s">
        <v>5304</v>
      </c>
      <c r="K1658" s="2" t="s">
        <v>122</v>
      </c>
      <c r="L1658" s="2"/>
      <c r="M1658" s="2" t="s">
        <v>363</v>
      </c>
    </row>
    <row r="1659" customFormat="false" ht="15" hidden="false" customHeight="false" outlineLevel="0" collapsed="false">
      <c r="A1659" s="2" t="s">
        <v>5305</v>
      </c>
      <c r="B1659" s="2" t="s">
        <v>1856</v>
      </c>
      <c r="C1659" s="2" t="s">
        <v>1857</v>
      </c>
      <c r="D1659" s="13" t="n">
        <v>45661.5083333333</v>
      </c>
      <c r="E1659" s="2" t="s">
        <v>43</v>
      </c>
      <c r="F1659" s="2" t="s">
        <v>31</v>
      </c>
      <c r="G1659" s="2" t="n">
        <v>866.02</v>
      </c>
      <c r="H1659" s="2" t="n">
        <v>7.59</v>
      </c>
      <c r="I1659" s="2" t="s">
        <v>28</v>
      </c>
      <c r="J1659" s="2" t="s">
        <v>5306</v>
      </c>
      <c r="K1659" s="2" t="s">
        <v>95</v>
      </c>
      <c r="L1659" s="2"/>
      <c r="M1659" s="2" t="s">
        <v>1606</v>
      </c>
    </row>
    <row r="1660" customFormat="false" ht="15" hidden="false" customHeight="false" outlineLevel="0" collapsed="false">
      <c r="A1660" s="2" t="s">
        <v>5307</v>
      </c>
      <c r="B1660" s="2" t="s">
        <v>4204</v>
      </c>
      <c r="C1660" s="2" t="s">
        <v>4205</v>
      </c>
      <c r="D1660" s="13" t="n">
        <v>45978.55</v>
      </c>
      <c r="E1660" s="2" t="s">
        <v>41</v>
      </c>
      <c r="F1660" s="2" t="s">
        <v>32</v>
      </c>
      <c r="G1660" s="2" t="n">
        <v>14503.49</v>
      </c>
      <c r="H1660" s="2" t="n">
        <v>42.65</v>
      </c>
      <c r="I1660" s="2" t="s">
        <v>26</v>
      </c>
      <c r="J1660" s="2" t="s">
        <v>5308</v>
      </c>
      <c r="K1660" s="2" t="s">
        <v>122</v>
      </c>
      <c r="L1660" s="2" t="s">
        <v>133</v>
      </c>
      <c r="M1660" s="2"/>
    </row>
    <row r="1661" customFormat="false" ht="15" hidden="false" customHeight="false" outlineLevel="0" collapsed="false">
      <c r="A1661" s="2" t="s">
        <v>5309</v>
      </c>
      <c r="B1661" s="2" t="s">
        <v>4528</v>
      </c>
      <c r="C1661" s="2" t="s">
        <v>4529</v>
      </c>
      <c r="D1661" s="13" t="n">
        <v>45347.7076388889</v>
      </c>
      <c r="E1661" s="2" t="s">
        <v>37</v>
      </c>
      <c r="F1661" s="2" t="s">
        <v>31</v>
      </c>
      <c r="G1661" s="2" t="n">
        <v>13263.63</v>
      </c>
      <c r="H1661" s="2" t="n">
        <v>35.71</v>
      </c>
      <c r="I1661" s="2" t="s">
        <v>26</v>
      </c>
      <c r="J1661" s="2" t="s">
        <v>5310</v>
      </c>
      <c r="K1661" s="2" t="s">
        <v>95</v>
      </c>
      <c r="L1661" s="2" t="s">
        <v>138</v>
      </c>
      <c r="M1661" s="2"/>
    </row>
    <row r="1662" customFormat="false" ht="15" hidden="false" customHeight="false" outlineLevel="0" collapsed="false">
      <c r="A1662" s="2" t="s">
        <v>5311</v>
      </c>
      <c r="B1662" s="2" t="s">
        <v>2250</v>
      </c>
      <c r="C1662" s="2" t="s">
        <v>2251</v>
      </c>
      <c r="D1662" s="13" t="n">
        <v>45853.4020833333</v>
      </c>
      <c r="E1662" s="2" t="s">
        <v>35</v>
      </c>
      <c r="F1662" s="2" t="s">
        <v>31</v>
      </c>
      <c r="G1662" s="2" t="n">
        <v>1056.85</v>
      </c>
      <c r="H1662" s="2" t="n">
        <v>10.17</v>
      </c>
      <c r="I1662" s="2" t="s">
        <v>26</v>
      </c>
      <c r="J1662" s="2" t="s">
        <v>5312</v>
      </c>
      <c r="K1662" s="2" t="s">
        <v>89</v>
      </c>
      <c r="L1662" s="2" t="s">
        <v>141</v>
      </c>
      <c r="M1662" s="2"/>
    </row>
    <row r="1663" customFormat="false" ht="15" hidden="false" customHeight="false" outlineLevel="0" collapsed="false">
      <c r="A1663" s="2" t="s">
        <v>5313</v>
      </c>
      <c r="B1663" s="2" t="s">
        <v>1767</v>
      </c>
      <c r="C1663" s="2" t="s">
        <v>1768</v>
      </c>
      <c r="D1663" s="13" t="n">
        <v>45536.5763888889</v>
      </c>
      <c r="E1663" s="2" t="s">
        <v>37</v>
      </c>
      <c r="F1663" s="2" t="s">
        <v>31</v>
      </c>
      <c r="G1663" s="2" t="n">
        <v>14166.08</v>
      </c>
      <c r="H1663" s="2" t="n">
        <v>89.23</v>
      </c>
      <c r="I1663" s="2" t="s">
        <v>26</v>
      </c>
      <c r="J1663" s="2" t="s">
        <v>5314</v>
      </c>
      <c r="K1663" s="2" t="s">
        <v>122</v>
      </c>
      <c r="L1663" s="2" t="s">
        <v>841</v>
      </c>
      <c r="M1663" s="2"/>
    </row>
    <row r="1664" customFormat="false" ht="15" hidden="false" customHeight="false" outlineLevel="0" collapsed="false">
      <c r="A1664" s="2" t="s">
        <v>5315</v>
      </c>
      <c r="B1664" s="2" t="s">
        <v>5316</v>
      </c>
      <c r="C1664" s="2" t="s">
        <v>5317</v>
      </c>
      <c r="D1664" s="13" t="n">
        <v>45692.7520833333</v>
      </c>
      <c r="E1664" s="2" t="s">
        <v>41</v>
      </c>
      <c r="F1664" s="2" t="s">
        <v>29</v>
      </c>
      <c r="G1664" s="2" t="n">
        <v>12219.36</v>
      </c>
      <c r="H1664" s="2" t="n">
        <v>66.81</v>
      </c>
      <c r="I1664" s="2" t="s">
        <v>30</v>
      </c>
      <c r="J1664" s="2" t="s">
        <v>5318</v>
      </c>
      <c r="K1664" s="2" t="s">
        <v>122</v>
      </c>
      <c r="L1664" s="2" t="s">
        <v>147</v>
      </c>
      <c r="M1664" s="2"/>
    </row>
    <row r="1665" customFormat="false" ht="15" hidden="false" customHeight="false" outlineLevel="0" collapsed="false">
      <c r="A1665" s="2" t="s">
        <v>5319</v>
      </c>
      <c r="B1665" s="2" t="s">
        <v>3928</v>
      </c>
      <c r="C1665" s="2" t="s">
        <v>3929</v>
      </c>
      <c r="D1665" s="13" t="n">
        <v>45523.4111111111</v>
      </c>
      <c r="E1665" s="2" t="s">
        <v>39</v>
      </c>
      <c r="F1665" s="2" t="s">
        <v>32</v>
      </c>
      <c r="G1665" s="2" t="n">
        <v>1754.92</v>
      </c>
      <c r="H1665" s="2" t="n">
        <v>5.57</v>
      </c>
      <c r="I1665" s="2" t="s">
        <v>30</v>
      </c>
      <c r="J1665" s="2" t="s">
        <v>5320</v>
      </c>
      <c r="K1665" s="2" t="s">
        <v>122</v>
      </c>
      <c r="L1665" s="2" t="s">
        <v>150</v>
      </c>
      <c r="M1665" s="2"/>
    </row>
    <row r="1666" customFormat="false" ht="15" hidden="false" customHeight="false" outlineLevel="0" collapsed="false">
      <c r="A1666" s="2" t="s">
        <v>5321</v>
      </c>
      <c r="B1666" s="2" t="s">
        <v>4800</v>
      </c>
      <c r="C1666" s="2" t="s">
        <v>4801</v>
      </c>
      <c r="D1666" s="13" t="n">
        <v>45949.3784722222</v>
      </c>
      <c r="E1666" s="2" t="s">
        <v>39</v>
      </c>
      <c r="F1666" s="2" t="s">
        <v>29</v>
      </c>
      <c r="G1666" s="2" t="n">
        <v>23740.78</v>
      </c>
      <c r="H1666" s="2" t="n">
        <v>224.2</v>
      </c>
      <c r="I1666" s="2" t="s">
        <v>30</v>
      </c>
      <c r="J1666" s="2" t="s">
        <v>5322</v>
      </c>
      <c r="K1666" s="2" t="s">
        <v>122</v>
      </c>
      <c r="L1666" s="2" t="s">
        <v>153</v>
      </c>
      <c r="M1666" s="2"/>
    </row>
    <row r="1667" customFormat="false" ht="15" hidden="false" customHeight="false" outlineLevel="0" collapsed="false">
      <c r="A1667" s="2" t="s">
        <v>5323</v>
      </c>
      <c r="B1667" s="2" t="s">
        <v>899</v>
      </c>
      <c r="C1667" s="2" t="s">
        <v>900</v>
      </c>
      <c r="D1667" s="13" t="n">
        <v>45323.575</v>
      </c>
      <c r="E1667" s="2" t="s">
        <v>41</v>
      </c>
      <c r="F1667" s="2" t="s">
        <v>31</v>
      </c>
      <c r="G1667" s="2" t="n">
        <v>19501.14</v>
      </c>
      <c r="H1667" s="2" t="n">
        <v>206.66</v>
      </c>
      <c r="I1667" s="2" t="s">
        <v>26</v>
      </c>
      <c r="J1667" s="2" t="s">
        <v>5324</v>
      </c>
      <c r="K1667" s="2" t="s">
        <v>122</v>
      </c>
      <c r="L1667" s="2" t="s">
        <v>158</v>
      </c>
      <c r="M1667" s="2"/>
    </row>
    <row r="1668" customFormat="false" ht="15" hidden="false" customHeight="false" outlineLevel="0" collapsed="false">
      <c r="A1668" s="2" t="s">
        <v>5325</v>
      </c>
      <c r="B1668" s="2" t="s">
        <v>1223</v>
      </c>
      <c r="C1668" s="2" t="s">
        <v>1224</v>
      </c>
      <c r="D1668" s="13" t="n">
        <v>45764.2916666667</v>
      </c>
      <c r="E1668" s="2" t="s">
        <v>43</v>
      </c>
      <c r="F1668" s="2" t="s">
        <v>27</v>
      </c>
      <c r="G1668" s="2" t="n">
        <v>2046.91</v>
      </c>
      <c r="H1668" s="2" t="n">
        <v>12.33</v>
      </c>
      <c r="I1668" s="2" t="s">
        <v>26</v>
      </c>
      <c r="J1668" s="2" t="s">
        <v>5326</v>
      </c>
      <c r="K1668" s="2" t="s">
        <v>95</v>
      </c>
      <c r="L1668" s="2"/>
      <c r="M1668" s="2" t="s">
        <v>862</v>
      </c>
    </row>
    <row r="1669" customFormat="false" ht="15" hidden="false" customHeight="false" outlineLevel="0" collapsed="false">
      <c r="A1669" s="2" t="s">
        <v>5327</v>
      </c>
      <c r="B1669" s="2" t="s">
        <v>4034</v>
      </c>
      <c r="C1669" s="2" t="s">
        <v>4035</v>
      </c>
      <c r="D1669" s="13" t="n">
        <v>45432.5923611111</v>
      </c>
      <c r="E1669" s="2" t="s">
        <v>35</v>
      </c>
      <c r="F1669" s="2" t="s">
        <v>31</v>
      </c>
      <c r="G1669" s="2" t="n">
        <v>5690.34</v>
      </c>
      <c r="H1669" s="2" t="n">
        <v>39.44</v>
      </c>
      <c r="I1669" s="2" t="s">
        <v>26</v>
      </c>
      <c r="J1669" s="2" t="s">
        <v>5328</v>
      </c>
      <c r="K1669" s="2" t="s">
        <v>122</v>
      </c>
      <c r="L1669" s="2" t="s">
        <v>168</v>
      </c>
      <c r="M1669" s="2"/>
    </row>
    <row r="1670" customFormat="false" ht="15" hidden="false" customHeight="false" outlineLevel="0" collapsed="false">
      <c r="A1670" s="2" t="s">
        <v>5329</v>
      </c>
      <c r="B1670" s="2" t="s">
        <v>1386</v>
      </c>
      <c r="C1670" s="2" t="s">
        <v>1387</v>
      </c>
      <c r="D1670" s="13" t="n">
        <v>45359.6534722222</v>
      </c>
      <c r="E1670" s="2" t="s">
        <v>41</v>
      </c>
      <c r="F1670" s="2" t="s">
        <v>29</v>
      </c>
      <c r="G1670" s="2" t="n">
        <v>1056.53</v>
      </c>
      <c r="H1670" s="2" t="n">
        <v>5</v>
      </c>
      <c r="I1670" s="2" t="s">
        <v>26</v>
      </c>
      <c r="J1670" s="2" t="s">
        <v>5330</v>
      </c>
      <c r="K1670" s="2" t="s">
        <v>89</v>
      </c>
      <c r="L1670" s="2" t="s">
        <v>173</v>
      </c>
      <c r="M1670" s="2"/>
    </row>
    <row r="1671" customFormat="false" ht="15" hidden="false" customHeight="false" outlineLevel="0" collapsed="false">
      <c r="A1671" s="2" t="s">
        <v>5331</v>
      </c>
      <c r="B1671" s="2" t="s">
        <v>5074</v>
      </c>
      <c r="C1671" s="2" t="s">
        <v>5075</v>
      </c>
      <c r="D1671" s="13" t="n">
        <v>45707.7472222222</v>
      </c>
      <c r="E1671" s="2" t="s">
        <v>43</v>
      </c>
      <c r="F1671" s="2" t="s">
        <v>32</v>
      </c>
      <c r="G1671" s="2" t="n">
        <v>4520.22</v>
      </c>
      <c r="H1671" s="2" t="n">
        <v>21.94</v>
      </c>
      <c r="I1671" s="2" t="s">
        <v>28</v>
      </c>
      <c r="J1671" s="2" t="s">
        <v>5332</v>
      </c>
      <c r="K1671" s="2" t="s">
        <v>95</v>
      </c>
      <c r="L1671" s="2"/>
      <c r="M1671" s="2" t="s">
        <v>871</v>
      </c>
    </row>
    <row r="1672" customFormat="false" ht="15" hidden="false" customHeight="false" outlineLevel="0" collapsed="false">
      <c r="A1672" s="2" t="s">
        <v>5333</v>
      </c>
      <c r="B1672" s="2" t="s">
        <v>5334</v>
      </c>
      <c r="C1672" s="2" t="s">
        <v>5335</v>
      </c>
      <c r="D1672" s="13" t="n">
        <v>45771.7347222222</v>
      </c>
      <c r="E1672" s="2" t="s">
        <v>41</v>
      </c>
      <c r="F1672" s="2" t="s">
        <v>29</v>
      </c>
      <c r="G1672" s="2" t="n">
        <v>49077.47</v>
      </c>
      <c r="H1672" s="2" t="n">
        <v>340.05</v>
      </c>
      <c r="I1672" s="2" t="s">
        <v>28</v>
      </c>
      <c r="J1672" s="2" t="s">
        <v>5336</v>
      </c>
      <c r="K1672" s="2" t="s">
        <v>95</v>
      </c>
      <c r="L1672" s="2" t="s">
        <v>874</v>
      </c>
      <c r="M1672" s="2"/>
    </row>
    <row r="1673" customFormat="false" ht="15" hidden="false" customHeight="false" outlineLevel="0" collapsed="false">
      <c r="A1673" s="2" t="s">
        <v>5337</v>
      </c>
      <c r="B1673" s="2" t="s">
        <v>2007</v>
      </c>
      <c r="C1673" s="2" t="s">
        <v>2008</v>
      </c>
      <c r="D1673" s="13" t="n">
        <v>45674.7409722222</v>
      </c>
      <c r="E1673" s="2" t="s">
        <v>41</v>
      </c>
      <c r="F1673" s="2" t="s">
        <v>31</v>
      </c>
      <c r="G1673" s="2" t="n">
        <v>2284.14</v>
      </c>
      <c r="H1673" s="2" t="n">
        <v>24.45</v>
      </c>
      <c r="I1673" s="2" t="s">
        <v>28</v>
      </c>
      <c r="J1673" s="2" t="s">
        <v>5338</v>
      </c>
      <c r="K1673" s="2" t="s">
        <v>122</v>
      </c>
      <c r="L1673" s="2" t="s">
        <v>188</v>
      </c>
      <c r="M1673" s="2"/>
    </row>
    <row r="1674" customFormat="false" ht="15" hidden="false" customHeight="false" outlineLevel="0" collapsed="false">
      <c r="A1674" s="2" t="s">
        <v>5339</v>
      </c>
      <c r="B1674" s="2" t="s">
        <v>1849</v>
      </c>
      <c r="C1674" s="2" t="s">
        <v>1850</v>
      </c>
      <c r="D1674" s="13" t="n">
        <v>45316.5819444444</v>
      </c>
      <c r="E1674" s="2" t="s">
        <v>41</v>
      </c>
      <c r="F1674" s="2" t="s">
        <v>27</v>
      </c>
      <c r="G1674" s="2" t="n">
        <v>383.5</v>
      </c>
      <c r="H1674" s="2" t="n">
        <v>5</v>
      </c>
      <c r="I1674" s="2" t="s">
        <v>26</v>
      </c>
      <c r="J1674" s="2" t="s">
        <v>5340</v>
      </c>
      <c r="K1674" s="2" t="s">
        <v>95</v>
      </c>
      <c r="L1674" s="2"/>
      <c r="M1674" s="2" t="s">
        <v>1658</v>
      </c>
    </row>
    <row r="1675" customFormat="false" ht="15" hidden="false" customHeight="false" outlineLevel="0" collapsed="false">
      <c r="A1675" s="2" t="s">
        <v>5341</v>
      </c>
      <c r="B1675" s="2" t="s">
        <v>1820</v>
      </c>
      <c r="C1675" s="2" t="s">
        <v>1821</v>
      </c>
      <c r="D1675" s="13" t="n">
        <v>46019.925</v>
      </c>
      <c r="E1675" s="2" t="s">
        <v>41</v>
      </c>
      <c r="F1675" s="2" t="s">
        <v>32</v>
      </c>
      <c r="G1675" s="2" t="n">
        <v>2680.06</v>
      </c>
      <c r="H1675" s="2" t="n">
        <v>22.38</v>
      </c>
      <c r="I1675" s="2" t="s">
        <v>28</v>
      </c>
      <c r="J1675" s="2" t="s">
        <v>5342</v>
      </c>
      <c r="K1675" s="2" t="s">
        <v>89</v>
      </c>
      <c r="L1675" s="2" t="s">
        <v>1482</v>
      </c>
      <c r="M1675" s="2"/>
    </row>
    <row r="1676" customFormat="false" ht="15" hidden="false" customHeight="false" outlineLevel="0" collapsed="false">
      <c r="A1676" s="2" t="s">
        <v>5343</v>
      </c>
      <c r="B1676" s="2" t="s">
        <v>2222</v>
      </c>
      <c r="C1676" s="2" t="s">
        <v>2223</v>
      </c>
      <c r="D1676" s="13" t="n">
        <v>45556.6013888889</v>
      </c>
      <c r="E1676" s="2" t="s">
        <v>37</v>
      </c>
      <c r="F1676" s="2" t="s">
        <v>29</v>
      </c>
      <c r="G1676" s="2" t="n">
        <v>2079.65</v>
      </c>
      <c r="H1676" s="2" t="n">
        <v>10.63</v>
      </c>
      <c r="I1676" s="2" t="s">
        <v>28</v>
      </c>
      <c r="J1676" s="2" t="s">
        <v>5344</v>
      </c>
      <c r="K1676" s="2" t="s">
        <v>122</v>
      </c>
      <c r="L1676" s="2" t="s">
        <v>891</v>
      </c>
      <c r="M1676" s="2"/>
    </row>
    <row r="1677" customFormat="false" ht="15" hidden="false" customHeight="false" outlineLevel="0" collapsed="false">
      <c r="A1677" s="2" t="s">
        <v>5345</v>
      </c>
      <c r="B1677" s="2" t="s">
        <v>5346</v>
      </c>
      <c r="C1677" s="2" t="s">
        <v>5347</v>
      </c>
      <c r="D1677" s="13" t="n">
        <v>45783.6291666667</v>
      </c>
      <c r="E1677" s="2" t="s">
        <v>39</v>
      </c>
      <c r="F1677" s="2" t="s">
        <v>27</v>
      </c>
      <c r="G1677" s="2" t="n">
        <v>2804.41</v>
      </c>
      <c r="H1677" s="2" t="n">
        <v>8.09</v>
      </c>
      <c r="I1677" s="2" t="s">
        <v>26</v>
      </c>
      <c r="J1677" s="2" t="s">
        <v>5348</v>
      </c>
      <c r="K1677" s="2" t="s">
        <v>89</v>
      </c>
      <c r="L1677" s="2"/>
      <c r="M1677" s="2" t="s">
        <v>1304</v>
      </c>
    </row>
    <row r="1678" customFormat="false" ht="15" hidden="false" customHeight="false" outlineLevel="0" collapsed="false">
      <c r="A1678" s="2" t="s">
        <v>5349</v>
      </c>
      <c r="B1678" s="2" t="s">
        <v>1238</v>
      </c>
      <c r="C1678" s="2" t="s">
        <v>1239</v>
      </c>
      <c r="D1678" s="13" t="n">
        <v>45632.7888888889</v>
      </c>
      <c r="E1678" s="2" t="s">
        <v>39</v>
      </c>
      <c r="F1678" s="2" t="s">
        <v>29</v>
      </c>
      <c r="G1678" s="2" t="n">
        <v>1452.19</v>
      </c>
      <c r="H1678" s="2" t="n">
        <v>8.71</v>
      </c>
      <c r="I1678" s="2" t="s">
        <v>26</v>
      </c>
      <c r="J1678" s="2" t="s">
        <v>5350</v>
      </c>
      <c r="K1678" s="2" t="s">
        <v>101</v>
      </c>
      <c r="L1678" s="2" t="s">
        <v>213</v>
      </c>
      <c r="M1678" s="2"/>
    </row>
    <row r="1679" customFormat="false" ht="15" hidden="false" customHeight="false" outlineLevel="0" collapsed="false">
      <c r="A1679" s="2" t="s">
        <v>5351</v>
      </c>
      <c r="B1679" s="2" t="s">
        <v>109</v>
      </c>
      <c r="C1679" s="2" t="s">
        <v>110</v>
      </c>
      <c r="D1679" s="13" t="n">
        <v>45817.4215277778</v>
      </c>
      <c r="E1679" s="2" t="s">
        <v>35</v>
      </c>
      <c r="F1679" s="2" t="s">
        <v>27</v>
      </c>
      <c r="G1679" s="2" t="n">
        <v>7225.27</v>
      </c>
      <c r="H1679" s="2" t="n">
        <v>72.2</v>
      </c>
      <c r="I1679" s="2" t="s">
        <v>26</v>
      </c>
      <c r="J1679" s="2" t="s">
        <v>5352</v>
      </c>
      <c r="K1679" s="2" t="s">
        <v>89</v>
      </c>
      <c r="L1679" s="2"/>
      <c r="M1679" s="2" t="s">
        <v>1677</v>
      </c>
    </row>
    <row r="1680" customFormat="false" ht="15" hidden="false" customHeight="false" outlineLevel="0" collapsed="false">
      <c r="A1680" s="2" t="s">
        <v>5353</v>
      </c>
      <c r="B1680" s="2" t="s">
        <v>2082</v>
      </c>
      <c r="C1680" s="2" t="s">
        <v>2083</v>
      </c>
      <c r="D1680" s="13" t="n">
        <v>45611.5722222222</v>
      </c>
      <c r="E1680" s="2" t="s">
        <v>37</v>
      </c>
      <c r="F1680" s="2" t="s">
        <v>31</v>
      </c>
      <c r="G1680" s="2" t="n">
        <v>3221.56</v>
      </c>
      <c r="H1680" s="2" t="n">
        <v>19.78</v>
      </c>
      <c r="I1680" s="2" t="s">
        <v>26</v>
      </c>
      <c r="J1680" s="2" t="s">
        <v>5354</v>
      </c>
      <c r="K1680" s="2" t="s">
        <v>101</v>
      </c>
      <c r="L1680" s="2" t="s">
        <v>1504</v>
      </c>
      <c r="M1680" s="2"/>
    </row>
    <row r="1681" customFormat="false" ht="15" hidden="false" customHeight="false" outlineLevel="0" collapsed="false">
      <c r="A1681" s="2" t="s">
        <v>5355</v>
      </c>
      <c r="B1681" s="2" t="s">
        <v>5356</v>
      </c>
      <c r="C1681" s="2" t="s">
        <v>5357</v>
      </c>
      <c r="D1681" s="13" t="n">
        <v>45323.5805555556</v>
      </c>
      <c r="E1681" s="2" t="s">
        <v>37</v>
      </c>
      <c r="F1681" s="2" t="s">
        <v>31</v>
      </c>
      <c r="G1681" s="2" t="n">
        <v>3179.96</v>
      </c>
      <c r="H1681" s="2" t="n">
        <v>25.68</v>
      </c>
      <c r="I1681" s="2" t="s">
        <v>26</v>
      </c>
      <c r="J1681" s="2" t="s">
        <v>5358</v>
      </c>
      <c r="K1681" s="2" t="s">
        <v>101</v>
      </c>
      <c r="L1681" s="2" t="s">
        <v>911</v>
      </c>
      <c r="M1681" s="2"/>
    </row>
    <row r="1682" customFormat="false" ht="15" hidden="false" customHeight="false" outlineLevel="0" collapsed="false">
      <c r="A1682" s="2" t="s">
        <v>5359</v>
      </c>
      <c r="B1682" s="2" t="s">
        <v>1071</v>
      </c>
      <c r="C1682" s="2" t="s">
        <v>1072</v>
      </c>
      <c r="D1682" s="13" t="n">
        <v>46018.6416666667</v>
      </c>
      <c r="E1682" s="2" t="s">
        <v>37</v>
      </c>
      <c r="F1682" s="2" t="s">
        <v>29</v>
      </c>
      <c r="G1682" s="2" t="n">
        <v>1595.21</v>
      </c>
      <c r="H1682" s="2" t="n">
        <v>18.66</v>
      </c>
      <c r="I1682" s="2" t="s">
        <v>26</v>
      </c>
      <c r="J1682" s="2" t="s">
        <v>5360</v>
      </c>
      <c r="K1682" s="2" t="s">
        <v>122</v>
      </c>
      <c r="L1682" s="2" t="s">
        <v>916</v>
      </c>
      <c r="M1682" s="2"/>
    </row>
    <row r="1683" customFormat="false" ht="15" hidden="false" customHeight="false" outlineLevel="0" collapsed="false">
      <c r="A1683" s="2" t="s">
        <v>5361</v>
      </c>
      <c r="B1683" s="2" t="s">
        <v>1214</v>
      </c>
      <c r="C1683" s="2" t="s">
        <v>1215</v>
      </c>
      <c r="D1683" s="13" t="n">
        <v>45383.6604166667</v>
      </c>
      <c r="E1683" s="2" t="s">
        <v>35</v>
      </c>
      <c r="F1683" s="2" t="s">
        <v>29</v>
      </c>
      <c r="G1683" s="2" t="n">
        <v>1284.01</v>
      </c>
      <c r="H1683" s="2" t="n">
        <v>12.83</v>
      </c>
      <c r="I1683" s="2" t="s">
        <v>26</v>
      </c>
      <c r="J1683" s="2" t="s">
        <v>5362</v>
      </c>
      <c r="K1683" s="2" t="s">
        <v>101</v>
      </c>
      <c r="L1683" s="2" t="s">
        <v>1513</v>
      </c>
      <c r="M1683" s="2"/>
    </row>
    <row r="1684" customFormat="false" ht="15" hidden="false" customHeight="false" outlineLevel="0" collapsed="false">
      <c r="A1684" s="2" t="s">
        <v>5363</v>
      </c>
      <c r="B1684" s="2" t="s">
        <v>2861</v>
      </c>
      <c r="C1684" s="2" t="s">
        <v>2862</v>
      </c>
      <c r="D1684" s="13" t="n">
        <v>45872.7798611111</v>
      </c>
      <c r="E1684" s="2" t="s">
        <v>39</v>
      </c>
      <c r="F1684" s="2" t="s">
        <v>31</v>
      </c>
      <c r="G1684" s="2" t="n">
        <v>3080.24</v>
      </c>
      <c r="H1684" s="2" t="n">
        <v>6.43</v>
      </c>
      <c r="I1684" s="2" t="s">
        <v>26</v>
      </c>
      <c r="J1684" s="2" t="s">
        <v>5364</v>
      </c>
      <c r="K1684" s="2" t="s">
        <v>122</v>
      </c>
      <c r="L1684" s="2" t="s">
        <v>243</v>
      </c>
      <c r="M1684" s="2"/>
    </row>
    <row r="1685" customFormat="false" ht="15" hidden="false" customHeight="false" outlineLevel="0" collapsed="false">
      <c r="A1685" s="2" t="s">
        <v>5365</v>
      </c>
      <c r="B1685" s="2" t="s">
        <v>5366</v>
      </c>
      <c r="C1685" s="2" t="s">
        <v>5367</v>
      </c>
      <c r="D1685" s="13" t="n">
        <v>45432.4798611111</v>
      </c>
      <c r="E1685" s="2" t="s">
        <v>35</v>
      </c>
      <c r="F1685" s="2" t="s">
        <v>32</v>
      </c>
      <c r="G1685" s="2" t="n">
        <v>14608.23</v>
      </c>
      <c r="H1685" s="2" t="n">
        <v>114.97</v>
      </c>
      <c r="I1685" s="2" t="s">
        <v>30</v>
      </c>
      <c r="J1685" s="2" t="s">
        <v>5368</v>
      </c>
      <c r="K1685" s="2" t="s">
        <v>89</v>
      </c>
      <c r="L1685" s="2" t="s">
        <v>248</v>
      </c>
      <c r="M1685" s="2"/>
    </row>
    <row r="1686" customFormat="false" ht="15" hidden="false" customHeight="false" outlineLevel="0" collapsed="false">
      <c r="A1686" s="2" t="s">
        <v>5369</v>
      </c>
      <c r="B1686" s="2" t="s">
        <v>969</v>
      </c>
      <c r="C1686" s="2" t="s">
        <v>970</v>
      </c>
      <c r="D1686" s="13" t="n">
        <v>45747.5583333333</v>
      </c>
      <c r="E1686" s="2" t="s">
        <v>39</v>
      </c>
      <c r="F1686" s="2" t="s">
        <v>29</v>
      </c>
      <c r="G1686" s="2" t="n">
        <v>7825.13</v>
      </c>
      <c r="H1686" s="2" t="n">
        <v>44.42</v>
      </c>
      <c r="I1686" s="2" t="s">
        <v>30</v>
      </c>
      <c r="J1686" s="2" t="s">
        <v>5370</v>
      </c>
      <c r="K1686" s="2" t="s">
        <v>122</v>
      </c>
      <c r="L1686" s="2" t="s">
        <v>253</v>
      </c>
      <c r="M1686" s="2"/>
    </row>
    <row r="1687" customFormat="false" ht="15" hidden="false" customHeight="false" outlineLevel="0" collapsed="false">
      <c r="A1687" s="2" t="s">
        <v>5371</v>
      </c>
      <c r="B1687" s="2" t="s">
        <v>5262</v>
      </c>
      <c r="C1687" s="2" t="s">
        <v>5263</v>
      </c>
      <c r="D1687" s="13" t="n">
        <v>45891.5527777778</v>
      </c>
      <c r="E1687" s="2" t="s">
        <v>35</v>
      </c>
      <c r="F1687" s="2" t="s">
        <v>31</v>
      </c>
      <c r="G1687" s="2" t="n">
        <v>4977.41</v>
      </c>
      <c r="H1687" s="2" t="n">
        <v>55.68</v>
      </c>
      <c r="I1687" s="2" t="s">
        <v>28</v>
      </c>
      <c r="J1687" s="2" t="s">
        <v>5372</v>
      </c>
      <c r="K1687" s="2" t="s">
        <v>89</v>
      </c>
      <c r="L1687" s="2" t="s">
        <v>258</v>
      </c>
      <c r="M1687" s="2"/>
    </row>
    <row r="1688" customFormat="false" ht="15" hidden="false" customHeight="false" outlineLevel="0" collapsed="false">
      <c r="A1688" s="2" t="s">
        <v>5373</v>
      </c>
      <c r="B1688" s="2" t="s">
        <v>4204</v>
      </c>
      <c r="C1688" s="2" t="s">
        <v>4205</v>
      </c>
      <c r="D1688" s="13" t="n">
        <v>45485.86875</v>
      </c>
      <c r="E1688" s="2" t="s">
        <v>39</v>
      </c>
      <c r="F1688" s="2" t="s">
        <v>32</v>
      </c>
      <c r="G1688" s="2" t="n">
        <v>6295.57</v>
      </c>
      <c r="H1688" s="2" t="n">
        <v>68.72</v>
      </c>
      <c r="I1688" s="2" t="s">
        <v>26</v>
      </c>
      <c r="J1688" s="2" t="s">
        <v>5374</v>
      </c>
      <c r="K1688" s="2" t="s">
        <v>101</v>
      </c>
      <c r="L1688" s="2" t="s">
        <v>940</v>
      </c>
      <c r="M1688" s="2"/>
    </row>
    <row r="1689" customFormat="false" ht="15" hidden="false" customHeight="false" outlineLevel="0" collapsed="false">
      <c r="A1689" s="2" t="s">
        <v>5375</v>
      </c>
      <c r="B1689" s="2" t="s">
        <v>586</v>
      </c>
      <c r="C1689" s="2" t="s">
        <v>587</v>
      </c>
      <c r="D1689" s="13" t="n">
        <v>45570.5798611111</v>
      </c>
      <c r="E1689" s="2" t="s">
        <v>39</v>
      </c>
      <c r="F1689" s="2" t="s">
        <v>27</v>
      </c>
      <c r="G1689" s="2" t="n">
        <v>8959.72</v>
      </c>
      <c r="H1689" s="2" t="n">
        <v>59.44</v>
      </c>
      <c r="I1689" s="2" t="s">
        <v>26</v>
      </c>
      <c r="J1689" s="2" t="s">
        <v>5376</v>
      </c>
      <c r="K1689" s="2" t="s">
        <v>122</v>
      </c>
      <c r="L1689" s="2"/>
      <c r="M1689" s="2" t="s">
        <v>2390</v>
      </c>
    </row>
    <row r="1690" customFormat="false" ht="15" hidden="false" customHeight="false" outlineLevel="0" collapsed="false">
      <c r="A1690" s="2" t="s">
        <v>5377</v>
      </c>
      <c r="B1690" s="2" t="s">
        <v>5378</v>
      </c>
      <c r="C1690" s="2" t="s">
        <v>5379</v>
      </c>
      <c r="D1690" s="13" t="n">
        <v>45876.7395833333</v>
      </c>
      <c r="E1690" s="2" t="s">
        <v>35</v>
      </c>
      <c r="F1690" s="2" t="s">
        <v>32</v>
      </c>
      <c r="G1690" s="2" t="n">
        <v>6093.48</v>
      </c>
      <c r="H1690" s="2" t="n">
        <v>55.44</v>
      </c>
      <c r="I1690" s="2" t="s">
        <v>28</v>
      </c>
      <c r="J1690" s="2" t="s">
        <v>5380</v>
      </c>
      <c r="K1690" s="2" t="s">
        <v>101</v>
      </c>
      <c r="L1690" s="2" t="s">
        <v>1538</v>
      </c>
      <c r="M1690" s="2"/>
    </row>
    <row r="1691" customFormat="false" ht="15" hidden="false" customHeight="false" outlineLevel="0" collapsed="false">
      <c r="A1691" s="2" t="s">
        <v>5381</v>
      </c>
      <c r="B1691" s="2" t="s">
        <v>5382</v>
      </c>
      <c r="C1691" s="2" t="s">
        <v>5383</v>
      </c>
      <c r="D1691" s="13" t="n">
        <v>45583.8104166667</v>
      </c>
      <c r="E1691" s="2" t="s">
        <v>37</v>
      </c>
      <c r="F1691" s="2" t="s">
        <v>29</v>
      </c>
      <c r="G1691" s="2" t="n">
        <v>4840.53</v>
      </c>
      <c r="H1691" s="2" t="n">
        <v>50.11</v>
      </c>
      <c r="I1691" s="2" t="s">
        <v>26</v>
      </c>
      <c r="J1691" s="2" t="s">
        <v>5384</v>
      </c>
      <c r="K1691" s="2" t="s">
        <v>95</v>
      </c>
      <c r="L1691" s="2" t="s">
        <v>1543</v>
      </c>
      <c r="M1691" s="2"/>
    </row>
    <row r="1692" customFormat="false" ht="15" hidden="false" customHeight="false" outlineLevel="0" collapsed="false">
      <c r="A1692" s="2" t="s">
        <v>5385</v>
      </c>
      <c r="B1692" s="2" t="s">
        <v>3104</v>
      </c>
      <c r="C1692" s="2" t="s">
        <v>3105</v>
      </c>
      <c r="D1692" s="13" t="n">
        <v>45643.5222222222</v>
      </c>
      <c r="E1692" s="2" t="s">
        <v>39</v>
      </c>
      <c r="F1692" s="2" t="s">
        <v>27</v>
      </c>
      <c r="G1692" s="2" t="n">
        <v>496.72</v>
      </c>
      <c r="H1692" s="2" t="n">
        <v>5.41</v>
      </c>
      <c r="I1692" s="2" t="s">
        <v>26</v>
      </c>
      <c r="J1692" s="2" t="s">
        <v>5386</v>
      </c>
      <c r="K1692" s="2" t="s">
        <v>101</v>
      </c>
      <c r="L1692" s="2"/>
      <c r="M1692" s="2" t="s">
        <v>531</v>
      </c>
    </row>
    <row r="1693" customFormat="false" ht="15" hidden="false" customHeight="false" outlineLevel="0" collapsed="false">
      <c r="A1693" s="2" t="s">
        <v>5387</v>
      </c>
      <c r="B1693" s="2" t="s">
        <v>5388</v>
      </c>
      <c r="C1693" s="2" t="s">
        <v>5389</v>
      </c>
      <c r="D1693" s="13" t="n">
        <v>45764.6972222222</v>
      </c>
      <c r="E1693" s="2" t="s">
        <v>39</v>
      </c>
      <c r="F1693" s="2" t="s">
        <v>27</v>
      </c>
      <c r="G1693" s="2" t="n">
        <v>11371.38</v>
      </c>
      <c r="H1693" s="2" t="n">
        <v>49.38</v>
      </c>
      <c r="I1693" s="2" t="s">
        <v>30</v>
      </c>
      <c r="J1693" s="2" t="s">
        <v>5390</v>
      </c>
      <c r="K1693" s="2" t="s">
        <v>95</v>
      </c>
      <c r="L1693" s="2"/>
      <c r="M1693" s="2" t="s">
        <v>536</v>
      </c>
    </row>
    <row r="1694" customFormat="false" ht="15" hidden="false" customHeight="false" outlineLevel="0" collapsed="false">
      <c r="A1694" s="2" t="s">
        <v>5391</v>
      </c>
      <c r="B1694" s="2" t="s">
        <v>5392</v>
      </c>
      <c r="C1694" s="2" t="s">
        <v>5393</v>
      </c>
      <c r="D1694" s="13" t="n">
        <v>45525.51875</v>
      </c>
      <c r="E1694" s="2" t="s">
        <v>39</v>
      </c>
      <c r="F1694" s="2" t="s">
        <v>31</v>
      </c>
      <c r="G1694" s="2" t="n">
        <v>973.23</v>
      </c>
      <c r="H1694" s="2" t="n">
        <v>7.84</v>
      </c>
      <c r="I1694" s="2" t="s">
        <v>26</v>
      </c>
      <c r="J1694" s="2" t="s">
        <v>5394</v>
      </c>
      <c r="K1694" s="2" t="s">
        <v>89</v>
      </c>
      <c r="L1694" s="2" t="s">
        <v>293</v>
      </c>
      <c r="M1694" s="2"/>
    </row>
    <row r="1695" customFormat="false" ht="15" hidden="false" customHeight="false" outlineLevel="0" collapsed="false">
      <c r="A1695" s="2" t="s">
        <v>5395</v>
      </c>
      <c r="B1695" s="2" t="s">
        <v>2449</v>
      </c>
      <c r="C1695" s="2" t="s">
        <v>2450</v>
      </c>
      <c r="D1695" s="13" t="n">
        <v>45305.8993055556</v>
      </c>
      <c r="E1695" s="2" t="s">
        <v>35</v>
      </c>
      <c r="F1695" s="2" t="s">
        <v>27</v>
      </c>
      <c r="G1695" s="2" t="n">
        <v>9256.25</v>
      </c>
      <c r="H1695" s="2" t="n">
        <v>77.41</v>
      </c>
      <c r="I1695" s="2" t="s">
        <v>26</v>
      </c>
      <c r="J1695" s="2" t="s">
        <v>5396</v>
      </c>
      <c r="K1695" s="2" t="s">
        <v>89</v>
      </c>
      <c r="L1695" s="2"/>
      <c r="M1695" s="2" t="s">
        <v>546</v>
      </c>
    </row>
    <row r="1696" customFormat="false" ht="15" hidden="false" customHeight="false" outlineLevel="0" collapsed="false">
      <c r="A1696" s="2" t="s">
        <v>5397</v>
      </c>
      <c r="B1696" s="2" t="s">
        <v>5346</v>
      </c>
      <c r="C1696" s="2" t="s">
        <v>5347</v>
      </c>
      <c r="D1696" s="13" t="n">
        <v>45537.3708333333</v>
      </c>
      <c r="E1696" s="2" t="s">
        <v>39</v>
      </c>
      <c r="F1696" s="2" t="s">
        <v>29</v>
      </c>
      <c r="G1696" s="2" t="n">
        <v>23529.67</v>
      </c>
      <c r="H1696" s="2" t="n">
        <v>178.69</v>
      </c>
      <c r="I1696" s="2" t="s">
        <v>26</v>
      </c>
      <c r="J1696" s="2" t="s">
        <v>5398</v>
      </c>
      <c r="K1696" s="2" t="s">
        <v>95</v>
      </c>
      <c r="L1696" s="2" t="s">
        <v>303</v>
      </c>
      <c r="M1696" s="2"/>
    </row>
    <row r="1697" customFormat="false" ht="15" hidden="false" customHeight="false" outlineLevel="0" collapsed="false">
      <c r="A1697" s="2" t="s">
        <v>5399</v>
      </c>
      <c r="B1697" s="2" t="s">
        <v>601</v>
      </c>
      <c r="C1697" s="2" t="s">
        <v>602</v>
      </c>
      <c r="D1697" s="13" t="n">
        <v>45651.4930555556</v>
      </c>
      <c r="E1697" s="2" t="s">
        <v>43</v>
      </c>
      <c r="F1697" s="2" t="s">
        <v>27</v>
      </c>
      <c r="G1697" s="2" t="n">
        <v>4911.06</v>
      </c>
      <c r="H1697" s="2" t="n">
        <v>33.56</v>
      </c>
      <c r="I1697" s="2" t="s">
        <v>30</v>
      </c>
      <c r="J1697" s="2" t="s">
        <v>5400</v>
      </c>
      <c r="K1697" s="2" t="s">
        <v>101</v>
      </c>
      <c r="L1697" s="2"/>
      <c r="M1697" s="2" t="s">
        <v>981</v>
      </c>
    </row>
    <row r="1698" customFormat="false" ht="15" hidden="false" customHeight="false" outlineLevel="0" collapsed="false">
      <c r="A1698" s="2" t="s">
        <v>5401</v>
      </c>
      <c r="B1698" s="2" t="s">
        <v>3000</v>
      </c>
      <c r="C1698" s="2" t="s">
        <v>3001</v>
      </c>
      <c r="D1698" s="13" t="n">
        <v>45707.9416666667</v>
      </c>
      <c r="E1698" s="2" t="s">
        <v>37</v>
      </c>
      <c r="F1698" s="2" t="s">
        <v>27</v>
      </c>
      <c r="G1698" s="2" t="n">
        <v>3237.68</v>
      </c>
      <c r="H1698" s="2" t="n">
        <v>15.34</v>
      </c>
      <c r="I1698" s="2" t="s">
        <v>26</v>
      </c>
      <c r="J1698" s="2" t="s">
        <v>5402</v>
      </c>
      <c r="K1698" s="2" t="s">
        <v>89</v>
      </c>
      <c r="L1698" s="2"/>
      <c r="M1698" s="2" t="s">
        <v>561</v>
      </c>
    </row>
    <row r="1699" customFormat="false" ht="15" hidden="false" customHeight="false" outlineLevel="0" collapsed="false">
      <c r="A1699" s="2" t="s">
        <v>5403</v>
      </c>
      <c r="B1699" s="2" t="s">
        <v>295</v>
      </c>
      <c r="C1699" s="2" t="s">
        <v>296</v>
      </c>
      <c r="D1699" s="13" t="n">
        <v>45822.4972222222</v>
      </c>
      <c r="E1699" s="2" t="s">
        <v>39</v>
      </c>
      <c r="F1699" s="2" t="s">
        <v>31</v>
      </c>
      <c r="G1699" s="2" t="n">
        <v>7541.8</v>
      </c>
      <c r="H1699" s="2" t="n">
        <v>59.92</v>
      </c>
      <c r="I1699" s="2" t="s">
        <v>26</v>
      </c>
      <c r="J1699" s="2" t="s">
        <v>5404</v>
      </c>
      <c r="K1699" s="2" t="s">
        <v>89</v>
      </c>
      <c r="L1699" s="2" t="s">
        <v>318</v>
      </c>
      <c r="M1699" s="2"/>
    </row>
    <row r="1700" customFormat="false" ht="15" hidden="false" customHeight="false" outlineLevel="0" collapsed="false">
      <c r="A1700" s="2" t="s">
        <v>5405</v>
      </c>
      <c r="B1700" s="2" t="s">
        <v>1205</v>
      </c>
      <c r="C1700" s="2" t="s">
        <v>1206</v>
      </c>
      <c r="D1700" s="13" t="n">
        <v>45718.4194444444</v>
      </c>
      <c r="E1700" s="2" t="s">
        <v>39</v>
      </c>
      <c r="F1700" s="2" t="s">
        <v>31</v>
      </c>
      <c r="G1700" s="2" t="n">
        <v>2273.07</v>
      </c>
      <c r="H1700" s="2" t="n">
        <v>10.33</v>
      </c>
      <c r="I1700" s="2" t="s">
        <v>28</v>
      </c>
      <c r="J1700" s="2" t="s">
        <v>5406</v>
      </c>
      <c r="K1700" s="2" t="s">
        <v>95</v>
      </c>
      <c r="L1700" s="2" t="s">
        <v>995</v>
      </c>
      <c r="M1700" s="2"/>
    </row>
    <row r="1701" customFormat="false" ht="15" hidden="false" customHeight="false" outlineLevel="0" collapsed="false">
      <c r="A1701" s="2" t="s">
        <v>5407</v>
      </c>
      <c r="B1701" s="2" t="s">
        <v>3606</v>
      </c>
      <c r="C1701" s="2" t="s">
        <v>3607</v>
      </c>
      <c r="D1701" s="13" t="n">
        <v>45882.8909722222</v>
      </c>
      <c r="E1701" s="2" t="s">
        <v>37</v>
      </c>
      <c r="F1701" s="2" t="s">
        <v>32</v>
      </c>
      <c r="G1701" s="2" t="n">
        <v>7498.23</v>
      </c>
      <c r="H1701" s="2" t="n">
        <v>72.54</v>
      </c>
      <c r="I1701" s="2" t="s">
        <v>30</v>
      </c>
      <c r="J1701" s="2" t="s">
        <v>5408</v>
      </c>
      <c r="K1701" s="2" t="s">
        <v>101</v>
      </c>
      <c r="L1701" s="2" t="s">
        <v>1000</v>
      </c>
      <c r="M1701" s="2"/>
    </row>
    <row r="1702" customFormat="false" ht="15" hidden="false" customHeight="false" outlineLevel="0" collapsed="false">
      <c r="A1702" s="2" t="s">
        <v>5409</v>
      </c>
      <c r="B1702" s="2" t="s">
        <v>2789</v>
      </c>
      <c r="C1702" s="2" t="s">
        <v>2790</v>
      </c>
      <c r="D1702" s="13" t="n">
        <v>46019.5104166667</v>
      </c>
      <c r="E1702" s="2" t="s">
        <v>35</v>
      </c>
      <c r="F1702" s="2" t="s">
        <v>27</v>
      </c>
      <c r="G1702" s="2" t="n">
        <v>3951.18</v>
      </c>
      <c r="H1702" s="2" t="n">
        <v>26.98</v>
      </c>
      <c r="I1702" s="2" t="s">
        <v>26</v>
      </c>
      <c r="J1702" s="2" t="s">
        <v>5410</v>
      </c>
      <c r="K1702" s="2" t="s">
        <v>89</v>
      </c>
      <c r="L1702" s="2"/>
      <c r="M1702" s="2" t="s">
        <v>581</v>
      </c>
    </row>
    <row r="1703" customFormat="false" ht="15" hidden="false" customHeight="false" outlineLevel="0" collapsed="false">
      <c r="A1703" s="2" t="s">
        <v>5411</v>
      </c>
      <c r="B1703" s="2" t="s">
        <v>5412</v>
      </c>
      <c r="C1703" s="2" t="s">
        <v>5413</v>
      </c>
      <c r="D1703" s="13" t="n">
        <v>45772.4444444445</v>
      </c>
      <c r="E1703" s="2" t="s">
        <v>39</v>
      </c>
      <c r="F1703" s="2" t="s">
        <v>32</v>
      </c>
      <c r="G1703" s="2" t="n">
        <v>1809.65</v>
      </c>
      <c r="H1703" s="2" t="n">
        <v>9.67</v>
      </c>
      <c r="I1703" s="2" t="s">
        <v>26</v>
      </c>
      <c r="J1703" s="2" t="s">
        <v>5414</v>
      </c>
      <c r="K1703" s="2" t="s">
        <v>89</v>
      </c>
      <c r="L1703" s="2" t="s">
        <v>338</v>
      </c>
      <c r="M1703" s="2"/>
    </row>
    <row r="1704" customFormat="false" ht="15" hidden="false" customHeight="false" outlineLevel="0" collapsed="false">
      <c r="A1704" s="2" t="s">
        <v>5415</v>
      </c>
      <c r="B1704" s="2" t="s">
        <v>5416</v>
      </c>
      <c r="C1704" s="2" t="s">
        <v>5417</v>
      </c>
      <c r="D1704" s="13" t="n">
        <v>45459.5173611111</v>
      </c>
      <c r="E1704" s="2" t="s">
        <v>37</v>
      </c>
      <c r="F1704" s="2" t="s">
        <v>27</v>
      </c>
      <c r="G1704" s="2" t="n">
        <v>1447.75</v>
      </c>
      <c r="H1704" s="2" t="n">
        <v>5</v>
      </c>
      <c r="I1704" s="2" t="s">
        <v>26</v>
      </c>
      <c r="J1704" s="2" t="s">
        <v>5418</v>
      </c>
      <c r="K1704" s="2" t="s">
        <v>89</v>
      </c>
      <c r="L1704" s="2"/>
      <c r="M1704" s="2" t="s">
        <v>2435</v>
      </c>
    </row>
    <row r="1705" customFormat="false" ht="15" hidden="false" customHeight="false" outlineLevel="0" collapsed="false">
      <c r="A1705" s="2" t="s">
        <v>5419</v>
      </c>
      <c r="B1705" s="2" t="s">
        <v>5170</v>
      </c>
      <c r="C1705" s="2" t="s">
        <v>5171</v>
      </c>
      <c r="D1705" s="13" t="n">
        <v>45846.8493055556</v>
      </c>
      <c r="E1705" s="2" t="s">
        <v>35</v>
      </c>
      <c r="F1705" s="2" t="s">
        <v>27</v>
      </c>
      <c r="G1705" s="2" t="n">
        <v>4481.76</v>
      </c>
      <c r="H1705" s="2" t="n">
        <v>34.56</v>
      </c>
      <c r="I1705" s="2" t="s">
        <v>26</v>
      </c>
      <c r="J1705" s="2" t="s">
        <v>5420</v>
      </c>
      <c r="K1705" s="2" t="s">
        <v>122</v>
      </c>
      <c r="L1705" s="2"/>
      <c r="M1705" s="2" t="s">
        <v>594</v>
      </c>
    </row>
    <row r="1706" customFormat="false" ht="15" hidden="false" customHeight="false" outlineLevel="0" collapsed="false">
      <c r="A1706" s="2" t="s">
        <v>5421</v>
      </c>
      <c r="B1706" s="2" t="s">
        <v>1410</v>
      </c>
      <c r="C1706" s="2" t="s">
        <v>1411</v>
      </c>
      <c r="D1706" s="13" t="n">
        <v>45704.4625</v>
      </c>
      <c r="E1706" s="2" t="s">
        <v>37</v>
      </c>
      <c r="F1706" s="2" t="s">
        <v>31</v>
      </c>
      <c r="G1706" s="2" t="n">
        <v>11911.54</v>
      </c>
      <c r="H1706" s="2" t="n">
        <v>141.02</v>
      </c>
      <c r="I1706" s="2" t="s">
        <v>26</v>
      </c>
      <c r="J1706" s="2" t="s">
        <v>5422</v>
      </c>
      <c r="K1706" s="2" t="s">
        <v>122</v>
      </c>
      <c r="L1706" s="2" t="s">
        <v>353</v>
      </c>
      <c r="M1706" s="2"/>
    </row>
    <row r="1707" customFormat="false" ht="15" hidden="false" customHeight="false" outlineLevel="0" collapsed="false">
      <c r="A1707" s="2" t="s">
        <v>5423</v>
      </c>
      <c r="B1707" s="2" t="s">
        <v>2290</v>
      </c>
      <c r="C1707" s="2" t="s">
        <v>2291</v>
      </c>
      <c r="D1707" s="13" t="n">
        <v>45354.8736111111</v>
      </c>
      <c r="E1707" s="2" t="s">
        <v>43</v>
      </c>
      <c r="F1707" s="2" t="s">
        <v>32</v>
      </c>
      <c r="G1707" s="2" t="n">
        <v>18973.03</v>
      </c>
      <c r="H1707" s="2" t="n">
        <v>180.52</v>
      </c>
      <c r="I1707" s="2" t="s">
        <v>26</v>
      </c>
      <c r="J1707" s="2" t="s">
        <v>5424</v>
      </c>
      <c r="K1707" s="2" t="s">
        <v>89</v>
      </c>
      <c r="L1707" s="2"/>
      <c r="M1707" s="2" t="s">
        <v>1778</v>
      </c>
    </row>
    <row r="1708" customFormat="false" ht="15" hidden="false" customHeight="false" outlineLevel="0" collapsed="false">
      <c r="A1708" s="2" t="s">
        <v>5425</v>
      </c>
      <c r="B1708" s="2" t="s">
        <v>4578</v>
      </c>
      <c r="C1708" s="2" t="s">
        <v>4579</v>
      </c>
      <c r="D1708" s="13" t="n">
        <v>46015.3583333333</v>
      </c>
      <c r="E1708" s="2" t="s">
        <v>37</v>
      </c>
      <c r="F1708" s="2" t="s">
        <v>27</v>
      </c>
      <c r="G1708" s="2" t="n">
        <v>1604.96</v>
      </c>
      <c r="H1708" s="2" t="n">
        <v>12.74</v>
      </c>
      <c r="I1708" s="2" t="s">
        <v>30</v>
      </c>
      <c r="J1708" s="2" t="s">
        <v>5426</v>
      </c>
      <c r="K1708" s="2" t="s">
        <v>101</v>
      </c>
      <c r="L1708" s="2"/>
      <c r="M1708" s="2" t="s">
        <v>1023</v>
      </c>
    </row>
    <row r="1709" customFormat="false" ht="15" hidden="false" customHeight="false" outlineLevel="0" collapsed="false">
      <c r="A1709" s="2" t="s">
        <v>5427</v>
      </c>
      <c r="B1709" s="2" t="s">
        <v>1341</v>
      </c>
      <c r="C1709" s="2" t="s">
        <v>1342</v>
      </c>
      <c r="D1709" s="13" t="n">
        <v>45742.8743055556</v>
      </c>
      <c r="E1709" s="2" t="s">
        <v>37</v>
      </c>
      <c r="F1709" s="2" t="s">
        <v>29</v>
      </c>
      <c r="G1709" s="2" t="n">
        <v>9153.34</v>
      </c>
      <c r="H1709" s="2" t="n">
        <v>50.12</v>
      </c>
      <c r="I1709" s="2" t="s">
        <v>30</v>
      </c>
      <c r="J1709" s="2" t="s">
        <v>5428</v>
      </c>
      <c r="K1709" s="2" t="s">
        <v>101</v>
      </c>
      <c r="L1709" s="2" t="s">
        <v>368</v>
      </c>
      <c r="M1709" s="2"/>
    </row>
    <row r="1710" customFormat="false" ht="15" hidden="false" customHeight="false" outlineLevel="0" collapsed="false">
      <c r="A1710" s="2" t="s">
        <v>5429</v>
      </c>
      <c r="B1710" s="2" t="s">
        <v>624</v>
      </c>
      <c r="C1710" s="2" t="s">
        <v>625</v>
      </c>
      <c r="D1710" s="13" t="n">
        <v>45640.8055555556</v>
      </c>
      <c r="E1710" s="2" t="s">
        <v>35</v>
      </c>
      <c r="F1710" s="2" t="s">
        <v>31</v>
      </c>
      <c r="G1710" s="2" t="n">
        <v>3378.74</v>
      </c>
      <c r="H1710" s="2" t="n">
        <v>20.11</v>
      </c>
      <c r="I1710" s="2" t="s">
        <v>28</v>
      </c>
      <c r="J1710" s="2" t="s">
        <v>5430</v>
      </c>
      <c r="K1710" s="2" t="s">
        <v>95</v>
      </c>
      <c r="L1710" s="2" t="s">
        <v>373</v>
      </c>
      <c r="M1710" s="2"/>
    </row>
    <row r="1711" customFormat="false" ht="15" hidden="false" customHeight="false" outlineLevel="0" collapsed="false">
      <c r="A1711" s="2" t="s">
        <v>5431</v>
      </c>
      <c r="B1711" s="2" t="s">
        <v>2515</v>
      </c>
      <c r="C1711" s="2" t="s">
        <v>2516</v>
      </c>
      <c r="D1711" s="13" t="n">
        <v>45397.9006944444</v>
      </c>
      <c r="E1711" s="2" t="s">
        <v>39</v>
      </c>
      <c r="F1711" s="2" t="s">
        <v>32</v>
      </c>
      <c r="G1711" s="2" t="n">
        <v>1902.33</v>
      </c>
      <c r="H1711" s="2" t="n">
        <v>10.46</v>
      </c>
      <c r="I1711" s="2" t="s">
        <v>26</v>
      </c>
      <c r="J1711" s="2" t="s">
        <v>5432</v>
      </c>
      <c r="K1711" s="2" t="s">
        <v>101</v>
      </c>
      <c r="L1711" s="2" t="s">
        <v>1034</v>
      </c>
      <c r="M1711" s="2"/>
    </row>
    <row r="1712" customFormat="false" ht="15" hidden="false" customHeight="false" outlineLevel="0" collapsed="false">
      <c r="A1712" s="2" t="s">
        <v>5433</v>
      </c>
      <c r="B1712" s="2" t="s">
        <v>3126</v>
      </c>
      <c r="C1712" s="2" t="s">
        <v>3127</v>
      </c>
      <c r="D1712" s="13" t="n">
        <v>45427.4604166667</v>
      </c>
      <c r="E1712" s="2" t="s">
        <v>37</v>
      </c>
      <c r="F1712" s="2" t="s">
        <v>29</v>
      </c>
      <c r="G1712" s="2" t="n">
        <v>2207.01</v>
      </c>
      <c r="H1712" s="2" t="n">
        <v>23.07</v>
      </c>
      <c r="I1712" s="2" t="s">
        <v>26</v>
      </c>
      <c r="J1712" s="2" t="s">
        <v>5434</v>
      </c>
      <c r="K1712" s="2" t="s">
        <v>95</v>
      </c>
      <c r="L1712" s="2" t="s">
        <v>1039</v>
      </c>
      <c r="M1712" s="2"/>
    </row>
    <row r="1713" customFormat="false" ht="15" hidden="false" customHeight="false" outlineLevel="0" collapsed="false">
      <c r="A1713" s="2" t="s">
        <v>5435</v>
      </c>
      <c r="B1713" s="2" t="s">
        <v>285</v>
      </c>
      <c r="C1713" s="2" t="s">
        <v>286</v>
      </c>
      <c r="D1713" s="13" t="n">
        <v>45672.8847222222</v>
      </c>
      <c r="E1713" s="2" t="s">
        <v>39</v>
      </c>
      <c r="F1713" s="2" t="s">
        <v>27</v>
      </c>
      <c r="G1713" s="2" t="n">
        <v>1284.05</v>
      </c>
      <c r="H1713" s="2" t="n">
        <v>11.76</v>
      </c>
      <c r="I1713" s="2" t="s">
        <v>26</v>
      </c>
      <c r="J1713" s="2" t="s">
        <v>5436</v>
      </c>
      <c r="K1713" s="2" t="s">
        <v>89</v>
      </c>
      <c r="L1713" s="2"/>
      <c r="M1713" s="2" t="s">
        <v>144</v>
      </c>
    </row>
    <row r="1714" customFormat="false" ht="15" hidden="false" customHeight="false" outlineLevel="0" collapsed="false">
      <c r="A1714" s="2" t="s">
        <v>5437</v>
      </c>
      <c r="B1714" s="2" t="s">
        <v>1348</v>
      </c>
      <c r="C1714" s="2" t="s">
        <v>1349</v>
      </c>
      <c r="D1714" s="13" t="n">
        <v>45682.5979166667</v>
      </c>
      <c r="E1714" s="2" t="s">
        <v>41</v>
      </c>
      <c r="F1714" s="2" t="s">
        <v>29</v>
      </c>
      <c r="G1714" s="2" t="n">
        <v>932.35</v>
      </c>
      <c r="H1714" s="2" t="n">
        <v>5</v>
      </c>
      <c r="I1714" s="2" t="s">
        <v>26</v>
      </c>
      <c r="J1714" s="2" t="s">
        <v>5438</v>
      </c>
      <c r="K1714" s="2" t="s">
        <v>122</v>
      </c>
      <c r="L1714" s="2" t="s">
        <v>393</v>
      </c>
      <c r="M1714" s="2"/>
    </row>
    <row r="1715" customFormat="false" ht="15" hidden="false" customHeight="false" outlineLevel="0" collapsed="false">
      <c r="A1715" s="2" t="s">
        <v>5439</v>
      </c>
      <c r="B1715" s="2" t="s">
        <v>4778</v>
      </c>
      <c r="C1715" s="2" t="s">
        <v>4779</v>
      </c>
      <c r="D1715" s="13" t="n">
        <v>45782.7548611111</v>
      </c>
      <c r="E1715" s="2" t="s">
        <v>43</v>
      </c>
      <c r="F1715" s="2" t="s">
        <v>31</v>
      </c>
      <c r="G1715" s="2" t="n">
        <v>444.53</v>
      </c>
      <c r="H1715" s="2" t="n">
        <v>5</v>
      </c>
      <c r="I1715" s="2" t="s">
        <v>26</v>
      </c>
      <c r="J1715" s="2" t="s">
        <v>5440</v>
      </c>
      <c r="K1715" s="2" t="s">
        <v>101</v>
      </c>
      <c r="L1715" s="2"/>
      <c r="M1715" s="2" t="s">
        <v>1053</v>
      </c>
    </row>
    <row r="1716" customFormat="false" ht="15" hidden="false" customHeight="false" outlineLevel="0" collapsed="false">
      <c r="A1716" s="2" t="s">
        <v>5441</v>
      </c>
      <c r="B1716" s="2" t="s">
        <v>642</v>
      </c>
      <c r="C1716" s="2" t="s">
        <v>643</v>
      </c>
      <c r="D1716" s="13" t="n">
        <v>45506.8236111111</v>
      </c>
      <c r="E1716" s="2" t="s">
        <v>41</v>
      </c>
      <c r="F1716" s="2" t="s">
        <v>32</v>
      </c>
      <c r="G1716" s="2" t="n">
        <v>13760.07</v>
      </c>
      <c r="H1716" s="2" t="n">
        <v>155.59</v>
      </c>
      <c r="I1716" s="2" t="s">
        <v>26</v>
      </c>
      <c r="J1716" s="2" t="s">
        <v>5442</v>
      </c>
      <c r="K1716" s="2" t="s">
        <v>122</v>
      </c>
      <c r="L1716" s="2" t="s">
        <v>403</v>
      </c>
      <c r="M1716" s="2"/>
    </row>
    <row r="1717" customFormat="false" ht="15" hidden="false" customHeight="false" outlineLevel="0" collapsed="false">
      <c r="A1717" s="2" t="s">
        <v>5443</v>
      </c>
      <c r="B1717" s="2" t="s">
        <v>965</v>
      </c>
      <c r="C1717" s="2" t="s">
        <v>966</v>
      </c>
      <c r="D1717" s="13" t="n">
        <v>45514.6305555556</v>
      </c>
      <c r="E1717" s="2" t="s">
        <v>43</v>
      </c>
      <c r="F1717" s="2" t="s">
        <v>32</v>
      </c>
      <c r="G1717" s="2" t="n">
        <v>6016.9</v>
      </c>
      <c r="H1717" s="2" t="n">
        <v>68.98</v>
      </c>
      <c r="I1717" s="2" t="s">
        <v>26</v>
      </c>
      <c r="J1717" s="2" t="s">
        <v>5444</v>
      </c>
      <c r="K1717" s="2" t="s">
        <v>95</v>
      </c>
      <c r="L1717" s="2"/>
      <c r="M1717" s="2" t="s">
        <v>1453</v>
      </c>
    </row>
    <row r="1718" customFormat="false" ht="15" hidden="false" customHeight="false" outlineLevel="0" collapsed="false">
      <c r="A1718" s="2" t="s">
        <v>5445</v>
      </c>
      <c r="B1718" s="2" t="s">
        <v>5446</v>
      </c>
      <c r="C1718" s="2" t="s">
        <v>5447</v>
      </c>
      <c r="D1718" s="13" t="n">
        <v>45516.9465277778</v>
      </c>
      <c r="E1718" s="2" t="s">
        <v>39</v>
      </c>
      <c r="F1718" s="2" t="s">
        <v>31</v>
      </c>
      <c r="G1718" s="2" t="n">
        <v>1743.18</v>
      </c>
      <c r="H1718" s="2" t="n">
        <v>13.59</v>
      </c>
      <c r="I1718" s="2" t="s">
        <v>26</v>
      </c>
      <c r="J1718" s="2" t="s">
        <v>5448</v>
      </c>
      <c r="K1718" s="2" t="s">
        <v>95</v>
      </c>
      <c r="L1718" s="2" t="s">
        <v>413</v>
      </c>
      <c r="M1718" s="2"/>
    </row>
    <row r="1719" customFormat="false" ht="15" hidden="false" customHeight="false" outlineLevel="0" collapsed="false">
      <c r="A1719" s="2" t="s">
        <v>5449</v>
      </c>
      <c r="B1719" s="2" t="s">
        <v>1918</v>
      </c>
      <c r="C1719" s="2" t="s">
        <v>1919</v>
      </c>
      <c r="D1719" s="13" t="n">
        <v>45774.3333333333</v>
      </c>
      <c r="E1719" s="2" t="s">
        <v>41</v>
      </c>
      <c r="F1719" s="2" t="s">
        <v>29</v>
      </c>
      <c r="G1719" s="2" t="n">
        <v>4809.05</v>
      </c>
      <c r="H1719" s="2" t="n">
        <v>16.47</v>
      </c>
      <c r="I1719" s="2" t="s">
        <v>26</v>
      </c>
      <c r="J1719" s="2" t="s">
        <v>5450</v>
      </c>
      <c r="K1719" s="2" t="s">
        <v>95</v>
      </c>
      <c r="L1719" s="2" t="s">
        <v>418</v>
      </c>
      <c r="M1719" s="2"/>
    </row>
    <row r="1720" customFormat="false" ht="15" hidden="false" customHeight="false" outlineLevel="0" collapsed="false">
      <c r="A1720" s="2" t="s">
        <v>5451</v>
      </c>
      <c r="B1720" s="2" t="s">
        <v>255</v>
      </c>
      <c r="C1720" s="2" t="s">
        <v>256</v>
      </c>
      <c r="D1720" s="13" t="n">
        <v>45748.3034722222</v>
      </c>
      <c r="E1720" s="2" t="s">
        <v>39</v>
      </c>
      <c r="F1720" s="2" t="s">
        <v>32</v>
      </c>
      <c r="G1720" s="2" t="n">
        <v>2045.18</v>
      </c>
      <c r="H1720" s="2" t="n">
        <v>19.67</v>
      </c>
      <c r="I1720" s="2" t="s">
        <v>28</v>
      </c>
      <c r="J1720" s="2" t="s">
        <v>5452</v>
      </c>
      <c r="K1720" s="2" t="s">
        <v>101</v>
      </c>
      <c r="L1720" s="2" t="s">
        <v>423</v>
      </c>
      <c r="M1720" s="2"/>
    </row>
    <row r="1721" customFormat="false" ht="15" hidden="false" customHeight="false" outlineLevel="0" collapsed="false">
      <c r="A1721" s="2" t="s">
        <v>5453</v>
      </c>
      <c r="B1721" s="2" t="s">
        <v>538</v>
      </c>
      <c r="C1721" s="2" t="s">
        <v>539</v>
      </c>
      <c r="D1721" s="13" t="n">
        <v>45700.3805555556</v>
      </c>
      <c r="E1721" s="2" t="s">
        <v>39</v>
      </c>
      <c r="F1721" s="2" t="s">
        <v>29</v>
      </c>
      <c r="G1721" s="2" t="n">
        <v>2520.23</v>
      </c>
      <c r="H1721" s="2" t="n">
        <v>18.84</v>
      </c>
      <c r="I1721" s="2" t="s">
        <v>26</v>
      </c>
      <c r="J1721" s="2" t="s">
        <v>5454</v>
      </c>
      <c r="K1721" s="2" t="s">
        <v>95</v>
      </c>
      <c r="L1721" s="2" t="s">
        <v>428</v>
      </c>
      <c r="M1721" s="2"/>
    </row>
    <row r="1722" customFormat="false" ht="15" hidden="false" customHeight="false" outlineLevel="0" collapsed="false">
      <c r="A1722" s="2" t="s">
        <v>5455</v>
      </c>
      <c r="B1722" s="2" t="s">
        <v>1947</v>
      </c>
      <c r="C1722" s="2" t="s">
        <v>1948</v>
      </c>
      <c r="D1722" s="13" t="n">
        <v>45395.7833333333</v>
      </c>
      <c r="E1722" s="2" t="s">
        <v>43</v>
      </c>
      <c r="F1722" s="2" t="s">
        <v>31</v>
      </c>
      <c r="G1722" s="2" t="n">
        <v>3764.59</v>
      </c>
      <c r="H1722" s="2" t="n">
        <v>32.33</v>
      </c>
      <c r="I1722" s="2" t="s">
        <v>30</v>
      </c>
      <c r="J1722" s="2" t="s">
        <v>5456</v>
      </c>
      <c r="K1722" s="2" t="s">
        <v>122</v>
      </c>
      <c r="L1722" s="2"/>
      <c r="M1722" s="2" t="s">
        <v>183</v>
      </c>
    </row>
    <row r="1723" customFormat="false" ht="15" hidden="false" customHeight="false" outlineLevel="0" collapsed="false">
      <c r="A1723" s="2" t="s">
        <v>5457</v>
      </c>
      <c r="B1723" s="2" t="s">
        <v>3764</v>
      </c>
      <c r="C1723" s="2" t="s">
        <v>3765</v>
      </c>
      <c r="D1723" s="13" t="n">
        <v>45670.7631944444</v>
      </c>
      <c r="E1723" s="2" t="s">
        <v>35</v>
      </c>
      <c r="F1723" s="2" t="s">
        <v>27</v>
      </c>
      <c r="G1723" s="2" t="n">
        <v>535.26</v>
      </c>
      <c r="H1723" s="2" t="n">
        <v>5</v>
      </c>
      <c r="I1723" s="2" t="s">
        <v>30</v>
      </c>
      <c r="J1723" s="2" t="s">
        <v>5458</v>
      </c>
      <c r="K1723" s="2" t="s">
        <v>95</v>
      </c>
      <c r="L1723" s="2"/>
      <c r="M1723" s="2" t="s">
        <v>1084</v>
      </c>
    </row>
    <row r="1724" customFormat="false" ht="15" hidden="false" customHeight="false" outlineLevel="0" collapsed="false">
      <c r="A1724" s="2" t="s">
        <v>5459</v>
      </c>
      <c r="B1724" s="2" t="s">
        <v>3138</v>
      </c>
      <c r="C1724" s="2" t="s">
        <v>3139</v>
      </c>
      <c r="D1724" s="13" t="n">
        <v>45927.51875</v>
      </c>
      <c r="E1724" s="2" t="s">
        <v>37</v>
      </c>
      <c r="F1724" s="2" t="s">
        <v>32</v>
      </c>
      <c r="G1724" s="2" t="n">
        <v>2359.22</v>
      </c>
      <c r="H1724" s="2" t="n">
        <v>21.55</v>
      </c>
      <c r="I1724" s="2" t="s">
        <v>30</v>
      </c>
      <c r="J1724" s="2" t="s">
        <v>5460</v>
      </c>
      <c r="K1724" s="2" t="s">
        <v>122</v>
      </c>
      <c r="L1724" s="2" t="s">
        <v>443</v>
      </c>
      <c r="M1724" s="2"/>
    </row>
    <row r="1725" customFormat="false" ht="15" hidden="false" customHeight="false" outlineLevel="0" collapsed="false">
      <c r="A1725" s="2" t="s">
        <v>5461</v>
      </c>
      <c r="B1725" s="2" t="s">
        <v>1094</v>
      </c>
      <c r="C1725" s="2" t="s">
        <v>1095</v>
      </c>
      <c r="D1725" s="13" t="n">
        <v>45834.7770833333</v>
      </c>
      <c r="E1725" s="2" t="s">
        <v>43</v>
      </c>
      <c r="F1725" s="2" t="s">
        <v>32</v>
      </c>
      <c r="G1725" s="2" t="n">
        <v>632.08</v>
      </c>
      <c r="H1725" s="2" t="n">
        <v>5</v>
      </c>
      <c r="I1725" s="2" t="s">
        <v>30</v>
      </c>
      <c r="J1725" s="2" t="s">
        <v>5462</v>
      </c>
      <c r="K1725" s="2" t="s">
        <v>89</v>
      </c>
      <c r="L1725" s="2"/>
      <c r="M1725" s="2" t="s">
        <v>198</v>
      </c>
    </row>
    <row r="1726" customFormat="false" ht="15" hidden="false" customHeight="false" outlineLevel="0" collapsed="false">
      <c r="A1726" s="2" t="s">
        <v>5463</v>
      </c>
      <c r="B1726" s="2" t="s">
        <v>2268</v>
      </c>
      <c r="C1726" s="2" t="s">
        <v>2269</v>
      </c>
      <c r="D1726" s="13" t="n">
        <v>45909.9020833333</v>
      </c>
      <c r="E1726" s="2" t="s">
        <v>43</v>
      </c>
      <c r="F1726" s="2" t="s">
        <v>32</v>
      </c>
      <c r="G1726" s="2" t="n">
        <v>15131.86</v>
      </c>
      <c r="H1726" s="2" t="n">
        <v>168.92</v>
      </c>
      <c r="I1726" s="2" t="s">
        <v>30</v>
      </c>
      <c r="J1726" s="2" t="s">
        <v>5464</v>
      </c>
      <c r="K1726" s="2" t="s">
        <v>95</v>
      </c>
      <c r="L1726" s="2"/>
      <c r="M1726" s="2" t="s">
        <v>203</v>
      </c>
    </row>
    <row r="1727" customFormat="false" ht="15" hidden="false" customHeight="false" outlineLevel="0" collapsed="false">
      <c r="A1727" s="2" t="s">
        <v>5465</v>
      </c>
      <c r="B1727" s="2" t="s">
        <v>1890</v>
      </c>
      <c r="C1727" s="2" t="s">
        <v>1891</v>
      </c>
      <c r="D1727" s="13" t="n">
        <v>46002.7506944445</v>
      </c>
      <c r="E1727" s="2" t="s">
        <v>43</v>
      </c>
      <c r="F1727" s="2" t="s">
        <v>27</v>
      </c>
      <c r="G1727" s="2" t="n">
        <v>2449.43</v>
      </c>
      <c r="H1727" s="2" t="n">
        <v>17.39</v>
      </c>
      <c r="I1727" s="2" t="s">
        <v>26</v>
      </c>
      <c r="J1727" s="2" t="s">
        <v>5466</v>
      </c>
      <c r="K1727" s="2" t="s">
        <v>101</v>
      </c>
      <c r="L1727" s="2"/>
      <c r="M1727" s="2" t="s">
        <v>692</v>
      </c>
    </row>
    <row r="1728" customFormat="false" ht="15" hidden="false" customHeight="false" outlineLevel="0" collapsed="false">
      <c r="A1728" s="2" t="s">
        <v>5467</v>
      </c>
      <c r="B1728" s="2" t="s">
        <v>2683</v>
      </c>
      <c r="C1728" s="2" t="s">
        <v>2684</v>
      </c>
      <c r="D1728" s="13" t="n">
        <v>45374.2972222222</v>
      </c>
      <c r="E1728" s="2" t="s">
        <v>43</v>
      </c>
      <c r="F1728" s="2" t="s">
        <v>27</v>
      </c>
      <c r="G1728" s="2" t="n">
        <v>2494.05</v>
      </c>
      <c r="H1728" s="2" t="n">
        <v>15.82</v>
      </c>
      <c r="I1728" s="2" t="s">
        <v>30</v>
      </c>
      <c r="J1728" s="2" t="s">
        <v>5468</v>
      </c>
      <c r="K1728" s="2" t="s">
        <v>89</v>
      </c>
      <c r="L1728" s="2"/>
      <c r="M1728" s="2" t="s">
        <v>1495</v>
      </c>
    </row>
    <row r="1729" customFormat="false" ht="15" hidden="false" customHeight="false" outlineLevel="0" collapsed="false">
      <c r="A1729" s="2" t="s">
        <v>5469</v>
      </c>
      <c r="B1729" s="2" t="s">
        <v>1336</v>
      </c>
      <c r="C1729" s="2" t="s">
        <v>1337</v>
      </c>
      <c r="D1729" s="13" t="n">
        <v>45953.8847222222</v>
      </c>
      <c r="E1729" s="2" t="s">
        <v>43</v>
      </c>
      <c r="F1729" s="2" t="s">
        <v>27</v>
      </c>
      <c r="G1729" s="2" t="n">
        <v>2738.74</v>
      </c>
      <c r="H1729" s="2" t="n">
        <v>28.18</v>
      </c>
      <c r="I1729" s="2" t="s">
        <v>26</v>
      </c>
      <c r="J1729" s="2" t="s">
        <v>5470</v>
      </c>
      <c r="K1729" s="2" t="s">
        <v>95</v>
      </c>
      <c r="L1729" s="2"/>
      <c r="M1729" s="2" t="s">
        <v>700</v>
      </c>
    </row>
    <row r="1730" customFormat="false" ht="15" hidden="false" customHeight="false" outlineLevel="0" collapsed="false">
      <c r="A1730" s="2" t="s">
        <v>5471</v>
      </c>
      <c r="B1730" s="2" t="s">
        <v>3082</v>
      </c>
      <c r="C1730" s="2" t="s">
        <v>3083</v>
      </c>
      <c r="D1730" s="13" t="n">
        <v>45889.7819444445</v>
      </c>
      <c r="E1730" s="2" t="s">
        <v>43</v>
      </c>
      <c r="F1730" s="2" t="s">
        <v>29</v>
      </c>
      <c r="G1730" s="2" t="n">
        <v>24660.84</v>
      </c>
      <c r="H1730" s="2" t="n">
        <v>49.56</v>
      </c>
      <c r="I1730" s="2" t="s">
        <v>26</v>
      </c>
      <c r="J1730" s="2" t="s">
        <v>5472</v>
      </c>
      <c r="K1730" s="2" t="s">
        <v>101</v>
      </c>
      <c r="L1730" s="2"/>
      <c r="M1730" s="2" t="s">
        <v>223</v>
      </c>
    </row>
    <row r="1731" customFormat="false" ht="15" hidden="false" customHeight="false" outlineLevel="0" collapsed="false">
      <c r="A1731" s="2" t="s">
        <v>5473</v>
      </c>
      <c r="B1731" s="2" t="s">
        <v>2924</v>
      </c>
      <c r="C1731" s="2" t="s">
        <v>2925</v>
      </c>
      <c r="D1731" s="13" t="n">
        <v>45772.7986111111</v>
      </c>
      <c r="E1731" s="2" t="s">
        <v>37</v>
      </c>
      <c r="F1731" s="2" t="s">
        <v>32</v>
      </c>
      <c r="G1731" s="2" t="n">
        <v>1664.04</v>
      </c>
      <c r="H1731" s="2" t="n">
        <v>12.75</v>
      </c>
      <c r="I1731" s="2" t="s">
        <v>30</v>
      </c>
      <c r="J1731" s="2" t="s">
        <v>5474</v>
      </c>
      <c r="K1731" s="2" t="s">
        <v>122</v>
      </c>
      <c r="L1731" s="2" t="s">
        <v>478</v>
      </c>
      <c r="M1731" s="2"/>
    </row>
    <row r="1732" customFormat="false" ht="15" hidden="false" customHeight="false" outlineLevel="0" collapsed="false">
      <c r="A1732" s="2" t="s">
        <v>5475</v>
      </c>
      <c r="B1732" s="2" t="s">
        <v>3764</v>
      </c>
      <c r="C1732" s="2" t="s">
        <v>3765</v>
      </c>
      <c r="D1732" s="13" t="n">
        <v>45502.8430555556</v>
      </c>
      <c r="E1732" s="2" t="s">
        <v>43</v>
      </c>
      <c r="F1732" s="2" t="s">
        <v>29</v>
      </c>
      <c r="G1732" s="2" t="n">
        <v>5029.25</v>
      </c>
      <c r="H1732" s="2" t="n">
        <v>27</v>
      </c>
      <c r="I1732" s="2" t="s">
        <v>26</v>
      </c>
      <c r="J1732" s="2" t="s">
        <v>5476</v>
      </c>
      <c r="K1732" s="2" t="s">
        <v>95</v>
      </c>
      <c r="L1732" s="2"/>
      <c r="M1732" s="2" t="s">
        <v>233</v>
      </c>
    </row>
    <row r="1733" customFormat="false" ht="15" hidden="false" customHeight="false" outlineLevel="0" collapsed="false">
      <c r="A1733" s="2" t="s">
        <v>5477</v>
      </c>
      <c r="B1733" s="2" t="s">
        <v>5132</v>
      </c>
      <c r="C1733" s="2" t="s">
        <v>5133</v>
      </c>
      <c r="D1733" s="13" t="n">
        <v>45868.7638888889</v>
      </c>
      <c r="E1733" s="2" t="s">
        <v>35</v>
      </c>
      <c r="F1733" s="2" t="s">
        <v>32</v>
      </c>
      <c r="G1733" s="2" t="n">
        <v>8035.9</v>
      </c>
      <c r="H1733" s="2" t="n">
        <v>45.19</v>
      </c>
      <c r="I1733" s="2" t="s">
        <v>26</v>
      </c>
      <c r="J1733" s="2" t="s">
        <v>5478</v>
      </c>
      <c r="K1733" s="2" t="s">
        <v>122</v>
      </c>
      <c r="L1733" s="2" t="s">
        <v>488</v>
      </c>
      <c r="M1733" s="2"/>
    </row>
    <row r="1734" customFormat="false" ht="15" hidden="false" customHeight="false" outlineLevel="0" collapsed="false">
      <c r="A1734" s="2" t="s">
        <v>5479</v>
      </c>
      <c r="B1734" s="2" t="s">
        <v>5480</v>
      </c>
      <c r="C1734" s="2" t="s">
        <v>5481</v>
      </c>
      <c r="D1734" s="13" t="n">
        <v>45817.9256944444</v>
      </c>
      <c r="E1734" s="2" t="s">
        <v>41</v>
      </c>
      <c r="F1734" s="2" t="s">
        <v>32</v>
      </c>
      <c r="G1734" s="2" t="n">
        <v>3753.63</v>
      </c>
      <c r="H1734" s="2" t="n">
        <v>32.71</v>
      </c>
      <c r="I1734" s="2" t="s">
        <v>26</v>
      </c>
      <c r="J1734" s="2" t="s">
        <v>5482</v>
      </c>
      <c r="K1734" s="2" t="s">
        <v>122</v>
      </c>
      <c r="L1734" s="2" t="s">
        <v>1122</v>
      </c>
      <c r="M1734" s="2"/>
    </row>
    <row r="1735" customFormat="false" ht="15" hidden="false" customHeight="false" outlineLevel="0" collapsed="false">
      <c r="A1735" s="2" t="s">
        <v>5483</v>
      </c>
      <c r="B1735" s="2" t="s">
        <v>440</v>
      </c>
      <c r="C1735" s="2" t="s">
        <v>441</v>
      </c>
      <c r="D1735" s="13" t="n">
        <v>45764.5736111111</v>
      </c>
      <c r="E1735" s="2" t="s">
        <v>41</v>
      </c>
      <c r="F1735" s="2" t="s">
        <v>29</v>
      </c>
      <c r="G1735" s="2" t="n">
        <v>6191.18</v>
      </c>
      <c r="H1735" s="2" t="n">
        <v>71.02</v>
      </c>
      <c r="I1735" s="2" t="s">
        <v>28</v>
      </c>
      <c r="J1735" s="2" t="s">
        <v>5484</v>
      </c>
      <c r="K1735" s="2" t="s">
        <v>122</v>
      </c>
      <c r="L1735" s="2" t="s">
        <v>1127</v>
      </c>
      <c r="M1735" s="2"/>
    </row>
    <row r="1736" customFormat="false" ht="15" hidden="false" customHeight="false" outlineLevel="0" collapsed="false">
      <c r="A1736" s="2" t="s">
        <v>5485</v>
      </c>
      <c r="B1736" s="2" t="s">
        <v>5486</v>
      </c>
      <c r="C1736" s="2" t="s">
        <v>5487</v>
      </c>
      <c r="D1736" s="13" t="n">
        <v>45869.5680555556</v>
      </c>
      <c r="E1736" s="2" t="s">
        <v>39</v>
      </c>
      <c r="F1736" s="2" t="s">
        <v>31</v>
      </c>
      <c r="G1736" s="2" t="n">
        <v>16879.72</v>
      </c>
      <c r="H1736" s="2" t="n">
        <v>99.83</v>
      </c>
      <c r="I1736" s="2" t="s">
        <v>26</v>
      </c>
      <c r="J1736" s="2" t="s">
        <v>5488</v>
      </c>
      <c r="K1736" s="2" t="s">
        <v>89</v>
      </c>
      <c r="L1736" s="2" t="s">
        <v>503</v>
      </c>
      <c r="M1736" s="2"/>
    </row>
    <row r="1737" customFormat="false" ht="15" hidden="false" customHeight="false" outlineLevel="0" collapsed="false">
      <c r="A1737" s="2" t="s">
        <v>5489</v>
      </c>
      <c r="B1737" s="2" t="s">
        <v>1856</v>
      </c>
      <c r="C1737" s="2" t="s">
        <v>1857</v>
      </c>
      <c r="D1737" s="13" t="n">
        <v>45853.8506944445</v>
      </c>
      <c r="E1737" s="2" t="s">
        <v>41</v>
      </c>
      <c r="F1737" s="2" t="s">
        <v>32</v>
      </c>
      <c r="G1737" s="2" t="n">
        <v>16054.8</v>
      </c>
      <c r="H1737" s="2" t="n">
        <v>152.17</v>
      </c>
      <c r="I1737" s="2" t="s">
        <v>26</v>
      </c>
      <c r="J1737" s="2" t="s">
        <v>5490</v>
      </c>
      <c r="K1737" s="2" t="s">
        <v>101</v>
      </c>
      <c r="L1737" s="2" t="s">
        <v>508</v>
      </c>
      <c r="M1737" s="2"/>
    </row>
    <row r="1738" customFormat="false" ht="15" hidden="false" customHeight="false" outlineLevel="0" collapsed="false">
      <c r="A1738" s="2" t="s">
        <v>5491</v>
      </c>
      <c r="B1738" s="2" t="s">
        <v>4608</v>
      </c>
      <c r="C1738" s="2" t="s">
        <v>4609</v>
      </c>
      <c r="D1738" s="13" t="n">
        <v>45750.5708333333</v>
      </c>
      <c r="E1738" s="2" t="s">
        <v>35</v>
      </c>
      <c r="F1738" s="2" t="s">
        <v>31</v>
      </c>
      <c r="G1738" s="2" t="n">
        <v>3704.55</v>
      </c>
      <c r="H1738" s="2" t="n">
        <v>20.86</v>
      </c>
      <c r="I1738" s="2" t="s">
        <v>26</v>
      </c>
      <c r="J1738" s="2" t="s">
        <v>5492</v>
      </c>
      <c r="K1738" s="2" t="s">
        <v>122</v>
      </c>
      <c r="L1738" s="2" t="s">
        <v>1139</v>
      </c>
      <c r="M1738" s="2"/>
    </row>
    <row r="1739" customFormat="false" ht="15" hidden="false" customHeight="false" outlineLevel="0" collapsed="false">
      <c r="A1739" s="2" t="s">
        <v>5493</v>
      </c>
      <c r="B1739" s="2" t="s">
        <v>3233</v>
      </c>
      <c r="C1739" s="2" t="s">
        <v>3234</v>
      </c>
      <c r="D1739" s="13" t="n">
        <v>45351.3180555556</v>
      </c>
      <c r="E1739" s="2" t="s">
        <v>35</v>
      </c>
      <c r="F1739" s="2" t="s">
        <v>31</v>
      </c>
      <c r="G1739" s="2" t="n">
        <v>2266.75</v>
      </c>
      <c r="H1739" s="2" t="n">
        <v>13.94</v>
      </c>
      <c r="I1739" s="2" t="s">
        <v>26</v>
      </c>
      <c r="J1739" s="2" t="s">
        <v>5494</v>
      </c>
      <c r="K1739" s="2" t="s">
        <v>101</v>
      </c>
      <c r="L1739" s="2" t="s">
        <v>518</v>
      </c>
      <c r="M1739" s="2"/>
    </row>
    <row r="1740" customFormat="false" ht="15" hidden="false" customHeight="false" outlineLevel="0" collapsed="false">
      <c r="A1740" s="2" t="s">
        <v>5495</v>
      </c>
      <c r="B1740" s="2" t="s">
        <v>4694</v>
      </c>
      <c r="C1740" s="2" t="s">
        <v>4695</v>
      </c>
      <c r="D1740" s="13" t="n">
        <v>45794.6145833333</v>
      </c>
      <c r="E1740" s="2" t="s">
        <v>35</v>
      </c>
      <c r="F1740" s="2" t="s">
        <v>29</v>
      </c>
      <c r="G1740" s="2" t="n">
        <v>2012.25</v>
      </c>
      <c r="H1740" s="2" t="n">
        <v>15.59</v>
      </c>
      <c r="I1740" s="2" t="s">
        <v>26</v>
      </c>
      <c r="J1740" s="2" t="s">
        <v>5496</v>
      </c>
      <c r="K1740" s="2" t="s">
        <v>95</v>
      </c>
      <c r="L1740" s="2" t="s">
        <v>523</v>
      </c>
      <c r="M1740" s="2"/>
    </row>
    <row r="1741" customFormat="false" ht="15" hidden="false" customHeight="false" outlineLevel="0" collapsed="false">
      <c r="A1741" s="2" t="s">
        <v>5497</v>
      </c>
      <c r="B1741" s="2" t="s">
        <v>1025</v>
      </c>
      <c r="C1741" s="2" t="s">
        <v>1026</v>
      </c>
      <c r="D1741" s="13" t="n">
        <v>45531.9090277778</v>
      </c>
      <c r="E1741" s="2" t="s">
        <v>35</v>
      </c>
      <c r="F1741" s="2" t="s">
        <v>32</v>
      </c>
      <c r="G1741" s="2" t="n">
        <v>4399.84</v>
      </c>
      <c r="H1741" s="2" t="n">
        <v>42.72</v>
      </c>
      <c r="I1741" s="2" t="s">
        <v>28</v>
      </c>
      <c r="J1741" s="2" t="s">
        <v>5498</v>
      </c>
      <c r="K1741" s="2" t="s">
        <v>89</v>
      </c>
      <c r="L1741" s="2" t="s">
        <v>1152</v>
      </c>
      <c r="M1741" s="2"/>
    </row>
    <row r="1742" customFormat="false" ht="15" hidden="false" customHeight="false" outlineLevel="0" collapsed="false">
      <c r="A1742" s="2" t="s">
        <v>5499</v>
      </c>
      <c r="B1742" s="2" t="s">
        <v>2414</v>
      </c>
      <c r="C1742" s="2" t="s">
        <v>2415</v>
      </c>
      <c r="D1742" s="13" t="n">
        <v>45631.8104166667</v>
      </c>
      <c r="E1742" s="2" t="s">
        <v>35</v>
      </c>
      <c r="F1742" s="2" t="s">
        <v>27</v>
      </c>
      <c r="G1742" s="2" t="n">
        <v>4738.51</v>
      </c>
      <c r="H1742" s="2" t="n">
        <v>47.33</v>
      </c>
      <c r="I1742" s="2" t="s">
        <v>26</v>
      </c>
      <c r="J1742" s="2" t="s">
        <v>5500</v>
      </c>
      <c r="K1742" s="2" t="s">
        <v>89</v>
      </c>
      <c r="L1742" s="2"/>
      <c r="M1742" s="2" t="s">
        <v>1157</v>
      </c>
    </row>
    <row r="1743" customFormat="false" ht="15" hidden="false" customHeight="false" outlineLevel="0" collapsed="false">
      <c r="A1743" s="2" t="s">
        <v>5501</v>
      </c>
      <c r="B1743" s="2" t="s">
        <v>809</v>
      </c>
      <c r="C1743" s="2" t="s">
        <v>810</v>
      </c>
      <c r="D1743" s="13" t="n">
        <v>45833.6027777778</v>
      </c>
      <c r="E1743" s="2" t="s">
        <v>43</v>
      </c>
      <c r="F1743" s="2" t="s">
        <v>27</v>
      </c>
      <c r="G1743" s="2" t="n">
        <v>490.68</v>
      </c>
      <c r="H1743" s="2" t="n">
        <v>5</v>
      </c>
      <c r="I1743" s="2" t="s">
        <v>28</v>
      </c>
      <c r="J1743" s="2" t="s">
        <v>5502</v>
      </c>
      <c r="K1743" s="2" t="s">
        <v>101</v>
      </c>
      <c r="L1743" s="2"/>
      <c r="M1743" s="2" t="s">
        <v>288</v>
      </c>
    </row>
    <row r="1744" customFormat="false" ht="15" hidden="false" customHeight="false" outlineLevel="0" collapsed="false">
      <c r="A1744" s="2" t="s">
        <v>5503</v>
      </c>
      <c r="B1744" s="2" t="s">
        <v>3794</v>
      </c>
      <c r="C1744" s="2" t="s">
        <v>3795</v>
      </c>
      <c r="D1744" s="13" t="n">
        <v>45511.3506944445</v>
      </c>
      <c r="E1744" s="2" t="s">
        <v>39</v>
      </c>
      <c r="F1744" s="2" t="s">
        <v>27</v>
      </c>
      <c r="G1744" s="2" t="n">
        <v>1689.59</v>
      </c>
      <c r="H1744" s="2" t="n">
        <v>5.91</v>
      </c>
      <c r="I1744" s="2" t="s">
        <v>26</v>
      </c>
      <c r="J1744" s="2" t="s">
        <v>5504</v>
      </c>
      <c r="K1744" s="2" t="s">
        <v>122</v>
      </c>
      <c r="L1744" s="2"/>
      <c r="M1744" s="2" t="s">
        <v>762</v>
      </c>
    </row>
    <row r="1745" customFormat="false" ht="15" hidden="false" customHeight="false" outlineLevel="0" collapsed="false">
      <c r="A1745" s="2" t="s">
        <v>5505</v>
      </c>
      <c r="B1745" s="2" t="s">
        <v>160</v>
      </c>
      <c r="C1745" s="2" t="s">
        <v>161</v>
      </c>
      <c r="D1745" s="13" t="n">
        <v>45914.5111111111</v>
      </c>
      <c r="E1745" s="2" t="s">
        <v>35</v>
      </c>
      <c r="F1745" s="2" t="s">
        <v>29</v>
      </c>
      <c r="G1745" s="2" t="n">
        <v>11520.75</v>
      </c>
      <c r="H1745" s="2" t="n">
        <v>123.83</v>
      </c>
      <c r="I1745" s="2" t="s">
        <v>28</v>
      </c>
      <c r="J1745" s="2" t="s">
        <v>5506</v>
      </c>
      <c r="K1745" s="2" t="s">
        <v>122</v>
      </c>
      <c r="L1745" s="2" t="s">
        <v>1169</v>
      </c>
      <c r="M1745" s="2"/>
    </row>
    <row r="1746" customFormat="false" ht="15" hidden="false" customHeight="false" outlineLevel="0" collapsed="false">
      <c r="A1746" s="2" t="s">
        <v>5507</v>
      </c>
      <c r="B1746" s="2" t="s">
        <v>4896</v>
      </c>
      <c r="C1746" s="2" t="s">
        <v>4897</v>
      </c>
      <c r="D1746" s="13" t="n">
        <v>45629.5048611111</v>
      </c>
      <c r="E1746" s="2" t="s">
        <v>39</v>
      </c>
      <c r="F1746" s="2" t="s">
        <v>32</v>
      </c>
      <c r="G1746" s="2" t="n">
        <v>2211.28</v>
      </c>
      <c r="H1746" s="2" t="n">
        <v>12.29</v>
      </c>
      <c r="I1746" s="2" t="s">
        <v>28</v>
      </c>
      <c r="J1746" s="2" t="s">
        <v>5508</v>
      </c>
      <c r="K1746" s="2" t="s">
        <v>122</v>
      </c>
      <c r="L1746" s="2" t="s">
        <v>2735</v>
      </c>
      <c r="M1746" s="2"/>
    </row>
    <row r="1747" customFormat="false" ht="15" hidden="false" customHeight="false" outlineLevel="0" collapsed="false">
      <c r="A1747" s="2" t="s">
        <v>5509</v>
      </c>
      <c r="B1747" s="2" t="s">
        <v>1961</v>
      </c>
      <c r="C1747" s="2" t="s">
        <v>1962</v>
      </c>
      <c r="D1747" s="13" t="n">
        <v>45297.3423611111</v>
      </c>
      <c r="E1747" s="2" t="s">
        <v>37</v>
      </c>
      <c r="F1747" s="2" t="s">
        <v>27</v>
      </c>
      <c r="G1747" s="2" t="n">
        <v>2637.05</v>
      </c>
      <c r="H1747" s="2" t="n">
        <v>21.67</v>
      </c>
      <c r="I1747" s="2" t="s">
        <v>26</v>
      </c>
      <c r="J1747" s="2" t="s">
        <v>5510</v>
      </c>
      <c r="K1747" s="2" t="s">
        <v>101</v>
      </c>
      <c r="L1747" s="2"/>
      <c r="M1747" s="2" t="s">
        <v>774</v>
      </c>
    </row>
    <row r="1748" customFormat="false" ht="15" hidden="false" customHeight="false" outlineLevel="0" collapsed="false">
      <c r="A1748" s="2" t="s">
        <v>5511</v>
      </c>
      <c r="B1748" s="2" t="s">
        <v>1145</v>
      </c>
      <c r="C1748" s="2" t="s">
        <v>1146</v>
      </c>
      <c r="D1748" s="13" t="n">
        <v>45352.5625</v>
      </c>
      <c r="E1748" s="2" t="s">
        <v>43</v>
      </c>
      <c r="F1748" s="2" t="s">
        <v>31</v>
      </c>
      <c r="G1748" s="2" t="n">
        <v>2981.54</v>
      </c>
      <c r="H1748" s="2" t="n">
        <v>19.66</v>
      </c>
      <c r="I1748" s="2" t="s">
        <v>30</v>
      </c>
      <c r="J1748" s="2" t="s">
        <v>5512</v>
      </c>
      <c r="K1748" s="2" t="s">
        <v>89</v>
      </c>
      <c r="L1748" s="2"/>
      <c r="M1748" s="2" t="s">
        <v>313</v>
      </c>
    </row>
    <row r="1749" customFormat="false" ht="15" hidden="false" customHeight="false" outlineLevel="0" collapsed="false">
      <c r="A1749" s="2" t="s">
        <v>5513</v>
      </c>
      <c r="B1749" s="2" t="s">
        <v>988</v>
      </c>
      <c r="C1749" s="2" t="s">
        <v>989</v>
      </c>
      <c r="D1749" s="13" t="n">
        <v>45375.5076388889</v>
      </c>
      <c r="E1749" s="2" t="s">
        <v>41</v>
      </c>
      <c r="F1749" s="2" t="s">
        <v>27</v>
      </c>
      <c r="G1749" s="2" t="n">
        <v>1486.69</v>
      </c>
      <c r="H1749" s="2" t="n">
        <v>17.62</v>
      </c>
      <c r="I1749" s="2" t="s">
        <v>30</v>
      </c>
      <c r="J1749" s="2" t="s">
        <v>5514</v>
      </c>
      <c r="K1749" s="2" t="s">
        <v>101</v>
      </c>
      <c r="L1749" s="2"/>
      <c r="M1749" s="2" t="s">
        <v>784</v>
      </c>
    </row>
    <row r="1750" customFormat="false" ht="15" hidden="false" customHeight="false" outlineLevel="0" collapsed="false">
      <c r="A1750" s="2" t="s">
        <v>5515</v>
      </c>
      <c r="B1750" s="2" t="s">
        <v>5516</v>
      </c>
      <c r="C1750" s="2" t="s">
        <v>5517</v>
      </c>
      <c r="D1750" s="13" t="n">
        <v>45856.8645833333</v>
      </c>
      <c r="E1750" s="2" t="s">
        <v>43</v>
      </c>
      <c r="F1750" s="2" t="s">
        <v>31</v>
      </c>
      <c r="G1750" s="2" t="n">
        <v>4285.34</v>
      </c>
      <c r="H1750" s="2" t="n">
        <v>11.58</v>
      </c>
      <c r="I1750" s="2" t="s">
        <v>26</v>
      </c>
      <c r="J1750" s="2" t="s">
        <v>5518</v>
      </c>
      <c r="K1750" s="2" t="s">
        <v>101</v>
      </c>
      <c r="L1750" s="2"/>
      <c r="M1750" s="2" t="s">
        <v>323</v>
      </c>
    </row>
    <row r="1751" customFormat="false" ht="15" hidden="false" customHeight="false" outlineLevel="0" collapsed="false">
      <c r="A1751" s="2" t="s">
        <v>5519</v>
      </c>
      <c r="B1751" s="2" t="s">
        <v>5520</v>
      </c>
      <c r="C1751" s="2" t="s">
        <v>5521</v>
      </c>
      <c r="D1751" s="13" t="n">
        <v>45613.5923611111</v>
      </c>
      <c r="E1751" s="2" t="s">
        <v>37</v>
      </c>
      <c r="F1751" s="2" t="s">
        <v>31</v>
      </c>
      <c r="G1751" s="2" t="n">
        <v>2300</v>
      </c>
      <c r="H1751" s="2" t="n">
        <v>17.11</v>
      </c>
      <c r="I1751" s="2" t="s">
        <v>26</v>
      </c>
      <c r="J1751" s="2" t="s">
        <v>5522</v>
      </c>
      <c r="K1751" s="2" t="s">
        <v>95</v>
      </c>
      <c r="L1751" s="2" t="s">
        <v>1759</v>
      </c>
      <c r="M1751" s="2"/>
    </row>
    <row r="1752" customFormat="false" ht="15" hidden="false" customHeight="false" outlineLevel="0" collapsed="false">
      <c r="A1752" s="2" t="s">
        <v>5523</v>
      </c>
      <c r="B1752" s="2" t="s">
        <v>4370</v>
      </c>
      <c r="C1752" s="2" t="s">
        <v>4371</v>
      </c>
      <c r="D1752" s="13" t="n">
        <v>45613.7409722222</v>
      </c>
      <c r="E1752" s="2" t="s">
        <v>41</v>
      </c>
      <c r="F1752" s="2" t="s">
        <v>31</v>
      </c>
      <c r="G1752" s="2" t="n">
        <v>1697.65</v>
      </c>
      <c r="H1752" s="2" t="n">
        <v>17.9</v>
      </c>
      <c r="I1752" s="2" t="s">
        <v>26</v>
      </c>
      <c r="J1752" s="2" t="s">
        <v>5524</v>
      </c>
      <c r="K1752" s="2" t="s">
        <v>89</v>
      </c>
      <c r="L1752" s="2" t="s">
        <v>1199</v>
      </c>
      <c r="M1752" s="2"/>
    </row>
    <row r="1753" customFormat="false" ht="15" hidden="false" customHeight="false" outlineLevel="0" collapsed="false">
      <c r="A1753" s="2" t="s">
        <v>5525</v>
      </c>
      <c r="B1753" s="2" t="s">
        <v>1909</v>
      </c>
      <c r="C1753" s="2" t="s">
        <v>1910</v>
      </c>
      <c r="D1753" s="13" t="n">
        <v>45480.7020833333</v>
      </c>
      <c r="E1753" s="2" t="s">
        <v>39</v>
      </c>
      <c r="F1753" s="2" t="s">
        <v>29</v>
      </c>
      <c r="G1753" s="2" t="n">
        <v>2516.57</v>
      </c>
      <c r="H1753" s="2" t="n">
        <v>29.27</v>
      </c>
      <c r="I1753" s="2" t="s">
        <v>28</v>
      </c>
      <c r="J1753" s="2" t="s">
        <v>5526</v>
      </c>
      <c r="K1753" s="2" t="s">
        <v>89</v>
      </c>
      <c r="L1753" s="2" t="s">
        <v>584</v>
      </c>
      <c r="M1753" s="2"/>
    </row>
    <row r="1754" customFormat="false" ht="15" hidden="false" customHeight="false" outlineLevel="0" collapsed="false">
      <c r="A1754" s="2" t="s">
        <v>5527</v>
      </c>
      <c r="B1754" s="2" t="s">
        <v>2099</v>
      </c>
      <c r="C1754" s="2" t="s">
        <v>2100</v>
      </c>
      <c r="D1754" s="13" t="n">
        <v>45961.4013888889</v>
      </c>
      <c r="E1754" s="2" t="s">
        <v>41</v>
      </c>
      <c r="F1754" s="2" t="s">
        <v>27</v>
      </c>
      <c r="G1754" s="2" t="n">
        <v>1783.52</v>
      </c>
      <c r="H1754" s="2" t="n">
        <v>13.88</v>
      </c>
      <c r="I1754" s="2" t="s">
        <v>30</v>
      </c>
      <c r="J1754" s="2" t="s">
        <v>5528</v>
      </c>
      <c r="K1754" s="2" t="s">
        <v>101</v>
      </c>
      <c r="L1754" s="2"/>
      <c r="M1754" s="2" t="s">
        <v>1588</v>
      </c>
    </row>
    <row r="1755" customFormat="false" ht="15" hidden="false" customHeight="false" outlineLevel="0" collapsed="false">
      <c r="A1755" s="2" t="s">
        <v>5529</v>
      </c>
      <c r="B1755" s="2" t="s">
        <v>2809</v>
      </c>
      <c r="C1755" s="2" t="s">
        <v>2810</v>
      </c>
      <c r="D1755" s="13" t="n">
        <v>45656.7131944444</v>
      </c>
      <c r="E1755" s="2" t="s">
        <v>43</v>
      </c>
      <c r="F1755" s="2" t="s">
        <v>32</v>
      </c>
      <c r="G1755" s="2" t="n">
        <v>5973.87</v>
      </c>
      <c r="H1755" s="2" t="n">
        <v>56.14</v>
      </c>
      <c r="I1755" s="2" t="s">
        <v>28</v>
      </c>
      <c r="J1755" s="2" t="s">
        <v>5530</v>
      </c>
      <c r="K1755" s="2" t="s">
        <v>122</v>
      </c>
      <c r="L1755" s="2"/>
      <c r="M1755" s="2" t="s">
        <v>348</v>
      </c>
    </row>
    <row r="1756" customFormat="false" ht="15" hidden="false" customHeight="false" outlineLevel="0" collapsed="false">
      <c r="A1756" s="2" t="s">
        <v>5531</v>
      </c>
      <c r="B1756" s="2" t="s">
        <v>5532</v>
      </c>
      <c r="C1756" s="2" t="s">
        <v>5533</v>
      </c>
      <c r="D1756" s="13" t="n">
        <v>45740.3972222222</v>
      </c>
      <c r="E1756" s="2" t="s">
        <v>39</v>
      </c>
      <c r="F1756" s="2" t="s">
        <v>31</v>
      </c>
      <c r="G1756" s="2" t="n">
        <v>2870.32</v>
      </c>
      <c r="H1756" s="2" t="n">
        <v>7.95</v>
      </c>
      <c r="I1756" s="2" t="s">
        <v>30</v>
      </c>
      <c r="J1756" s="2" t="s">
        <v>5534</v>
      </c>
      <c r="K1756" s="2" t="s">
        <v>101</v>
      </c>
      <c r="L1756" s="2" t="s">
        <v>599</v>
      </c>
      <c r="M1756" s="2"/>
    </row>
    <row r="1757" customFormat="false" ht="15" hidden="false" customHeight="false" outlineLevel="0" collapsed="false">
      <c r="A1757" s="2" t="s">
        <v>5535</v>
      </c>
      <c r="B1757" s="2" t="s">
        <v>650</v>
      </c>
      <c r="C1757" s="2" t="s">
        <v>651</v>
      </c>
      <c r="D1757" s="13" t="n">
        <v>45443.5729166667</v>
      </c>
      <c r="E1757" s="2" t="s">
        <v>35</v>
      </c>
      <c r="F1757" s="2" t="s">
        <v>31</v>
      </c>
      <c r="G1757" s="2" t="n">
        <v>23875.91</v>
      </c>
      <c r="H1757" s="2" t="n">
        <v>218.56</v>
      </c>
      <c r="I1757" s="2" t="s">
        <v>26</v>
      </c>
      <c r="J1757" s="2" t="s">
        <v>5536</v>
      </c>
      <c r="K1757" s="2" t="s">
        <v>89</v>
      </c>
      <c r="L1757" s="2" t="s">
        <v>604</v>
      </c>
      <c r="M1757" s="2"/>
    </row>
    <row r="1758" customFormat="false" ht="15" hidden="false" customHeight="false" outlineLevel="0" collapsed="false">
      <c r="A1758" s="2" t="s">
        <v>5537</v>
      </c>
      <c r="B1758" s="2" t="s">
        <v>4136</v>
      </c>
      <c r="C1758" s="2" t="s">
        <v>4137</v>
      </c>
      <c r="D1758" s="13" t="n">
        <v>45724.38125</v>
      </c>
      <c r="E1758" s="2" t="s">
        <v>41</v>
      </c>
      <c r="F1758" s="2" t="s">
        <v>31</v>
      </c>
      <c r="G1758" s="2" t="n">
        <v>1168.38</v>
      </c>
      <c r="H1758" s="2" t="n">
        <v>5</v>
      </c>
      <c r="I1758" s="2" t="s">
        <v>28</v>
      </c>
      <c r="J1758" s="2" t="s">
        <v>5538</v>
      </c>
      <c r="K1758" s="2" t="s">
        <v>101</v>
      </c>
      <c r="L1758" s="2" t="s">
        <v>607</v>
      </c>
      <c r="M1758" s="2"/>
    </row>
    <row r="1759" customFormat="false" ht="15" hidden="false" customHeight="false" outlineLevel="0" collapsed="false">
      <c r="A1759" s="2" t="s">
        <v>5539</v>
      </c>
      <c r="B1759" s="2" t="s">
        <v>2035</v>
      </c>
      <c r="C1759" s="2" t="s">
        <v>2036</v>
      </c>
      <c r="D1759" s="13" t="n">
        <v>45973.3694444444</v>
      </c>
      <c r="E1759" s="2" t="s">
        <v>41</v>
      </c>
      <c r="F1759" s="2" t="s">
        <v>27</v>
      </c>
      <c r="G1759" s="2" t="n">
        <v>3966.88</v>
      </c>
      <c r="H1759" s="2" t="n">
        <v>21.77</v>
      </c>
      <c r="I1759" s="2" t="s">
        <v>26</v>
      </c>
      <c r="J1759" s="2" t="s">
        <v>5540</v>
      </c>
      <c r="K1759" s="2" t="s">
        <v>89</v>
      </c>
      <c r="L1759" s="2"/>
      <c r="M1759" s="2" t="s">
        <v>1606</v>
      </c>
    </row>
    <row r="1760" customFormat="false" ht="15" hidden="false" customHeight="false" outlineLevel="0" collapsed="false">
      <c r="A1760" s="2" t="s">
        <v>5541</v>
      </c>
      <c r="B1760" s="2" t="s">
        <v>3754</v>
      </c>
      <c r="C1760" s="2" t="s">
        <v>3755</v>
      </c>
      <c r="D1760" s="13" t="n">
        <v>45701.4194444444</v>
      </c>
      <c r="E1760" s="2" t="s">
        <v>41</v>
      </c>
      <c r="F1760" s="2" t="s">
        <v>31</v>
      </c>
      <c r="G1760" s="2" t="n">
        <v>27218.63</v>
      </c>
      <c r="H1760" s="2" t="n">
        <v>250.63</v>
      </c>
      <c r="I1760" s="2" t="s">
        <v>26</v>
      </c>
      <c r="J1760" s="2" t="s">
        <v>5542</v>
      </c>
      <c r="K1760" s="2" t="s">
        <v>101</v>
      </c>
      <c r="L1760" s="2" t="s">
        <v>1232</v>
      </c>
      <c r="M1760" s="2"/>
    </row>
    <row r="1761" customFormat="false" ht="15" hidden="false" customHeight="false" outlineLevel="0" collapsed="false">
      <c r="A1761" s="2" t="s">
        <v>5543</v>
      </c>
      <c r="B1761" s="2" t="s">
        <v>2751</v>
      </c>
      <c r="C1761" s="2" t="s">
        <v>2752</v>
      </c>
      <c r="D1761" s="13" t="n">
        <v>45367.8472222222</v>
      </c>
      <c r="E1761" s="2" t="s">
        <v>43</v>
      </c>
      <c r="F1761" s="2" t="s">
        <v>27</v>
      </c>
      <c r="G1761" s="2" t="n">
        <v>3951.34</v>
      </c>
      <c r="H1761" s="2" t="n">
        <v>12.26</v>
      </c>
      <c r="I1761" s="2" t="s">
        <v>26</v>
      </c>
      <c r="J1761" s="2" t="s">
        <v>5544</v>
      </c>
      <c r="K1761" s="2" t="s">
        <v>89</v>
      </c>
      <c r="L1761" s="2"/>
      <c r="M1761" s="2" t="s">
        <v>378</v>
      </c>
    </row>
    <row r="1762" customFormat="false" ht="15" hidden="false" customHeight="false" outlineLevel="0" collapsed="false">
      <c r="A1762" s="2" t="s">
        <v>5545</v>
      </c>
      <c r="B1762" s="2" t="s">
        <v>2968</v>
      </c>
      <c r="C1762" s="2" t="s">
        <v>2969</v>
      </c>
      <c r="D1762" s="13" t="n">
        <v>45375.4458333333</v>
      </c>
      <c r="E1762" s="2" t="s">
        <v>43</v>
      </c>
      <c r="F1762" s="2" t="s">
        <v>32</v>
      </c>
      <c r="G1762" s="2" t="n">
        <v>20753.23</v>
      </c>
      <c r="H1762" s="2" t="n">
        <v>223.06</v>
      </c>
      <c r="I1762" s="2" t="s">
        <v>26</v>
      </c>
      <c r="J1762" s="2" t="s">
        <v>5546</v>
      </c>
      <c r="K1762" s="2" t="s">
        <v>89</v>
      </c>
      <c r="L1762" s="2"/>
      <c r="M1762" s="2" t="s">
        <v>383</v>
      </c>
    </row>
    <row r="1763" customFormat="false" ht="15" hidden="false" customHeight="false" outlineLevel="0" collapsed="false">
      <c r="A1763" s="2" t="s">
        <v>5547</v>
      </c>
      <c r="B1763" s="2" t="s">
        <v>1660</v>
      </c>
      <c r="C1763" s="2" t="s">
        <v>1661</v>
      </c>
      <c r="D1763" s="13" t="n">
        <v>45624.7756944444</v>
      </c>
      <c r="E1763" s="2" t="s">
        <v>41</v>
      </c>
      <c r="F1763" s="2" t="s">
        <v>31</v>
      </c>
      <c r="G1763" s="2" t="n">
        <v>14866.17</v>
      </c>
      <c r="H1763" s="2" t="n">
        <v>103.37</v>
      </c>
      <c r="I1763" s="2" t="s">
        <v>26</v>
      </c>
      <c r="J1763" s="2" t="s">
        <v>5548</v>
      </c>
      <c r="K1763" s="2" t="s">
        <v>95</v>
      </c>
      <c r="L1763" s="2" t="s">
        <v>632</v>
      </c>
      <c r="M1763" s="2"/>
    </row>
    <row r="1764" customFormat="false" ht="15" hidden="false" customHeight="false" outlineLevel="0" collapsed="false">
      <c r="A1764" s="2" t="s">
        <v>5549</v>
      </c>
      <c r="B1764" s="2" t="s">
        <v>2268</v>
      </c>
      <c r="C1764" s="2" t="s">
        <v>2269</v>
      </c>
      <c r="D1764" s="13" t="n">
        <v>45409.7027777778</v>
      </c>
      <c r="E1764" s="2" t="s">
        <v>43</v>
      </c>
      <c r="F1764" s="2" t="s">
        <v>31</v>
      </c>
      <c r="G1764" s="2" t="n">
        <v>8087.4</v>
      </c>
      <c r="H1764" s="2" t="n">
        <v>61.06</v>
      </c>
      <c r="I1764" s="2" t="s">
        <v>26</v>
      </c>
      <c r="J1764" s="2" t="s">
        <v>5550</v>
      </c>
      <c r="K1764" s="2" t="s">
        <v>122</v>
      </c>
      <c r="L1764" s="2"/>
      <c r="M1764" s="2" t="s">
        <v>1623</v>
      </c>
    </row>
    <row r="1765" customFormat="false" ht="15" hidden="false" customHeight="false" outlineLevel="0" collapsed="false">
      <c r="A1765" s="2" t="s">
        <v>5551</v>
      </c>
      <c r="B1765" s="2" t="s">
        <v>4476</v>
      </c>
      <c r="C1765" s="2" t="s">
        <v>4477</v>
      </c>
      <c r="D1765" s="13" t="n">
        <v>45402.8298611111</v>
      </c>
      <c r="E1765" s="2" t="s">
        <v>35</v>
      </c>
      <c r="F1765" s="2" t="s">
        <v>32</v>
      </c>
      <c r="G1765" s="2" t="n">
        <v>47317.55</v>
      </c>
      <c r="H1765" s="2" t="n">
        <v>264.65</v>
      </c>
      <c r="I1765" s="2" t="s">
        <v>26</v>
      </c>
      <c r="J1765" s="2" t="s">
        <v>5552</v>
      </c>
      <c r="K1765" s="2" t="s">
        <v>89</v>
      </c>
      <c r="L1765" s="2" t="s">
        <v>640</v>
      </c>
      <c r="M1765" s="2"/>
    </row>
    <row r="1766" customFormat="false" ht="15" hidden="false" customHeight="false" outlineLevel="0" collapsed="false">
      <c r="A1766" s="2" t="s">
        <v>5553</v>
      </c>
      <c r="B1766" s="2" t="s">
        <v>5554</v>
      </c>
      <c r="C1766" s="2" t="s">
        <v>5555</v>
      </c>
      <c r="D1766" s="13" t="n">
        <v>45342.5763888889</v>
      </c>
      <c r="E1766" s="2" t="s">
        <v>35</v>
      </c>
      <c r="F1766" s="2" t="s">
        <v>31</v>
      </c>
      <c r="G1766" s="2" t="n">
        <v>3049</v>
      </c>
      <c r="H1766" s="2" t="n">
        <v>18.44</v>
      </c>
      <c r="I1766" s="2" t="s">
        <v>30</v>
      </c>
      <c r="J1766" s="2" t="s">
        <v>5556</v>
      </c>
      <c r="K1766" s="2" t="s">
        <v>89</v>
      </c>
      <c r="L1766" s="2" t="s">
        <v>645</v>
      </c>
      <c r="M1766" s="2"/>
    </row>
    <row r="1767" customFormat="false" ht="15" hidden="false" customHeight="false" outlineLevel="0" collapsed="false">
      <c r="A1767" s="2" t="s">
        <v>5557</v>
      </c>
      <c r="B1767" s="2" t="s">
        <v>4340</v>
      </c>
      <c r="C1767" s="2" t="s">
        <v>4341</v>
      </c>
      <c r="D1767" s="13" t="n">
        <v>45553.8701388889</v>
      </c>
      <c r="E1767" s="2" t="s">
        <v>43</v>
      </c>
      <c r="F1767" s="2" t="s">
        <v>27</v>
      </c>
      <c r="G1767" s="2" t="n">
        <v>727.53</v>
      </c>
      <c r="H1767" s="2" t="n">
        <v>5</v>
      </c>
      <c r="I1767" s="2" t="s">
        <v>26</v>
      </c>
      <c r="J1767" s="2" t="s">
        <v>5558</v>
      </c>
      <c r="K1767" s="2" t="s">
        <v>101</v>
      </c>
      <c r="L1767" s="2"/>
      <c r="M1767" s="2" t="s">
        <v>857</v>
      </c>
    </row>
    <row r="1768" customFormat="false" ht="15" hidden="false" customHeight="false" outlineLevel="0" collapsed="false">
      <c r="A1768" s="2" t="s">
        <v>5559</v>
      </c>
      <c r="B1768" s="2" t="s">
        <v>2159</v>
      </c>
      <c r="C1768" s="2" t="s">
        <v>2160</v>
      </c>
      <c r="D1768" s="13" t="n">
        <v>45857.5951388889</v>
      </c>
      <c r="E1768" s="2" t="s">
        <v>35</v>
      </c>
      <c r="F1768" s="2" t="s">
        <v>31</v>
      </c>
      <c r="G1768" s="2" t="n">
        <v>3323.64</v>
      </c>
      <c r="H1768" s="2" t="n">
        <v>15.97</v>
      </c>
      <c r="I1768" s="2" t="s">
        <v>26</v>
      </c>
      <c r="J1768" s="2" t="s">
        <v>5560</v>
      </c>
      <c r="K1768" s="2" t="s">
        <v>89</v>
      </c>
      <c r="L1768" s="2" t="s">
        <v>1262</v>
      </c>
      <c r="M1768" s="2"/>
    </row>
    <row r="1769" customFormat="false" ht="15" hidden="false" customHeight="false" outlineLevel="0" collapsed="false">
      <c r="A1769" s="2" t="s">
        <v>5561</v>
      </c>
      <c r="B1769" s="2" t="s">
        <v>1573</v>
      </c>
      <c r="C1769" s="2" t="s">
        <v>1574</v>
      </c>
      <c r="D1769" s="13" t="n">
        <v>45988.7451388889</v>
      </c>
      <c r="E1769" s="2" t="s">
        <v>41</v>
      </c>
      <c r="F1769" s="2" t="s">
        <v>27</v>
      </c>
      <c r="G1769" s="2" t="n">
        <v>16422.95</v>
      </c>
      <c r="H1769" s="2" t="n">
        <v>100.83</v>
      </c>
      <c r="I1769" s="2" t="s">
        <v>26</v>
      </c>
      <c r="J1769" s="2" t="s">
        <v>5562</v>
      </c>
      <c r="K1769" s="2" t="s">
        <v>101</v>
      </c>
      <c r="L1769" s="2"/>
      <c r="M1769" s="2" t="s">
        <v>2325</v>
      </c>
    </row>
    <row r="1770" customFormat="false" ht="15" hidden="false" customHeight="false" outlineLevel="0" collapsed="false">
      <c r="A1770" s="2" t="s">
        <v>5563</v>
      </c>
      <c r="B1770" s="2" t="s">
        <v>5564</v>
      </c>
      <c r="C1770" s="2" t="s">
        <v>5565</v>
      </c>
      <c r="D1770" s="13" t="n">
        <v>45734.6131944444</v>
      </c>
      <c r="E1770" s="2" t="s">
        <v>43</v>
      </c>
      <c r="F1770" s="2" t="s">
        <v>31</v>
      </c>
      <c r="G1770" s="2" t="n">
        <v>6292.79</v>
      </c>
      <c r="H1770" s="2" t="n">
        <v>65.01</v>
      </c>
      <c r="I1770" s="2" t="s">
        <v>26</v>
      </c>
      <c r="J1770" s="2" t="s">
        <v>5566</v>
      </c>
      <c r="K1770" s="2" t="s">
        <v>101</v>
      </c>
      <c r="L1770" s="2"/>
      <c r="M1770" s="2" t="s">
        <v>1645</v>
      </c>
    </row>
    <row r="1771" customFormat="false" ht="15" hidden="false" customHeight="false" outlineLevel="0" collapsed="false">
      <c r="A1771" s="2" t="s">
        <v>5567</v>
      </c>
      <c r="B1771" s="2" t="s">
        <v>689</v>
      </c>
      <c r="C1771" s="2" t="s">
        <v>690</v>
      </c>
      <c r="D1771" s="13" t="n">
        <v>45914.6284722222</v>
      </c>
      <c r="E1771" s="2" t="s">
        <v>35</v>
      </c>
      <c r="F1771" s="2" t="s">
        <v>29</v>
      </c>
      <c r="G1771" s="2" t="n">
        <v>1482.07</v>
      </c>
      <c r="H1771" s="2" t="n">
        <v>12.72</v>
      </c>
      <c r="I1771" s="2" t="s">
        <v>26</v>
      </c>
      <c r="J1771" s="2" t="s">
        <v>5568</v>
      </c>
      <c r="K1771" s="2" t="s">
        <v>122</v>
      </c>
      <c r="L1771" s="2" t="s">
        <v>1277</v>
      </c>
      <c r="M1771" s="2"/>
    </row>
    <row r="1772" customFormat="false" ht="15" hidden="false" customHeight="false" outlineLevel="0" collapsed="false">
      <c r="A1772" s="2" t="s">
        <v>5569</v>
      </c>
      <c r="B1772" s="2" t="s">
        <v>1569</v>
      </c>
      <c r="C1772" s="2" t="s">
        <v>1570</v>
      </c>
      <c r="D1772" s="13" t="n">
        <v>45733.5138888889</v>
      </c>
      <c r="E1772" s="2" t="s">
        <v>35</v>
      </c>
      <c r="F1772" s="2" t="s">
        <v>27</v>
      </c>
      <c r="G1772" s="2" t="n">
        <v>25181.6</v>
      </c>
      <c r="H1772" s="2" t="n">
        <v>208.28</v>
      </c>
      <c r="I1772" s="2" t="s">
        <v>26</v>
      </c>
      <c r="J1772" s="2" t="s">
        <v>5570</v>
      </c>
      <c r="K1772" s="2" t="s">
        <v>122</v>
      </c>
      <c r="L1772" s="2"/>
      <c r="M1772" s="2" t="s">
        <v>1282</v>
      </c>
    </row>
    <row r="1773" customFormat="false" ht="15" hidden="false" customHeight="false" outlineLevel="0" collapsed="false">
      <c r="A1773" s="2" t="s">
        <v>5571</v>
      </c>
      <c r="B1773" s="2" t="s">
        <v>1422</v>
      </c>
      <c r="C1773" s="2" t="s">
        <v>1423</v>
      </c>
      <c r="D1773" s="13" t="n">
        <v>45379.7583333333</v>
      </c>
      <c r="E1773" s="2" t="s">
        <v>35</v>
      </c>
      <c r="F1773" s="2" t="s">
        <v>27</v>
      </c>
      <c r="G1773" s="2" t="n">
        <v>1117.14</v>
      </c>
      <c r="H1773" s="2" t="n">
        <v>11.8</v>
      </c>
      <c r="I1773" s="2" t="s">
        <v>26</v>
      </c>
      <c r="J1773" s="2" t="s">
        <v>5572</v>
      </c>
      <c r="K1773" s="2" t="s">
        <v>122</v>
      </c>
      <c r="L1773" s="2"/>
      <c r="M1773" s="2" t="s">
        <v>1287</v>
      </c>
    </row>
    <row r="1774" customFormat="false" ht="15" hidden="false" customHeight="false" outlineLevel="0" collapsed="false">
      <c r="A1774" s="2" t="s">
        <v>5573</v>
      </c>
      <c r="B1774" s="2" t="s">
        <v>4588</v>
      </c>
      <c r="C1774" s="2" t="s">
        <v>4589</v>
      </c>
      <c r="D1774" s="13" t="n">
        <v>45772.6965277778</v>
      </c>
      <c r="E1774" s="2" t="s">
        <v>37</v>
      </c>
      <c r="F1774" s="2" t="s">
        <v>31</v>
      </c>
      <c r="G1774" s="2" t="n">
        <v>5809.79</v>
      </c>
      <c r="H1774" s="2" t="n">
        <v>58.48</v>
      </c>
      <c r="I1774" s="2" t="s">
        <v>26</v>
      </c>
      <c r="J1774" s="2" t="s">
        <v>5574</v>
      </c>
      <c r="K1774" s="2" t="s">
        <v>122</v>
      </c>
      <c r="L1774" s="2" t="s">
        <v>681</v>
      </c>
      <c r="M1774" s="2"/>
    </row>
    <row r="1775" customFormat="false" ht="15" hidden="false" customHeight="false" outlineLevel="0" collapsed="false">
      <c r="A1775" s="2" t="s">
        <v>5575</v>
      </c>
      <c r="B1775" s="2" t="s">
        <v>5576</v>
      </c>
      <c r="C1775" s="2" t="s">
        <v>5577</v>
      </c>
      <c r="D1775" s="13" t="n">
        <v>45432.8104166667</v>
      </c>
      <c r="E1775" s="2" t="s">
        <v>37</v>
      </c>
      <c r="F1775" s="2" t="s">
        <v>27</v>
      </c>
      <c r="G1775" s="2" t="n">
        <v>4867.1</v>
      </c>
      <c r="H1775" s="2" t="n">
        <v>49.06</v>
      </c>
      <c r="I1775" s="2" t="s">
        <v>26</v>
      </c>
      <c r="J1775" s="2" t="s">
        <v>5578</v>
      </c>
      <c r="K1775" s="2" t="s">
        <v>89</v>
      </c>
      <c r="L1775" s="2"/>
      <c r="M1775" s="2" t="s">
        <v>448</v>
      </c>
    </row>
    <row r="1776" customFormat="false" ht="15" hidden="false" customHeight="false" outlineLevel="0" collapsed="false">
      <c r="A1776" s="2" t="s">
        <v>5579</v>
      </c>
      <c r="B1776" s="2" t="s">
        <v>4280</v>
      </c>
      <c r="C1776" s="2" t="s">
        <v>4281</v>
      </c>
      <c r="D1776" s="13" t="n">
        <v>45697.7666666667</v>
      </c>
      <c r="E1776" s="2" t="s">
        <v>35</v>
      </c>
      <c r="F1776" s="2" t="s">
        <v>31</v>
      </c>
      <c r="G1776" s="2" t="n">
        <v>1248.95</v>
      </c>
      <c r="H1776" s="2" t="n">
        <v>8.63</v>
      </c>
      <c r="I1776" s="2" t="s">
        <v>26</v>
      </c>
      <c r="J1776" s="2" t="s">
        <v>5580</v>
      </c>
      <c r="K1776" s="2" t="s">
        <v>89</v>
      </c>
      <c r="L1776" s="2" t="s">
        <v>1299</v>
      </c>
      <c r="M1776" s="2"/>
    </row>
    <row r="1777" customFormat="false" ht="15" hidden="false" customHeight="false" outlineLevel="0" collapsed="false">
      <c r="A1777" s="2" t="s">
        <v>5581</v>
      </c>
      <c r="B1777" s="2" t="s">
        <v>2994</v>
      </c>
      <c r="C1777" s="2" t="s">
        <v>2995</v>
      </c>
      <c r="D1777" s="13" t="n">
        <v>45664.9222222222</v>
      </c>
      <c r="E1777" s="2" t="s">
        <v>41</v>
      </c>
      <c r="F1777" s="2" t="s">
        <v>29</v>
      </c>
      <c r="G1777" s="2" t="n">
        <v>679.1</v>
      </c>
      <c r="H1777" s="2" t="n">
        <v>5</v>
      </c>
      <c r="I1777" s="2" t="s">
        <v>26</v>
      </c>
      <c r="J1777" s="2" t="s">
        <v>5582</v>
      </c>
      <c r="K1777" s="2" t="s">
        <v>95</v>
      </c>
      <c r="L1777" s="2" t="s">
        <v>1854</v>
      </c>
      <c r="M1777" s="2"/>
    </row>
    <row r="1778" customFormat="false" ht="15" hidden="false" customHeight="false" outlineLevel="0" collapsed="false">
      <c r="A1778" s="2" t="s">
        <v>5583</v>
      </c>
      <c r="B1778" s="2" t="s">
        <v>3520</v>
      </c>
      <c r="C1778" s="2" t="s">
        <v>3521</v>
      </c>
      <c r="D1778" s="13" t="n">
        <v>45447.7444444444</v>
      </c>
      <c r="E1778" s="2" t="s">
        <v>35</v>
      </c>
      <c r="F1778" s="2" t="s">
        <v>29</v>
      </c>
      <c r="G1778" s="2" t="n">
        <v>47404.1</v>
      </c>
      <c r="H1778" s="2" t="n">
        <v>95.13</v>
      </c>
      <c r="I1778" s="2" t="s">
        <v>28</v>
      </c>
      <c r="J1778" s="2" t="s">
        <v>5584</v>
      </c>
      <c r="K1778" s="2" t="s">
        <v>122</v>
      </c>
      <c r="L1778" s="2" t="s">
        <v>697</v>
      </c>
      <c r="M1778" s="2"/>
    </row>
    <row r="1779" customFormat="false" ht="15" hidden="false" customHeight="false" outlineLevel="0" collapsed="false">
      <c r="A1779" s="2" t="s">
        <v>5585</v>
      </c>
      <c r="B1779" s="2" t="s">
        <v>5024</v>
      </c>
      <c r="C1779" s="2" t="s">
        <v>5025</v>
      </c>
      <c r="D1779" s="13" t="n">
        <v>45356.8826388889</v>
      </c>
      <c r="E1779" s="2" t="s">
        <v>41</v>
      </c>
      <c r="F1779" s="2" t="s">
        <v>29</v>
      </c>
      <c r="G1779" s="2" t="n">
        <v>1076.97</v>
      </c>
      <c r="H1779" s="2" t="n">
        <v>10.04</v>
      </c>
      <c r="I1779" s="2" t="s">
        <v>26</v>
      </c>
      <c r="J1779" s="2" t="s">
        <v>5586</v>
      </c>
      <c r="K1779" s="2" t="s">
        <v>89</v>
      </c>
      <c r="L1779" s="2" t="s">
        <v>1311</v>
      </c>
      <c r="M1779" s="2"/>
    </row>
    <row r="1780" customFormat="false" ht="15" hidden="false" customHeight="false" outlineLevel="0" collapsed="false">
      <c r="A1780" s="2" t="s">
        <v>5587</v>
      </c>
      <c r="B1780" s="2" t="s">
        <v>903</v>
      </c>
      <c r="C1780" s="2" t="s">
        <v>904</v>
      </c>
      <c r="D1780" s="13" t="n">
        <v>45413.6409722222</v>
      </c>
      <c r="E1780" s="2" t="s">
        <v>41</v>
      </c>
      <c r="F1780" s="2" t="s">
        <v>32</v>
      </c>
      <c r="G1780" s="2" t="n">
        <v>12480.98</v>
      </c>
      <c r="H1780" s="2" t="n">
        <v>53.66</v>
      </c>
      <c r="I1780" s="2" t="s">
        <v>26</v>
      </c>
      <c r="J1780" s="2" t="s">
        <v>5588</v>
      </c>
      <c r="K1780" s="2" t="s">
        <v>95</v>
      </c>
      <c r="L1780" s="2" t="s">
        <v>703</v>
      </c>
      <c r="M1780" s="2"/>
    </row>
    <row r="1781" customFormat="false" ht="15" hidden="false" customHeight="false" outlineLevel="0" collapsed="false">
      <c r="A1781" s="2" t="s">
        <v>5589</v>
      </c>
      <c r="B1781" s="2" t="s">
        <v>2573</v>
      </c>
      <c r="C1781" s="2" t="s">
        <v>2574</v>
      </c>
      <c r="D1781" s="13" t="n">
        <v>46020.4166666667</v>
      </c>
      <c r="E1781" s="2" t="s">
        <v>43</v>
      </c>
      <c r="F1781" s="2" t="s">
        <v>29</v>
      </c>
      <c r="G1781" s="2" t="n">
        <v>18680.23</v>
      </c>
      <c r="H1781" s="2" t="n">
        <v>209.47</v>
      </c>
      <c r="I1781" s="2" t="s">
        <v>26</v>
      </c>
      <c r="J1781" s="2" t="s">
        <v>5590</v>
      </c>
      <c r="K1781" s="2" t="s">
        <v>95</v>
      </c>
      <c r="L1781" s="2"/>
      <c r="M1781" s="2" t="s">
        <v>1686</v>
      </c>
    </row>
    <row r="1782" customFormat="false" ht="15" hidden="false" customHeight="false" outlineLevel="0" collapsed="false">
      <c r="A1782" s="2" t="s">
        <v>5591</v>
      </c>
      <c r="B1782" s="2" t="s">
        <v>1488</v>
      </c>
      <c r="C1782" s="2" t="s">
        <v>1489</v>
      </c>
      <c r="D1782" s="13" t="n">
        <v>45403.6652777778</v>
      </c>
      <c r="E1782" s="2" t="s">
        <v>39</v>
      </c>
      <c r="F1782" s="2" t="s">
        <v>27</v>
      </c>
      <c r="G1782" s="2" t="n">
        <v>21830.86</v>
      </c>
      <c r="H1782" s="2" t="n">
        <v>105.01</v>
      </c>
      <c r="I1782" s="2" t="s">
        <v>28</v>
      </c>
      <c r="J1782" s="2" t="s">
        <v>5592</v>
      </c>
      <c r="K1782" s="2" t="s">
        <v>95</v>
      </c>
      <c r="L1782" s="2"/>
      <c r="M1782" s="2" t="s">
        <v>2044</v>
      </c>
    </row>
    <row r="1783" customFormat="false" ht="15" hidden="false" customHeight="false" outlineLevel="0" collapsed="false">
      <c r="A1783" s="2" t="s">
        <v>5593</v>
      </c>
      <c r="B1783" s="2" t="s">
        <v>5594</v>
      </c>
      <c r="C1783" s="2" t="s">
        <v>5595</v>
      </c>
      <c r="D1783" s="13" t="n">
        <v>46003.5715277778</v>
      </c>
      <c r="E1783" s="2" t="s">
        <v>43</v>
      </c>
      <c r="F1783" s="2" t="s">
        <v>32</v>
      </c>
      <c r="G1783" s="2" t="n">
        <v>12094.46</v>
      </c>
      <c r="H1783" s="2" t="n">
        <v>125.11</v>
      </c>
      <c r="I1783" s="2" t="s">
        <v>30</v>
      </c>
      <c r="J1783" s="2" t="s">
        <v>5596</v>
      </c>
      <c r="K1783" s="2" t="s">
        <v>101</v>
      </c>
      <c r="L1783" s="2"/>
      <c r="M1783" s="2" t="s">
        <v>921</v>
      </c>
    </row>
    <row r="1784" customFormat="false" ht="15" hidden="false" customHeight="false" outlineLevel="0" collapsed="false">
      <c r="A1784" s="2" t="s">
        <v>5597</v>
      </c>
      <c r="B1784" s="2" t="s">
        <v>5598</v>
      </c>
      <c r="C1784" s="2" t="s">
        <v>5599</v>
      </c>
      <c r="D1784" s="13" t="n">
        <v>45444.4576388889</v>
      </c>
      <c r="E1784" s="2" t="s">
        <v>43</v>
      </c>
      <c r="F1784" s="2" t="s">
        <v>31</v>
      </c>
      <c r="G1784" s="2" t="n">
        <v>3205.12</v>
      </c>
      <c r="H1784" s="2" t="n">
        <v>34.15</v>
      </c>
      <c r="I1784" s="2" t="s">
        <v>28</v>
      </c>
      <c r="J1784" s="2" t="s">
        <v>5600</v>
      </c>
      <c r="K1784" s="2" t="s">
        <v>89</v>
      </c>
      <c r="L1784" s="2"/>
      <c r="M1784" s="2" t="s">
        <v>493</v>
      </c>
    </row>
    <row r="1785" customFormat="false" ht="15" hidden="false" customHeight="false" outlineLevel="0" collapsed="false">
      <c r="A1785" s="2" t="s">
        <v>5601</v>
      </c>
      <c r="B1785" s="2" t="s">
        <v>5102</v>
      </c>
      <c r="C1785" s="2" t="s">
        <v>5103</v>
      </c>
      <c r="D1785" s="13" t="n">
        <v>45307.36875</v>
      </c>
      <c r="E1785" s="2" t="s">
        <v>41</v>
      </c>
      <c r="F1785" s="2" t="s">
        <v>27</v>
      </c>
      <c r="G1785" s="2" t="n">
        <v>6656.4</v>
      </c>
      <c r="H1785" s="2" t="n">
        <v>70.66</v>
      </c>
      <c r="I1785" s="2" t="s">
        <v>26</v>
      </c>
      <c r="J1785" s="2" t="s">
        <v>5602</v>
      </c>
      <c r="K1785" s="2" t="s">
        <v>122</v>
      </c>
      <c r="L1785" s="2"/>
      <c r="M1785" s="2" t="s">
        <v>498</v>
      </c>
    </row>
    <row r="1786" customFormat="false" ht="15" hidden="false" customHeight="false" outlineLevel="0" collapsed="false">
      <c r="A1786" s="2" t="s">
        <v>5603</v>
      </c>
      <c r="B1786" s="2" t="s">
        <v>5604</v>
      </c>
      <c r="C1786" s="2" t="s">
        <v>5605</v>
      </c>
      <c r="D1786" s="13" t="n">
        <v>45923.86875</v>
      </c>
      <c r="E1786" s="2" t="s">
        <v>37</v>
      </c>
      <c r="F1786" s="2" t="s">
        <v>29</v>
      </c>
      <c r="G1786" s="2" t="n">
        <v>1944.55</v>
      </c>
      <c r="H1786" s="2" t="n">
        <v>13.69</v>
      </c>
      <c r="I1786" s="2" t="s">
        <v>26</v>
      </c>
      <c r="J1786" s="2" t="s">
        <v>5606</v>
      </c>
      <c r="K1786" s="2" t="s">
        <v>95</v>
      </c>
      <c r="L1786" s="2" t="s">
        <v>1344</v>
      </c>
      <c r="M1786" s="2"/>
    </row>
    <row r="1787" customFormat="false" ht="15" hidden="false" customHeight="false" outlineLevel="0" collapsed="false">
      <c r="A1787" s="2" t="s">
        <v>5607</v>
      </c>
      <c r="B1787" s="2" t="s">
        <v>845</v>
      </c>
      <c r="C1787" s="2" t="s">
        <v>846</v>
      </c>
      <c r="D1787" s="13" t="n">
        <v>45510.6888888889</v>
      </c>
      <c r="E1787" s="2" t="s">
        <v>37</v>
      </c>
      <c r="F1787" s="2" t="s">
        <v>32</v>
      </c>
      <c r="G1787" s="2" t="n">
        <v>4373.6</v>
      </c>
      <c r="H1787" s="2" t="n">
        <v>17.29</v>
      </c>
      <c r="I1787" s="2" t="s">
        <v>26</v>
      </c>
      <c r="J1787" s="2" t="s">
        <v>5608</v>
      </c>
      <c r="K1787" s="2" t="s">
        <v>101</v>
      </c>
      <c r="L1787" s="2" t="s">
        <v>731</v>
      </c>
      <c r="M1787" s="2"/>
    </row>
    <row r="1788" customFormat="false" ht="15" hidden="false" customHeight="false" outlineLevel="0" collapsed="false">
      <c r="A1788" s="2" t="s">
        <v>5609</v>
      </c>
      <c r="B1788" s="2" t="s">
        <v>3764</v>
      </c>
      <c r="C1788" s="2" t="s">
        <v>3765</v>
      </c>
      <c r="D1788" s="13" t="n">
        <v>45482.4861111111</v>
      </c>
      <c r="E1788" s="2" t="s">
        <v>37</v>
      </c>
      <c r="F1788" s="2" t="s">
        <v>32</v>
      </c>
      <c r="G1788" s="2" t="n">
        <v>2555.82</v>
      </c>
      <c r="H1788" s="2" t="n">
        <v>6.84</v>
      </c>
      <c r="I1788" s="2" t="s">
        <v>28</v>
      </c>
      <c r="J1788" s="2" t="s">
        <v>5610</v>
      </c>
      <c r="K1788" s="2" t="s">
        <v>89</v>
      </c>
      <c r="L1788" s="2" t="s">
        <v>1888</v>
      </c>
      <c r="M1788" s="2"/>
    </row>
    <row r="1789" customFormat="false" ht="15" hidden="false" customHeight="false" outlineLevel="0" collapsed="false">
      <c r="A1789" s="2" t="s">
        <v>5611</v>
      </c>
      <c r="B1789" s="2" t="s">
        <v>2019</v>
      </c>
      <c r="C1789" s="2" t="s">
        <v>2020</v>
      </c>
      <c r="D1789" s="13" t="n">
        <v>45339.5944444445</v>
      </c>
      <c r="E1789" s="2" t="s">
        <v>41</v>
      </c>
      <c r="F1789" s="2" t="s">
        <v>27</v>
      </c>
      <c r="G1789" s="2" t="n">
        <v>2794.3</v>
      </c>
      <c r="H1789" s="2" t="n">
        <v>26.16</v>
      </c>
      <c r="I1789" s="2" t="s">
        <v>26</v>
      </c>
      <c r="J1789" s="2" t="s">
        <v>5612</v>
      </c>
      <c r="K1789" s="2" t="s">
        <v>89</v>
      </c>
      <c r="L1789" s="2"/>
      <c r="M1789" s="2" t="s">
        <v>2390</v>
      </c>
    </row>
    <row r="1790" customFormat="false" ht="15" hidden="false" customHeight="false" outlineLevel="0" collapsed="false">
      <c r="A1790" s="2" t="s">
        <v>5613</v>
      </c>
      <c r="B1790" s="2" t="s">
        <v>2383</v>
      </c>
      <c r="C1790" s="2" t="s">
        <v>2384</v>
      </c>
      <c r="D1790" s="13" t="n">
        <v>45743.8125</v>
      </c>
      <c r="E1790" s="2" t="s">
        <v>43</v>
      </c>
      <c r="F1790" s="2" t="s">
        <v>32</v>
      </c>
      <c r="G1790" s="2" t="n">
        <v>1085.57</v>
      </c>
      <c r="H1790" s="2" t="n">
        <v>9.86</v>
      </c>
      <c r="I1790" s="2" t="s">
        <v>28</v>
      </c>
      <c r="J1790" s="2" t="s">
        <v>5614</v>
      </c>
      <c r="K1790" s="2" t="s">
        <v>122</v>
      </c>
      <c r="L1790" s="2"/>
      <c r="M1790" s="2" t="s">
        <v>950</v>
      </c>
    </row>
    <row r="1791" customFormat="false" ht="15" hidden="false" customHeight="false" outlineLevel="0" collapsed="false">
      <c r="A1791" s="2" t="s">
        <v>5615</v>
      </c>
      <c r="B1791" s="2" t="s">
        <v>725</v>
      </c>
      <c r="C1791" s="2" t="s">
        <v>726</v>
      </c>
      <c r="D1791" s="13" t="n">
        <v>45620.8784722222</v>
      </c>
      <c r="E1791" s="2" t="s">
        <v>35</v>
      </c>
      <c r="F1791" s="2" t="s">
        <v>32</v>
      </c>
      <c r="G1791" s="2" t="n">
        <v>6243.74</v>
      </c>
      <c r="H1791" s="2" t="n">
        <v>51.56</v>
      </c>
      <c r="I1791" s="2" t="s">
        <v>26</v>
      </c>
      <c r="J1791" s="2" t="s">
        <v>5616</v>
      </c>
      <c r="K1791" s="2" t="s">
        <v>95</v>
      </c>
      <c r="L1791" s="2" t="s">
        <v>1901</v>
      </c>
      <c r="M1791" s="2"/>
    </row>
    <row r="1792" customFormat="false" ht="15" hidden="false" customHeight="false" outlineLevel="0" collapsed="false">
      <c r="A1792" s="2" t="s">
        <v>5617</v>
      </c>
      <c r="B1792" s="2" t="s">
        <v>5618</v>
      </c>
      <c r="C1792" s="2" t="s">
        <v>5619</v>
      </c>
      <c r="D1792" s="13" t="n">
        <v>45691.7763888889</v>
      </c>
      <c r="E1792" s="2" t="s">
        <v>41</v>
      </c>
      <c r="F1792" s="2" t="s">
        <v>27</v>
      </c>
      <c r="G1792" s="2" t="n">
        <v>1724.7</v>
      </c>
      <c r="H1792" s="2" t="n">
        <v>16.39</v>
      </c>
      <c r="I1792" s="2" t="s">
        <v>26</v>
      </c>
      <c r="J1792" s="2" t="s">
        <v>5620</v>
      </c>
      <c r="K1792" s="2" t="s">
        <v>89</v>
      </c>
      <c r="L1792" s="2"/>
      <c r="M1792" s="2" t="s">
        <v>531</v>
      </c>
    </row>
    <row r="1793" customFormat="false" ht="15" hidden="false" customHeight="false" outlineLevel="0" collapsed="false">
      <c r="A1793" s="2" t="s">
        <v>5621</v>
      </c>
      <c r="B1793" s="2" t="s">
        <v>440</v>
      </c>
      <c r="C1793" s="2" t="s">
        <v>441</v>
      </c>
      <c r="D1793" s="13" t="n">
        <v>45962.3541666667</v>
      </c>
      <c r="E1793" s="2" t="s">
        <v>35</v>
      </c>
      <c r="F1793" s="2" t="s">
        <v>29</v>
      </c>
      <c r="G1793" s="2" t="n">
        <v>30720.84</v>
      </c>
      <c r="H1793" s="2" t="n">
        <v>350.39</v>
      </c>
      <c r="I1793" s="2" t="s">
        <v>26</v>
      </c>
      <c r="J1793" s="2" t="s">
        <v>5622</v>
      </c>
      <c r="K1793" s="2" t="s">
        <v>89</v>
      </c>
      <c r="L1793" s="2" t="s">
        <v>757</v>
      </c>
      <c r="M1793" s="2"/>
    </row>
    <row r="1794" customFormat="false" ht="15" hidden="false" customHeight="false" outlineLevel="0" collapsed="false">
      <c r="A1794" s="2" t="s">
        <v>5623</v>
      </c>
      <c r="B1794" s="2" t="s">
        <v>5208</v>
      </c>
      <c r="C1794" s="2" t="s">
        <v>5209</v>
      </c>
      <c r="D1794" s="13" t="n">
        <v>45416.3270833333</v>
      </c>
      <c r="E1794" s="2" t="s">
        <v>41</v>
      </c>
      <c r="F1794" s="2" t="s">
        <v>27</v>
      </c>
      <c r="G1794" s="2" t="n">
        <v>3082.13</v>
      </c>
      <c r="H1794" s="2" t="n">
        <v>14.98</v>
      </c>
      <c r="I1794" s="2" t="s">
        <v>26</v>
      </c>
      <c r="J1794" s="2" t="s">
        <v>5624</v>
      </c>
      <c r="K1794" s="2" t="s">
        <v>101</v>
      </c>
      <c r="L1794" s="2"/>
      <c r="M1794" s="2" t="s">
        <v>1371</v>
      </c>
    </row>
    <row r="1795" customFormat="false" ht="15" hidden="false" customHeight="false" outlineLevel="0" collapsed="false">
      <c r="A1795" s="2" t="s">
        <v>5625</v>
      </c>
      <c r="B1795" s="2" t="s">
        <v>5292</v>
      </c>
      <c r="C1795" s="2" t="s">
        <v>5293</v>
      </c>
      <c r="D1795" s="13" t="n">
        <v>45764.6784722222</v>
      </c>
      <c r="E1795" s="2" t="s">
        <v>43</v>
      </c>
      <c r="F1795" s="2" t="s">
        <v>27</v>
      </c>
      <c r="G1795" s="2" t="n">
        <v>10315.43</v>
      </c>
      <c r="H1795" s="2" t="n">
        <v>82.02</v>
      </c>
      <c r="I1795" s="2" t="s">
        <v>26</v>
      </c>
      <c r="J1795" s="2" t="s">
        <v>5626</v>
      </c>
      <c r="K1795" s="2" t="s">
        <v>89</v>
      </c>
      <c r="L1795" s="2"/>
      <c r="M1795" s="2" t="s">
        <v>546</v>
      </c>
    </row>
    <row r="1796" customFormat="false" ht="15" hidden="false" customHeight="false" outlineLevel="0" collapsed="false">
      <c r="A1796" s="2" t="s">
        <v>5627</v>
      </c>
      <c r="B1796" s="2" t="s">
        <v>5628</v>
      </c>
      <c r="C1796" s="2" t="s">
        <v>5629</v>
      </c>
      <c r="D1796" s="13" t="n">
        <v>45663.5930555556</v>
      </c>
      <c r="E1796" s="2" t="s">
        <v>39</v>
      </c>
      <c r="F1796" s="2" t="s">
        <v>31</v>
      </c>
      <c r="G1796" s="2" t="n">
        <v>1460.94</v>
      </c>
      <c r="H1796" s="2" t="n">
        <v>11.91</v>
      </c>
      <c r="I1796" s="2" t="s">
        <v>26</v>
      </c>
      <c r="J1796" s="2" t="s">
        <v>5630</v>
      </c>
      <c r="K1796" s="2" t="s">
        <v>89</v>
      </c>
      <c r="L1796" s="2" t="s">
        <v>769</v>
      </c>
      <c r="M1796" s="2"/>
    </row>
    <row r="1797" customFormat="false" ht="15" hidden="false" customHeight="false" outlineLevel="0" collapsed="false">
      <c r="A1797" s="2" t="s">
        <v>5631</v>
      </c>
      <c r="B1797" s="2" t="s">
        <v>960</v>
      </c>
      <c r="C1797" s="2" t="s">
        <v>961</v>
      </c>
      <c r="D1797" s="13" t="n">
        <v>45502.6763888889</v>
      </c>
      <c r="E1797" s="2" t="s">
        <v>43</v>
      </c>
      <c r="F1797" s="2" t="s">
        <v>29</v>
      </c>
      <c r="G1797" s="2" t="n">
        <v>1667.62</v>
      </c>
      <c r="H1797" s="2" t="n">
        <v>11.61</v>
      </c>
      <c r="I1797" s="2" t="s">
        <v>28</v>
      </c>
      <c r="J1797" s="2" t="s">
        <v>5632</v>
      </c>
      <c r="K1797" s="2" t="s">
        <v>122</v>
      </c>
      <c r="L1797" s="2"/>
      <c r="M1797" s="2" t="s">
        <v>981</v>
      </c>
    </row>
    <row r="1798" customFormat="false" ht="15" hidden="false" customHeight="false" outlineLevel="0" collapsed="false">
      <c r="A1798" s="2" t="s">
        <v>5633</v>
      </c>
      <c r="B1798" s="2" t="s">
        <v>1358</v>
      </c>
      <c r="C1798" s="2" t="s">
        <v>1359</v>
      </c>
      <c r="D1798" s="13" t="n">
        <v>45362.4118055556</v>
      </c>
      <c r="E1798" s="2" t="s">
        <v>41</v>
      </c>
      <c r="F1798" s="2" t="s">
        <v>31</v>
      </c>
      <c r="G1798" s="2" t="n">
        <v>18396.56</v>
      </c>
      <c r="H1798" s="2" t="n">
        <v>46.67</v>
      </c>
      <c r="I1798" s="2" t="s">
        <v>26</v>
      </c>
      <c r="J1798" s="2" t="s">
        <v>5634</v>
      </c>
      <c r="K1798" s="2" t="s">
        <v>95</v>
      </c>
      <c r="L1798" s="2" t="s">
        <v>779</v>
      </c>
      <c r="M1798" s="2"/>
    </row>
    <row r="1799" customFormat="false" ht="15" hidden="false" customHeight="false" outlineLevel="0" collapsed="false">
      <c r="A1799" s="2" t="s">
        <v>5635</v>
      </c>
      <c r="B1799" s="2" t="s">
        <v>664</v>
      </c>
      <c r="C1799" s="2" t="s">
        <v>665</v>
      </c>
      <c r="D1799" s="13" t="n">
        <v>45913.6340277778</v>
      </c>
      <c r="E1799" s="2" t="s">
        <v>41</v>
      </c>
      <c r="F1799" s="2" t="s">
        <v>27</v>
      </c>
      <c r="G1799" s="2" t="n">
        <v>141.46</v>
      </c>
      <c r="H1799" s="2" t="n">
        <v>5</v>
      </c>
      <c r="I1799" s="2" t="s">
        <v>26</v>
      </c>
      <c r="J1799" s="2" t="s">
        <v>5636</v>
      </c>
      <c r="K1799" s="2" t="s">
        <v>89</v>
      </c>
      <c r="L1799" s="2"/>
      <c r="M1799" s="2" t="s">
        <v>2097</v>
      </c>
    </row>
    <row r="1800" customFormat="false" ht="15" hidden="false" customHeight="false" outlineLevel="0" collapsed="false">
      <c r="A1800" s="2" t="s">
        <v>5637</v>
      </c>
      <c r="B1800" s="2" t="s">
        <v>285</v>
      </c>
      <c r="C1800" s="2" t="s">
        <v>286</v>
      </c>
      <c r="D1800" s="13" t="n">
        <v>45507.5465277778</v>
      </c>
      <c r="E1800" s="2" t="s">
        <v>35</v>
      </c>
      <c r="F1800" s="2" t="s">
        <v>29</v>
      </c>
      <c r="G1800" s="2" t="n">
        <v>1965.74</v>
      </c>
      <c r="H1800" s="2" t="n">
        <v>21.05</v>
      </c>
      <c r="I1800" s="2" t="s">
        <v>28</v>
      </c>
      <c r="J1800" s="2" t="s">
        <v>5638</v>
      </c>
      <c r="K1800" s="2" t="s">
        <v>89</v>
      </c>
      <c r="L1800" s="2" t="s">
        <v>1935</v>
      </c>
      <c r="M1800" s="2"/>
    </row>
    <row r="1801" customFormat="false" ht="15" hidden="false" customHeight="false" outlineLevel="0" collapsed="false">
      <c r="A1801" s="2" t="s">
        <v>5639</v>
      </c>
      <c r="B1801" s="2" t="s">
        <v>5640</v>
      </c>
      <c r="C1801" s="2" t="s">
        <v>5641</v>
      </c>
      <c r="D1801" s="13" t="n">
        <v>45741.3041666667</v>
      </c>
      <c r="E1801" s="2" t="s">
        <v>43</v>
      </c>
      <c r="F1801" s="2" t="s">
        <v>32</v>
      </c>
      <c r="G1801" s="2" t="n">
        <v>3070.49</v>
      </c>
      <c r="H1801" s="2" t="n">
        <v>36.25</v>
      </c>
      <c r="I1801" s="2" t="s">
        <v>26</v>
      </c>
      <c r="J1801" s="2" t="s">
        <v>5642</v>
      </c>
      <c r="K1801" s="2" t="s">
        <v>122</v>
      </c>
      <c r="L1801" s="2"/>
      <c r="M1801" s="2" t="s">
        <v>576</v>
      </c>
    </row>
    <row r="1802" customFormat="false" ht="15" hidden="false" customHeight="false" outlineLevel="0" collapsed="false">
      <c r="A1802" s="2" t="s">
        <v>5643</v>
      </c>
      <c r="B1802" s="2" t="s">
        <v>410</v>
      </c>
      <c r="C1802" s="2" t="s">
        <v>411</v>
      </c>
      <c r="D1802" s="13" t="n">
        <v>45762.9486111111</v>
      </c>
      <c r="E1802" s="2" t="s">
        <v>41</v>
      </c>
      <c r="F1802" s="2" t="s">
        <v>27</v>
      </c>
      <c r="G1802" s="2" t="n">
        <v>9195.43</v>
      </c>
      <c r="H1802" s="2" t="n">
        <v>60.6</v>
      </c>
      <c r="I1802" s="2" t="s">
        <v>26</v>
      </c>
      <c r="J1802" s="2" t="s">
        <v>5644</v>
      </c>
      <c r="K1802" s="2" t="s">
        <v>122</v>
      </c>
      <c r="L1802" s="2"/>
      <c r="M1802" s="2" t="s">
        <v>581</v>
      </c>
    </row>
    <row r="1803" customFormat="false" ht="15" hidden="false" customHeight="false" outlineLevel="0" collapsed="false">
      <c r="A1803" s="2" t="s">
        <v>5645</v>
      </c>
      <c r="B1803" s="2" t="s">
        <v>3000</v>
      </c>
      <c r="C1803" s="2" t="s">
        <v>3001</v>
      </c>
      <c r="D1803" s="13" t="n">
        <v>45653.7916666667</v>
      </c>
      <c r="E1803" s="2" t="s">
        <v>43</v>
      </c>
      <c r="F1803" s="2" t="s">
        <v>32</v>
      </c>
      <c r="G1803" s="2" t="n">
        <v>1916.09</v>
      </c>
      <c r="H1803" s="2" t="n">
        <v>6.94</v>
      </c>
      <c r="I1803" s="2" t="s">
        <v>26</v>
      </c>
      <c r="J1803" s="2" t="s">
        <v>5646</v>
      </c>
      <c r="K1803" s="2" t="s">
        <v>95</v>
      </c>
      <c r="L1803" s="2"/>
      <c r="M1803" s="2" t="s">
        <v>1007</v>
      </c>
    </row>
    <row r="1804" customFormat="false" ht="15" hidden="false" customHeight="false" outlineLevel="0" collapsed="false">
      <c r="A1804" s="2" t="s">
        <v>5647</v>
      </c>
      <c r="B1804" s="2" t="s">
        <v>4158</v>
      </c>
      <c r="C1804" s="2" t="s">
        <v>4159</v>
      </c>
      <c r="D1804" s="13" t="n">
        <v>45995.4631944444</v>
      </c>
      <c r="E1804" s="2" t="s">
        <v>43</v>
      </c>
      <c r="F1804" s="2" t="s">
        <v>27</v>
      </c>
      <c r="G1804" s="2" t="n">
        <v>27689.44</v>
      </c>
      <c r="H1804" s="2" t="n">
        <v>293.15</v>
      </c>
      <c r="I1804" s="2" t="s">
        <v>28</v>
      </c>
      <c r="J1804" s="2" t="s">
        <v>5648</v>
      </c>
      <c r="K1804" s="2" t="s">
        <v>95</v>
      </c>
      <c r="L1804" s="2"/>
      <c r="M1804" s="2" t="s">
        <v>2435</v>
      </c>
    </row>
    <row r="1805" customFormat="false" ht="15" hidden="false" customHeight="false" outlineLevel="0" collapsed="false">
      <c r="A1805" s="2" t="s">
        <v>5649</v>
      </c>
      <c r="B1805" s="2" t="s">
        <v>888</v>
      </c>
      <c r="C1805" s="2" t="s">
        <v>889</v>
      </c>
      <c r="D1805" s="13" t="n">
        <v>45860.6583333333</v>
      </c>
      <c r="E1805" s="2" t="s">
        <v>41</v>
      </c>
      <c r="F1805" s="2" t="s">
        <v>32</v>
      </c>
      <c r="G1805" s="2" t="n">
        <v>3366.26</v>
      </c>
      <c r="H1805" s="2" t="n">
        <v>30.58</v>
      </c>
      <c r="I1805" s="2" t="s">
        <v>26</v>
      </c>
      <c r="J1805" s="2" t="s">
        <v>5650</v>
      </c>
      <c r="K1805" s="2" t="s">
        <v>89</v>
      </c>
      <c r="L1805" s="2" t="s">
        <v>107</v>
      </c>
      <c r="M1805" s="2"/>
    </row>
    <row r="1806" customFormat="false" ht="15" hidden="false" customHeight="false" outlineLevel="0" collapsed="false">
      <c r="A1806" s="2" t="s">
        <v>5651</v>
      </c>
      <c r="B1806" s="2" t="s">
        <v>2986</v>
      </c>
      <c r="C1806" s="2" t="s">
        <v>2987</v>
      </c>
      <c r="D1806" s="13" t="n">
        <v>45598.7784722222</v>
      </c>
      <c r="E1806" s="2" t="s">
        <v>39</v>
      </c>
      <c r="F1806" s="2" t="s">
        <v>27</v>
      </c>
      <c r="G1806" s="2" t="n">
        <v>10058.01</v>
      </c>
      <c r="H1806" s="2" t="n">
        <v>77.44</v>
      </c>
      <c r="I1806" s="2" t="s">
        <v>26</v>
      </c>
      <c r="J1806" s="2" t="s">
        <v>5652</v>
      </c>
      <c r="K1806" s="2" t="s">
        <v>122</v>
      </c>
      <c r="L1806" s="2"/>
      <c r="M1806" s="2" t="s">
        <v>112</v>
      </c>
    </row>
    <row r="1807" customFormat="false" ht="15" hidden="false" customHeight="false" outlineLevel="0" collapsed="false">
      <c r="A1807" s="2" t="s">
        <v>5653</v>
      </c>
      <c r="B1807" s="2" t="s">
        <v>2222</v>
      </c>
      <c r="C1807" s="2" t="s">
        <v>2223</v>
      </c>
      <c r="D1807" s="13" t="n">
        <v>45571.7597222222</v>
      </c>
      <c r="E1807" s="2" t="s">
        <v>35</v>
      </c>
      <c r="F1807" s="2" t="s">
        <v>32</v>
      </c>
      <c r="G1807" s="2" t="n">
        <v>1682.18</v>
      </c>
      <c r="H1807" s="2" t="n">
        <v>14.36</v>
      </c>
      <c r="I1807" s="2" t="s">
        <v>26</v>
      </c>
      <c r="J1807" s="2" t="s">
        <v>5654</v>
      </c>
      <c r="K1807" s="2" t="s">
        <v>101</v>
      </c>
      <c r="L1807" s="2" t="s">
        <v>117</v>
      </c>
      <c r="M1807" s="2"/>
    </row>
    <row r="1808" customFormat="false" ht="15" hidden="false" customHeight="false" outlineLevel="0" collapsed="false">
      <c r="A1808" s="2" t="s">
        <v>5655</v>
      </c>
      <c r="B1808" s="2" t="s">
        <v>5656</v>
      </c>
      <c r="C1808" s="2" t="s">
        <v>5657</v>
      </c>
      <c r="D1808" s="13" t="n">
        <v>45867.3798611111</v>
      </c>
      <c r="E1808" s="2" t="s">
        <v>39</v>
      </c>
      <c r="F1808" s="2" t="s">
        <v>31</v>
      </c>
      <c r="G1808" s="2" t="n">
        <v>2977.47</v>
      </c>
      <c r="H1808" s="2" t="n">
        <v>13.74</v>
      </c>
      <c r="I1808" s="2" t="s">
        <v>26</v>
      </c>
      <c r="J1808" s="2" t="s">
        <v>5658</v>
      </c>
      <c r="K1808" s="2" t="s">
        <v>95</v>
      </c>
      <c r="L1808" s="2" t="s">
        <v>123</v>
      </c>
      <c r="M1808" s="2"/>
    </row>
    <row r="1809" customFormat="false" ht="15" hidden="false" customHeight="false" outlineLevel="0" collapsed="false">
      <c r="A1809" s="2" t="s">
        <v>5659</v>
      </c>
      <c r="B1809" s="2" t="s">
        <v>4892</v>
      </c>
      <c r="C1809" s="2" t="s">
        <v>4893</v>
      </c>
      <c r="D1809" s="13" t="n">
        <v>45862.3958333333</v>
      </c>
      <c r="E1809" s="2" t="s">
        <v>37</v>
      </c>
      <c r="F1809" s="2" t="s">
        <v>29</v>
      </c>
      <c r="G1809" s="2" t="n">
        <v>5824.8</v>
      </c>
      <c r="H1809" s="2" t="n">
        <v>24.79</v>
      </c>
      <c r="I1809" s="2" t="s">
        <v>30</v>
      </c>
      <c r="J1809" s="2" t="s">
        <v>5660</v>
      </c>
      <c r="K1809" s="2" t="s">
        <v>89</v>
      </c>
      <c r="L1809" s="2" t="s">
        <v>128</v>
      </c>
      <c r="M1809" s="2"/>
    </row>
    <row r="1810" customFormat="false" ht="15" hidden="false" customHeight="false" outlineLevel="0" collapsed="false">
      <c r="A1810" s="2" t="s">
        <v>5661</v>
      </c>
      <c r="B1810" s="2" t="s">
        <v>1081</v>
      </c>
      <c r="C1810" s="2" t="s">
        <v>1082</v>
      </c>
      <c r="D1810" s="13" t="n">
        <v>45997.8652777778</v>
      </c>
      <c r="E1810" s="2" t="s">
        <v>43</v>
      </c>
      <c r="F1810" s="2" t="s">
        <v>29</v>
      </c>
      <c r="G1810" s="2" t="n">
        <v>2624.97</v>
      </c>
      <c r="H1810" s="2" t="n">
        <v>14.74</v>
      </c>
      <c r="I1810" s="2" t="s">
        <v>28</v>
      </c>
      <c r="J1810" s="2" t="s">
        <v>5662</v>
      </c>
      <c r="K1810" s="2" t="s">
        <v>101</v>
      </c>
      <c r="L1810" s="2"/>
      <c r="M1810" s="2" t="s">
        <v>617</v>
      </c>
    </row>
    <row r="1811" customFormat="false" ht="15" hidden="false" customHeight="false" outlineLevel="0" collapsed="false">
      <c r="A1811" s="2" t="s">
        <v>5663</v>
      </c>
      <c r="B1811" s="2" t="s">
        <v>5664</v>
      </c>
      <c r="C1811" s="2" t="s">
        <v>5665</v>
      </c>
      <c r="D1811" s="13" t="n">
        <v>45367.6048611111</v>
      </c>
      <c r="E1811" s="2" t="s">
        <v>37</v>
      </c>
      <c r="F1811" s="2" t="s">
        <v>32</v>
      </c>
      <c r="G1811" s="2" t="n">
        <v>4711.44</v>
      </c>
      <c r="H1811" s="2" t="n">
        <v>14.34</v>
      </c>
      <c r="I1811" s="2" t="s">
        <v>30</v>
      </c>
      <c r="J1811" s="2" t="s">
        <v>5666</v>
      </c>
      <c r="K1811" s="2" t="s">
        <v>122</v>
      </c>
      <c r="L1811" s="2" t="s">
        <v>138</v>
      </c>
      <c r="M1811" s="2"/>
    </row>
    <row r="1812" customFormat="false" ht="15" hidden="false" customHeight="false" outlineLevel="0" collapsed="false">
      <c r="A1812" s="2" t="s">
        <v>5667</v>
      </c>
      <c r="B1812" s="2" t="s">
        <v>4832</v>
      </c>
      <c r="C1812" s="2" t="s">
        <v>4833</v>
      </c>
      <c r="D1812" s="13" t="n">
        <v>45882.9243055556</v>
      </c>
      <c r="E1812" s="2" t="s">
        <v>37</v>
      </c>
      <c r="F1812" s="2" t="s">
        <v>27</v>
      </c>
      <c r="G1812" s="2" t="n">
        <v>3883.66</v>
      </c>
      <c r="H1812" s="2" t="n">
        <v>27.95</v>
      </c>
      <c r="I1812" s="2" t="s">
        <v>26</v>
      </c>
      <c r="J1812" s="2" t="s">
        <v>5668</v>
      </c>
      <c r="K1812" s="2" t="s">
        <v>95</v>
      </c>
      <c r="L1812" s="2"/>
      <c r="M1812" s="2" t="s">
        <v>627</v>
      </c>
    </row>
    <row r="1813" customFormat="false" ht="15" hidden="false" customHeight="false" outlineLevel="0" collapsed="false">
      <c r="A1813" s="2" t="s">
        <v>5669</v>
      </c>
      <c r="B1813" s="2" t="s">
        <v>405</v>
      </c>
      <c r="C1813" s="2" t="s">
        <v>406</v>
      </c>
      <c r="D1813" s="13" t="n">
        <v>45864.8361111111</v>
      </c>
      <c r="E1813" s="2" t="s">
        <v>35</v>
      </c>
      <c r="F1813" s="2" t="s">
        <v>31</v>
      </c>
      <c r="G1813" s="2" t="n">
        <v>433.9</v>
      </c>
      <c r="H1813" s="2" t="n">
        <v>5</v>
      </c>
      <c r="I1813" s="2" t="s">
        <v>28</v>
      </c>
      <c r="J1813" s="2" t="s">
        <v>5670</v>
      </c>
      <c r="K1813" s="2" t="s">
        <v>101</v>
      </c>
      <c r="L1813" s="2" t="s">
        <v>841</v>
      </c>
      <c r="M1813" s="2"/>
    </row>
    <row r="1814" customFormat="false" ht="15" hidden="false" customHeight="false" outlineLevel="0" collapsed="false">
      <c r="A1814" s="2" t="s">
        <v>5671</v>
      </c>
      <c r="B1814" s="2" t="s">
        <v>1279</v>
      </c>
      <c r="C1814" s="2" t="s">
        <v>1280</v>
      </c>
      <c r="D1814" s="13" t="n">
        <v>45860.3159722222</v>
      </c>
      <c r="E1814" s="2" t="s">
        <v>37</v>
      </c>
      <c r="F1814" s="2" t="s">
        <v>32</v>
      </c>
      <c r="G1814" s="2" t="n">
        <v>14813.05</v>
      </c>
      <c r="H1814" s="2" t="n">
        <v>56.16</v>
      </c>
      <c r="I1814" s="2" t="s">
        <v>26</v>
      </c>
      <c r="J1814" s="2" t="s">
        <v>5672</v>
      </c>
      <c r="K1814" s="2" t="s">
        <v>95</v>
      </c>
      <c r="L1814" s="2" t="s">
        <v>147</v>
      </c>
      <c r="M1814" s="2"/>
    </row>
    <row r="1815" customFormat="false" ht="15" hidden="false" customHeight="false" outlineLevel="0" collapsed="false">
      <c r="A1815" s="2" t="s">
        <v>5673</v>
      </c>
      <c r="B1815" s="2" t="s">
        <v>5674</v>
      </c>
      <c r="C1815" s="2" t="s">
        <v>5675</v>
      </c>
      <c r="D1815" s="13" t="n">
        <v>45913.3215277778</v>
      </c>
      <c r="E1815" s="2" t="s">
        <v>39</v>
      </c>
      <c r="F1815" s="2" t="s">
        <v>29</v>
      </c>
      <c r="G1815" s="2" t="n">
        <v>2368.73</v>
      </c>
      <c r="H1815" s="2" t="n">
        <v>12.03</v>
      </c>
      <c r="I1815" s="2" t="s">
        <v>26</v>
      </c>
      <c r="J1815" s="2" t="s">
        <v>5676</v>
      </c>
      <c r="K1815" s="2" t="s">
        <v>95</v>
      </c>
      <c r="L1815" s="2" t="s">
        <v>150</v>
      </c>
      <c r="M1815" s="2"/>
    </row>
    <row r="1816" customFormat="false" ht="15" hidden="false" customHeight="false" outlineLevel="0" collapsed="false">
      <c r="A1816" s="2" t="s">
        <v>5677</v>
      </c>
      <c r="B1816" s="2" t="s">
        <v>480</v>
      </c>
      <c r="C1816" s="2" t="s">
        <v>481</v>
      </c>
      <c r="D1816" s="13" t="n">
        <v>45495.8444444445</v>
      </c>
      <c r="E1816" s="2" t="s">
        <v>43</v>
      </c>
      <c r="F1816" s="2" t="s">
        <v>31</v>
      </c>
      <c r="G1816" s="2" t="n">
        <v>4018.9</v>
      </c>
      <c r="H1816" s="2" t="n">
        <v>11.04</v>
      </c>
      <c r="I1816" s="2" t="s">
        <v>26</v>
      </c>
      <c r="J1816" s="2" t="s">
        <v>5678</v>
      </c>
      <c r="K1816" s="2" t="s">
        <v>89</v>
      </c>
      <c r="L1816" s="2"/>
      <c r="M1816" s="2" t="s">
        <v>1448</v>
      </c>
    </row>
    <row r="1817" customFormat="false" ht="15" hidden="false" customHeight="false" outlineLevel="0" collapsed="false">
      <c r="A1817" s="2" t="s">
        <v>5679</v>
      </c>
      <c r="B1817" s="2" t="s">
        <v>3292</v>
      </c>
      <c r="C1817" s="2" t="s">
        <v>3293</v>
      </c>
      <c r="D1817" s="13" t="n">
        <v>45829.7958333333</v>
      </c>
      <c r="E1817" s="2" t="s">
        <v>35</v>
      </c>
      <c r="F1817" s="2" t="s">
        <v>27</v>
      </c>
      <c r="G1817" s="2" t="n">
        <v>9290.64</v>
      </c>
      <c r="H1817" s="2" t="n">
        <v>94.7</v>
      </c>
      <c r="I1817" s="2" t="s">
        <v>30</v>
      </c>
      <c r="J1817" s="2" t="s">
        <v>5680</v>
      </c>
      <c r="K1817" s="2" t="s">
        <v>89</v>
      </c>
      <c r="L1817" s="2"/>
      <c r="M1817" s="2" t="s">
        <v>1453</v>
      </c>
    </row>
    <row r="1818" customFormat="false" ht="15" hidden="false" customHeight="false" outlineLevel="0" collapsed="false">
      <c r="A1818" s="2" t="s">
        <v>5681</v>
      </c>
      <c r="B1818" s="2" t="s">
        <v>1705</v>
      </c>
      <c r="C1818" s="2" t="s">
        <v>1706</v>
      </c>
      <c r="D1818" s="13" t="n">
        <v>45935.3895833333</v>
      </c>
      <c r="E1818" s="2" t="s">
        <v>39</v>
      </c>
      <c r="F1818" s="2" t="s">
        <v>27</v>
      </c>
      <c r="G1818" s="2" t="n">
        <v>19758.79</v>
      </c>
      <c r="H1818" s="2" t="n">
        <v>144.3</v>
      </c>
      <c r="I1818" s="2" t="s">
        <v>26</v>
      </c>
      <c r="J1818" s="2" t="s">
        <v>5682</v>
      </c>
      <c r="K1818" s="2" t="s">
        <v>122</v>
      </c>
      <c r="L1818" s="2"/>
      <c r="M1818" s="2" t="s">
        <v>163</v>
      </c>
    </row>
    <row r="1819" customFormat="false" ht="15" hidden="false" customHeight="false" outlineLevel="0" collapsed="false">
      <c r="A1819" s="2" t="s">
        <v>5683</v>
      </c>
      <c r="B1819" s="2" t="s">
        <v>1816</v>
      </c>
      <c r="C1819" s="2" t="s">
        <v>1817</v>
      </c>
      <c r="D1819" s="13" t="n">
        <v>45974.6</v>
      </c>
      <c r="E1819" s="2" t="s">
        <v>37</v>
      </c>
      <c r="F1819" s="2" t="s">
        <v>31</v>
      </c>
      <c r="G1819" s="2" t="n">
        <v>100</v>
      </c>
      <c r="H1819" s="2" t="n">
        <v>5</v>
      </c>
      <c r="I1819" s="2" t="s">
        <v>26</v>
      </c>
      <c r="J1819" s="2" t="s">
        <v>5684</v>
      </c>
      <c r="K1819" s="2" t="s">
        <v>95</v>
      </c>
      <c r="L1819" s="2" t="s">
        <v>168</v>
      </c>
      <c r="M1819" s="2"/>
    </row>
    <row r="1820" customFormat="false" ht="15" hidden="false" customHeight="false" outlineLevel="0" collapsed="false">
      <c r="A1820" s="2" t="s">
        <v>5685</v>
      </c>
      <c r="B1820" s="2" t="s">
        <v>2928</v>
      </c>
      <c r="C1820" s="2" t="s">
        <v>2929</v>
      </c>
      <c r="D1820" s="13" t="n">
        <v>45490.8826388889</v>
      </c>
      <c r="E1820" s="2" t="s">
        <v>35</v>
      </c>
      <c r="F1820" s="2" t="s">
        <v>27</v>
      </c>
      <c r="G1820" s="2" t="n">
        <v>3465.09</v>
      </c>
      <c r="H1820" s="2" t="n">
        <v>12.94</v>
      </c>
      <c r="I1820" s="2" t="s">
        <v>28</v>
      </c>
      <c r="J1820" s="2" t="s">
        <v>5686</v>
      </c>
      <c r="K1820" s="2" t="s">
        <v>122</v>
      </c>
      <c r="L1820" s="2"/>
      <c r="M1820" s="2" t="s">
        <v>662</v>
      </c>
    </row>
    <row r="1821" customFormat="false" ht="15" hidden="false" customHeight="false" outlineLevel="0" collapsed="false">
      <c r="A1821" s="2" t="s">
        <v>5687</v>
      </c>
      <c r="B1821" s="2" t="s">
        <v>3466</v>
      </c>
      <c r="C1821" s="2" t="s">
        <v>3467</v>
      </c>
      <c r="D1821" s="13" t="n">
        <v>45565.7770833333</v>
      </c>
      <c r="E1821" s="2" t="s">
        <v>37</v>
      </c>
      <c r="F1821" s="2" t="s">
        <v>32</v>
      </c>
      <c r="G1821" s="2" t="n">
        <v>21299.01</v>
      </c>
      <c r="H1821" s="2" t="n">
        <v>119.68</v>
      </c>
      <c r="I1821" s="2" t="s">
        <v>26</v>
      </c>
      <c r="J1821" s="2" t="s">
        <v>5688</v>
      </c>
      <c r="K1821" s="2" t="s">
        <v>122</v>
      </c>
      <c r="L1821" s="2" t="s">
        <v>178</v>
      </c>
      <c r="M1821" s="2"/>
    </row>
    <row r="1822" customFormat="false" ht="15" hidden="false" customHeight="false" outlineLevel="0" collapsed="false">
      <c r="A1822" s="2" t="s">
        <v>5689</v>
      </c>
      <c r="B1822" s="2" t="s">
        <v>4892</v>
      </c>
      <c r="C1822" s="2" t="s">
        <v>4893</v>
      </c>
      <c r="D1822" s="13" t="n">
        <v>45299.4215277778</v>
      </c>
      <c r="E1822" s="2" t="s">
        <v>37</v>
      </c>
      <c r="F1822" s="2" t="s">
        <v>27</v>
      </c>
      <c r="G1822" s="2" t="n">
        <v>6308.17</v>
      </c>
      <c r="H1822" s="2" t="n">
        <v>51.64</v>
      </c>
      <c r="I1822" s="2" t="s">
        <v>26</v>
      </c>
      <c r="J1822" s="2" t="s">
        <v>5690</v>
      </c>
      <c r="K1822" s="2" t="s">
        <v>95</v>
      </c>
      <c r="L1822" s="2"/>
      <c r="M1822" s="2" t="s">
        <v>183</v>
      </c>
    </row>
    <row r="1823" customFormat="false" ht="15" hidden="false" customHeight="false" outlineLevel="0" collapsed="false">
      <c r="A1823" s="2" t="s">
        <v>5691</v>
      </c>
      <c r="B1823" s="2" t="s">
        <v>3440</v>
      </c>
      <c r="C1823" s="2" t="s">
        <v>3441</v>
      </c>
      <c r="D1823" s="13" t="n">
        <v>45715.3277777778</v>
      </c>
      <c r="E1823" s="2" t="s">
        <v>43</v>
      </c>
      <c r="F1823" s="2" t="s">
        <v>27</v>
      </c>
      <c r="G1823" s="2" t="n">
        <v>16141.7</v>
      </c>
      <c r="H1823" s="2" t="n">
        <v>87.22</v>
      </c>
      <c r="I1823" s="2" t="s">
        <v>26</v>
      </c>
      <c r="J1823" s="2" t="s">
        <v>5692</v>
      </c>
      <c r="K1823" s="2" t="s">
        <v>89</v>
      </c>
      <c r="L1823" s="2"/>
      <c r="M1823" s="2" t="s">
        <v>1084</v>
      </c>
    </row>
    <row r="1824" customFormat="false" ht="15" hidden="false" customHeight="false" outlineLevel="0" collapsed="false">
      <c r="A1824" s="2" t="s">
        <v>5693</v>
      </c>
      <c r="B1824" s="2" t="s">
        <v>5378</v>
      </c>
      <c r="C1824" s="2" t="s">
        <v>5379</v>
      </c>
      <c r="D1824" s="13" t="n">
        <v>45828.7381944444</v>
      </c>
      <c r="E1824" s="2" t="s">
        <v>37</v>
      </c>
      <c r="F1824" s="2" t="s">
        <v>27</v>
      </c>
      <c r="G1824" s="2" t="n">
        <v>5040.13</v>
      </c>
      <c r="H1824" s="2" t="n">
        <v>27.56</v>
      </c>
      <c r="I1824" s="2" t="s">
        <v>28</v>
      </c>
      <c r="J1824" s="2" t="s">
        <v>5694</v>
      </c>
      <c r="K1824" s="2" t="s">
        <v>101</v>
      </c>
      <c r="L1824" s="2"/>
      <c r="M1824" s="2" t="s">
        <v>1477</v>
      </c>
    </row>
    <row r="1825" customFormat="false" ht="15" hidden="false" customHeight="false" outlineLevel="0" collapsed="false">
      <c r="A1825" s="2" t="s">
        <v>5695</v>
      </c>
      <c r="B1825" s="2" t="s">
        <v>5696</v>
      </c>
      <c r="C1825" s="2" t="s">
        <v>5697</v>
      </c>
      <c r="D1825" s="13" t="n">
        <v>45509.5791666667</v>
      </c>
      <c r="E1825" s="2" t="s">
        <v>41</v>
      </c>
      <c r="F1825" s="2" t="s">
        <v>27</v>
      </c>
      <c r="G1825" s="2" t="n">
        <v>3260.87</v>
      </c>
      <c r="H1825" s="2" t="n">
        <v>22.7</v>
      </c>
      <c r="I1825" s="2" t="s">
        <v>26</v>
      </c>
      <c r="J1825" s="2" t="s">
        <v>5698</v>
      </c>
      <c r="K1825" s="2" t="s">
        <v>95</v>
      </c>
      <c r="L1825" s="2"/>
      <c r="M1825" s="2" t="s">
        <v>198</v>
      </c>
    </row>
    <row r="1826" customFormat="false" ht="15" hidden="false" customHeight="false" outlineLevel="0" collapsed="false">
      <c r="A1826" s="2" t="s">
        <v>5699</v>
      </c>
      <c r="B1826" s="2" t="s">
        <v>5700</v>
      </c>
      <c r="C1826" s="2" t="s">
        <v>5701</v>
      </c>
      <c r="D1826" s="13" t="n">
        <v>45697.9458333333</v>
      </c>
      <c r="E1826" s="2" t="s">
        <v>43</v>
      </c>
      <c r="F1826" s="2" t="s">
        <v>27</v>
      </c>
      <c r="G1826" s="2" t="n">
        <v>2088.8</v>
      </c>
      <c r="H1826" s="2" t="n">
        <v>22.44</v>
      </c>
      <c r="I1826" s="2" t="s">
        <v>26</v>
      </c>
      <c r="J1826" s="2" t="s">
        <v>5702</v>
      </c>
      <c r="K1826" s="2" t="s">
        <v>101</v>
      </c>
      <c r="L1826" s="2"/>
      <c r="M1826" s="2" t="s">
        <v>203</v>
      </c>
    </row>
    <row r="1827" customFormat="false" ht="15" hidden="false" customHeight="false" outlineLevel="0" collapsed="false">
      <c r="A1827" s="2" t="s">
        <v>5703</v>
      </c>
      <c r="B1827" s="2" t="s">
        <v>3160</v>
      </c>
      <c r="C1827" s="2" t="s">
        <v>3161</v>
      </c>
      <c r="D1827" s="13" t="n">
        <v>45747.8083333333</v>
      </c>
      <c r="E1827" s="2" t="s">
        <v>37</v>
      </c>
      <c r="F1827" s="2" t="s">
        <v>31</v>
      </c>
      <c r="G1827" s="2" t="n">
        <v>12453.23</v>
      </c>
      <c r="H1827" s="2" t="n">
        <v>103.74</v>
      </c>
      <c r="I1827" s="2" t="s">
        <v>26</v>
      </c>
      <c r="J1827" s="2" t="s">
        <v>5704</v>
      </c>
      <c r="K1827" s="2" t="s">
        <v>101</v>
      </c>
      <c r="L1827" s="2" t="s">
        <v>208</v>
      </c>
      <c r="M1827" s="2"/>
    </row>
    <row r="1828" customFormat="false" ht="15" hidden="false" customHeight="false" outlineLevel="0" collapsed="false">
      <c r="A1828" s="2" t="s">
        <v>5705</v>
      </c>
      <c r="B1828" s="2" t="s">
        <v>2673</v>
      </c>
      <c r="C1828" s="2" t="s">
        <v>2674</v>
      </c>
      <c r="D1828" s="13" t="n">
        <v>45935.5951388889</v>
      </c>
      <c r="E1828" s="2" t="s">
        <v>41</v>
      </c>
      <c r="F1828" s="2" t="s">
        <v>29</v>
      </c>
      <c r="G1828" s="2" t="n">
        <v>23637.93</v>
      </c>
      <c r="H1828" s="2" t="n">
        <v>216.74</v>
      </c>
      <c r="I1828" s="2" t="s">
        <v>26</v>
      </c>
      <c r="J1828" s="2" t="s">
        <v>5706</v>
      </c>
      <c r="K1828" s="2" t="s">
        <v>101</v>
      </c>
      <c r="L1828" s="2" t="s">
        <v>213</v>
      </c>
      <c r="M1828" s="2"/>
    </row>
    <row r="1829" customFormat="false" ht="15" hidden="false" customHeight="false" outlineLevel="0" collapsed="false">
      <c r="A1829" s="2" t="s">
        <v>5707</v>
      </c>
      <c r="B1829" s="2" t="s">
        <v>3354</v>
      </c>
      <c r="C1829" s="2" t="s">
        <v>3355</v>
      </c>
      <c r="D1829" s="13" t="n">
        <v>45745.9236111111</v>
      </c>
      <c r="E1829" s="2" t="s">
        <v>43</v>
      </c>
      <c r="F1829" s="2" t="s">
        <v>27</v>
      </c>
      <c r="G1829" s="2" t="n">
        <v>13402.37</v>
      </c>
      <c r="H1829" s="2" t="n">
        <v>127.06</v>
      </c>
      <c r="I1829" s="2" t="s">
        <v>26</v>
      </c>
      <c r="J1829" s="2" t="s">
        <v>5708</v>
      </c>
      <c r="K1829" s="2" t="s">
        <v>95</v>
      </c>
      <c r="L1829" s="2"/>
      <c r="M1829" s="2" t="s">
        <v>700</v>
      </c>
    </row>
    <row r="1830" customFormat="false" ht="15" hidden="false" customHeight="false" outlineLevel="0" collapsed="false">
      <c r="A1830" s="2" t="s">
        <v>5709</v>
      </c>
      <c r="B1830" s="2" t="s">
        <v>3626</v>
      </c>
      <c r="C1830" s="2" t="s">
        <v>3627</v>
      </c>
      <c r="D1830" s="13" t="n">
        <v>45930.6395833333</v>
      </c>
      <c r="E1830" s="2" t="s">
        <v>35</v>
      </c>
      <c r="F1830" s="2" t="s">
        <v>29</v>
      </c>
      <c r="G1830" s="2" t="n">
        <v>9403.73</v>
      </c>
      <c r="H1830" s="2" t="n">
        <v>94.48</v>
      </c>
      <c r="I1830" s="2" t="s">
        <v>28</v>
      </c>
      <c r="J1830" s="2" t="s">
        <v>5710</v>
      </c>
      <c r="K1830" s="2" t="s">
        <v>89</v>
      </c>
      <c r="L1830" s="2" t="s">
        <v>1504</v>
      </c>
      <c r="M1830" s="2"/>
    </row>
    <row r="1831" customFormat="false" ht="15" hidden="false" customHeight="false" outlineLevel="0" collapsed="false">
      <c r="A1831" s="2" t="s">
        <v>5711</v>
      </c>
      <c r="B1831" s="2" t="s">
        <v>3826</v>
      </c>
      <c r="C1831" s="2" t="s">
        <v>3827</v>
      </c>
      <c r="D1831" s="13" t="n">
        <v>45785.3076388889</v>
      </c>
      <c r="E1831" s="2" t="s">
        <v>35</v>
      </c>
      <c r="F1831" s="2" t="s">
        <v>27</v>
      </c>
      <c r="G1831" s="2" t="n">
        <v>2226.81</v>
      </c>
      <c r="H1831" s="2" t="n">
        <v>20.7</v>
      </c>
      <c r="I1831" s="2" t="s">
        <v>28</v>
      </c>
      <c r="J1831" s="2" t="s">
        <v>5712</v>
      </c>
      <c r="K1831" s="2" t="s">
        <v>95</v>
      </c>
      <c r="L1831" s="2"/>
      <c r="M1831" s="2" t="s">
        <v>228</v>
      </c>
    </row>
    <row r="1832" customFormat="false" ht="15" hidden="false" customHeight="false" outlineLevel="0" collapsed="false">
      <c r="A1832" s="2" t="s">
        <v>5713</v>
      </c>
      <c r="B1832" s="2" t="s">
        <v>5714</v>
      </c>
      <c r="C1832" s="2" t="s">
        <v>5715</v>
      </c>
      <c r="D1832" s="13" t="n">
        <v>45913.4270833333</v>
      </c>
      <c r="E1832" s="2" t="s">
        <v>43</v>
      </c>
      <c r="F1832" s="2" t="s">
        <v>31</v>
      </c>
      <c r="G1832" s="2" t="n">
        <v>3111.9</v>
      </c>
      <c r="H1832" s="2" t="n">
        <v>36.6</v>
      </c>
      <c r="I1832" s="2" t="s">
        <v>30</v>
      </c>
      <c r="J1832" s="2" t="s">
        <v>5716</v>
      </c>
      <c r="K1832" s="2" t="s">
        <v>101</v>
      </c>
      <c r="L1832" s="2"/>
      <c r="M1832" s="2" t="s">
        <v>233</v>
      </c>
    </row>
    <row r="1833" customFormat="false" ht="15" hidden="false" customHeight="false" outlineLevel="0" collapsed="false">
      <c r="A1833" s="2" t="s">
        <v>5717</v>
      </c>
      <c r="B1833" s="2" t="s">
        <v>1162</v>
      </c>
      <c r="C1833" s="2" t="s">
        <v>1163</v>
      </c>
      <c r="D1833" s="13" t="n">
        <v>45321.9263888889</v>
      </c>
      <c r="E1833" s="2" t="s">
        <v>35</v>
      </c>
      <c r="F1833" s="2" t="s">
        <v>31</v>
      </c>
      <c r="G1833" s="2" t="n">
        <v>3732.42</v>
      </c>
      <c r="H1833" s="2" t="n">
        <v>37.43</v>
      </c>
      <c r="I1833" s="2" t="s">
        <v>26</v>
      </c>
      <c r="J1833" s="2" t="s">
        <v>5718</v>
      </c>
      <c r="K1833" s="2" t="s">
        <v>89</v>
      </c>
      <c r="L1833" s="2" t="s">
        <v>1513</v>
      </c>
      <c r="M1833" s="2"/>
    </row>
    <row r="1834" customFormat="false" ht="15" hidden="false" customHeight="false" outlineLevel="0" collapsed="false">
      <c r="A1834" s="2" t="s">
        <v>5719</v>
      </c>
      <c r="B1834" s="2" t="s">
        <v>1391</v>
      </c>
      <c r="C1834" s="2" t="s">
        <v>1392</v>
      </c>
      <c r="D1834" s="13" t="n">
        <v>45687.5493055556</v>
      </c>
      <c r="E1834" s="2" t="s">
        <v>35</v>
      </c>
      <c r="F1834" s="2" t="s">
        <v>31</v>
      </c>
      <c r="G1834" s="2" t="n">
        <v>24755</v>
      </c>
      <c r="H1834" s="2" t="n">
        <v>257.06</v>
      </c>
      <c r="I1834" s="2" t="s">
        <v>26</v>
      </c>
      <c r="J1834" s="2" t="s">
        <v>5720</v>
      </c>
      <c r="K1834" s="2" t="s">
        <v>95</v>
      </c>
      <c r="L1834" s="2" t="s">
        <v>243</v>
      </c>
      <c r="M1834" s="2"/>
    </row>
    <row r="1835" customFormat="false" ht="15" hidden="false" customHeight="false" outlineLevel="0" collapsed="false">
      <c r="A1835" s="2" t="s">
        <v>5721</v>
      </c>
      <c r="B1835" s="2" t="s">
        <v>947</v>
      </c>
      <c r="C1835" s="2" t="s">
        <v>948</v>
      </c>
      <c r="D1835" s="13" t="n">
        <v>45661.6215277778</v>
      </c>
      <c r="E1835" s="2" t="s">
        <v>41</v>
      </c>
      <c r="F1835" s="2" t="s">
        <v>29</v>
      </c>
      <c r="G1835" s="2" t="n">
        <v>4691.54</v>
      </c>
      <c r="H1835" s="2" t="n">
        <v>29.64</v>
      </c>
      <c r="I1835" s="2" t="s">
        <v>26</v>
      </c>
      <c r="J1835" s="2" t="s">
        <v>5722</v>
      </c>
      <c r="K1835" s="2" t="s">
        <v>122</v>
      </c>
      <c r="L1835" s="2" t="s">
        <v>248</v>
      </c>
      <c r="M1835" s="2"/>
    </row>
    <row r="1836" customFormat="false" ht="15" hidden="false" customHeight="false" outlineLevel="0" collapsed="false">
      <c r="A1836" s="2" t="s">
        <v>5723</v>
      </c>
      <c r="B1836" s="2" t="s">
        <v>3176</v>
      </c>
      <c r="C1836" s="2" t="s">
        <v>3177</v>
      </c>
      <c r="D1836" s="13" t="n">
        <v>45955.8451388889</v>
      </c>
      <c r="E1836" s="2" t="s">
        <v>39</v>
      </c>
      <c r="F1836" s="2" t="s">
        <v>32</v>
      </c>
      <c r="G1836" s="2" t="n">
        <v>14547.84</v>
      </c>
      <c r="H1836" s="2" t="n">
        <v>91.93</v>
      </c>
      <c r="I1836" s="2" t="s">
        <v>26</v>
      </c>
      <c r="J1836" s="2" t="s">
        <v>5724</v>
      </c>
      <c r="K1836" s="2" t="s">
        <v>95</v>
      </c>
      <c r="L1836" s="2" t="s">
        <v>253</v>
      </c>
      <c r="M1836" s="2"/>
    </row>
    <row r="1837" customFormat="false" ht="15" hidden="false" customHeight="false" outlineLevel="0" collapsed="false">
      <c r="A1837" s="2" t="s">
        <v>5725</v>
      </c>
      <c r="B1837" s="2" t="s">
        <v>5726</v>
      </c>
      <c r="C1837" s="2" t="s">
        <v>5727</v>
      </c>
      <c r="D1837" s="13" t="n">
        <v>45789.5777777778</v>
      </c>
      <c r="E1837" s="2" t="s">
        <v>35</v>
      </c>
      <c r="F1837" s="2" t="s">
        <v>32</v>
      </c>
      <c r="G1837" s="2" t="n">
        <v>14457</v>
      </c>
      <c r="H1837" s="2" t="n">
        <v>67.15</v>
      </c>
      <c r="I1837" s="2" t="s">
        <v>26</v>
      </c>
      <c r="J1837" s="2" t="s">
        <v>5728</v>
      </c>
      <c r="K1837" s="2" t="s">
        <v>101</v>
      </c>
      <c r="L1837" s="2" t="s">
        <v>258</v>
      </c>
      <c r="M1837" s="2"/>
    </row>
    <row r="1838" customFormat="false" ht="15" hidden="false" customHeight="false" outlineLevel="0" collapsed="false">
      <c r="A1838" s="2" t="s">
        <v>5729</v>
      </c>
      <c r="B1838" s="2" t="s">
        <v>1939</v>
      </c>
      <c r="C1838" s="2" t="s">
        <v>1940</v>
      </c>
      <c r="D1838" s="13" t="n">
        <v>45363.3722222222</v>
      </c>
      <c r="E1838" s="2" t="s">
        <v>39</v>
      </c>
      <c r="F1838" s="2" t="s">
        <v>27</v>
      </c>
      <c r="G1838" s="2" t="n">
        <v>1703.95</v>
      </c>
      <c r="H1838" s="2" t="n">
        <v>11.74</v>
      </c>
      <c r="I1838" s="2" t="s">
        <v>28</v>
      </c>
      <c r="J1838" s="2" t="s">
        <v>5730</v>
      </c>
      <c r="K1838" s="2" t="s">
        <v>89</v>
      </c>
      <c r="L1838" s="2"/>
      <c r="M1838" s="2" t="s">
        <v>263</v>
      </c>
    </row>
    <row r="1839" customFormat="false" ht="15" hidden="false" customHeight="false" outlineLevel="0" collapsed="false">
      <c r="A1839" s="2" t="s">
        <v>5731</v>
      </c>
      <c r="B1839" s="2" t="s">
        <v>5732</v>
      </c>
      <c r="C1839" s="2" t="s">
        <v>5733</v>
      </c>
      <c r="D1839" s="13" t="n">
        <v>45902.7131944444</v>
      </c>
      <c r="E1839" s="2" t="s">
        <v>41</v>
      </c>
      <c r="F1839" s="2" t="s">
        <v>32</v>
      </c>
      <c r="G1839" s="2" t="n">
        <v>3592.15</v>
      </c>
      <c r="H1839" s="2" t="n">
        <v>14.45</v>
      </c>
      <c r="I1839" s="2" t="s">
        <v>26</v>
      </c>
      <c r="J1839" s="2" t="s">
        <v>5734</v>
      </c>
      <c r="K1839" s="2" t="s">
        <v>122</v>
      </c>
      <c r="L1839" s="2" t="s">
        <v>945</v>
      </c>
      <c r="M1839" s="2"/>
    </row>
    <row r="1840" customFormat="false" ht="15" hidden="false" customHeight="false" outlineLevel="0" collapsed="false">
      <c r="A1840" s="2" t="s">
        <v>5735</v>
      </c>
      <c r="B1840" s="2" t="s">
        <v>1993</v>
      </c>
      <c r="C1840" s="2" t="s">
        <v>1994</v>
      </c>
      <c r="D1840" s="13" t="n">
        <v>45561.6340277778</v>
      </c>
      <c r="E1840" s="2" t="s">
        <v>35</v>
      </c>
      <c r="F1840" s="2" t="s">
        <v>27</v>
      </c>
      <c r="G1840" s="2" t="n">
        <v>13474.55</v>
      </c>
      <c r="H1840" s="2" t="n">
        <v>115.25</v>
      </c>
      <c r="I1840" s="2" t="s">
        <v>28</v>
      </c>
      <c r="J1840" s="2" t="s">
        <v>5736</v>
      </c>
      <c r="K1840" s="2" t="s">
        <v>95</v>
      </c>
      <c r="L1840" s="2"/>
      <c r="M1840" s="2" t="s">
        <v>273</v>
      </c>
    </row>
    <row r="1841" customFormat="false" ht="15" hidden="false" customHeight="false" outlineLevel="0" collapsed="false">
      <c r="A1841" s="2" t="s">
        <v>5737</v>
      </c>
      <c r="B1841" s="2" t="s">
        <v>4030</v>
      </c>
      <c r="C1841" s="2" t="s">
        <v>4031</v>
      </c>
      <c r="D1841" s="13" t="n">
        <v>45641.3270833333</v>
      </c>
      <c r="E1841" s="2" t="s">
        <v>41</v>
      </c>
      <c r="F1841" s="2" t="s">
        <v>27</v>
      </c>
      <c r="G1841" s="2" t="n">
        <v>17471.6</v>
      </c>
      <c r="H1841" s="2" t="n">
        <v>106.56</v>
      </c>
      <c r="I1841" s="2" t="s">
        <v>26</v>
      </c>
      <c r="J1841" s="2" t="s">
        <v>5738</v>
      </c>
      <c r="K1841" s="2" t="s">
        <v>122</v>
      </c>
      <c r="L1841" s="2"/>
      <c r="M1841" s="2" t="s">
        <v>278</v>
      </c>
    </row>
    <row r="1842" customFormat="false" ht="15" hidden="false" customHeight="false" outlineLevel="0" collapsed="false">
      <c r="A1842" s="2" t="s">
        <v>5739</v>
      </c>
      <c r="B1842" s="2" t="s">
        <v>4034</v>
      </c>
      <c r="C1842" s="2" t="s">
        <v>4035</v>
      </c>
      <c r="D1842" s="13" t="n">
        <v>45832.93125</v>
      </c>
      <c r="E1842" s="2" t="s">
        <v>43</v>
      </c>
      <c r="F1842" s="2" t="s">
        <v>31</v>
      </c>
      <c r="G1842" s="2" t="n">
        <v>3235.76</v>
      </c>
      <c r="H1842" s="2" t="n">
        <v>22.03</v>
      </c>
      <c r="I1842" s="2" t="s">
        <v>26</v>
      </c>
      <c r="J1842" s="2" t="s">
        <v>5740</v>
      </c>
      <c r="K1842" s="2" t="s">
        <v>95</v>
      </c>
      <c r="L1842" s="2"/>
      <c r="M1842" s="2" t="s">
        <v>1157</v>
      </c>
    </row>
    <row r="1843" customFormat="false" ht="15" hidden="false" customHeight="false" outlineLevel="0" collapsed="false">
      <c r="A1843" s="2" t="s">
        <v>5741</v>
      </c>
      <c r="B1843" s="2" t="s">
        <v>3265</v>
      </c>
      <c r="C1843" s="2" t="s">
        <v>3266</v>
      </c>
      <c r="D1843" s="13" t="n">
        <v>45700.4548611111</v>
      </c>
      <c r="E1843" s="2" t="s">
        <v>37</v>
      </c>
      <c r="F1843" s="2" t="s">
        <v>29</v>
      </c>
      <c r="G1843" s="2" t="n">
        <v>2338.75</v>
      </c>
      <c r="H1843" s="2" t="n">
        <v>9.07</v>
      </c>
      <c r="I1843" s="2" t="s">
        <v>26</v>
      </c>
      <c r="J1843" s="2" t="s">
        <v>5742</v>
      </c>
      <c r="K1843" s="2" t="s">
        <v>101</v>
      </c>
      <c r="L1843" s="2" t="s">
        <v>963</v>
      </c>
      <c r="M1843" s="2"/>
    </row>
    <row r="1844" customFormat="false" ht="15" hidden="false" customHeight="false" outlineLevel="0" collapsed="false">
      <c r="A1844" s="2" t="s">
        <v>5743</v>
      </c>
      <c r="B1844" s="2" t="s">
        <v>4800</v>
      </c>
      <c r="C1844" s="2" t="s">
        <v>4801</v>
      </c>
      <c r="D1844" s="13" t="n">
        <v>45980.4472222222</v>
      </c>
      <c r="E1844" s="2" t="s">
        <v>37</v>
      </c>
      <c r="F1844" s="2" t="s">
        <v>27</v>
      </c>
      <c r="G1844" s="2" t="n">
        <v>6711.12</v>
      </c>
      <c r="H1844" s="2" t="n">
        <v>74.72</v>
      </c>
      <c r="I1844" s="2" t="s">
        <v>28</v>
      </c>
      <c r="J1844" s="2" t="s">
        <v>5744</v>
      </c>
      <c r="K1844" s="2" t="s">
        <v>122</v>
      </c>
      <c r="L1844" s="2"/>
      <c r="M1844" s="2" t="s">
        <v>762</v>
      </c>
    </row>
    <row r="1845" customFormat="false" ht="15" hidden="false" customHeight="false" outlineLevel="0" collapsed="false">
      <c r="A1845" s="2" t="s">
        <v>5745</v>
      </c>
      <c r="B1845" s="2" t="s">
        <v>135</v>
      </c>
      <c r="C1845" s="2" t="s">
        <v>136</v>
      </c>
      <c r="D1845" s="13" t="n">
        <v>45634.3131944445</v>
      </c>
      <c r="E1845" s="2" t="s">
        <v>37</v>
      </c>
      <c r="F1845" s="2" t="s">
        <v>29</v>
      </c>
      <c r="G1845" s="2" t="n">
        <v>7041.73</v>
      </c>
      <c r="H1845" s="2" t="n">
        <v>58.3</v>
      </c>
      <c r="I1845" s="2" t="s">
        <v>26</v>
      </c>
      <c r="J1845" s="2" t="s">
        <v>5746</v>
      </c>
      <c r="K1845" s="2" t="s">
        <v>89</v>
      </c>
      <c r="L1845" s="2" t="s">
        <v>972</v>
      </c>
      <c r="M1845" s="2"/>
    </row>
    <row r="1846" customFormat="false" ht="15" hidden="false" customHeight="false" outlineLevel="0" collapsed="false">
      <c r="A1846" s="2" t="s">
        <v>5747</v>
      </c>
      <c r="B1846" s="2" t="s">
        <v>3070</v>
      </c>
      <c r="C1846" s="2" t="s">
        <v>3071</v>
      </c>
      <c r="D1846" s="13" t="n">
        <v>45729.6263888889</v>
      </c>
      <c r="E1846" s="2" t="s">
        <v>43</v>
      </c>
      <c r="F1846" s="2" t="s">
        <v>29</v>
      </c>
      <c r="G1846" s="2" t="n">
        <v>3288.93</v>
      </c>
      <c r="H1846" s="2" t="n">
        <v>23.93</v>
      </c>
      <c r="I1846" s="2" t="s">
        <v>26</v>
      </c>
      <c r="J1846" s="2" t="s">
        <v>5748</v>
      </c>
      <c r="K1846" s="2" t="s">
        <v>101</v>
      </c>
      <c r="L1846" s="2"/>
      <c r="M1846" s="2" t="s">
        <v>1174</v>
      </c>
    </row>
    <row r="1847" customFormat="false" ht="15" hidden="false" customHeight="false" outlineLevel="0" collapsed="false">
      <c r="A1847" s="2" t="s">
        <v>5749</v>
      </c>
      <c r="B1847" s="2" t="s">
        <v>5750</v>
      </c>
      <c r="C1847" s="2" t="s">
        <v>5751</v>
      </c>
      <c r="D1847" s="13" t="n">
        <v>45492.3013888889</v>
      </c>
      <c r="E1847" s="2" t="s">
        <v>41</v>
      </c>
      <c r="F1847" s="2" t="s">
        <v>27</v>
      </c>
      <c r="G1847" s="2" t="n">
        <v>282.02</v>
      </c>
      <c r="H1847" s="2" t="n">
        <v>5</v>
      </c>
      <c r="I1847" s="2" t="s">
        <v>26</v>
      </c>
      <c r="J1847" s="2" t="s">
        <v>5752</v>
      </c>
      <c r="K1847" s="2" t="s">
        <v>101</v>
      </c>
      <c r="L1847" s="2"/>
      <c r="M1847" s="2" t="s">
        <v>774</v>
      </c>
    </row>
    <row r="1848" customFormat="false" ht="15" hidden="false" customHeight="false" outlineLevel="0" collapsed="false">
      <c r="A1848" s="2" t="s">
        <v>5753</v>
      </c>
      <c r="B1848" s="2" t="s">
        <v>445</v>
      </c>
      <c r="C1848" s="2" t="s">
        <v>446</v>
      </c>
      <c r="D1848" s="13" t="n">
        <v>45986.3298611111</v>
      </c>
      <c r="E1848" s="2" t="s">
        <v>41</v>
      </c>
      <c r="F1848" s="2" t="s">
        <v>31</v>
      </c>
      <c r="G1848" s="2" t="n">
        <v>2475.21</v>
      </c>
      <c r="H1848" s="2" t="n">
        <v>8.15</v>
      </c>
      <c r="I1848" s="2" t="s">
        <v>28</v>
      </c>
      <c r="J1848" s="2" t="s">
        <v>5754</v>
      </c>
      <c r="K1848" s="2" t="s">
        <v>89</v>
      </c>
      <c r="L1848" s="2" t="s">
        <v>986</v>
      </c>
      <c r="M1848" s="2"/>
    </row>
    <row r="1849" customFormat="false" ht="15" hidden="false" customHeight="false" outlineLevel="0" collapsed="false">
      <c r="A1849" s="2" t="s">
        <v>5755</v>
      </c>
      <c r="B1849" s="2" t="s">
        <v>5284</v>
      </c>
      <c r="C1849" s="2" t="s">
        <v>5285</v>
      </c>
      <c r="D1849" s="13" t="n">
        <v>45412.8993055556</v>
      </c>
      <c r="E1849" s="2" t="s">
        <v>37</v>
      </c>
      <c r="F1849" s="2" t="s">
        <v>29</v>
      </c>
      <c r="G1849" s="2" t="n">
        <v>14501.91</v>
      </c>
      <c r="H1849" s="2" t="n">
        <v>143.84</v>
      </c>
      <c r="I1849" s="2" t="s">
        <v>26</v>
      </c>
      <c r="J1849" s="2" t="s">
        <v>5756</v>
      </c>
      <c r="K1849" s="2" t="s">
        <v>89</v>
      </c>
      <c r="L1849" s="2" t="s">
        <v>318</v>
      </c>
      <c r="M1849" s="2"/>
    </row>
    <row r="1850" customFormat="false" ht="15" hidden="false" customHeight="false" outlineLevel="0" collapsed="false">
      <c r="A1850" s="2" t="s">
        <v>5757</v>
      </c>
      <c r="B1850" s="2" t="s">
        <v>2190</v>
      </c>
      <c r="C1850" s="2" t="s">
        <v>2191</v>
      </c>
      <c r="D1850" s="13" t="n">
        <v>45796.7409722222</v>
      </c>
      <c r="E1850" s="2" t="s">
        <v>35</v>
      </c>
      <c r="F1850" s="2" t="s">
        <v>31</v>
      </c>
      <c r="G1850" s="2" t="n">
        <v>13947.71</v>
      </c>
      <c r="H1850" s="2" t="n">
        <v>160.14</v>
      </c>
      <c r="I1850" s="2" t="s">
        <v>28</v>
      </c>
      <c r="J1850" s="2" t="s">
        <v>5758</v>
      </c>
      <c r="K1850" s="2" t="s">
        <v>101</v>
      </c>
      <c r="L1850" s="2" t="s">
        <v>995</v>
      </c>
      <c r="M1850" s="2"/>
    </row>
    <row r="1851" customFormat="false" ht="15" hidden="false" customHeight="false" outlineLevel="0" collapsed="false">
      <c r="A1851" s="2" t="s">
        <v>5759</v>
      </c>
      <c r="B1851" s="2" t="s">
        <v>255</v>
      </c>
      <c r="C1851" s="2" t="s">
        <v>256</v>
      </c>
      <c r="D1851" s="13" t="n">
        <v>45893.5423611111</v>
      </c>
      <c r="E1851" s="2" t="s">
        <v>37</v>
      </c>
      <c r="F1851" s="2" t="s">
        <v>29</v>
      </c>
      <c r="G1851" s="2" t="n">
        <v>2137.49</v>
      </c>
      <c r="H1851" s="2" t="n">
        <v>17.65</v>
      </c>
      <c r="I1851" s="2" t="s">
        <v>26</v>
      </c>
      <c r="J1851" s="2" t="s">
        <v>5760</v>
      </c>
      <c r="K1851" s="2" t="s">
        <v>89</v>
      </c>
      <c r="L1851" s="2" t="s">
        <v>1000</v>
      </c>
      <c r="M1851" s="2"/>
    </row>
    <row r="1852" customFormat="false" ht="15" hidden="false" customHeight="false" outlineLevel="0" collapsed="false">
      <c r="A1852" s="2" t="s">
        <v>5761</v>
      </c>
      <c r="B1852" s="2" t="s">
        <v>5762</v>
      </c>
      <c r="C1852" s="2" t="s">
        <v>5763</v>
      </c>
      <c r="D1852" s="13" t="n">
        <v>45642.4770833333</v>
      </c>
      <c r="E1852" s="2" t="s">
        <v>35</v>
      </c>
      <c r="F1852" s="2" t="s">
        <v>32</v>
      </c>
      <c r="G1852" s="2" t="n">
        <v>10256.39</v>
      </c>
      <c r="H1852" s="2" t="n">
        <v>33.25</v>
      </c>
      <c r="I1852" s="2" t="s">
        <v>26</v>
      </c>
      <c r="J1852" s="2" t="s">
        <v>5764</v>
      </c>
      <c r="K1852" s="2" t="s">
        <v>89</v>
      </c>
      <c r="L1852" s="2" t="s">
        <v>333</v>
      </c>
      <c r="M1852" s="2"/>
    </row>
    <row r="1853" customFormat="false" ht="15" hidden="false" customHeight="false" outlineLevel="0" collapsed="false">
      <c r="A1853" s="2" t="s">
        <v>5765</v>
      </c>
      <c r="B1853" s="2" t="s">
        <v>5766</v>
      </c>
      <c r="C1853" s="2" t="s">
        <v>5767</v>
      </c>
      <c r="D1853" s="13" t="n">
        <v>45425.8083333333</v>
      </c>
      <c r="E1853" s="2" t="s">
        <v>35</v>
      </c>
      <c r="F1853" s="2" t="s">
        <v>27</v>
      </c>
      <c r="G1853" s="2" t="n">
        <v>19690.53</v>
      </c>
      <c r="H1853" s="2" t="n">
        <v>218.62</v>
      </c>
      <c r="I1853" s="2" t="s">
        <v>26</v>
      </c>
      <c r="J1853" s="2" t="s">
        <v>5768</v>
      </c>
      <c r="K1853" s="2" t="s">
        <v>101</v>
      </c>
      <c r="L1853" s="2"/>
      <c r="M1853" s="2" t="s">
        <v>3207</v>
      </c>
    </row>
    <row r="1854" customFormat="false" ht="15" hidden="false" customHeight="false" outlineLevel="0" collapsed="false">
      <c r="A1854" s="2" t="s">
        <v>5769</v>
      </c>
      <c r="B1854" s="2" t="s">
        <v>5126</v>
      </c>
      <c r="C1854" s="2" t="s">
        <v>5127</v>
      </c>
      <c r="D1854" s="13" t="n">
        <v>45295.5840277778</v>
      </c>
      <c r="E1854" s="2" t="s">
        <v>35</v>
      </c>
      <c r="F1854" s="2" t="s">
        <v>29</v>
      </c>
      <c r="G1854" s="2" t="n">
        <v>3019.2</v>
      </c>
      <c r="H1854" s="2" t="n">
        <v>9.58</v>
      </c>
      <c r="I1854" s="2" t="s">
        <v>26</v>
      </c>
      <c r="J1854" s="2" t="s">
        <v>5770</v>
      </c>
      <c r="K1854" s="2" t="s">
        <v>95</v>
      </c>
      <c r="L1854" s="2" t="s">
        <v>343</v>
      </c>
      <c r="M1854" s="2"/>
    </row>
    <row r="1855" customFormat="false" ht="15" hidden="false" customHeight="false" outlineLevel="0" collapsed="false">
      <c r="A1855" s="2" t="s">
        <v>5771</v>
      </c>
      <c r="B1855" s="2" t="s">
        <v>5628</v>
      </c>
      <c r="C1855" s="2" t="s">
        <v>5629</v>
      </c>
      <c r="D1855" s="13" t="n">
        <v>45766.5826388889</v>
      </c>
      <c r="E1855" s="2" t="s">
        <v>43</v>
      </c>
      <c r="F1855" s="2" t="s">
        <v>29</v>
      </c>
      <c r="G1855" s="2" t="n">
        <v>2091.41</v>
      </c>
      <c r="H1855" s="2" t="n">
        <v>22.3</v>
      </c>
      <c r="I1855" s="2" t="s">
        <v>26</v>
      </c>
      <c r="J1855" s="2" t="s">
        <v>5772</v>
      </c>
      <c r="K1855" s="2" t="s">
        <v>89</v>
      </c>
      <c r="L1855" s="2"/>
      <c r="M1855" s="2" t="s">
        <v>348</v>
      </c>
    </row>
    <row r="1856" customFormat="false" ht="15" hidden="false" customHeight="false" outlineLevel="0" collapsed="false">
      <c r="A1856" s="2" t="s">
        <v>5773</v>
      </c>
      <c r="B1856" s="2" t="s">
        <v>3980</v>
      </c>
      <c r="C1856" s="2" t="s">
        <v>3981</v>
      </c>
      <c r="D1856" s="13" t="n">
        <v>45626.2923611111</v>
      </c>
      <c r="E1856" s="2" t="s">
        <v>43</v>
      </c>
      <c r="F1856" s="2" t="s">
        <v>32</v>
      </c>
      <c r="G1856" s="2" t="n">
        <v>2576.37</v>
      </c>
      <c r="H1856" s="2" t="n">
        <v>22.27</v>
      </c>
      <c r="I1856" s="2" t="s">
        <v>30</v>
      </c>
      <c r="J1856" s="2" t="s">
        <v>5774</v>
      </c>
      <c r="K1856" s="2" t="s">
        <v>89</v>
      </c>
      <c r="L1856" s="2"/>
      <c r="M1856" s="2" t="s">
        <v>1217</v>
      </c>
    </row>
    <row r="1857" customFormat="false" ht="15" hidden="false" customHeight="false" outlineLevel="0" collapsed="false">
      <c r="A1857" s="2" t="s">
        <v>5775</v>
      </c>
      <c r="B1857" s="2" t="s">
        <v>2322</v>
      </c>
      <c r="C1857" s="2" t="s">
        <v>2323</v>
      </c>
      <c r="D1857" s="13" t="n">
        <v>46001.8326388889</v>
      </c>
      <c r="E1857" s="2" t="s">
        <v>43</v>
      </c>
      <c r="F1857" s="2" t="s">
        <v>31</v>
      </c>
      <c r="G1857" s="2" t="n">
        <v>4690.49</v>
      </c>
      <c r="H1857" s="2" t="n">
        <v>11.98</v>
      </c>
      <c r="I1857" s="2" t="s">
        <v>30</v>
      </c>
      <c r="J1857" s="2" t="s">
        <v>5776</v>
      </c>
      <c r="K1857" s="2" t="s">
        <v>89</v>
      </c>
      <c r="L1857" s="2"/>
      <c r="M1857" s="2" t="s">
        <v>817</v>
      </c>
    </row>
    <row r="1858" customFormat="false" ht="15" hidden="false" customHeight="false" outlineLevel="0" collapsed="false">
      <c r="A1858" s="2" t="s">
        <v>5777</v>
      </c>
      <c r="B1858" s="2" t="s">
        <v>3340</v>
      </c>
      <c r="C1858" s="2" t="s">
        <v>3341</v>
      </c>
      <c r="D1858" s="13" t="n">
        <v>45535.3736111111</v>
      </c>
      <c r="E1858" s="2" t="s">
        <v>37</v>
      </c>
      <c r="F1858" s="2" t="s">
        <v>32</v>
      </c>
      <c r="G1858" s="2" t="n">
        <v>12392.5</v>
      </c>
      <c r="H1858" s="2" t="n">
        <v>60.46</v>
      </c>
      <c r="I1858" s="2" t="s">
        <v>28</v>
      </c>
      <c r="J1858" s="2" t="s">
        <v>5778</v>
      </c>
      <c r="K1858" s="2" t="s">
        <v>101</v>
      </c>
      <c r="L1858" s="2" t="s">
        <v>1601</v>
      </c>
      <c r="M1858" s="2"/>
    </row>
    <row r="1859" customFormat="false" ht="15" hidden="false" customHeight="false" outlineLevel="0" collapsed="false">
      <c r="A1859" s="2" t="s">
        <v>5779</v>
      </c>
      <c r="B1859" s="2" t="s">
        <v>3110</v>
      </c>
      <c r="C1859" s="2" t="s">
        <v>3111</v>
      </c>
      <c r="D1859" s="13" t="n">
        <v>45789.9138888889</v>
      </c>
      <c r="E1859" s="2" t="s">
        <v>41</v>
      </c>
      <c r="F1859" s="2" t="s">
        <v>31</v>
      </c>
      <c r="G1859" s="2" t="n">
        <v>9385.97</v>
      </c>
      <c r="H1859" s="2" t="n">
        <v>82.59</v>
      </c>
      <c r="I1859" s="2" t="s">
        <v>26</v>
      </c>
      <c r="J1859" s="2" t="s">
        <v>5780</v>
      </c>
      <c r="K1859" s="2" t="s">
        <v>89</v>
      </c>
      <c r="L1859" s="2" t="s">
        <v>368</v>
      </c>
      <c r="M1859" s="2"/>
    </row>
    <row r="1860" customFormat="false" ht="15" hidden="false" customHeight="false" outlineLevel="0" collapsed="false">
      <c r="A1860" s="2" t="s">
        <v>5781</v>
      </c>
      <c r="B1860" s="2" t="s">
        <v>5782</v>
      </c>
      <c r="C1860" s="2" t="s">
        <v>5783</v>
      </c>
      <c r="D1860" s="13" t="n">
        <v>45452.9229166667</v>
      </c>
      <c r="E1860" s="2" t="s">
        <v>41</v>
      </c>
      <c r="F1860" s="2" t="s">
        <v>27</v>
      </c>
      <c r="G1860" s="2" t="n">
        <v>8599.53</v>
      </c>
      <c r="H1860" s="2" t="n">
        <v>61.51</v>
      </c>
      <c r="I1860" s="2" t="s">
        <v>26</v>
      </c>
      <c r="J1860" s="2" t="s">
        <v>5784</v>
      </c>
      <c r="K1860" s="2" t="s">
        <v>95</v>
      </c>
      <c r="L1860" s="2"/>
      <c r="M1860" s="2" t="s">
        <v>828</v>
      </c>
    </row>
    <row r="1861" customFormat="false" ht="15" hidden="false" customHeight="false" outlineLevel="0" collapsed="false">
      <c r="A1861" s="2" t="s">
        <v>5785</v>
      </c>
      <c r="B1861" s="2" t="s">
        <v>1797</v>
      </c>
      <c r="C1861" s="2" t="s">
        <v>1798</v>
      </c>
      <c r="D1861" s="13" t="n">
        <v>45655.4388888889</v>
      </c>
      <c r="E1861" s="2" t="s">
        <v>37</v>
      </c>
      <c r="F1861" s="2" t="s">
        <v>27</v>
      </c>
      <c r="G1861" s="2" t="n">
        <v>502.15</v>
      </c>
      <c r="H1861" s="2" t="n">
        <v>5</v>
      </c>
      <c r="I1861" s="2" t="s">
        <v>28</v>
      </c>
      <c r="J1861" s="2" t="s">
        <v>5786</v>
      </c>
      <c r="K1861" s="2" t="s">
        <v>89</v>
      </c>
      <c r="L1861" s="2"/>
      <c r="M1861" s="2" t="s">
        <v>378</v>
      </c>
    </row>
    <row r="1862" customFormat="false" ht="15" hidden="false" customHeight="false" outlineLevel="0" collapsed="false">
      <c r="A1862" s="2" t="s">
        <v>5787</v>
      </c>
      <c r="B1862" s="2" t="s">
        <v>4832</v>
      </c>
      <c r="C1862" s="2" t="s">
        <v>4833</v>
      </c>
      <c r="D1862" s="13" t="n">
        <v>45638.34375</v>
      </c>
      <c r="E1862" s="2" t="s">
        <v>43</v>
      </c>
      <c r="F1862" s="2" t="s">
        <v>29</v>
      </c>
      <c r="G1862" s="2" t="n">
        <v>834.35</v>
      </c>
      <c r="H1862" s="2" t="n">
        <v>6.47</v>
      </c>
      <c r="I1862" s="2" t="s">
        <v>26</v>
      </c>
      <c r="J1862" s="2" t="s">
        <v>5788</v>
      </c>
      <c r="K1862" s="2" t="s">
        <v>101</v>
      </c>
      <c r="L1862" s="2"/>
      <c r="M1862" s="2" t="s">
        <v>383</v>
      </c>
    </row>
    <row r="1863" customFormat="false" ht="15" hidden="false" customHeight="false" outlineLevel="0" collapsed="false">
      <c r="A1863" s="2" t="s">
        <v>5789</v>
      </c>
      <c r="B1863" s="2" t="s">
        <v>3122</v>
      </c>
      <c r="C1863" s="2" t="s">
        <v>3123</v>
      </c>
      <c r="D1863" s="13" t="n">
        <v>45805.8916666667</v>
      </c>
      <c r="E1863" s="2" t="s">
        <v>39</v>
      </c>
      <c r="F1863" s="2" t="s">
        <v>29</v>
      </c>
      <c r="G1863" s="2" t="n">
        <v>1821.77</v>
      </c>
      <c r="H1863" s="2" t="n">
        <v>14.3</v>
      </c>
      <c r="I1863" s="2" t="s">
        <v>30</v>
      </c>
      <c r="J1863" s="2" t="s">
        <v>5790</v>
      </c>
      <c r="K1863" s="2" t="s">
        <v>89</v>
      </c>
      <c r="L1863" s="2" t="s">
        <v>1044</v>
      </c>
      <c r="M1863" s="2"/>
    </row>
    <row r="1864" customFormat="false" ht="15" hidden="false" customHeight="false" outlineLevel="0" collapsed="false">
      <c r="A1864" s="2" t="s">
        <v>5791</v>
      </c>
      <c r="B1864" s="2" t="s">
        <v>5792</v>
      </c>
      <c r="C1864" s="2" t="s">
        <v>5793</v>
      </c>
      <c r="D1864" s="13" t="n">
        <v>45877.4868055556</v>
      </c>
      <c r="E1864" s="2" t="s">
        <v>41</v>
      </c>
      <c r="F1864" s="2" t="s">
        <v>29</v>
      </c>
      <c r="G1864" s="2" t="n">
        <v>1981.97</v>
      </c>
      <c r="H1864" s="2" t="n">
        <v>9.72</v>
      </c>
      <c r="I1864" s="2" t="s">
        <v>26</v>
      </c>
      <c r="J1864" s="2" t="s">
        <v>5794</v>
      </c>
      <c r="K1864" s="2" t="s">
        <v>122</v>
      </c>
      <c r="L1864" s="2" t="s">
        <v>393</v>
      </c>
      <c r="M1864" s="2"/>
    </row>
    <row r="1865" customFormat="false" ht="15" hidden="false" customHeight="false" outlineLevel="0" collapsed="false">
      <c r="A1865" s="2" t="s">
        <v>5795</v>
      </c>
      <c r="B1865" s="2" t="s">
        <v>2298</v>
      </c>
      <c r="C1865" s="2" t="s">
        <v>2299</v>
      </c>
      <c r="D1865" s="13" t="n">
        <v>45714.7652777778</v>
      </c>
      <c r="E1865" s="2" t="s">
        <v>41</v>
      </c>
      <c r="F1865" s="2" t="s">
        <v>29</v>
      </c>
      <c r="G1865" s="2" t="n">
        <v>13649.72</v>
      </c>
      <c r="H1865" s="2" t="n">
        <v>136.49</v>
      </c>
      <c r="I1865" s="2" t="s">
        <v>26</v>
      </c>
      <c r="J1865" s="2" t="s">
        <v>5796</v>
      </c>
      <c r="K1865" s="2" t="s">
        <v>89</v>
      </c>
      <c r="L1865" s="2" t="s">
        <v>1628</v>
      </c>
      <c r="M1865" s="2"/>
    </row>
    <row r="1866" customFormat="false" ht="15" hidden="false" customHeight="false" outlineLevel="0" collapsed="false">
      <c r="A1866" s="2" t="s">
        <v>5797</v>
      </c>
      <c r="B1866" s="2" t="s">
        <v>5798</v>
      </c>
      <c r="C1866" s="2" t="s">
        <v>5799</v>
      </c>
      <c r="D1866" s="13" t="n">
        <v>45355.4875</v>
      </c>
      <c r="E1866" s="2" t="s">
        <v>37</v>
      </c>
      <c r="F1866" s="2" t="s">
        <v>27</v>
      </c>
      <c r="G1866" s="2" t="n">
        <v>1391.54</v>
      </c>
      <c r="H1866" s="2" t="n">
        <v>7.37</v>
      </c>
      <c r="I1866" s="2" t="s">
        <v>30</v>
      </c>
      <c r="J1866" s="2" t="s">
        <v>5800</v>
      </c>
      <c r="K1866" s="2" t="s">
        <v>122</v>
      </c>
      <c r="L1866" s="2"/>
      <c r="M1866" s="2" t="s">
        <v>852</v>
      </c>
    </row>
    <row r="1867" customFormat="false" ht="15" hidden="false" customHeight="false" outlineLevel="0" collapsed="false">
      <c r="A1867" s="2" t="s">
        <v>5801</v>
      </c>
      <c r="B1867" s="2" t="s">
        <v>5802</v>
      </c>
      <c r="C1867" s="2" t="s">
        <v>5803</v>
      </c>
      <c r="D1867" s="13" t="n">
        <v>45796.6409722222</v>
      </c>
      <c r="E1867" s="2" t="s">
        <v>39</v>
      </c>
      <c r="F1867" s="2" t="s">
        <v>32</v>
      </c>
      <c r="G1867" s="2" t="n">
        <v>4701.74</v>
      </c>
      <c r="H1867" s="2" t="n">
        <v>22.75</v>
      </c>
      <c r="I1867" s="2" t="s">
        <v>26</v>
      </c>
      <c r="J1867" s="2" t="s">
        <v>5804</v>
      </c>
      <c r="K1867" s="2" t="s">
        <v>122</v>
      </c>
      <c r="L1867" s="2" t="s">
        <v>408</v>
      </c>
      <c r="M1867" s="2"/>
    </row>
    <row r="1868" customFormat="false" ht="15" hidden="false" customHeight="false" outlineLevel="0" collapsed="false">
      <c r="A1868" s="2" t="s">
        <v>5805</v>
      </c>
      <c r="B1868" s="2" t="s">
        <v>5170</v>
      </c>
      <c r="C1868" s="2" t="s">
        <v>5171</v>
      </c>
      <c r="D1868" s="13" t="n">
        <v>45587.6041666667</v>
      </c>
      <c r="E1868" s="2" t="s">
        <v>39</v>
      </c>
      <c r="F1868" s="2" t="s">
        <v>29</v>
      </c>
      <c r="G1868" s="2" t="n">
        <v>6180.44</v>
      </c>
      <c r="H1868" s="2" t="n">
        <v>13.41</v>
      </c>
      <c r="I1868" s="2" t="s">
        <v>26</v>
      </c>
      <c r="J1868" s="2" t="s">
        <v>5806</v>
      </c>
      <c r="K1868" s="2" t="s">
        <v>101</v>
      </c>
      <c r="L1868" s="2" t="s">
        <v>413</v>
      </c>
      <c r="M1868" s="2"/>
    </row>
    <row r="1869" customFormat="false" ht="15" hidden="false" customHeight="false" outlineLevel="0" collapsed="false">
      <c r="A1869" s="2" t="s">
        <v>5807</v>
      </c>
      <c r="B1869" s="2" t="s">
        <v>4136</v>
      </c>
      <c r="C1869" s="2" t="s">
        <v>4137</v>
      </c>
      <c r="D1869" s="13" t="n">
        <v>45583.6916666667</v>
      </c>
      <c r="E1869" s="2" t="s">
        <v>39</v>
      </c>
      <c r="F1869" s="2" t="s">
        <v>27</v>
      </c>
      <c r="G1869" s="2" t="n">
        <v>6990.3</v>
      </c>
      <c r="H1869" s="2" t="n">
        <v>76.64</v>
      </c>
      <c r="I1869" s="2" t="s">
        <v>26</v>
      </c>
      <c r="J1869" s="2" t="s">
        <v>5808</v>
      </c>
      <c r="K1869" s="2" t="s">
        <v>95</v>
      </c>
      <c r="L1869" s="2"/>
      <c r="M1869" s="2" t="s">
        <v>2325</v>
      </c>
    </row>
    <row r="1870" customFormat="false" ht="15" hidden="false" customHeight="false" outlineLevel="0" collapsed="false">
      <c r="A1870" s="2" t="s">
        <v>5809</v>
      </c>
      <c r="B1870" s="2" t="s">
        <v>5810</v>
      </c>
      <c r="C1870" s="2" t="s">
        <v>5811</v>
      </c>
      <c r="D1870" s="13" t="n">
        <v>45986.7430555556</v>
      </c>
      <c r="E1870" s="2" t="s">
        <v>35</v>
      </c>
      <c r="F1870" s="2" t="s">
        <v>29</v>
      </c>
      <c r="G1870" s="2" t="n">
        <v>1688.59</v>
      </c>
      <c r="H1870" s="2" t="n">
        <v>5.36</v>
      </c>
      <c r="I1870" s="2" t="s">
        <v>28</v>
      </c>
      <c r="J1870" s="2" t="s">
        <v>5812</v>
      </c>
      <c r="K1870" s="2" t="s">
        <v>95</v>
      </c>
      <c r="L1870" s="2" t="s">
        <v>423</v>
      </c>
      <c r="M1870" s="2"/>
    </row>
    <row r="1871" customFormat="false" ht="15" hidden="false" customHeight="false" outlineLevel="0" collapsed="false">
      <c r="A1871" s="2" t="s">
        <v>5813</v>
      </c>
      <c r="B1871" s="2" t="s">
        <v>4700</v>
      </c>
      <c r="C1871" s="2" t="s">
        <v>4701</v>
      </c>
      <c r="D1871" s="13" t="n">
        <v>45322.5340277778</v>
      </c>
      <c r="E1871" s="2" t="s">
        <v>39</v>
      </c>
      <c r="F1871" s="2" t="s">
        <v>27</v>
      </c>
      <c r="G1871" s="2" t="n">
        <v>3450.27</v>
      </c>
      <c r="H1871" s="2" t="n">
        <v>28.43</v>
      </c>
      <c r="I1871" s="2" t="s">
        <v>26</v>
      </c>
      <c r="J1871" s="2" t="s">
        <v>5814</v>
      </c>
      <c r="K1871" s="2" t="s">
        <v>89</v>
      </c>
      <c r="L1871" s="2"/>
      <c r="M1871" s="2" t="s">
        <v>871</v>
      </c>
    </row>
    <row r="1872" customFormat="false" ht="15" hidden="false" customHeight="false" outlineLevel="0" collapsed="false">
      <c r="A1872" s="2" t="s">
        <v>5815</v>
      </c>
      <c r="B1872" s="2" t="s">
        <v>4404</v>
      </c>
      <c r="C1872" s="2" t="s">
        <v>4405</v>
      </c>
      <c r="D1872" s="13" t="n">
        <v>45450.4798611111</v>
      </c>
      <c r="E1872" s="2" t="s">
        <v>39</v>
      </c>
      <c r="F1872" s="2" t="s">
        <v>29</v>
      </c>
      <c r="G1872" s="2" t="n">
        <v>1250.3</v>
      </c>
      <c r="H1872" s="2" t="n">
        <v>7.01</v>
      </c>
      <c r="I1872" s="2" t="s">
        <v>26</v>
      </c>
      <c r="J1872" s="2" t="s">
        <v>5816</v>
      </c>
      <c r="K1872" s="2" t="s">
        <v>89</v>
      </c>
      <c r="L1872" s="2" t="s">
        <v>433</v>
      </c>
      <c r="M1872" s="2"/>
    </row>
    <row r="1873" customFormat="false" ht="15" hidden="false" customHeight="false" outlineLevel="0" collapsed="false">
      <c r="A1873" s="2" t="s">
        <v>5817</v>
      </c>
      <c r="B1873" s="2" t="s">
        <v>3318</v>
      </c>
      <c r="C1873" s="2" t="s">
        <v>3319</v>
      </c>
      <c r="D1873" s="13" t="n">
        <v>45934.5534722222</v>
      </c>
      <c r="E1873" s="2" t="s">
        <v>35</v>
      </c>
      <c r="F1873" s="2" t="s">
        <v>29</v>
      </c>
      <c r="G1873" s="2" t="n">
        <v>5152.27</v>
      </c>
      <c r="H1873" s="2" t="n">
        <v>27.77</v>
      </c>
      <c r="I1873" s="2" t="s">
        <v>28</v>
      </c>
      <c r="J1873" s="2" t="s">
        <v>5818</v>
      </c>
      <c r="K1873" s="2" t="s">
        <v>95</v>
      </c>
      <c r="L1873" s="2" t="s">
        <v>438</v>
      </c>
      <c r="M1873" s="2"/>
    </row>
    <row r="1874" customFormat="false" ht="15" hidden="false" customHeight="false" outlineLevel="0" collapsed="false">
      <c r="A1874" s="2" t="s">
        <v>5819</v>
      </c>
      <c r="B1874" s="2" t="s">
        <v>2805</v>
      </c>
      <c r="C1874" s="2" t="s">
        <v>2806</v>
      </c>
      <c r="D1874" s="13" t="n">
        <v>45588.7652777778</v>
      </c>
      <c r="E1874" s="2" t="s">
        <v>37</v>
      </c>
      <c r="F1874" s="2" t="s">
        <v>32</v>
      </c>
      <c r="G1874" s="2" t="n">
        <v>5522.37</v>
      </c>
      <c r="H1874" s="2" t="n">
        <v>56.92</v>
      </c>
      <c r="I1874" s="2" t="s">
        <v>26</v>
      </c>
      <c r="J1874" s="2" t="s">
        <v>5820</v>
      </c>
      <c r="K1874" s="2" t="s">
        <v>122</v>
      </c>
      <c r="L1874" s="2" t="s">
        <v>443</v>
      </c>
      <c r="M1874" s="2"/>
    </row>
    <row r="1875" customFormat="false" ht="15" hidden="false" customHeight="false" outlineLevel="0" collapsed="false">
      <c r="A1875" s="2" t="s">
        <v>5821</v>
      </c>
      <c r="B1875" s="2" t="s">
        <v>3980</v>
      </c>
      <c r="C1875" s="2" t="s">
        <v>3981</v>
      </c>
      <c r="D1875" s="13" t="n">
        <v>45971.5506944444</v>
      </c>
      <c r="E1875" s="2" t="s">
        <v>37</v>
      </c>
      <c r="F1875" s="2" t="s">
        <v>27</v>
      </c>
      <c r="G1875" s="2" t="n">
        <v>9914.26</v>
      </c>
      <c r="H1875" s="2" t="n">
        <v>105.15</v>
      </c>
      <c r="I1875" s="2" t="s">
        <v>28</v>
      </c>
      <c r="J1875" s="2" t="s">
        <v>5822</v>
      </c>
      <c r="K1875" s="2" t="s">
        <v>89</v>
      </c>
      <c r="L1875" s="2"/>
      <c r="M1875" s="2" t="s">
        <v>448</v>
      </c>
    </row>
    <row r="1876" customFormat="false" ht="15" hidden="false" customHeight="false" outlineLevel="0" collapsed="false">
      <c r="A1876" s="2" t="s">
        <v>5823</v>
      </c>
      <c r="B1876" s="2" t="s">
        <v>5824</v>
      </c>
      <c r="C1876" s="2" t="s">
        <v>5825</v>
      </c>
      <c r="D1876" s="13" t="n">
        <v>45919.7833333333</v>
      </c>
      <c r="E1876" s="2" t="s">
        <v>39</v>
      </c>
      <c r="F1876" s="2" t="s">
        <v>29</v>
      </c>
      <c r="G1876" s="2" t="n">
        <v>6377.19</v>
      </c>
      <c r="H1876" s="2" t="n">
        <v>44.82</v>
      </c>
      <c r="I1876" s="2" t="s">
        <v>26</v>
      </c>
      <c r="J1876" s="2" t="s">
        <v>5826</v>
      </c>
      <c r="K1876" s="2" t="s">
        <v>89</v>
      </c>
      <c r="L1876" s="2" t="s">
        <v>453</v>
      </c>
      <c r="M1876" s="2"/>
    </row>
    <row r="1877" customFormat="false" ht="15" hidden="false" customHeight="false" outlineLevel="0" collapsed="false">
      <c r="A1877" s="2" t="s">
        <v>5827</v>
      </c>
      <c r="B1877" s="2" t="s">
        <v>320</v>
      </c>
      <c r="C1877" s="2" t="s">
        <v>321</v>
      </c>
      <c r="D1877" s="13" t="n">
        <v>45382.7902777778</v>
      </c>
      <c r="E1877" s="2" t="s">
        <v>41</v>
      </c>
      <c r="F1877" s="2" t="s">
        <v>31</v>
      </c>
      <c r="G1877" s="2" t="n">
        <v>2314.43</v>
      </c>
      <c r="H1877" s="2" t="n">
        <v>12.06</v>
      </c>
      <c r="I1877" s="2" t="s">
        <v>30</v>
      </c>
      <c r="J1877" s="2" t="s">
        <v>5828</v>
      </c>
      <c r="K1877" s="2" t="s">
        <v>122</v>
      </c>
      <c r="L1877" s="2" t="s">
        <v>458</v>
      </c>
      <c r="M1877" s="2"/>
    </row>
    <row r="1878" customFormat="false" ht="15" hidden="false" customHeight="false" outlineLevel="0" collapsed="false">
      <c r="A1878" s="2" t="s">
        <v>5829</v>
      </c>
      <c r="B1878" s="2" t="s">
        <v>5830</v>
      </c>
      <c r="C1878" s="2" t="s">
        <v>5831</v>
      </c>
      <c r="D1878" s="13" t="n">
        <v>45529.6006944445</v>
      </c>
      <c r="E1878" s="2" t="s">
        <v>43</v>
      </c>
      <c r="F1878" s="2" t="s">
        <v>32</v>
      </c>
      <c r="G1878" s="2" t="n">
        <v>9426.2</v>
      </c>
      <c r="H1878" s="2" t="n">
        <v>92.23</v>
      </c>
      <c r="I1878" s="2" t="s">
        <v>26</v>
      </c>
      <c r="J1878" s="2" t="s">
        <v>5832</v>
      </c>
      <c r="K1878" s="2" t="s">
        <v>122</v>
      </c>
      <c r="L1878" s="2"/>
      <c r="M1878" s="2" t="s">
        <v>463</v>
      </c>
    </row>
    <row r="1879" customFormat="false" ht="15" hidden="false" customHeight="false" outlineLevel="0" collapsed="false">
      <c r="A1879" s="2" t="s">
        <v>5833</v>
      </c>
      <c r="B1879" s="2" t="s">
        <v>5834</v>
      </c>
      <c r="C1879" s="2" t="s">
        <v>5835</v>
      </c>
      <c r="D1879" s="13" t="n">
        <v>45828.7784722222</v>
      </c>
      <c r="E1879" s="2" t="s">
        <v>41</v>
      </c>
      <c r="F1879" s="2" t="s">
        <v>31</v>
      </c>
      <c r="G1879" s="2" t="n">
        <v>1125.3</v>
      </c>
      <c r="H1879" s="2" t="n">
        <v>10.83</v>
      </c>
      <c r="I1879" s="2" t="s">
        <v>26</v>
      </c>
      <c r="J1879" s="2" t="s">
        <v>5836</v>
      </c>
      <c r="K1879" s="2" t="s">
        <v>89</v>
      </c>
      <c r="L1879" s="2" t="s">
        <v>468</v>
      </c>
      <c r="M1879" s="2"/>
    </row>
    <row r="1880" customFormat="false" ht="15" hidden="false" customHeight="false" outlineLevel="0" collapsed="false">
      <c r="A1880" s="2" t="s">
        <v>5837</v>
      </c>
      <c r="B1880" s="2" t="s">
        <v>1398</v>
      </c>
      <c r="C1880" s="2" t="s">
        <v>1399</v>
      </c>
      <c r="D1880" s="13" t="n">
        <v>45501.5013888889</v>
      </c>
      <c r="E1880" s="2" t="s">
        <v>41</v>
      </c>
      <c r="F1880" s="2" t="s">
        <v>32</v>
      </c>
      <c r="G1880" s="2" t="n">
        <v>1787.22</v>
      </c>
      <c r="H1880" s="2" t="n">
        <v>5</v>
      </c>
      <c r="I1880" s="2" t="s">
        <v>30</v>
      </c>
      <c r="J1880" s="2" t="s">
        <v>5838</v>
      </c>
      <c r="K1880" s="2" t="s">
        <v>95</v>
      </c>
      <c r="L1880" s="2" t="s">
        <v>473</v>
      </c>
      <c r="M1880" s="2"/>
    </row>
    <row r="1881" customFormat="false" ht="15" hidden="false" customHeight="false" outlineLevel="0" collapsed="false">
      <c r="A1881" s="2" t="s">
        <v>5839</v>
      </c>
      <c r="B1881" s="2" t="s">
        <v>2942</v>
      </c>
      <c r="C1881" s="2" t="s">
        <v>2943</v>
      </c>
      <c r="D1881" s="13" t="n">
        <v>45876.84375</v>
      </c>
      <c r="E1881" s="2" t="s">
        <v>41</v>
      </c>
      <c r="F1881" s="2" t="s">
        <v>27</v>
      </c>
      <c r="G1881" s="2" t="n">
        <v>4022.24</v>
      </c>
      <c r="H1881" s="2" t="n">
        <v>44.63</v>
      </c>
      <c r="I1881" s="2" t="s">
        <v>28</v>
      </c>
      <c r="J1881" s="2" t="s">
        <v>5840</v>
      </c>
      <c r="K1881" s="2" t="s">
        <v>95</v>
      </c>
      <c r="L1881" s="2"/>
      <c r="M1881" s="2" t="s">
        <v>1686</v>
      </c>
    </row>
    <row r="1882" customFormat="false" ht="15" hidden="false" customHeight="false" outlineLevel="0" collapsed="false">
      <c r="A1882" s="2" t="s">
        <v>5841</v>
      </c>
      <c r="B1882" s="2" t="s">
        <v>5842</v>
      </c>
      <c r="C1882" s="2" t="s">
        <v>5843</v>
      </c>
      <c r="D1882" s="13" t="n">
        <v>45962.3993055556</v>
      </c>
      <c r="E1882" s="2" t="s">
        <v>37</v>
      </c>
      <c r="F1882" s="2" t="s">
        <v>31</v>
      </c>
      <c r="G1882" s="2" t="n">
        <v>4316.69</v>
      </c>
      <c r="H1882" s="2" t="n">
        <v>21.46</v>
      </c>
      <c r="I1882" s="2" t="s">
        <v>26</v>
      </c>
      <c r="J1882" s="2" t="s">
        <v>5844</v>
      </c>
      <c r="K1882" s="2" t="s">
        <v>122</v>
      </c>
      <c r="L1882" s="2" t="s">
        <v>483</v>
      </c>
      <c r="M1882" s="2"/>
    </row>
    <row r="1883" customFormat="false" ht="15" hidden="false" customHeight="false" outlineLevel="0" collapsed="false">
      <c r="A1883" s="2" t="s">
        <v>5845</v>
      </c>
      <c r="B1883" s="2" t="s">
        <v>4774</v>
      </c>
      <c r="C1883" s="2" t="s">
        <v>4775</v>
      </c>
      <c r="D1883" s="13" t="n">
        <v>45705.6159722222</v>
      </c>
      <c r="E1883" s="2" t="s">
        <v>35</v>
      </c>
      <c r="F1883" s="2" t="s">
        <v>31</v>
      </c>
      <c r="G1883" s="2" t="n">
        <v>29787.04</v>
      </c>
      <c r="H1883" s="2" t="n">
        <v>221.52</v>
      </c>
      <c r="I1883" s="2" t="s">
        <v>26</v>
      </c>
      <c r="J1883" s="2" t="s">
        <v>5846</v>
      </c>
      <c r="K1883" s="2" t="s">
        <v>101</v>
      </c>
      <c r="L1883" s="2" t="s">
        <v>488</v>
      </c>
      <c r="M1883" s="2"/>
    </row>
    <row r="1884" customFormat="false" ht="15" hidden="false" customHeight="false" outlineLevel="0" collapsed="false">
      <c r="A1884" s="2" t="s">
        <v>5847</v>
      </c>
      <c r="B1884" s="2" t="s">
        <v>220</v>
      </c>
      <c r="C1884" s="2" t="s">
        <v>221</v>
      </c>
      <c r="D1884" s="13" t="n">
        <v>45706.8458333333</v>
      </c>
      <c r="E1884" s="2" t="s">
        <v>35</v>
      </c>
      <c r="F1884" s="2" t="s">
        <v>29</v>
      </c>
      <c r="G1884" s="2" t="n">
        <v>3870.61</v>
      </c>
      <c r="H1884" s="2" t="n">
        <v>39.33</v>
      </c>
      <c r="I1884" s="2" t="s">
        <v>26</v>
      </c>
      <c r="J1884" s="2" t="s">
        <v>5848</v>
      </c>
      <c r="K1884" s="2" t="s">
        <v>101</v>
      </c>
      <c r="L1884" s="2" t="s">
        <v>1122</v>
      </c>
      <c r="M1884" s="2"/>
    </row>
    <row r="1885" customFormat="false" ht="15" hidden="false" customHeight="false" outlineLevel="0" collapsed="false">
      <c r="A1885" s="2" t="s">
        <v>5849</v>
      </c>
      <c r="B1885" s="2" t="s">
        <v>3138</v>
      </c>
      <c r="C1885" s="2" t="s">
        <v>3139</v>
      </c>
      <c r="D1885" s="13" t="n">
        <v>45955.5756944444</v>
      </c>
      <c r="E1885" s="2" t="s">
        <v>37</v>
      </c>
      <c r="F1885" s="2" t="s">
        <v>27</v>
      </c>
      <c r="G1885" s="2" t="n">
        <v>5879.06</v>
      </c>
      <c r="H1885" s="2" t="n">
        <v>40.85</v>
      </c>
      <c r="I1885" s="2" t="s">
        <v>26</v>
      </c>
      <c r="J1885" s="2" t="s">
        <v>5850</v>
      </c>
      <c r="K1885" s="2" t="s">
        <v>122</v>
      </c>
      <c r="L1885" s="2"/>
      <c r="M1885" s="2" t="s">
        <v>498</v>
      </c>
    </row>
    <row r="1886" customFormat="false" ht="15" hidden="false" customHeight="false" outlineLevel="0" collapsed="false">
      <c r="A1886" s="2" t="s">
        <v>5851</v>
      </c>
      <c r="B1886" s="2" t="s">
        <v>4720</v>
      </c>
      <c r="C1886" s="2" t="s">
        <v>4721</v>
      </c>
      <c r="D1886" s="13" t="n">
        <v>45958.73125</v>
      </c>
      <c r="E1886" s="2" t="s">
        <v>43</v>
      </c>
      <c r="F1886" s="2" t="s">
        <v>32</v>
      </c>
      <c r="G1886" s="2" t="n">
        <v>3130.87</v>
      </c>
      <c r="H1886" s="2" t="n">
        <v>15.73</v>
      </c>
      <c r="I1886" s="2" t="s">
        <v>26</v>
      </c>
      <c r="J1886" s="2" t="s">
        <v>5852</v>
      </c>
      <c r="K1886" s="2" t="s">
        <v>122</v>
      </c>
      <c r="L1886" s="2"/>
      <c r="M1886" s="2" t="s">
        <v>1703</v>
      </c>
    </row>
    <row r="1887" customFormat="false" ht="15" hidden="false" customHeight="false" outlineLevel="0" collapsed="false">
      <c r="A1887" s="2" t="s">
        <v>5853</v>
      </c>
      <c r="B1887" s="2" t="s">
        <v>771</v>
      </c>
      <c r="C1887" s="2" t="s">
        <v>772</v>
      </c>
      <c r="D1887" s="13" t="n">
        <v>45748.3881944444</v>
      </c>
      <c r="E1887" s="2" t="s">
        <v>41</v>
      </c>
      <c r="F1887" s="2" t="s">
        <v>29</v>
      </c>
      <c r="G1887" s="2" t="n">
        <v>10920.43</v>
      </c>
      <c r="H1887" s="2" t="n">
        <v>110.89</v>
      </c>
      <c r="I1887" s="2" t="s">
        <v>26</v>
      </c>
      <c r="J1887" s="2" t="s">
        <v>5854</v>
      </c>
      <c r="K1887" s="2" t="s">
        <v>89</v>
      </c>
      <c r="L1887" s="2" t="s">
        <v>508</v>
      </c>
      <c r="M1887" s="2"/>
    </row>
    <row r="1888" customFormat="false" ht="15" hidden="false" customHeight="false" outlineLevel="0" collapsed="false">
      <c r="A1888" s="2" t="s">
        <v>5855</v>
      </c>
      <c r="B1888" s="2" t="s">
        <v>1894</v>
      </c>
      <c r="C1888" s="2" t="s">
        <v>1895</v>
      </c>
      <c r="D1888" s="13" t="n">
        <v>45626.74375</v>
      </c>
      <c r="E1888" s="2" t="s">
        <v>43</v>
      </c>
      <c r="F1888" s="2" t="s">
        <v>29</v>
      </c>
      <c r="G1888" s="2" t="n">
        <v>3441.12</v>
      </c>
      <c r="H1888" s="2" t="n">
        <v>11.84</v>
      </c>
      <c r="I1888" s="2" t="s">
        <v>26</v>
      </c>
      <c r="J1888" s="2" t="s">
        <v>5856</v>
      </c>
      <c r="K1888" s="2" t="s">
        <v>95</v>
      </c>
      <c r="L1888" s="2"/>
      <c r="M1888" s="2" t="s">
        <v>513</v>
      </c>
    </row>
    <row r="1889" customFormat="false" ht="15" hidden="false" customHeight="false" outlineLevel="0" collapsed="false">
      <c r="A1889" s="2" t="s">
        <v>5857</v>
      </c>
      <c r="B1889" s="2" t="s">
        <v>1358</v>
      </c>
      <c r="C1889" s="2" t="s">
        <v>1359</v>
      </c>
      <c r="D1889" s="13" t="n">
        <v>45679.3291666667</v>
      </c>
      <c r="E1889" s="2" t="s">
        <v>43</v>
      </c>
      <c r="F1889" s="2" t="s">
        <v>27</v>
      </c>
      <c r="G1889" s="2" t="n">
        <v>5009.68</v>
      </c>
      <c r="H1889" s="2" t="n">
        <v>28.81</v>
      </c>
      <c r="I1889" s="2" t="s">
        <v>26</v>
      </c>
      <c r="J1889" s="2" t="s">
        <v>5858</v>
      </c>
      <c r="K1889" s="2" t="s">
        <v>122</v>
      </c>
      <c r="L1889" s="2"/>
      <c r="M1889" s="2" t="s">
        <v>2390</v>
      </c>
    </row>
    <row r="1890" customFormat="false" ht="15" hidden="false" customHeight="false" outlineLevel="0" collapsed="false">
      <c r="A1890" s="2" t="s">
        <v>5859</v>
      </c>
      <c r="B1890" s="2" t="s">
        <v>5860</v>
      </c>
      <c r="C1890" s="2" t="s">
        <v>5861</v>
      </c>
      <c r="D1890" s="13" t="n">
        <v>45823.4145833333</v>
      </c>
      <c r="E1890" s="2" t="s">
        <v>41</v>
      </c>
      <c r="F1890" s="2" t="s">
        <v>32</v>
      </c>
      <c r="G1890" s="2" t="n">
        <v>2135.46</v>
      </c>
      <c r="H1890" s="2" t="n">
        <v>20.96</v>
      </c>
      <c r="I1890" s="2" t="s">
        <v>30</v>
      </c>
      <c r="J1890" s="2" t="s">
        <v>5862</v>
      </c>
      <c r="K1890" s="2" t="s">
        <v>95</v>
      </c>
      <c r="L1890" s="2" t="s">
        <v>523</v>
      </c>
      <c r="M1890" s="2"/>
    </row>
    <row r="1891" customFormat="false" ht="15" hidden="false" customHeight="false" outlineLevel="0" collapsed="false">
      <c r="A1891" s="2" t="s">
        <v>5863</v>
      </c>
      <c r="B1891" s="2" t="s">
        <v>390</v>
      </c>
      <c r="C1891" s="2" t="s">
        <v>391</v>
      </c>
      <c r="D1891" s="13" t="n">
        <v>45684.9222222222</v>
      </c>
      <c r="E1891" s="2" t="s">
        <v>35</v>
      </c>
      <c r="F1891" s="2" t="s">
        <v>31</v>
      </c>
      <c r="G1891" s="2" t="n">
        <v>3744.42</v>
      </c>
      <c r="H1891" s="2" t="n">
        <v>33.96</v>
      </c>
      <c r="I1891" s="2" t="s">
        <v>26</v>
      </c>
      <c r="J1891" s="2" t="s">
        <v>5864</v>
      </c>
      <c r="K1891" s="2" t="s">
        <v>89</v>
      </c>
      <c r="L1891" s="2" t="s">
        <v>1152</v>
      </c>
      <c r="M1891" s="2"/>
    </row>
    <row r="1892" customFormat="false" ht="15" hidden="false" customHeight="false" outlineLevel="0" collapsed="false">
      <c r="A1892" s="2" t="s">
        <v>5865</v>
      </c>
      <c r="B1892" s="2" t="s">
        <v>1957</v>
      </c>
      <c r="C1892" s="2" t="s">
        <v>1958</v>
      </c>
      <c r="D1892" s="13" t="n">
        <v>45819.8548611111</v>
      </c>
      <c r="E1892" s="2" t="s">
        <v>35</v>
      </c>
      <c r="F1892" s="2" t="s">
        <v>29</v>
      </c>
      <c r="G1892" s="2" t="n">
        <v>3985.42</v>
      </c>
      <c r="H1892" s="2" t="n">
        <v>44.97</v>
      </c>
      <c r="I1892" s="2" t="s">
        <v>28</v>
      </c>
      <c r="J1892" s="2" t="s">
        <v>5866</v>
      </c>
      <c r="K1892" s="2" t="s">
        <v>122</v>
      </c>
      <c r="L1892" s="2" t="s">
        <v>1726</v>
      </c>
      <c r="M1892" s="2"/>
    </row>
    <row r="1893" customFormat="false" ht="15" hidden="false" customHeight="false" outlineLevel="0" collapsed="false">
      <c r="A1893" s="2" t="s">
        <v>5867</v>
      </c>
      <c r="B1893" s="2" t="s">
        <v>2007</v>
      </c>
      <c r="C1893" s="2" t="s">
        <v>2008</v>
      </c>
      <c r="D1893" s="13" t="n">
        <v>45625.9041666667</v>
      </c>
      <c r="E1893" s="2" t="s">
        <v>35</v>
      </c>
      <c r="F1893" s="2" t="s">
        <v>27</v>
      </c>
      <c r="G1893" s="2" t="n">
        <v>1547.04</v>
      </c>
      <c r="H1893" s="2" t="n">
        <v>17.27</v>
      </c>
      <c r="I1893" s="2" t="s">
        <v>28</v>
      </c>
      <c r="J1893" s="2" t="s">
        <v>5868</v>
      </c>
      <c r="K1893" s="2" t="s">
        <v>122</v>
      </c>
      <c r="L1893" s="2"/>
      <c r="M1893" s="2" t="s">
        <v>536</v>
      </c>
    </row>
    <row r="1894" customFormat="false" ht="15" hidden="false" customHeight="false" outlineLevel="0" collapsed="false">
      <c r="A1894" s="2" t="s">
        <v>5869</v>
      </c>
      <c r="B1894" s="2" t="s">
        <v>586</v>
      </c>
      <c r="C1894" s="2" t="s">
        <v>587</v>
      </c>
      <c r="D1894" s="13" t="n">
        <v>45985.29375</v>
      </c>
      <c r="E1894" s="2" t="s">
        <v>41</v>
      </c>
      <c r="F1894" s="2" t="s">
        <v>27</v>
      </c>
      <c r="G1894" s="2" t="n">
        <v>10949.67</v>
      </c>
      <c r="H1894" s="2" t="n">
        <v>114.94</v>
      </c>
      <c r="I1894" s="2" t="s">
        <v>30</v>
      </c>
      <c r="J1894" s="2" t="s">
        <v>5870</v>
      </c>
      <c r="K1894" s="2" t="s">
        <v>122</v>
      </c>
      <c r="L1894" s="2"/>
      <c r="M1894" s="2" t="s">
        <v>1371</v>
      </c>
    </row>
    <row r="1895" customFormat="false" ht="15" hidden="false" customHeight="false" outlineLevel="0" collapsed="false">
      <c r="A1895" s="2" t="s">
        <v>5871</v>
      </c>
      <c r="B1895" s="2" t="s">
        <v>969</v>
      </c>
      <c r="C1895" s="2" t="s">
        <v>970</v>
      </c>
      <c r="D1895" s="13" t="n">
        <v>45726.6527777778</v>
      </c>
      <c r="E1895" s="2" t="s">
        <v>37</v>
      </c>
      <c r="F1895" s="2" t="s">
        <v>32</v>
      </c>
      <c r="G1895" s="2" t="n">
        <v>1403.61</v>
      </c>
      <c r="H1895" s="2" t="n">
        <v>5.82</v>
      </c>
      <c r="I1895" s="2" t="s">
        <v>26</v>
      </c>
      <c r="J1895" s="2" t="s">
        <v>5872</v>
      </c>
      <c r="K1895" s="2" t="s">
        <v>122</v>
      </c>
      <c r="L1895" s="2" t="s">
        <v>1169</v>
      </c>
      <c r="M1895" s="2"/>
    </row>
    <row r="1896" customFormat="false" ht="15" hidden="false" customHeight="false" outlineLevel="0" collapsed="false">
      <c r="A1896" s="2" t="s">
        <v>5873</v>
      </c>
      <c r="B1896" s="2" t="s">
        <v>2809</v>
      </c>
      <c r="C1896" s="2" t="s">
        <v>2810</v>
      </c>
      <c r="D1896" s="13" t="n">
        <v>45668.8375</v>
      </c>
      <c r="E1896" s="2" t="s">
        <v>35</v>
      </c>
      <c r="F1896" s="2" t="s">
        <v>29</v>
      </c>
      <c r="G1896" s="2" t="n">
        <v>1915.99</v>
      </c>
      <c r="H1896" s="2" t="n">
        <v>7.53</v>
      </c>
      <c r="I1896" s="2" t="s">
        <v>26</v>
      </c>
      <c r="J1896" s="2" t="s">
        <v>5874</v>
      </c>
      <c r="K1896" s="2" t="s">
        <v>89</v>
      </c>
      <c r="L1896" s="2" t="s">
        <v>2735</v>
      </c>
      <c r="M1896" s="2"/>
    </row>
    <row r="1897" customFormat="false" ht="15" hidden="false" customHeight="false" outlineLevel="0" collapsed="false">
      <c r="A1897" s="2" t="s">
        <v>5875</v>
      </c>
      <c r="B1897" s="2" t="s">
        <v>983</v>
      </c>
      <c r="C1897" s="2" t="s">
        <v>984</v>
      </c>
      <c r="D1897" s="13" t="n">
        <v>45590.4618055556</v>
      </c>
      <c r="E1897" s="2" t="s">
        <v>37</v>
      </c>
      <c r="F1897" s="2" t="s">
        <v>31</v>
      </c>
      <c r="G1897" s="2" t="n">
        <v>21660.94</v>
      </c>
      <c r="H1897" s="2" t="n">
        <v>139.3</v>
      </c>
      <c r="I1897" s="2" t="s">
        <v>26</v>
      </c>
      <c r="J1897" s="2" t="s">
        <v>5876</v>
      </c>
      <c r="K1897" s="2" t="s">
        <v>95</v>
      </c>
      <c r="L1897" s="2" t="s">
        <v>556</v>
      </c>
      <c r="M1897" s="2"/>
    </row>
    <row r="1898" customFormat="false" ht="15" hidden="false" customHeight="false" outlineLevel="0" collapsed="false">
      <c r="A1898" s="2" t="s">
        <v>5877</v>
      </c>
      <c r="B1898" s="2" t="s">
        <v>5878</v>
      </c>
      <c r="C1898" s="2" t="s">
        <v>5879</v>
      </c>
      <c r="D1898" s="13" t="n">
        <v>45547.7118055556</v>
      </c>
      <c r="E1898" s="2" t="s">
        <v>35</v>
      </c>
      <c r="F1898" s="2" t="s">
        <v>31</v>
      </c>
      <c r="G1898" s="2" t="n">
        <v>5160.42</v>
      </c>
      <c r="H1898" s="2" t="n">
        <v>60.43</v>
      </c>
      <c r="I1898" s="2" t="s">
        <v>26</v>
      </c>
      <c r="J1898" s="2" t="s">
        <v>5880</v>
      </c>
      <c r="K1898" s="2" t="s">
        <v>122</v>
      </c>
      <c r="L1898" s="2" t="s">
        <v>1183</v>
      </c>
      <c r="M1898" s="2"/>
    </row>
    <row r="1899" customFormat="false" ht="15" hidden="false" customHeight="false" outlineLevel="0" collapsed="false">
      <c r="A1899" s="2" t="s">
        <v>5881</v>
      </c>
      <c r="B1899" s="2" t="s">
        <v>3006</v>
      </c>
      <c r="C1899" s="2" t="s">
        <v>3007</v>
      </c>
      <c r="D1899" s="13" t="n">
        <v>45934.4270833333</v>
      </c>
      <c r="E1899" s="2" t="s">
        <v>35</v>
      </c>
      <c r="F1899" s="2" t="s">
        <v>32</v>
      </c>
      <c r="G1899" s="2" t="n">
        <v>4382.78</v>
      </c>
      <c r="H1899" s="2" t="n">
        <v>12.6</v>
      </c>
      <c r="I1899" s="2" t="s">
        <v>26</v>
      </c>
      <c r="J1899" s="2" t="s">
        <v>5882</v>
      </c>
      <c r="K1899" s="2" t="s">
        <v>95</v>
      </c>
      <c r="L1899" s="2" t="s">
        <v>566</v>
      </c>
      <c r="M1899" s="2"/>
    </row>
    <row r="1900" customFormat="false" ht="15" hidden="false" customHeight="false" outlineLevel="0" collapsed="false">
      <c r="A1900" s="2" t="s">
        <v>5883</v>
      </c>
      <c r="B1900" s="2" t="s">
        <v>3274</v>
      </c>
      <c r="C1900" s="2" t="s">
        <v>3275</v>
      </c>
      <c r="D1900" s="13" t="n">
        <v>45868.95625</v>
      </c>
      <c r="E1900" s="2" t="s">
        <v>37</v>
      </c>
      <c r="F1900" s="2" t="s">
        <v>31</v>
      </c>
      <c r="G1900" s="2" t="n">
        <v>2555.53</v>
      </c>
      <c r="H1900" s="2" t="n">
        <v>10.35</v>
      </c>
      <c r="I1900" s="2" t="s">
        <v>26</v>
      </c>
      <c r="J1900" s="2" t="s">
        <v>5884</v>
      </c>
      <c r="K1900" s="2" t="s">
        <v>95</v>
      </c>
      <c r="L1900" s="2" t="s">
        <v>1190</v>
      </c>
      <c r="M1900" s="2"/>
    </row>
    <row r="1901" customFormat="false" ht="15" hidden="false" customHeight="false" outlineLevel="0" collapsed="false">
      <c r="A1901" s="2" t="s">
        <v>5885</v>
      </c>
      <c r="B1901" s="2" t="s">
        <v>669</v>
      </c>
      <c r="C1901" s="2" t="s">
        <v>670</v>
      </c>
      <c r="D1901" s="13" t="n">
        <v>45501.4166666667</v>
      </c>
      <c r="E1901" s="2" t="s">
        <v>43</v>
      </c>
      <c r="F1901" s="2" t="s">
        <v>31</v>
      </c>
      <c r="G1901" s="2" t="n">
        <v>493.04</v>
      </c>
      <c r="H1901" s="2" t="n">
        <v>5</v>
      </c>
      <c r="I1901" s="2" t="s">
        <v>30</v>
      </c>
      <c r="J1901" s="2" t="s">
        <v>5886</v>
      </c>
      <c r="K1901" s="2" t="s">
        <v>122</v>
      </c>
      <c r="L1901" s="2"/>
      <c r="M1901" s="2" t="s">
        <v>576</v>
      </c>
    </row>
    <row r="1902" customFormat="false" ht="15" hidden="false" customHeight="false" outlineLevel="0" collapsed="false">
      <c r="A1902" s="2" t="s">
        <v>5887</v>
      </c>
      <c r="B1902" s="2" t="s">
        <v>4174</v>
      </c>
      <c r="C1902" s="2" t="s">
        <v>4175</v>
      </c>
      <c r="D1902" s="13" t="n">
        <v>45331.75625</v>
      </c>
      <c r="E1902" s="2" t="s">
        <v>35</v>
      </c>
      <c r="F1902" s="2" t="s">
        <v>27</v>
      </c>
      <c r="G1902" s="2" t="n">
        <v>1923.37</v>
      </c>
      <c r="H1902" s="2" t="n">
        <v>19.98</v>
      </c>
      <c r="I1902" s="2" t="s">
        <v>26</v>
      </c>
      <c r="J1902" s="2" t="s">
        <v>5888</v>
      </c>
      <c r="K1902" s="2" t="s">
        <v>89</v>
      </c>
      <c r="L1902" s="2"/>
      <c r="M1902" s="2" t="s">
        <v>581</v>
      </c>
    </row>
    <row r="1903" customFormat="false" ht="15" hidden="false" customHeight="false" outlineLevel="0" collapsed="false">
      <c r="A1903" s="2" t="s">
        <v>5889</v>
      </c>
      <c r="B1903" s="2" t="s">
        <v>1166</v>
      </c>
      <c r="C1903" s="2" t="s">
        <v>1167</v>
      </c>
      <c r="D1903" s="13" t="n">
        <v>45427.9173611111</v>
      </c>
      <c r="E1903" s="2" t="s">
        <v>39</v>
      </c>
      <c r="F1903" s="2" t="s">
        <v>31</v>
      </c>
      <c r="G1903" s="2" t="n">
        <v>6888.81</v>
      </c>
      <c r="H1903" s="2" t="n">
        <v>56.52</v>
      </c>
      <c r="I1903" s="2" t="s">
        <v>26</v>
      </c>
      <c r="J1903" s="2" t="s">
        <v>5890</v>
      </c>
      <c r="K1903" s="2" t="s">
        <v>95</v>
      </c>
      <c r="L1903" s="2" t="s">
        <v>584</v>
      </c>
      <c r="M1903" s="2"/>
    </row>
    <row r="1904" customFormat="false" ht="15" hidden="false" customHeight="false" outlineLevel="0" collapsed="false">
      <c r="A1904" s="2" t="s">
        <v>5891</v>
      </c>
      <c r="B1904" s="2" t="s">
        <v>4000</v>
      </c>
      <c r="C1904" s="2" t="s">
        <v>4001</v>
      </c>
      <c r="D1904" s="13" t="n">
        <v>45807.5430555556</v>
      </c>
      <c r="E1904" s="2" t="s">
        <v>37</v>
      </c>
      <c r="F1904" s="2" t="s">
        <v>29</v>
      </c>
      <c r="G1904" s="2" t="n">
        <v>354.3</v>
      </c>
      <c r="H1904" s="2" t="n">
        <v>5</v>
      </c>
      <c r="I1904" s="2" t="s">
        <v>26</v>
      </c>
      <c r="J1904" s="2" t="s">
        <v>5892</v>
      </c>
      <c r="K1904" s="2" t="s">
        <v>95</v>
      </c>
      <c r="L1904" s="2" t="s">
        <v>589</v>
      </c>
      <c r="M1904" s="2"/>
    </row>
    <row r="1905" customFormat="false" ht="15" hidden="false" customHeight="false" outlineLevel="0" collapsed="false">
      <c r="A1905" s="2" t="s">
        <v>5893</v>
      </c>
      <c r="B1905" s="2" t="s">
        <v>1098</v>
      </c>
      <c r="C1905" s="2" t="s">
        <v>1099</v>
      </c>
      <c r="D1905" s="13" t="n">
        <v>45730.375</v>
      </c>
      <c r="E1905" s="2" t="s">
        <v>41</v>
      </c>
      <c r="F1905" s="2" t="s">
        <v>31</v>
      </c>
      <c r="G1905" s="2" t="n">
        <v>4881.13</v>
      </c>
      <c r="H1905" s="2" t="n">
        <v>53.18</v>
      </c>
      <c r="I1905" s="2" t="s">
        <v>26</v>
      </c>
      <c r="J1905" s="2" t="s">
        <v>5894</v>
      </c>
      <c r="K1905" s="2" t="s">
        <v>122</v>
      </c>
      <c r="L1905" s="2" t="s">
        <v>1212</v>
      </c>
      <c r="M1905" s="2"/>
    </row>
    <row r="1906" customFormat="false" ht="15" hidden="false" customHeight="false" outlineLevel="0" collapsed="false">
      <c r="A1906" s="2" t="s">
        <v>5895</v>
      </c>
      <c r="B1906" s="2" t="s">
        <v>2499</v>
      </c>
      <c r="C1906" s="2" t="s">
        <v>2500</v>
      </c>
      <c r="D1906" s="13" t="n">
        <v>45639.5777777778</v>
      </c>
      <c r="E1906" s="2" t="s">
        <v>41</v>
      </c>
      <c r="F1906" s="2" t="s">
        <v>31</v>
      </c>
      <c r="G1906" s="2" t="n">
        <v>3655.99</v>
      </c>
      <c r="H1906" s="2" t="n">
        <v>23.65</v>
      </c>
      <c r="I1906" s="2" t="s">
        <v>26</v>
      </c>
      <c r="J1906" s="2" t="s">
        <v>5896</v>
      </c>
      <c r="K1906" s="2" t="s">
        <v>95</v>
      </c>
      <c r="L1906" s="2" t="s">
        <v>599</v>
      </c>
      <c r="M1906" s="2"/>
    </row>
    <row r="1907" customFormat="false" ht="15" hidden="false" customHeight="false" outlineLevel="0" collapsed="false">
      <c r="A1907" s="2" t="s">
        <v>5897</v>
      </c>
      <c r="B1907" s="2" t="s">
        <v>3936</v>
      </c>
      <c r="C1907" s="2" t="s">
        <v>3937</v>
      </c>
      <c r="D1907" s="13" t="n">
        <v>45916.4777777778</v>
      </c>
      <c r="E1907" s="2" t="s">
        <v>37</v>
      </c>
      <c r="F1907" s="2" t="s">
        <v>27</v>
      </c>
      <c r="G1907" s="2" t="n">
        <v>621.11</v>
      </c>
      <c r="H1907" s="2" t="n">
        <v>5</v>
      </c>
      <c r="I1907" s="2" t="s">
        <v>26</v>
      </c>
      <c r="J1907" s="2" t="s">
        <v>5898</v>
      </c>
      <c r="K1907" s="2" t="s">
        <v>122</v>
      </c>
      <c r="L1907" s="2"/>
      <c r="M1907" s="2" t="s">
        <v>1778</v>
      </c>
    </row>
    <row r="1908" customFormat="false" ht="15" hidden="false" customHeight="false" outlineLevel="0" collapsed="false">
      <c r="A1908" s="2" t="s">
        <v>5899</v>
      </c>
      <c r="B1908" s="2" t="s">
        <v>2432</v>
      </c>
      <c r="C1908" s="2" t="s">
        <v>2433</v>
      </c>
      <c r="D1908" s="13" t="n">
        <v>45336.5097222222</v>
      </c>
      <c r="E1908" s="2" t="s">
        <v>35</v>
      </c>
      <c r="F1908" s="2" t="s">
        <v>29</v>
      </c>
      <c r="G1908" s="2" t="n">
        <v>2296.13</v>
      </c>
      <c r="H1908" s="2" t="n">
        <v>14.09</v>
      </c>
      <c r="I1908" s="2" t="s">
        <v>28</v>
      </c>
      <c r="J1908" s="2" t="s">
        <v>5900</v>
      </c>
      <c r="K1908" s="2" t="s">
        <v>89</v>
      </c>
      <c r="L1908" s="2" t="s">
        <v>607</v>
      </c>
      <c r="M1908" s="2"/>
    </row>
    <row r="1909" customFormat="false" ht="15" hidden="false" customHeight="false" outlineLevel="0" collapsed="false">
      <c r="A1909" s="2" t="s">
        <v>5901</v>
      </c>
      <c r="B1909" s="2" t="s">
        <v>1642</v>
      </c>
      <c r="C1909" s="2" t="s">
        <v>1643</v>
      </c>
      <c r="D1909" s="13" t="n">
        <v>45441.6451388889</v>
      </c>
      <c r="E1909" s="2" t="s">
        <v>41</v>
      </c>
      <c r="F1909" s="2" t="s">
        <v>31</v>
      </c>
      <c r="G1909" s="2" t="n">
        <v>2561.84</v>
      </c>
      <c r="H1909" s="2" t="n">
        <v>15.91</v>
      </c>
      <c r="I1909" s="2" t="s">
        <v>30</v>
      </c>
      <c r="J1909" s="2" t="s">
        <v>5902</v>
      </c>
      <c r="K1909" s="2" t="s">
        <v>95</v>
      </c>
      <c r="L1909" s="2" t="s">
        <v>612</v>
      </c>
      <c r="M1909" s="2"/>
    </row>
    <row r="1910" customFormat="false" ht="15" hidden="false" customHeight="false" outlineLevel="0" collapsed="false">
      <c r="A1910" s="2" t="s">
        <v>5903</v>
      </c>
      <c r="B1910" s="2" t="s">
        <v>1102</v>
      </c>
      <c r="C1910" s="2" t="s">
        <v>1103</v>
      </c>
      <c r="D1910" s="13" t="n">
        <v>45936.9493055556</v>
      </c>
      <c r="E1910" s="2" t="s">
        <v>39</v>
      </c>
      <c r="F1910" s="2" t="s">
        <v>31</v>
      </c>
      <c r="G1910" s="2" t="n">
        <v>999.96</v>
      </c>
      <c r="H1910" s="2" t="n">
        <v>5.14</v>
      </c>
      <c r="I1910" s="2" t="s">
        <v>26</v>
      </c>
      <c r="J1910" s="2" t="s">
        <v>5904</v>
      </c>
      <c r="K1910" s="2" t="s">
        <v>122</v>
      </c>
      <c r="L1910" s="2" t="s">
        <v>1232</v>
      </c>
      <c r="M1910" s="2"/>
    </row>
    <row r="1911" customFormat="false" ht="15" hidden="false" customHeight="false" outlineLevel="0" collapsed="false">
      <c r="A1911" s="2" t="s">
        <v>5905</v>
      </c>
      <c r="B1911" s="2" t="s">
        <v>5416</v>
      </c>
      <c r="C1911" s="2" t="s">
        <v>5417</v>
      </c>
      <c r="D1911" s="13" t="n">
        <v>45791.3520833333</v>
      </c>
      <c r="E1911" s="2" t="s">
        <v>39</v>
      </c>
      <c r="F1911" s="2" t="s">
        <v>32</v>
      </c>
      <c r="G1911" s="2" t="n">
        <v>4910.79</v>
      </c>
      <c r="H1911" s="2" t="n">
        <v>56.81</v>
      </c>
      <c r="I1911" s="2" t="s">
        <v>26</v>
      </c>
      <c r="J1911" s="2" t="s">
        <v>5906</v>
      </c>
      <c r="K1911" s="2" t="s">
        <v>89</v>
      </c>
      <c r="L1911" s="2" t="s">
        <v>622</v>
      </c>
      <c r="M1911" s="2"/>
    </row>
    <row r="1912" customFormat="false" ht="15" hidden="false" customHeight="false" outlineLevel="0" collapsed="false">
      <c r="A1912" s="2" t="s">
        <v>5907</v>
      </c>
      <c r="B1912" s="2" t="s">
        <v>3098</v>
      </c>
      <c r="C1912" s="2" t="s">
        <v>3099</v>
      </c>
      <c r="D1912" s="13" t="n">
        <v>45684.9131944445</v>
      </c>
      <c r="E1912" s="2" t="s">
        <v>41</v>
      </c>
      <c r="F1912" s="2" t="s">
        <v>29</v>
      </c>
      <c r="G1912" s="2" t="n">
        <v>6031.82</v>
      </c>
      <c r="H1912" s="2" t="n">
        <v>22.93</v>
      </c>
      <c r="I1912" s="2" t="s">
        <v>26</v>
      </c>
      <c r="J1912" s="2" t="s">
        <v>5908</v>
      </c>
      <c r="K1912" s="2" t="s">
        <v>95</v>
      </c>
      <c r="L1912" s="2" t="s">
        <v>1241</v>
      </c>
      <c r="M1912" s="2"/>
    </row>
    <row r="1913" customFormat="false" ht="15" hidden="false" customHeight="false" outlineLevel="0" collapsed="false">
      <c r="A1913" s="2" t="s">
        <v>5909</v>
      </c>
      <c r="B1913" s="2" t="s">
        <v>634</v>
      </c>
      <c r="C1913" s="2" t="s">
        <v>635</v>
      </c>
      <c r="D1913" s="13" t="n">
        <v>46004.5840277778</v>
      </c>
      <c r="E1913" s="2" t="s">
        <v>43</v>
      </c>
      <c r="F1913" s="2" t="s">
        <v>29</v>
      </c>
      <c r="G1913" s="2" t="n">
        <v>5729.31</v>
      </c>
      <c r="H1913" s="2" t="n">
        <v>41.81</v>
      </c>
      <c r="I1913" s="2" t="s">
        <v>26</v>
      </c>
      <c r="J1913" s="2" t="s">
        <v>5910</v>
      </c>
      <c r="K1913" s="2" t="s">
        <v>122</v>
      </c>
      <c r="L1913" s="2"/>
      <c r="M1913" s="2" t="s">
        <v>144</v>
      </c>
    </row>
    <row r="1914" customFormat="false" ht="15" hidden="false" customHeight="false" outlineLevel="0" collapsed="false">
      <c r="A1914" s="2" t="s">
        <v>5911</v>
      </c>
      <c r="B1914" s="2" t="s">
        <v>5912</v>
      </c>
      <c r="C1914" s="2" t="s">
        <v>5913</v>
      </c>
      <c r="D1914" s="13" t="n">
        <v>45776.3729166667</v>
      </c>
      <c r="E1914" s="2" t="s">
        <v>39</v>
      </c>
      <c r="F1914" s="2" t="s">
        <v>32</v>
      </c>
      <c r="G1914" s="2" t="n">
        <v>3496.03</v>
      </c>
      <c r="H1914" s="2" t="n">
        <v>12.07</v>
      </c>
      <c r="I1914" s="2" t="s">
        <v>26</v>
      </c>
      <c r="J1914" s="2" t="s">
        <v>5914</v>
      </c>
      <c r="K1914" s="2" t="s">
        <v>95</v>
      </c>
      <c r="L1914" s="2" t="s">
        <v>637</v>
      </c>
      <c r="M1914" s="2"/>
    </row>
    <row r="1915" customFormat="false" ht="15" hidden="false" customHeight="false" outlineLevel="0" collapsed="false">
      <c r="A1915" s="2" t="s">
        <v>5915</v>
      </c>
      <c r="B1915" s="2" t="s">
        <v>2465</v>
      </c>
      <c r="C1915" s="2" t="s">
        <v>2466</v>
      </c>
      <c r="D1915" s="13" t="n">
        <v>45472.8215277778</v>
      </c>
      <c r="E1915" s="2" t="s">
        <v>35</v>
      </c>
      <c r="F1915" s="2" t="s">
        <v>31</v>
      </c>
      <c r="G1915" s="2" t="n">
        <v>803.25</v>
      </c>
      <c r="H1915" s="2" t="n">
        <v>7.9</v>
      </c>
      <c r="I1915" s="2" t="s">
        <v>28</v>
      </c>
      <c r="J1915" s="2" t="s">
        <v>5916</v>
      </c>
      <c r="K1915" s="2" t="s">
        <v>89</v>
      </c>
      <c r="L1915" s="2" t="s">
        <v>640</v>
      </c>
      <c r="M1915" s="2"/>
    </row>
    <row r="1916" customFormat="false" ht="15" hidden="false" customHeight="false" outlineLevel="0" collapsed="false">
      <c r="A1916" s="2" t="s">
        <v>5917</v>
      </c>
      <c r="B1916" s="2" t="s">
        <v>2629</v>
      </c>
      <c r="C1916" s="2" t="s">
        <v>2630</v>
      </c>
      <c r="D1916" s="13" t="n">
        <v>45327.6694444444</v>
      </c>
      <c r="E1916" s="2" t="s">
        <v>35</v>
      </c>
      <c r="F1916" s="2" t="s">
        <v>31</v>
      </c>
      <c r="G1916" s="2" t="n">
        <v>23345.81</v>
      </c>
      <c r="H1916" s="2" t="n">
        <v>61.82</v>
      </c>
      <c r="I1916" s="2" t="s">
        <v>26</v>
      </c>
      <c r="J1916" s="2" t="s">
        <v>5918</v>
      </c>
      <c r="K1916" s="2" t="s">
        <v>89</v>
      </c>
      <c r="L1916" s="2" t="s">
        <v>645</v>
      </c>
      <c r="M1916" s="2"/>
    </row>
    <row r="1917" customFormat="false" ht="15" hidden="false" customHeight="false" outlineLevel="0" collapsed="false">
      <c r="A1917" s="2" t="s">
        <v>5919</v>
      </c>
      <c r="B1917" s="2" t="s">
        <v>5878</v>
      </c>
      <c r="C1917" s="2" t="s">
        <v>5879</v>
      </c>
      <c r="D1917" s="13" t="n">
        <v>45913.5916666667</v>
      </c>
      <c r="E1917" s="2" t="s">
        <v>41</v>
      </c>
      <c r="F1917" s="2" t="s">
        <v>27</v>
      </c>
      <c r="G1917" s="2" t="n">
        <v>779.51</v>
      </c>
      <c r="H1917" s="2" t="n">
        <v>7.2</v>
      </c>
      <c r="I1917" s="2" t="s">
        <v>26</v>
      </c>
      <c r="J1917" s="2" t="s">
        <v>5920</v>
      </c>
      <c r="K1917" s="2" t="s">
        <v>95</v>
      </c>
      <c r="L1917" s="2"/>
      <c r="M1917" s="2" t="s">
        <v>1453</v>
      </c>
    </row>
    <row r="1918" customFormat="false" ht="15" hidden="false" customHeight="false" outlineLevel="0" collapsed="false">
      <c r="A1918" s="2" t="s">
        <v>5921</v>
      </c>
      <c r="B1918" s="2" t="s">
        <v>119</v>
      </c>
      <c r="C1918" s="2" t="s">
        <v>120</v>
      </c>
      <c r="D1918" s="13" t="n">
        <v>45615.9479166667</v>
      </c>
      <c r="E1918" s="2" t="s">
        <v>39</v>
      </c>
      <c r="F1918" s="2" t="s">
        <v>31</v>
      </c>
      <c r="G1918" s="2" t="n">
        <v>19078.43</v>
      </c>
      <c r="H1918" s="2" t="n">
        <v>75.08</v>
      </c>
      <c r="I1918" s="2" t="s">
        <v>28</v>
      </c>
      <c r="J1918" s="2" t="s">
        <v>5922</v>
      </c>
      <c r="K1918" s="2" t="s">
        <v>101</v>
      </c>
      <c r="L1918" s="2" t="s">
        <v>1262</v>
      </c>
      <c r="M1918" s="2"/>
    </row>
    <row r="1919" customFormat="false" ht="15" hidden="false" customHeight="false" outlineLevel="0" collapsed="false">
      <c r="A1919" s="2" t="s">
        <v>5923</v>
      </c>
      <c r="B1919" s="2" t="s">
        <v>2697</v>
      </c>
      <c r="C1919" s="2" t="s">
        <v>2698</v>
      </c>
      <c r="D1919" s="13" t="n">
        <v>45707.6347222222</v>
      </c>
      <c r="E1919" s="2" t="s">
        <v>41</v>
      </c>
      <c r="F1919" s="2" t="s">
        <v>31</v>
      </c>
      <c r="G1919" s="2" t="n">
        <v>3452.8</v>
      </c>
      <c r="H1919" s="2" t="n">
        <v>29</v>
      </c>
      <c r="I1919" s="2" t="s">
        <v>26</v>
      </c>
      <c r="J1919" s="2" t="s">
        <v>5924</v>
      </c>
      <c r="K1919" s="2" t="s">
        <v>89</v>
      </c>
      <c r="L1919" s="2" t="s">
        <v>1267</v>
      </c>
      <c r="M1919" s="2"/>
    </row>
    <row r="1920" customFormat="false" ht="15" hidden="false" customHeight="false" outlineLevel="0" collapsed="false">
      <c r="A1920" s="2" t="s">
        <v>5925</v>
      </c>
      <c r="B1920" s="2" t="s">
        <v>1055</v>
      </c>
      <c r="C1920" s="2" t="s">
        <v>1056</v>
      </c>
      <c r="D1920" s="13" t="n">
        <v>45568.8770833333</v>
      </c>
      <c r="E1920" s="2" t="s">
        <v>43</v>
      </c>
      <c r="F1920" s="2" t="s">
        <v>32</v>
      </c>
      <c r="G1920" s="2" t="n">
        <v>1777.42</v>
      </c>
      <c r="H1920" s="2" t="n">
        <v>16.06</v>
      </c>
      <c r="I1920" s="2" t="s">
        <v>28</v>
      </c>
      <c r="J1920" s="2" t="s">
        <v>5926</v>
      </c>
      <c r="K1920" s="2" t="s">
        <v>95</v>
      </c>
      <c r="L1920" s="2"/>
      <c r="M1920" s="2" t="s">
        <v>662</v>
      </c>
    </row>
    <row r="1921" customFormat="false" ht="15" hidden="false" customHeight="false" outlineLevel="0" collapsed="false">
      <c r="A1921" s="2" t="s">
        <v>5927</v>
      </c>
      <c r="B1921" s="2" t="s">
        <v>1470</v>
      </c>
      <c r="C1921" s="2" t="s">
        <v>1471</v>
      </c>
      <c r="D1921" s="13" t="n">
        <v>45509.9201388889</v>
      </c>
      <c r="E1921" s="2" t="s">
        <v>37</v>
      </c>
      <c r="F1921" s="2" t="s">
        <v>31</v>
      </c>
      <c r="G1921" s="2" t="n">
        <v>2326.45</v>
      </c>
      <c r="H1921" s="2" t="n">
        <v>17.19</v>
      </c>
      <c r="I1921" s="2" t="s">
        <v>26</v>
      </c>
      <c r="J1921" s="2" t="s">
        <v>5928</v>
      </c>
      <c r="K1921" s="2" t="s">
        <v>122</v>
      </c>
      <c r="L1921" s="2" t="s">
        <v>1277</v>
      </c>
      <c r="M1921" s="2"/>
    </row>
    <row r="1922" customFormat="false" ht="15" hidden="false" customHeight="false" outlineLevel="0" collapsed="false">
      <c r="A1922" s="2" t="s">
        <v>5929</v>
      </c>
      <c r="B1922" s="2" t="s">
        <v>1422</v>
      </c>
      <c r="C1922" s="2" t="s">
        <v>1423</v>
      </c>
      <c r="D1922" s="13" t="n">
        <v>45747.7513888889</v>
      </c>
      <c r="E1922" s="2" t="s">
        <v>41</v>
      </c>
      <c r="F1922" s="2" t="s">
        <v>32</v>
      </c>
      <c r="G1922" s="2" t="n">
        <v>3055.12</v>
      </c>
      <c r="H1922" s="2" t="n">
        <v>35.19</v>
      </c>
      <c r="I1922" s="2" t="s">
        <v>26</v>
      </c>
      <c r="J1922" s="2" t="s">
        <v>5930</v>
      </c>
      <c r="K1922" s="2" t="s">
        <v>89</v>
      </c>
      <c r="L1922" s="2" t="s">
        <v>1837</v>
      </c>
      <c r="M1922" s="2"/>
    </row>
    <row r="1923" customFormat="false" ht="15" hidden="false" customHeight="false" outlineLevel="0" collapsed="false">
      <c r="A1923" s="2" t="s">
        <v>5931</v>
      </c>
      <c r="B1923" s="2" t="s">
        <v>1521</v>
      </c>
      <c r="C1923" s="2" t="s">
        <v>1522</v>
      </c>
      <c r="D1923" s="13" t="n">
        <v>45994.7819444445</v>
      </c>
      <c r="E1923" s="2" t="s">
        <v>37</v>
      </c>
      <c r="F1923" s="2" t="s">
        <v>32</v>
      </c>
      <c r="G1923" s="2" t="n">
        <v>1048.85</v>
      </c>
      <c r="H1923" s="2" t="n">
        <v>5</v>
      </c>
      <c r="I1923" s="2" t="s">
        <v>26</v>
      </c>
      <c r="J1923" s="2" t="s">
        <v>5932</v>
      </c>
      <c r="K1923" s="2" t="s">
        <v>89</v>
      </c>
      <c r="L1923" s="2" t="s">
        <v>676</v>
      </c>
      <c r="M1923" s="2"/>
    </row>
    <row r="1924" customFormat="false" ht="15" hidden="false" customHeight="false" outlineLevel="0" collapsed="false">
      <c r="A1924" s="2" t="s">
        <v>5933</v>
      </c>
      <c r="B1924" s="2" t="s">
        <v>4110</v>
      </c>
      <c r="C1924" s="2" t="s">
        <v>4111</v>
      </c>
      <c r="D1924" s="13" t="n">
        <v>45894.5805555556</v>
      </c>
      <c r="E1924" s="2" t="s">
        <v>43</v>
      </c>
      <c r="F1924" s="2" t="s">
        <v>29</v>
      </c>
      <c r="G1924" s="2" t="n">
        <v>2213.12</v>
      </c>
      <c r="H1924" s="2" t="n">
        <v>5.04</v>
      </c>
      <c r="I1924" s="2" t="s">
        <v>30</v>
      </c>
      <c r="J1924" s="2" t="s">
        <v>5934</v>
      </c>
      <c r="K1924" s="2" t="s">
        <v>101</v>
      </c>
      <c r="L1924" s="2"/>
      <c r="M1924" s="2" t="s">
        <v>1477</v>
      </c>
    </row>
    <row r="1925" customFormat="false" ht="15" hidden="false" customHeight="false" outlineLevel="0" collapsed="false">
      <c r="A1925" s="2" t="s">
        <v>5935</v>
      </c>
      <c r="B1925" s="2" t="s">
        <v>4174</v>
      </c>
      <c r="C1925" s="2" t="s">
        <v>4175</v>
      </c>
      <c r="D1925" s="13" t="n">
        <v>45686.78125</v>
      </c>
      <c r="E1925" s="2" t="s">
        <v>35</v>
      </c>
      <c r="F1925" s="2" t="s">
        <v>32</v>
      </c>
      <c r="G1925" s="2" t="n">
        <v>11008.92</v>
      </c>
      <c r="H1925" s="2" t="n">
        <v>124.19</v>
      </c>
      <c r="I1925" s="2" t="s">
        <v>30</v>
      </c>
      <c r="J1925" s="2" t="s">
        <v>5936</v>
      </c>
      <c r="K1925" s="2" t="s">
        <v>101</v>
      </c>
      <c r="L1925" s="2" t="s">
        <v>1294</v>
      </c>
      <c r="M1925" s="2"/>
    </row>
    <row r="1926" customFormat="false" ht="15" hidden="false" customHeight="false" outlineLevel="0" collapsed="false">
      <c r="A1926" s="2" t="s">
        <v>5937</v>
      </c>
      <c r="B1926" s="2" t="s">
        <v>1492</v>
      </c>
      <c r="C1926" s="2" t="s">
        <v>1493</v>
      </c>
      <c r="D1926" s="13" t="n">
        <v>45499.7701388889</v>
      </c>
      <c r="E1926" s="2" t="s">
        <v>37</v>
      </c>
      <c r="F1926" s="2" t="s">
        <v>29</v>
      </c>
      <c r="G1926" s="2" t="n">
        <v>785.54</v>
      </c>
      <c r="H1926" s="2" t="n">
        <v>8.96</v>
      </c>
      <c r="I1926" s="2" t="s">
        <v>26</v>
      </c>
      <c r="J1926" s="2" t="s">
        <v>5938</v>
      </c>
      <c r="K1926" s="2" t="s">
        <v>101</v>
      </c>
      <c r="L1926" s="2" t="s">
        <v>1299</v>
      </c>
      <c r="M1926" s="2"/>
    </row>
    <row r="1927" customFormat="false" ht="15" hidden="false" customHeight="false" outlineLevel="0" collapsed="false">
      <c r="A1927" s="2" t="s">
        <v>5939</v>
      </c>
      <c r="B1927" s="2" t="s">
        <v>1171</v>
      </c>
      <c r="C1927" s="2" t="s">
        <v>1172</v>
      </c>
      <c r="D1927" s="13" t="n">
        <v>45476.3125</v>
      </c>
      <c r="E1927" s="2" t="s">
        <v>41</v>
      </c>
      <c r="F1927" s="2" t="s">
        <v>27</v>
      </c>
      <c r="G1927" s="2" t="n">
        <v>4842.28</v>
      </c>
      <c r="H1927" s="2" t="n">
        <v>30.28</v>
      </c>
      <c r="I1927" s="2" t="s">
        <v>26</v>
      </c>
      <c r="J1927" s="2" t="s">
        <v>5940</v>
      </c>
      <c r="K1927" s="2" t="s">
        <v>95</v>
      </c>
      <c r="L1927" s="2"/>
      <c r="M1927" s="2" t="s">
        <v>692</v>
      </c>
    </row>
    <row r="1928" customFormat="false" ht="15" hidden="false" customHeight="false" outlineLevel="0" collapsed="false">
      <c r="A1928" s="2" t="s">
        <v>5941</v>
      </c>
      <c r="B1928" s="2" t="s">
        <v>4462</v>
      </c>
      <c r="C1928" s="2" t="s">
        <v>4463</v>
      </c>
      <c r="D1928" s="13" t="n">
        <v>45318.4993055556</v>
      </c>
      <c r="E1928" s="2" t="s">
        <v>39</v>
      </c>
      <c r="F1928" s="2" t="s">
        <v>31</v>
      </c>
      <c r="G1928" s="2" t="n">
        <v>21048.99</v>
      </c>
      <c r="H1928" s="2" t="n">
        <v>207.89</v>
      </c>
      <c r="I1928" s="2" t="s">
        <v>28</v>
      </c>
      <c r="J1928" s="2" t="s">
        <v>5942</v>
      </c>
      <c r="K1928" s="2" t="s">
        <v>122</v>
      </c>
      <c r="L1928" s="2" t="s">
        <v>697</v>
      </c>
      <c r="M1928" s="2"/>
    </row>
    <row r="1929" customFormat="false" ht="15" hidden="false" customHeight="false" outlineLevel="0" collapsed="false">
      <c r="A1929" s="2" t="s">
        <v>5943</v>
      </c>
      <c r="B1929" s="2" t="s">
        <v>5750</v>
      </c>
      <c r="C1929" s="2" t="s">
        <v>5751</v>
      </c>
      <c r="D1929" s="13" t="n">
        <v>45312.4173611111</v>
      </c>
      <c r="E1929" s="2" t="s">
        <v>39</v>
      </c>
      <c r="F1929" s="2" t="s">
        <v>29</v>
      </c>
      <c r="G1929" s="2" t="n">
        <v>9661.1</v>
      </c>
      <c r="H1929" s="2" t="n">
        <v>19.63</v>
      </c>
      <c r="I1929" s="2" t="s">
        <v>28</v>
      </c>
      <c r="J1929" s="2" t="s">
        <v>5944</v>
      </c>
      <c r="K1929" s="2" t="s">
        <v>89</v>
      </c>
      <c r="L1929" s="2" t="s">
        <v>1311</v>
      </c>
      <c r="M1929" s="2"/>
    </row>
    <row r="1930" customFormat="false" ht="15" hidden="false" customHeight="false" outlineLevel="0" collapsed="false">
      <c r="A1930" s="2" t="s">
        <v>5945</v>
      </c>
      <c r="B1930" s="2" t="s">
        <v>1636</v>
      </c>
      <c r="C1930" s="2" t="s">
        <v>1637</v>
      </c>
      <c r="D1930" s="13" t="n">
        <v>45861.4034722222</v>
      </c>
      <c r="E1930" s="2" t="s">
        <v>41</v>
      </c>
      <c r="F1930" s="2" t="s">
        <v>27</v>
      </c>
      <c r="G1930" s="2" t="n">
        <v>3793.74</v>
      </c>
      <c r="H1930" s="2" t="n">
        <v>15.03</v>
      </c>
      <c r="I1930" s="2" t="s">
        <v>30</v>
      </c>
      <c r="J1930" s="2" t="s">
        <v>5946</v>
      </c>
      <c r="K1930" s="2" t="s">
        <v>122</v>
      </c>
      <c r="L1930" s="2"/>
      <c r="M1930" s="2" t="s">
        <v>223</v>
      </c>
    </row>
    <row r="1931" customFormat="false" ht="15" hidden="false" customHeight="false" outlineLevel="0" collapsed="false">
      <c r="A1931" s="2" t="s">
        <v>5947</v>
      </c>
      <c r="B1931" s="2" t="s">
        <v>1603</v>
      </c>
      <c r="C1931" s="2" t="s">
        <v>1604</v>
      </c>
      <c r="D1931" s="13" t="n">
        <v>45464.3069444444</v>
      </c>
      <c r="E1931" s="2" t="s">
        <v>37</v>
      </c>
      <c r="F1931" s="2" t="s">
        <v>27</v>
      </c>
      <c r="G1931" s="2" t="n">
        <v>7344.08</v>
      </c>
      <c r="H1931" s="2" t="n">
        <v>48.83</v>
      </c>
      <c r="I1931" s="2" t="s">
        <v>26</v>
      </c>
      <c r="J1931" s="2" t="s">
        <v>5948</v>
      </c>
      <c r="K1931" s="2" t="s">
        <v>89</v>
      </c>
      <c r="L1931" s="2"/>
      <c r="M1931" s="2" t="s">
        <v>228</v>
      </c>
    </row>
    <row r="1932" customFormat="false" ht="15" hidden="false" customHeight="false" outlineLevel="0" collapsed="false">
      <c r="A1932" s="2" t="s">
        <v>5949</v>
      </c>
      <c r="B1932" s="2" t="s">
        <v>1559</v>
      </c>
      <c r="C1932" s="2" t="s">
        <v>1560</v>
      </c>
      <c r="D1932" s="13" t="n">
        <v>45979.8805555556</v>
      </c>
      <c r="E1932" s="2" t="s">
        <v>39</v>
      </c>
      <c r="F1932" s="2" t="s">
        <v>31</v>
      </c>
      <c r="G1932" s="2" t="n">
        <v>7999.59</v>
      </c>
      <c r="H1932" s="2" t="n">
        <v>86.47</v>
      </c>
      <c r="I1932" s="2" t="s">
        <v>28</v>
      </c>
      <c r="J1932" s="2" t="s">
        <v>5950</v>
      </c>
      <c r="K1932" s="2" t="s">
        <v>101</v>
      </c>
      <c r="L1932" s="2" t="s">
        <v>1325</v>
      </c>
      <c r="M1932" s="2"/>
    </row>
    <row r="1933" customFormat="false" ht="15" hidden="false" customHeight="false" outlineLevel="0" collapsed="false">
      <c r="A1933" s="2" t="s">
        <v>5951</v>
      </c>
      <c r="B1933" s="2" t="s">
        <v>2483</v>
      </c>
      <c r="C1933" s="2" t="s">
        <v>2484</v>
      </c>
      <c r="D1933" s="13" t="n">
        <v>45955.8048611111</v>
      </c>
      <c r="E1933" s="2" t="s">
        <v>35</v>
      </c>
      <c r="F1933" s="2" t="s">
        <v>29</v>
      </c>
      <c r="G1933" s="2" t="n">
        <v>171.27</v>
      </c>
      <c r="H1933" s="2" t="n">
        <v>5</v>
      </c>
      <c r="I1933" s="2" t="s">
        <v>26</v>
      </c>
      <c r="J1933" s="2" t="s">
        <v>5952</v>
      </c>
      <c r="K1933" s="2" t="s">
        <v>89</v>
      </c>
      <c r="L1933" s="2" t="s">
        <v>1330</v>
      </c>
      <c r="M1933" s="2"/>
    </row>
    <row r="1934" customFormat="false" ht="15" hidden="false" customHeight="false" outlineLevel="0" collapsed="false">
      <c r="A1934" s="2" t="s">
        <v>5953</v>
      </c>
      <c r="B1934" s="2" t="s">
        <v>809</v>
      </c>
      <c r="C1934" s="2" t="s">
        <v>810</v>
      </c>
      <c r="D1934" s="13" t="n">
        <v>45463.4597222222</v>
      </c>
      <c r="E1934" s="2" t="s">
        <v>41</v>
      </c>
      <c r="F1934" s="2" t="s">
        <v>29</v>
      </c>
      <c r="G1934" s="2" t="n">
        <v>1032.82</v>
      </c>
      <c r="H1934" s="2" t="n">
        <v>10.79</v>
      </c>
      <c r="I1934" s="2" t="s">
        <v>26</v>
      </c>
      <c r="J1934" s="2" t="s">
        <v>5954</v>
      </c>
      <c r="K1934" s="2" t="s">
        <v>95</v>
      </c>
      <c r="L1934" s="2" t="s">
        <v>1877</v>
      </c>
      <c r="M1934" s="2"/>
    </row>
    <row r="1935" customFormat="false" ht="15" hidden="false" customHeight="false" outlineLevel="0" collapsed="false">
      <c r="A1935" s="2" t="s">
        <v>5955</v>
      </c>
      <c r="B1935" s="2" t="s">
        <v>2432</v>
      </c>
      <c r="C1935" s="2" t="s">
        <v>2433</v>
      </c>
      <c r="D1935" s="13" t="n">
        <v>45874.9104166667</v>
      </c>
      <c r="E1935" s="2" t="s">
        <v>41</v>
      </c>
      <c r="F1935" s="2" t="s">
        <v>29</v>
      </c>
      <c r="G1935" s="2" t="n">
        <v>1815.87</v>
      </c>
      <c r="H1935" s="2" t="n">
        <v>15.8</v>
      </c>
      <c r="I1935" s="2" t="s">
        <v>26</v>
      </c>
      <c r="J1935" s="2" t="s">
        <v>5956</v>
      </c>
      <c r="K1935" s="2" t="s">
        <v>89</v>
      </c>
      <c r="L1935" s="2" t="s">
        <v>1339</v>
      </c>
      <c r="M1935" s="2"/>
    </row>
    <row r="1936" customFormat="false" ht="15" hidden="false" customHeight="false" outlineLevel="0" collapsed="false">
      <c r="A1936" s="2" t="s">
        <v>5957</v>
      </c>
      <c r="B1936" s="2" t="s">
        <v>485</v>
      </c>
      <c r="C1936" s="2" t="s">
        <v>486</v>
      </c>
      <c r="D1936" s="13" t="n">
        <v>45657.4354166667</v>
      </c>
      <c r="E1936" s="2" t="s">
        <v>43</v>
      </c>
      <c r="F1936" s="2" t="s">
        <v>27</v>
      </c>
      <c r="G1936" s="2" t="n">
        <v>3725.09</v>
      </c>
      <c r="H1936" s="2" t="n">
        <v>37.64</v>
      </c>
      <c r="I1936" s="2" t="s">
        <v>30</v>
      </c>
      <c r="J1936" s="2" t="s">
        <v>5958</v>
      </c>
      <c r="K1936" s="2" t="s">
        <v>122</v>
      </c>
      <c r="L1936" s="2"/>
      <c r="M1936" s="2" t="s">
        <v>728</v>
      </c>
    </row>
    <row r="1937" customFormat="false" ht="15" hidden="false" customHeight="false" outlineLevel="0" collapsed="false">
      <c r="A1937" s="2" t="s">
        <v>5959</v>
      </c>
      <c r="B1937" s="2" t="s">
        <v>5284</v>
      </c>
      <c r="C1937" s="2" t="s">
        <v>5285</v>
      </c>
      <c r="D1937" s="13" t="n">
        <v>45663.4409722222</v>
      </c>
      <c r="E1937" s="2" t="s">
        <v>35</v>
      </c>
      <c r="F1937" s="2" t="s">
        <v>27</v>
      </c>
      <c r="G1937" s="2" t="n">
        <v>6820.12</v>
      </c>
      <c r="H1937" s="2" t="n">
        <v>44.28</v>
      </c>
      <c r="I1937" s="2" t="s">
        <v>26</v>
      </c>
      <c r="J1937" s="2" t="s">
        <v>5960</v>
      </c>
      <c r="K1937" s="2" t="s">
        <v>95</v>
      </c>
      <c r="L1937" s="2"/>
      <c r="M1937" s="2" t="s">
        <v>1134</v>
      </c>
    </row>
    <row r="1938" customFormat="false" ht="15" hidden="false" customHeight="false" outlineLevel="0" collapsed="false">
      <c r="A1938" s="2" t="s">
        <v>5961</v>
      </c>
      <c r="B1938" s="2" t="s">
        <v>3596</v>
      </c>
      <c r="C1938" s="2" t="s">
        <v>3597</v>
      </c>
      <c r="D1938" s="13" t="n">
        <v>45920.7368055556</v>
      </c>
      <c r="E1938" s="2" t="s">
        <v>37</v>
      </c>
      <c r="F1938" s="2" t="s">
        <v>27</v>
      </c>
      <c r="G1938" s="2" t="n">
        <v>4489.86</v>
      </c>
      <c r="H1938" s="2" t="n">
        <v>19.54</v>
      </c>
      <c r="I1938" s="2" t="s">
        <v>26</v>
      </c>
      <c r="J1938" s="2" t="s">
        <v>5962</v>
      </c>
      <c r="K1938" s="2" t="s">
        <v>95</v>
      </c>
      <c r="L1938" s="2"/>
      <c r="M1938" s="2" t="s">
        <v>263</v>
      </c>
    </row>
    <row r="1939" customFormat="false" ht="15" hidden="false" customHeight="false" outlineLevel="0" collapsed="false">
      <c r="A1939" s="2" t="s">
        <v>5963</v>
      </c>
      <c r="B1939" s="2" t="s">
        <v>5516</v>
      </c>
      <c r="C1939" s="2" t="s">
        <v>5517</v>
      </c>
      <c r="D1939" s="13" t="n">
        <v>45440.3701388889</v>
      </c>
      <c r="E1939" s="2" t="s">
        <v>35</v>
      </c>
      <c r="F1939" s="2" t="s">
        <v>27</v>
      </c>
      <c r="G1939" s="2" t="n">
        <v>1635.54</v>
      </c>
      <c r="H1939" s="2" t="n">
        <v>14.67</v>
      </c>
      <c r="I1939" s="2" t="s">
        <v>30</v>
      </c>
      <c r="J1939" s="2" t="s">
        <v>5964</v>
      </c>
      <c r="K1939" s="2" t="s">
        <v>89</v>
      </c>
      <c r="L1939" s="2"/>
      <c r="M1939" s="2" t="s">
        <v>268</v>
      </c>
    </row>
    <row r="1940" customFormat="false" ht="15" hidden="false" customHeight="false" outlineLevel="0" collapsed="false">
      <c r="A1940" s="2" t="s">
        <v>5965</v>
      </c>
      <c r="B1940" s="2" t="s">
        <v>4012</v>
      </c>
      <c r="C1940" s="2" t="s">
        <v>4013</v>
      </c>
      <c r="D1940" s="13" t="n">
        <v>45682.9215277778</v>
      </c>
      <c r="E1940" s="2" t="s">
        <v>43</v>
      </c>
      <c r="F1940" s="2" t="s">
        <v>32</v>
      </c>
      <c r="G1940" s="2" t="n">
        <v>5472.63</v>
      </c>
      <c r="H1940" s="2" t="n">
        <v>63.6</v>
      </c>
      <c r="I1940" s="2" t="s">
        <v>26</v>
      </c>
      <c r="J1940" s="2" t="s">
        <v>5966</v>
      </c>
      <c r="K1940" s="2" t="s">
        <v>101</v>
      </c>
      <c r="L1940" s="2"/>
      <c r="M1940" s="2" t="s">
        <v>273</v>
      </c>
    </row>
    <row r="1941" customFormat="false" ht="15" hidden="false" customHeight="false" outlineLevel="0" collapsed="false">
      <c r="A1941" s="2" t="s">
        <v>5967</v>
      </c>
      <c r="B1941" s="2" t="s">
        <v>3265</v>
      </c>
      <c r="C1941" s="2" t="s">
        <v>3266</v>
      </c>
      <c r="D1941" s="13" t="n">
        <v>45986.3423611111</v>
      </c>
      <c r="E1941" s="2" t="s">
        <v>43</v>
      </c>
      <c r="F1941" s="2" t="s">
        <v>32</v>
      </c>
      <c r="G1941" s="2" t="n">
        <v>5371.98</v>
      </c>
      <c r="H1941" s="2" t="n">
        <v>40.56</v>
      </c>
      <c r="I1941" s="2" t="s">
        <v>26</v>
      </c>
      <c r="J1941" s="2" t="s">
        <v>5968</v>
      </c>
      <c r="K1941" s="2" t="s">
        <v>101</v>
      </c>
      <c r="L1941" s="2"/>
      <c r="M1941" s="2" t="s">
        <v>278</v>
      </c>
    </row>
    <row r="1942" customFormat="false" ht="15" hidden="false" customHeight="false" outlineLevel="0" collapsed="false">
      <c r="A1942" s="2" t="s">
        <v>5969</v>
      </c>
      <c r="B1942" s="2" t="s">
        <v>1824</v>
      </c>
      <c r="C1942" s="2" t="s">
        <v>1825</v>
      </c>
      <c r="D1942" s="13" t="n">
        <v>45694.4805555556</v>
      </c>
      <c r="E1942" s="2" t="s">
        <v>41</v>
      </c>
      <c r="F1942" s="2" t="s">
        <v>32</v>
      </c>
      <c r="G1942" s="2" t="n">
        <v>25572.41</v>
      </c>
      <c r="H1942" s="2" t="n">
        <v>173.24</v>
      </c>
      <c r="I1942" s="2" t="s">
        <v>26</v>
      </c>
      <c r="J1942" s="2" t="s">
        <v>5970</v>
      </c>
      <c r="K1942" s="2" t="s">
        <v>101</v>
      </c>
      <c r="L1942" s="2" t="s">
        <v>752</v>
      </c>
      <c r="M1942" s="2"/>
    </row>
    <row r="1943" customFormat="false" ht="15" hidden="false" customHeight="false" outlineLevel="0" collapsed="false">
      <c r="A1943" s="2" t="s">
        <v>5971</v>
      </c>
      <c r="B1943" s="2" t="s">
        <v>2333</v>
      </c>
      <c r="C1943" s="2" t="s">
        <v>2334</v>
      </c>
      <c r="D1943" s="13" t="n">
        <v>45725.5020833333</v>
      </c>
      <c r="E1943" s="2" t="s">
        <v>37</v>
      </c>
      <c r="F1943" s="2" t="s">
        <v>29</v>
      </c>
      <c r="G1943" s="2" t="n">
        <v>586.47</v>
      </c>
      <c r="H1943" s="2" t="n">
        <v>5.72</v>
      </c>
      <c r="I1943" s="2" t="s">
        <v>26</v>
      </c>
      <c r="J1943" s="2" t="s">
        <v>5972</v>
      </c>
      <c r="K1943" s="2" t="s">
        <v>89</v>
      </c>
      <c r="L1943" s="2" t="s">
        <v>757</v>
      </c>
      <c r="M1943" s="2"/>
    </row>
    <row r="1944" customFormat="false" ht="15" hidden="false" customHeight="false" outlineLevel="0" collapsed="false">
      <c r="A1944" s="2" t="s">
        <v>5973</v>
      </c>
      <c r="B1944" s="2" t="s">
        <v>3872</v>
      </c>
      <c r="C1944" s="2" t="s">
        <v>3873</v>
      </c>
      <c r="D1944" s="13" t="n">
        <v>45482.5173611111</v>
      </c>
      <c r="E1944" s="2" t="s">
        <v>35</v>
      </c>
      <c r="F1944" s="2" t="s">
        <v>31</v>
      </c>
      <c r="G1944" s="2" t="n">
        <v>6404.07</v>
      </c>
      <c r="H1944" s="2" t="n">
        <v>25.42</v>
      </c>
      <c r="I1944" s="2" t="s">
        <v>26</v>
      </c>
      <c r="J1944" s="2" t="s">
        <v>5974</v>
      </c>
      <c r="K1944" s="2" t="s">
        <v>95</v>
      </c>
      <c r="L1944" s="2" t="s">
        <v>1912</v>
      </c>
      <c r="M1944" s="2"/>
    </row>
    <row r="1945" customFormat="false" ht="15" hidden="false" customHeight="false" outlineLevel="0" collapsed="false">
      <c r="A1945" s="2" t="s">
        <v>5975</v>
      </c>
      <c r="B1945" s="2" t="s">
        <v>1492</v>
      </c>
      <c r="C1945" s="2" t="s">
        <v>1493</v>
      </c>
      <c r="D1945" s="13" t="n">
        <v>45461.4638888889</v>
      </c>
      <c r="E1945" s="2" t="s">
        <v>43</v>
      </c>
      <c r="F1945" s="2" t="s">
        <v>27</v>
      </c>
      <c r="G1945" s="2" t="n">
        <v>4664.63</v>
      </c>
      <c r="H1945" s="2" t="n">
        <v>39.41</v>
      </c>
      <c r="I1945" s="2" t="s">
        <v>26</v>
      </c>
      <c r="J1945" s="2" t="s">
        <v>5976</v>
      </c>
      <c r="K1945" s="2" t="s">
        <v>89</v>
      </c>
      <c r="L1945" s="2"/>
      <c r="M1945" s="2" t="s">
        <v>298</v>
      </c>
    </row>
    <row r="1946" customFormat="false" ht="15" hidden="false" customHeight="false" outlineLevel="0" collapsed="false">
      <c r="A1946" s="2" t="s">
        <v>5977</v>
      </c>
      <c r="B1946" s="2" t="s">
        <v>3802</v>
      </c>
      <c r="C1946" s="2" t="s">
        <v>3803</v>
      </c>
      <c r="D1946" s="13" t="n">
        <v>45542.6548611111</v>
      </c>
      <c r="E1946" s="2" t="s">
        <v>39</v>
      </c>
      <c r="F1946" s="2" t="s">
        <v>29</v>
      </c>
      <c r="G1946" s="2" t="n">
        <v>45828.02</v>
      </c>
      <c r="H1946" s="2" t="n">
        <v>262.83</v>
      </c>
      <c r="I1946" s="2" t="s">
        <v>26</v>
      </c>
      <c r="J1946" s="2" t="s">
        <v>5978</v>
      </c>
      <c r="K1946" s="2" t="s">
        <v>122</v>
      </c>
      <c r="L1946" s="2" t="s">
        <v>769</v>
      </c>
      <c r="M1946" s="2"/>
    </row>
    <row r="1947" customFormat="false" ht="15" hidden="false" customHeight="false" outlineLevel="0" collapsed="false">
      <c r="A1947" s="2" t="s">
        <v>5979</v>
      </c>
      <c r="B1947" s="2" t="s">
        <v>1510</v>
      </c>
      <c r="C1947" s="2" t="s">
        <v>1511</v>
      </c>
      <c r="D1947" s="13" t="n">
        <v>45968.9486111111</v>
      </c>
      <c r="E1947" s="2" t="s">
        <v>35</v>
      </c>
      <c r="F1947" s="2" t="s">
        <v>32</v>
      </c>
      <c r="G1947" s="2" t="n">
        <v>3315.78</v>
      </c>
      <c r="H1947" s="2" t="n">
        <v>9.25</v>
      </c>
      <c r="I1947" s="2" t="s">
        <v>26</v>
      </c>
      <c r="J1947" s="2" t="s">
        <v>5980</v>
      </c>
      <c r="K1947" s="2" t="s">
        <v>95</v>
      </c>
      <c r="L1947" s="2" t="s">
        <v>2892</v>
      </c>
      <c r="M1947" s="2"/>
    </row>
    <row r="1948" customFormat="false" ht="15" hidden="false" customHeight="false" outlineLevel="0" collapsed="false">
      <c r="A1948" s="2" t="s">
        <v>5981</v>
      </c>
      <c r="B1948" s="2" t="s">
        <v>380</v>
      </c>
      <c r="C1948" s="2" t="s">
        <v>381</v>
      </c>
      <c r="D1948" s="13" t="n">
        <v>45600.5548611111</v>
      </c>
      <c r="E1948" s="2" t="s">
        <v>39</v>
      </c>
      <c r="F1948" s="2" t="s">
        <v>31</v>
      </c>
      <c r="G1948" s="2" t="n">
        <v>5454.71</v>
      </c>
      <c r="H1948" s="2" t="n">
        <v>24.42</v>
      </c>
      <c r="I1948" s="2" t="s">
        <v>30</v>
      </c>
      <c r="J1948" s="2" t="s">
        <v>5982</v>
      </c>
      <c r="K1948" s="2" t="s">
        <v>101</v>
      </c>
      <c r="L1948" s="2" t="s">
        <v>779</v>
      </c>
      <c r="M1948" s="2"/>
    </row>
    <row r="1949" customFormat="false" ht="15" hidden="false" customHeight="false" outlineLevel="0" collapsed="false">
      <c r="A1949" s="2" t="s">
        <v>5983</v>
      </c>
      <c r="B1949" s="2" t="s">
        <v>1364</v>
      </c>
      <c r="C1949" s="2" t="s">
        <v>1365</v>
      </c>
      <c r="D1949" s="13" t="n">
        <v>45652.3708333333</v>
      </c>
      <c r="E1949" s="2" t="s">
        <v>39</v>
      </c>
      <c r="F1949" s="2" t="s">
        <v>29</v>
      </c>
      <c r="G1949" s="2" t="n">
        <v>18069.03</v>
      </c>
      <c r="H1949" s="2" t="n">
        <v>119.15</v>
      </c>
      <c r="I1949" s="2" t="s">
        <v>28</v>
      </c>
      <c r="J1949" s="2" t="s">
        <v>5984</v>
      </c>
      <c r="K1949" s="2" t="s">
        <v>89</v>
      </c>
      <c r="L1949" s="2" t="s">
        <v>1389</v>
      </c>
      <c r="M1949" s="2"/>
    </row>
    <row r="1950" customFormat="false" ht="15" hidden="false" customHeight="false" outlineLevel="0" collapsed="false">
      <c r="A1950" s="2" t="s">
        <v>5985</v>
      </c>
      <c r="B1950" s="2" t="s">
        <v>1348</v>
      </c>
      <c r="C1950" s="2" t="s">
        <v>1349</v>
      </c>
      <c r="D1950" s="13" t="n">
        <v>45484.8173611111</v>
      </c>
      <c r="E1950" s="2" t="s">
        <v>37</v>
      </c>
      <c r="F1950" s="2" t="s">
        <v>32</v>
      </c>
      <c r="G1950" s="2" t="n">
        <v>6990.9</v>
      </c>
      <c r="H1950" s="2" t="n">
        <v>58.98</v>
      </c>
      <c r="I1950" s="2" t="s">
        <v>28</v>
      </c>
      <c r="J1950" s="2" t="s">
        <v>5986</v>
      </c>
      <c r="K1950" s="2" t="s">
        <v>101</v>
      </c>
      <c r="L1950" s="2" t="s">
        <v>1935</v>
      </c>
      <c r="M1950" s="2"/>
    </row>
    <row r="1951" customFormat="false" ht="15" hidden="false" customHeight="false" outlineLevel="0" collapsed="false">
      <c r="A1951" s="2" t="s">
        <v>5987</v>
      </c>
      <c r="B1951" s="2" t="s">
        <v>5988</v>
      </c>
      <c r="C1951" s="2" t="s">
        <v>5989</v>
      </c>
      <c r="D1951" s="13" t="n">
        <v>45496.4347222222</v>
      </c>
      <c r="E1951" s="2" t="s">
        <v>39</v>
      </c>
      <c r="F1951" s="2" t="s">
        <v>29</v>
      </c>
      <c r="G1951" s="2" t="n">
        <v>7034.05</v>
      </c>
      <c r="H1951" s="2" t="n">
        <v>69.71</v>
      </c>
      <c r="I1951" s="2" t="s">
        <v>26</v>
      </c>
      <c r="J1951" s="2" t="s">
        <v>5990</v>
      </c>
      <c r="K1951" s="2" t="s">
        <v>89</v>
      </c>
      <c r="L1951" s="2" t="s">
        <v>1396</v>
      </c>
      <c r="M1951" s="2"/>
    </row>
    <row r="1952" customFormat="false" ht="15" hidden="false" customHeight="false" outlineLevel="0" collapsed="false">
      <c r="A1952" s="2" t="s">
        <v>5991</v>
      </c>
      <c r="B1952" s="2" t="s">
        <v>5992</v>
      </c>
      <c r="C1952" s="2" t="s">
        <v>5993</v>
      </c>
      <c r="D1952" s="13" t="n">
        <v>45878.6347222222</v>
      </c>
      <c r="E1952" s="2" t="s">
        <v>35</v>
      </c>
      <c r="F1952" s="2" t="s">
        <v>31</v>
      </c>
      <c r="G1952" s="2" t="n">
        <v>12297.11</v>
      </c>
      <c r="H1952" s="2" t="n">
        <v>137.22</v>
      </c>
      <c r="I1952" s="2" t="s">
        <v>26</v>
      </c>
      <c r="J1952" s="2" t="s">
        <v>5994</v>
      </c>
      <c r="K1952" s="2" t="s">
        <v>89</v>
      </c>
      <c r="L1952" s="2" t="s">
        <v>90</v>
      </c>
      <c r="M1952" s="2"/>
    </row>
    <row r="1953" customFormat="false" ht="15" hidden="false" customHeight="false" outlineLevel="0" collapsed="false">
      <c r="A1953" s="2" t="s">
        <v>5995</v>
      </c>
      <c r="B1953" s="2" t="s">
        <v>490</v>
      </c>
      <c r="C1953" s="2" t="s">
        <v>491</v>
      </c>
      <c r="D1953" s="13" t="n">
        <v>45599.4958333333</v>
      </c>
      <c r="E1953" s="2" t="s">
        <v>43</v>
      </c>
      <c r="F1953" s="2" t="s">
        <v>32</v>
      </c>
      <c r="G1953" s="2" t="n">
        <v>3676.78</v>
      </c>
      <c r="H1953" s="2" t="n">
        <v>24.78</v>
      </c>
      <c r="I1953" s="2" t="s">
        <v>26</v>
      </c>
      <c r="J1953" s="2" t="s">
        <v>5996</v>
      </c>
      <c r="K1953" s="2" t="s">
        <v>101</v>
      </c>
      <c r="L1953" s="2"/>
      <c r="M1953" s="2" t="s">
        <v>3207</v>
      </c>
    </row>
    <row r="1954" customFormat="false" ht="15" hidden="false" customHeight="false" outlineLevel="0" collapsed="false">
      <c r="A1954" s="2" t="s">
        <v>5997</v>
      </c>
      <c r="B1954" s="2" t="s">
        <v>834</v>
      </c>
      <c r="C1954" s="2" t="s">
        <v>835</v>
      </c>
      <c r="D1954" s="13" t="n">
        <v>45890.4631944444</v>
      </c>
      <c r="E1954" s="2" t="s">
        <v>43</v>
      </c>
      <c r="F1954" s="2" t="s">
        <v>31</v>
      </c>
      <c r="G1954" s="2" t="n">
        <v>4310.99</v>
      </c>
      <c r="H1954" s="2" t="n">
        <v>35.13</v>
      </c>
      <c r="I1954" s="2" t="s">
        <v>26</v>
      </c>
      <c r="J1954" s="2" t="s">
        <v>5998</v>
      </c>
      <c r="K1954" s="2" t="s">
        <v>95</v>
      </c>
      <c r="L1954" s="2"/>
      <c r="M1954" s="2" t="s">
        <v>1588</v>
      </c>
    </row>
    <row r="1955" customFormat="false" ht="15" hidden="false" customHeight="false" outlineLevel="0" collapsed="false">
      <c r="A1955" s="2" t="s">
        <v>5999</v>
      </c>
      <c r="B1955" s="2" t="s">
        <v>1555</v>
      </c>
      <c r="C1955" s="2" t="s">
        <v>1556</v>
      </c>
      <c r="D1955" s="13" t="n">
        <v>45934.5993055556</v>
      </c>
      <c r="E1955" s="2" t="s">
        <v>35</v>
      </c>
      <c r="F1955" s="2" t="s">
        <v>31</v>
      </c>
      <c r="G1955" s="2" t="n">
        <v>603.67</v>
      </c>
      <c r="H1955" s="2" t="n">
        <v>5</v>
      </c>
      <c r="I1955" s="2" t="s">
        <v>26</v>
      </c>
      <c r="J1955" s="2" t="s">
        <v>6000</v>
      </c>
      <c r="K1955" s="2" t="s">
        <v>89</v>
      </c>
      <c r="L1955" s="2" t="s">
        <v>107</v>
      </c>
      <c r="M1955" s="2"/>
    </row>
    <row r="1956" customFormat="false" ht="15" hidden="false" customHeight="false" outlineLevel="0" collapsed="false">
      <c r="A1956" s="2" t="s">
        <v>6001</v>
      </c>
      <c r="B1956" s="2" t="s">
        <v>6002</v>
      </c>
      <c r="C1956" s="2" t="s">
        <v>6003</v>
      </c>
      <c r="D1956" s="13" t="n">
        <v>45803.3708333333</v>
      </c>
      <c r="E1956" s="2" t="s">
        <v>39</v>
      </c>
      <c r="F1956" s="2" t="s">
        <v>27</v>
      </c>
      <c r="G1956" s="2" t="n">
        <v>1501.81</v>
      </c>
      <c r="H1956" s="2" t="n">
        <v>8.95</v>
      </c>
      <c r="I1956" s="2" t="s">
        <v>26</v>
      </c>
      <c r="J1956" s="2" t="s">
        <v>6004</v>
      </c>
      <c r="K1956" s="2" t="s">
        <v>95</v>
      </c>
      <c r="L1956" s="2"/>
      <c r="M1956" s="2" t="s">
        <v>1217</v>
      </c>
    </row>
    <row r="1957" customFormat="false" ht="15" hidden="false" customHeight="false" outlineLevel="0" collapsed="false">
      <c r="A1957" s="2" t="s">
        <v>6005</v>
      </c>
      <c r="B1957" s="2" t="s">
        <v>997</v>
      </c>
      <c r="C1957" s="2" t="s">
        <v>998</v>
      </c>
      <c r="D1957" s="13" t="n">
        <v>45483.7034722222</v>
      </c>
      <c r="E1957" s="2" t="s">
        <v>37</v>
      </c>
      <c r="F1957" s="2" t="s">
        <v>32</v>
      </c>
      <c r="G1957" s="2" t="n">
        <v>1737.98</v>
      </c>
      <c r="H1957" s="2" t="n">
        <v>15.8</v>
      </c>
      <c r="I1957" s="2" t="s">
        <v>26</v>
      </c>
      <c r="J1957" s="2" t="s">
        <v>6006</v>
      </c>
      <c r="K1957" s="2" t="s">
        <v>95</v>
      </c>
      <c r="L1957" s="2" t="s">
        <v>117</v>
      </c>
      <c r="M1957" s="2"/>
    </row>
    <row r="1958" customFormat="false" ht="15" hidden="false" customHeight="false" outlineLevel="0" collapsed="false">
      <c r="A1958" s="2" t="s">
        <v>6007</v>
      </c>
      <c r="B1958" s="2" t="s">
        <v>2387</v>
      </c>
      <c r="C1958" s="2" t="s">
        <v>2388</v>
      </c>
      <c r="D1958" s="13" t="n">
        <v>45583.3131944445</v>
      </c>
      <c r="E1958" s="2" t="s">
        <v>37</v>
      </c>
      <c r="F1958" s="2" t="s">
        <v>27</v>
      </c>
      <c r="G1958" s="2" t="n">
        <v>3029.8</v>
      </c>
      <c r="H1958" s="2" t="n">
        <v>13</v>
      </c>
      <c r="I1958" s="2" t="s">
        <v>26</v>
      </c>
      <c r="J1958" s="2" t="s">
        <v>6008</v>
      </c>
      <c r="K1958" s="2" t="s">
        <v>101</v>
      </c>
      <c r="L1958" s="2"/>
      <c r="M1958" s="2" t="s">
        <v>363</v>
      </c>
    </row>
    <row r="1959" customFormat="false" ht="15" hidden="false" customHeight="false" outlineLevel="0" collapsed="false">
      <c r="A1959" s="2" t="s">
        <v>6009</v>
      </c>
      <c r="B1959" s="2" t="s">
        <v>1264</v>
      </c>
      <c r="C1959" s="2" t="s">
        <v>1265</v>
      </c>
      <c r="D1959" s="13" t="n">
        <v>45557.9465277778</v>
      </c>
      <c r="E1959" s="2" t="s">
        <v>43</v>
      </c>
      <c r="F1959" s="2" t="s">
        <v>31</v>
      </c>
      <c r="G1959" s="2" t="n">
        <v>2003.53</v>
      </c>
      <c r="H1959" s="2" t="n">
        <v>9.01</v>
      </c>
      <c r="I1959" s="2" t="s">
        <v>26</v>
      </c>
      <c r="J1959" s="2" t="s">
        <v>6010</v>
      </c>
      <c r="K1959" s="2" t="s">
        <v>122</v>
      </c>
      <c r="L1959" s="2"/>
      <c r="M1959" s="2" t="s">
        <v>1606</v>
      </c>
    </row>
    <row r="1960" customFormat="false" ht="15" hidden="false" customHeight="false" outlineLevel="0" collapsed="false">
      <c r="A1960" s="2" t="s">
        <v>6011</v>
      </c>
      <c r="B1960" s="2" t="s">
        <v>305</v>
      </c>
      <c r="C1960" s="2" t="s">
        <v>306</v>
      </c>
      <c r="D1960" s="13" t="n">
        <v>45658.4340277778</v>
      </c>
      <c r="E1960" s="2" t="s">
        <v>39</v>
      </c>
      <c r="F1960" s="2" t="s">
        <v>32</v>
      </c>
      <c r="G1960" s="2" t="n">
        <v>2177.76</v>
      </c>
      <c r="H1960" s="2" t="n">
        <v>10.01</v>
      </c>
      <c r="I1960" s="2" t="s">
        <v>26</v>
      </c>
      <c r="J1960" s="2" t="s">
        <v>6012</v>
      </c>
      <c r="K1960" s="2" t="s">
        <v>95</v>
      </c>
      <c r="L1960" s="2" t="s">
        <v>133</v>
      </c>
      <c r="M1960" s="2"/>
    </row>
    <row r="1961" customFormat="false" ht="15" hidden="false" customHeight="false" outlineLevel="0" collapsed="false">
      <c r="A1961" s="2" t="s">
        <v>6013</v>
      </c>
      <c r="B1961" s="2" t="s">
        <v>3470</v>
      </c>
      <c r="C1961" s="2" t="s">
        <v>3471</v>
      </c>
      <c r="D1961" s="13" t="n">
        <v>45590.4381944445</v>
      </c>
      <c r="E1961" s="2" t="s">
        <v>43</v>
      </c>
      <c r="F1961" s="2" t="s">
        <v>29</v>
      </c>
      <c r="G1961" s="2" t="n">
        <v>2986.69</v>
      </c>
      <c r="H1961" s="2" t="n">
        <v>21.34</v>
      </c>
      <c r="I1961" s="2" t="s">
        <v>26</v>
      </c>
      <c r="J1961" s="2" t="s">
        <v>6014</v>
      </c>
      <c r="K1961" s="2" t="s">
        <v>101</v>
      </c>
      <c r="L1961" s="2"/>
      <c r="M1961" s="2" t="s">
        <v>378</v>
      </c>
    </row>
    <row r="1962" customFormat="false" ht="15" hidden="false" customHeight="false" outlineLevel="0" collapsed="false">
      <c r="A1962" s="2" t="s">
        <v>6015</v>
      </c>
      <c r="B1962" s="2" t="s">
        <v>4098</v>
      </c>
      <c r="C1962" s="2" t="s">
        <v>4099</v>
      </c>
      <c r="D1962" s="13" t="n">
        <v>45379.7201388889</v>
      </c>
      <c r="E1962" s="2" t="s">
        <v>37</v>
      </c>
      <c r="F1962" s="2" t="s">
        <v>29</v>
      </c>
      <c r="G1962" s="2" t="n">
        <v>1754.72</v>
      </c>
      <c r="H1962" s="2" t="n">
        <v>6.97</v>
      </c>
      <c r="I1962" s="2" t="s">
        <v>30</v>
      </c>
      <c r="J1962" s="2" t="s">
        <v>6016</v>
      </c>
      <c r="K1962" s="2" t="s">
        <v>89</v>
      </c>
      <c r="L1962" s="2" t="s">
        <v>141</v>
      </c>
      <c r="M1962" s="2"/>
    </row>
    <row r="1963" customFormat="false" ht="15" hidden="false" customHeight="false" outlineLevel="0" collapsed="false">
      <c r="A1963" s="2" t="s">
        <v>6017</v>
      </c>
      <c r="B1963" s="2" t="s">
        <v>1075</v>
      </c>
      <c r="C1963" s="2" t="s">
        <v>1076</v>
      </c>
      <c r="D1963" s="13" t="n">
        <v>45822.7347222222</v>
      </c>
      <c r="E1963" s="2" t="s">
        <v>43</v>
      </c>
      <c r="F1963" s="2" t="s">
        <v>31</v>
      </c>
      <c r="G1963" s="2" t="n">
        <v>17190.15</v>
      </c>
      <c r="H1963" s="2" t="n">
        <v>109.89</v>
      </c>
      <c r="I1963" s="2" t="s">
        <v>30</v>
      </c>
      <c r="J1963" s="2" t="s">
        <v>6018</v>
      </c>
      <c r="K1963" s="2" t="s">
        <v>101</v>
      </c>
      <c r="L1963" s="2"/>
      <c r="M1963" s="2" t="s">
        <v>388</v>
      </c>
    </row>
    <row r="1964" customFormat="false" ht="15" hidden="false" customHeight="false" outlineLevel="0" collapsed="false">
      <c r="A1964" s="2" t="s">
        <v>6019</v>
      </c>
      <c r="B1964" s="2" t="s">
        <v>6020</v>
      </c>
      <c r="C1964" s="2" t="s">
        <v>6021</v>
      </c>
      <c r="D1964" s="13" t="n">
        <v>45776.525</v>
      </c>
      <c r="E1964" s="2" t="s">
        <v>35</v>
      </c>
      <c r="F1964" s="2" t="s">
        <v>32</v>
      </c>
      <c r="G1964" s="2" t="n">
        <v>1304.5</v>
      </c>
      <c r="H1964" s="2" t="n">
        <v>12.23</v>
      </c>
      <c r="I1964" s="2" t="s">
        <v>26</v>
      </c>
      <c r="J1964" s="2" t="s">
        <v>6022</v>
      </c>
      <c r="K1964" s="2" t="s">
        <v>89</v>
      </c>
      <c r="L1964" s="2" t="s">
        <v>147</v>
      </c>
      <c r="M1964" s="2"/>
    </row>
    <row r="1965" customFormat="false" ht="15" hidden="false" customHeight="false" outlineLevel="0" collapsed="false">
      <c r="A1965" s="2" t="s">
        <v>6023</v>
      </c>
      <c r="B1965" s="2" t="s">
        <v>3578</v>
      </c>
      <c r="C1965" s="2" t="s">
        <v>3579</v>
      </c>
      <c r="D1965" s="13" t="n">
        <v>45890.4451388889</v>
      </c>
      <c r="E1965" s="2" t="s">
        <v>43</v>
      </c>
      <c r="F1965" s="2" t="s">
        <v>29</v>
      </c>
      <c r="G1965" s="2" t="n">
        <v>10003.17</v>
      </c>
      <c r="H1965" s="2" t="n">
        <v>36.01</v>
      </c>
      <c r="I1965" s="2" t="s">
        <v>28</v>
      </c>
      <c r="J1965" s="2" t="s">
        <v>6024</v>
      </c>
      <c r="K1965" s="2" t="s">
        <v>89</v>
      </c>
      <c r="L1965" s="2"/>
      <c r="M1965" s="2" t="s">
        <v>398</v>
      </c>
    </row>
    <row r="1966" customFormat="false" ht="15" hidden="false" customHeight="false" outlineLevel="0" collapsed="false">
      <c r="A1966" s="2" t="s">
        <v>6025</v>
      </c>
      <c r="B1966" s="2" t="s">
        <v>525</v>
      </c>
      <c r="C1966" s="2" t="s">
        <v>526</v>
      </c>
      <c r="D1966" s="13" t="n">
        <v>45404.6666666667</v>
      </c>
      <c r="E1966" s="2" t="s">
        <v>35</v>
      </c>
      <c r="F1966" s="2" t="s">
        <v>27</v>
      </c>
      <c r="G1966" s="2" t="n">
        <v>6972.2</v>
      </c>
      <c r="H1966" s="2" t="n">
        <v>49.73</v>
      </c>
      <c r="I1966" s="2" t="s">
        <v>28</v>
      </c>
      <c r="J1966" s="2" t="s">
        <v>6026</v>
      </c>
      <c r="K1966" s="2" t="s">
        <v>95</v>
      </c>
      <c r="L1966" s="2"/>
      <c r="M1966" s="2" t="s">
        <v>852</v>
      </c>
    </row>
    <row r="1967" customFormat="false" ht="15" hidden="false" customHeight="false" outlineLevel="0" collapsed="false">
      <c r="A1967" s="2" t="s">
        <v>6027</v>
      </c>
      <c r="B1967" s="2" t="s">
        <v>3994</v>
      </c>
      <c r="C1967" s="2" t="s">
        <v>3995</v>
      </c>
      <c r="D1967" s="13" t="n">
        <v>45415.7041666667</v>
      </c>
      <c r="E1967" s="2" t="s">
        <v>39</v>
      </c>
      <c r="F1967" s="2" t="s">
        <v>32</v>
      </c>
      <c r="G1967" s="2" t="n">
        <v>1740.04</v>
      </c>
      <c r="H1967" s="2" t="n">
        <v>5</v>
      </c>
      <c r="I1967" s="2" t="s">
        <v>30</v>
      </c>
      <c r="J1967" s="2" t="s">
        <v>6028</v>
      </c>
      <c r="K1967" s="2" t="s">
        <v>89</v>
      </c>
      <c r="L1967" s="2" t="s">
        <v>158</v>
      </c>
      <c r="M1967" s="2"/>
    </row>
    <row r="1968" customFormat="false" ht="15" hidden="false" customHeight="false" outlineLevel="0" collapsed="false">
      <c r="A1968" s="2" t="s">
        <v>6029</v>
      </c>
      <c r="B1968" s="2" t="s">
        <v>1683</v>
      </c>
      <c r="C1968" s="2" t="s">
        <v>1684</v>
      </c>
      <c r="D1968" s="13" t="n">
        <v>45753.7055555556</v>
      </c>
      <c r="E1968" s="2" t="s">
        <v>37</v>
      </c>
      <c r="F1968" s="2" t="s">
        <v>27</v>
      </c>
      <c r="G1968" s="2" t="n">
        <v>28347.46</v>
      </c>
      <c r="H1968" s="2" t="n">
        <v>255.65</v>
      </c>
      <c r="I1968" s="2" t="s">
        <v>26</v>
      </c>
      <c r="J1968" s="2" t="s">
        <v>6030</v>
      </c>
      <c r="K1968" s="2" t="s">
        <v>101</v>
      </c>
      <c r="L1968" s="2"/>
      <c r="M1968" s="2" t="s">
        <v>862</v>
      </c>
    </row>
    <row r="1969" customFormat="false" ht="15" hidden="false" customHeight="false" outlineLevel="0" collapsed="false">
      <c r="A1969" s="2" t="s">
        <v>6031</v>
      </c>
      <c r="B1969" s="2" t="s">
        <v>6032</v>
      </c>
      <c r="C1969" s="2" t="s">
        <v>6033</v>
      </c>
      <c r="D1969" s="13" t="n">
        <v>45596.4055555556</v>
      </c>
      <c r="E1969" s="2" t="s">
        <v>43</v>
      </c>
      <c r="F1969" s="2" t="s">
        <v>31</v>
      </c>
      <c r="G1969" s="2" t="n">
        <v>4608.89</v>
      </c>
      <c r="H1969" s="2" t="n">
        <v>52.52</v>
      </c>
      <c r="I1969" s="2" t="s">
        <v>26</v>
      </c>
      <c r="J1969" s="2" t="s">
        <v>6034</v>
      </c>
      <c r="K1969" s="2" t="s">
        <v>122</v>
      </c>
      <c r="L1969" s="2"/>
      <c r="M1969" s="2" t="s">
        <v>2325</v>
      </c>
    </row>
    <row r="1970" customFormat="false" ht="15" hidden="false" customHeight="false" outlineLevel="0" collapsed="false">
      <c r="A1970" s="2" t="s">
        <v>6035</v>
      </c>
      <c r="B1970" s="2" t="s">
        <v>1238</v>
      </c>
      <c r="C1970" s="2" t="s">
        <v>1239</v>
      </c>
      <c r="D1970" s="13" t="n">
        <v>45976.7347222222</v>
      </c>
      <c r="E1970" s="2" t="s">
        <v>39</v>
      </c>
      <c r="F1970" s="2" t="s">
        <v>29</v>
      </c>
      <c r="G1970" s="2" t="n">
        <v>2583</v>
      </c>
      <c r="H1970" s="2" t="n">
        <v>21.68</v>
      </c>
      <c r="I1970" s="2" t="s">
        <v>26</v>
      </c>
      <c r="J1970" s="2" t="s">
        <v>6036</v>
      </c>
      <c r="K1970" s="2" t="s">
        <v>95</v>
      </c>
      <c r="L1970" s="2" t="s">
        <v>173</v>
      </c>
      <c r="M1970" s="2"/>
    </row>
    <row r="1971" customFormat="false" ht="15" hidden="false" customHeight="false" outlineLevel="0" collapsed="false">
      <c r="A1971" s="2" t="s">
        <v>6037</v>
      </c>
      <c r="B1971" s="2" t="s">
        <v>6038</v>
      </c>
      <c r="C1971" s="2" t="s">
        <v>6039</v>
      </c>
      <c r="D1971" s="13" t="n">
        <v>45408.33125</v>
      </c>
      <c r="E1971" s="2" t="s">
        <v>41</v>
      </c>
      <c r="F1971" s="2" t="s">
        <v>32</v>
      </c>
      <c r="G1971" s="2" t="n">
        <v>1705.69</v>
      </c>
      <c r="H1971" s="2" t="n">
        <v>12.24</v>
      </c>
      <c r="I1971" s="2" t="s">
        <v>26</v>
      </c>
      <c r="J1971" s="2" t="s">
        <v>6040</v>
      </c>
      <c r="K1971" s="2" t="s">
        <v>101</v>
      </c>
      <c r="L1971" s="2" t="s">
        <v>178</v>
      </c>
      <c r="M1971" s="2"/>
    </row>
    <row r="1972" customFormat="false" ht="15" hidden="false" customHeight="false" outlineLevel="0" collapsed="false">
      <c r="A1972" s="2" t="s">
        <v>6041</v>
      </c>
      <c r="B1972" s="2" t="s">
        <v>1336</v>
      </c>
      <c r="C1972" s="2" t="s">
        <v>1337</v>
      </c>
      <c r="D1972" s="13" t="n">
        <v>45838.5388888889</v>
      </c>
      <c r="E1972" s="2" t="s">
        <v>39</v>
      </c>
      <c r="F1972" s="2" t="s">
        <v>32</v>
      </c>
      <c r="G1972" s="2" t="n">
        <v>12362.28</v>
      </c>
      <c r="H1972" s="2" t="n">
        <v>91.87</v>
      </c>
      <c r="I1972" s="2" t="s">
        <v>26</v>
      </c>
      <c r="J1972" s="2" t="s">
        <v>6042</v>
      </c>
      <c r="K1972" s="2" t="s">
        <v>101</v>
      </c>
      <c r="L1972" s="2" t="s">
        <v>874</v>
      </c>
      <c r="M1972" s="2"/>
    </row>
    <row r="1973" customFormat="false" ht="15" hidden="false" customHeight="false" outlineLevel="0" collapsed="false">
      <c r="A1973" s="2" t="s">
        <v>6043</v>
      </c>
      <c r="B1973" s="2" t="s">
        <v>6044</v>
      </c>
      <c r="C1973" s="2" t="s">
        <v>6045</v>
      </c>
      <c r="D1973" s="13" t="n">
        <v>45470.8125</v>
      </c>
      <c r="E1973" s="2" t="s">
        <v>41</v>
      </c>
      <c r="F1973" s="2" t="s">
        <v>31</v>
      </c>
      <c r="G1973" s="2" t="n">
        <v>18878.52</v>
      </c>
      <c r="H1973" s="2" t="n">
        <v>226.37</v>
      </c>
      <c r="I1973" s="2" t="s">
        <v>26</v>
      </c>
      <c r="J1973" s="2" t="s">
        <v>6046</v>
      </c>
      <c r="K1973" s="2" t="s">
        <v>101</v>
      </c>
      <c r="L1973" s="2" t="s">
        <v>188</v>
      </c>
      <c r="M1973" s="2"/>
    </row>
    <row r="1974" customFormat="false" ht="15" hidden="false" customHeight="false" outlineLevel="0" collapsed="false">
      <c r="A1974" s="2" t="s">
        <v>6047</v>
      </c>
      <c r="B1974" s="2" t="s">
        <v>4878</v>
      </c>
      <c r="C1974" s="2" t="s">
        <v>4879</v>
      </c>
      <c r="D1974" s="13" t="n">
        <v>45551.5104166667</v>
      </c>
      <c r="E1974" s="2" t="s">
        <v>37</v>
      </c>
      <c r="F1974" s="2" t="s">
        <v>27</v>
      </c>
      <c r="G1974" s="2" t="n">
        <v>4506.31</v>
      </c>
      <c r="H1974" s="2" t="n">
        <v>10.79</v>
      </c>
      <c r="I1974" s="2" t="s">
        <v>26</v>
      </c>
      <c r="J1974" s="2" t="s">
        <v>6048</v>
      </c>
      <c r="K1974" s="2" t="s">
        <v>89</v>
      </c>
      <c r="L1974" s="2"/>
      <c r="M1974" s="2" t="s">
        <v>1658</v>
      </c>
    </row>
    <row r="1975" customFormat="false" ht="15" hidden="false" customHeight="false" outlineLevel="0" collapsed="false">
      <c r="A1975" s="2" t="s">
        <v>6049</v>
      </c>
      <c r="B1975" s="2" t="s">
        <v>1742</v>
      </c>
      <c r="C1975" s="2" t="s">
        <v>1743</v>
      </c>
      <c r="D1975" s="13" t="n">
        <v>45429.5701388889</v>
      </c>
      <c r="E1975" s="2" t="s">
        <v>37</v>
      </c>
      <c r="F1975" s="2" t="s">
        <v>27</v>
      </c>
      <c r="G1975" s="2" t="n">
        <v>12189.39</v>
      </c>
      <c r="H1975" s="2" t="n">
        <v>84.53</v>
      </c>
      <c r="I1975" s="2" t="s">
        <v>26</v>
      </c>
      <c r="J1975" s="2" t="s">
        <v>6050</v>
      </c>
      <c r="K1975" s="2" t="s">
        <v>101</v>
      </c>
      <c r="L1975" s="2"/>
      <c r="M1975" s="2" t="s">
        <v>448</v>
      </c>
    </row>
    <row r="1976" customFormat="false" ht="15" hidden="false" customHeight="false" outlineLevel="0" collapsed="false">
      <c r="A1976" s="2" t="s">
        <v>6051</v>
      </c>
      <c r="B1976" s="2" t="s">
        <v>2547</v>
      </c>
      <c r="C1976" s="2" t="s">
        <v>2548</v>
      </c>
      <c r="D1976" s="13" t="n">
        <v>45844.9381944445</v>
      </c>
      <c r="E1976" s="2" t="s">
        <v>39</v>
      </c>
      <c r="F1976" s="2" t="s">
        <v>31</v>
      </c>
      <c r="G1976" s="2" t="n">
        <v>3524.05</v>
      </c>
      <c r="H1976" s="2" t="n">
        <v>35.01</v>
      </c>
      <c r="I1976" s="2" t="s">
        <v>26</v>
      </c>
      <c r="J1976" s="2" t="s">
        <v>6052</v>
      </c>
      <c r="K1976" s="2" t="s">
        <v>95</v>
      </c>
      <c r="L1976" s="2" t="s">
        <v>891</v>
      </c>
      <c r="M1976" s="2"/>
    </row>
    <row r="1977" customFormat="false" ht="15" hidden="false" customHeight="false" outlineLevel="0" collapsed="false">
      <c r="A1977" s="2" t="s">
        <v>6053</v>
      </c>
      <c r="B1977" s="2" t="s">
        <v>1898</v>
      </c>
      <c r="C1977" s="2" t="s">
        <v>1899</v>
      </c>
      <c r="D1977" s="13" t="n">
        <v>45328.7875</v>
      </c>
      <c r="E1977" s="2" t="s">
        <v>37</v>
      </c>
      <c r="F1977" s="2" t="s">
        <v>32</v>
      </c>
      <c r="G1977" s="2" t="n">
        <v>36144.49</v>
      </c>
      <c r="H1977" s="2" t="n">
        <v>330.61</v>
      </c>
      <c r="I1977" s="2" t="s">
        <v>26</v>
      </c>
      <c r="J1977" s="2" t="s">
        <v>6054</v>
      </c>
      <c r="K1977" s="2" t="s">
        <v>122</v>
      </c>
      <c r="L1977" s="2" t="s">
        <v>208</v>
      </c>
      <c r="M1977" s="2"/>
    </row>
    <row r="1978" customFormat="false" ht="15" hidden="false" customHeight="false" outlineLevel="0" collapsed="false">
      <c r="A1978" s="2" t="s">
        <v>6055</v>
      </c>
      <c r="B1978" s="2" t="s">
        <v>3534</v>
      </c>
      <c r="C1978" s="2" t="s">
        <v>3535</v>
      </c>
      <c r="D1978" s="13" t="n">
        <v>45432.7618055556</v>
      </c>
      <c r="E1978" s="2" t="s">
        <v>37</v>
      </c>
      <c r="F1978" s="2" t="s">
        <v>32</v>
      </c>
      <c r="G1978" s="2" t="n">
        <v>1750.42</v>
      </c>
      <c r="H1978" s="2" t="n">
        <v>19</v>
      </c>
      <c r="I1978" s="2" t="s">
        <v>28</v>
      </c>
      <c r="J1978" s="2" t="s">
        <v>6056</v>
      </c>
      <c r="K1978" s="2" t="s">
        <v>95</v>
      </c>
      <c r="L1978" s="2" t="s">
        <v>213</v>
      </c>
      <c r="M1978" s="2"/>
    </row>
    <row r="1979" customFormat="false" ht="15" hidden="false" customHeight="false" outlineLevel="0" collapsed="false">
      <c r="A1979" s="2" t="s">
        <v>6057</v>
      </c>
      <c r="B1979" s="2" t="s">
        <v>1201</v>
      </c>
      <c r="C1979" s="2" t="s">
        <v>1202</v>
      </c>
      <c r="D1979" s="13" t="n">
        <v>45736.6090277778</v>
      </c>
      <c r="E1979" s="2" t="s">
        <v>39</v>
      </c>
      <c r="F1979" s="2" t="s">
        <v>32</v>
      </c>
      <c r="G1979" s="2" t="n">
        <v>5380.04</v>
      </c>
      <c r="H1979" s="2" t="n">
        <v>22.57</v>
      </c>
      <c r="I1979" s="2" t="s">
        <v>28</v>
      </c>
      <c r="J1979" s="2" t="s">
        <v>6058</v>
      </c>
      <c r="K1979" s="2" t="s">
        <v>95</v>
      </c>
      <c r="L1979" s="2" t="s">
        <v>218</v>
      </c>
      <c r="M1979" s="2"/>
    </row>
    <row r="1980" customFormat="false" ht="15" hidden="false" customHeight="false" outlineLevel="0" collapsed="false">
      <c r="A1980" s="2" t="s">
        <v>6059</v>
      </c>
      <c r="B1980" s="2" t="s">
        <v>1569</v>
      </c>
      <c r="C1980" s="2" t="s">
        <v>1570</v>
      </c>
      <c r="D1980" s="13" t="n">
        <v>45682.5708333333</v>
      </c>
      <c r="E1980" s="2" t="s">
        <v>37</v>
      </c>
      <c r="F1980" s="2" t="s">
        <v>31</v>
      </c>
      <c r="G1980" s="2" t="n">
        <v>10656.19</v>
      </c>
      <c r="H1980" s="2" t="n">
        <v>70.27</v>
      </c>
      <c r="I1980" s="2" t="s">
        <v>26</v>
      </c>
      <c r="J1980" s="2" t="s">
        <v>6060</v>
      </c>
      <c r="K1980" s="2" t="s">
        <v>89</v>
      </c>
      <c r="L1980" s="2" t="s">
        <v>1504</v>
      </c>
      <c r="M1980" s="2"/>
    </row>
    <row r="1981" customFormat="false" ht="15" hidden="false" customHeight="false" outlineLevel="0" collapsed="false">
      <c r="A1981" s="2" t="s">
        <v>6061</v>
      </c>
      <c r="B1981" s="2" t="s">
        <v>6062</v>
      </c>
      <c r="C1981" s="2" t="s">
        <v>6063</v>
      </c>
      <c r="D1981" s="13" t="n">
        <v>45476.5986111111</v>
      </c>
      <c r="E1981" s="2" t="s">
        <v>39</v>
      </c>
      <c r="F1981" s="2" t="s">
        <v>29</v>
      </c>
      <c r="G1981" s="2" t="n">
        <v>14397.15</v>
      </c>
      <c r="H1981" s="2" t="n">
        <v>122.44</v>
      </c>
      <c r="I1981" s="2" t="s">
        <v>28</v>
      </c>
      <c r="J1981" s="2" t="s">
        <v>6064</v>
      </c>
      <c r="K1981" s="2" t="s">
        <v>95</v>
      </c>
      <c r="L1981" s="2" t="s">
        <v>911</v>
      </c>
      <c r="M1981" s="2"/>
    </row>
    <row r="1982" customFormat="false" ht="15" hidden="false" customHeight="false" outlineLevel="0" collapsed="false">
      <c r="A1982" s="2" t="s">
        <v>6065</v>
      </c>
      <c r="B1982" s="2" t="s">
        <v>6066</v>
      </c>
      <c r="C1982" s="2" t="s">
        <v>6067</v>
      </c>
      <c r="D1982" s="13" t="n">
        <v>45374.8631944444</v>
      </c>
      <c r="E1982" s="2" t="s">
        <v>41</v>
      </c>
      <c r="F1982" s="2" t="s">
        <v>29</v>
      </c>
      <c r="G1982" s="2" t="n">
        <v>4749.85</v>
      </c>
      <c r="H1982" s="2" t="n">
        <v>13.34</v>
      </c>
      <c r="I1982" s="2" t="s">
        <v>26</v>
      </c>
      <c r="J1982" s="2" t="s">
        <v>6068</v>
      </c>
      <c r="K1982" s="2" t="s">
        <v>101</v>
      </c>
      <c r="L1982" s="2" t="s">
        <v>916</v>
      </c>
      <c r="M1982" s="2"/>
    </row>
    <row r="1983" customFormat="false" ht="15" hidden="false" customHeight="false" outlineLevel="0" collapsed="false">
      <c r="A1983" s="2" t="s">
        <v>6069</v>
      </c>
      <c r="B1983" s="2" t="s">
        <v>5292</v>
      </c>
      <c r="C1983" s="2" t="s">
        <v>5293</v>
      </c>
      <c r="D1983" s="13" t="n">
        <v>45770.3486111111</v>
      </c>
      <c r="E1983" s="2" t="s">
        <v>35</v>
      </c>
      <c r="F1983" s="2" t="s">
        <v>31</v>
      </c>
      <c r="G1983" s="2" t="n">
        <v>23526.68</v>
      </c>
      <c r="H1983" s="2" t="n">
        <v>163.66</v>
      </c>
      <c r="I1983" s="2" t="s">
        <v>30</v>
      </c>
      <c r="J1983" s="2" t="s">
        <v>6070</v>
      </c>
      <c r="K1983" s="2" t="s">
        <v>101</v>
      </c>
      <c r="L1983" s="2" t="s">
        <v>1513</v>
      </c>
      <c r="M1983" s="2"/>
    </row>
    <row r="1984" customFormat="false" ht="15" hidden="false" customHeight="false" outlineLevel="0" collapsed="false">
      <c r="A1984" s="2" t="s">
        <v>6071</v>
      </c>
      <c r="B1984" s="2" t="s">
        <v>573</v>
      </c>
      <c r="C1984" s="2" t="s">
        <v>574</v>
      </c>
      <c r="D1984" s="13" t="n">
        <v>45581.8</v>
      </c>
      <c r="E1984" s="2" t="s">
        <v>37</v>
      </c>
      <c r="F1984" s="2" t="s">
        <v>32</v>
      </c>
      <c r="G1984" s="2" t="n">
        <v>9800.24</v>
      </c>
      <c r="H1984" s="2" t="n">
        <v>69.05</v>
      </c>
      <c r="I1984" s="2" t="s">
        <v>26</v>
      </c>
      <c r="J1984" s="2" t="s">
        <v>6072</v>
      </c>
      <c r="K1984" s="2" t="s">
        <v>95</v>
      </c>
      <c r="L1984" s="2" t="s">
        <v>243</v>
      </c>
      <c r="M1984" s="2"/>
    </row>
    <row r="1985" customFormat="false" ht="15" hidden="false" customHeight="false" outlineLevel="0" collapsed="false">
      <c r="A1985" s="2" t="s">
        <v>6073</v>
      </c>
      <c r="B1985" s="2" t="s">
        <v>5040</v>
      </c>
      <c r="C1985" s="2" t="s">
        <v>5041</v>
      </c>
      <c r="D1985" s="13" t="n">
        <v>45303.7486111111</v>
      </c>
      <c r="E1985" s="2" t="s">
        <v>35</v>
      </c>
      <c r="F1985" s="2" t="s">
        <v>29</v>
      </c>
      <c r="G1985" s="2" t="n">
        <v>4655.59</v>
      </c>
      <c r="H1985" s="2" t="n">
        <v>45.68</v>
      </c>
      <c r="I1985" s="2" t="s">
        <v>30</v>
      </c>
      <c r="J1985" s="2" t="s">
        <v>6074</v>
      </c>
      <c r="K1985" s="2" t="s">
        <v>101</v>
      </c>
      <c r="L1985" s="2" t="s">
        <v>248</v>
      </c>
      <c r="M1985" s="2"/>
    </row>
    <row r="1986" customFormat="false" ht="15" hidden="false" customHeight="false" outlineLevel="0" collapsed="false">
      <c r="A1986" s="2" t="s">
        <v>6075</v>
      </c>
      <c r="B1986" s="2" t="s">
        <v>1559</v>
      </c>
      <c r="C1986" s="2" t="s">
        <v>1560</v>
      </c>
      <c r="D1986" s="13" t="n">
        <v>45467.5395833333</v>
      </c>
      <c r="E1986" s="2" t="s">
        <v>41</v>
      </c>
      <c r="F1986" s="2" t="s">
        <v>31</v>
      </c>
      <c r="G1986" s="2" t="n">
        <v>2886.38</v>
      </c>
      <c r="H1986" s="2" t="n">
        <v>8.68</v>
      </c>
      <c r="I1986" s="2" t="s">
        <v>30</v>
      </c>
      <c r="J1986" s="2" t="s">
        <v>6076</v>
      </c>
      <c r="K1986" s="2" t="s">
        <v>101</v>
      </c>
      <c r="L1986" s="2" t="s">
        <v>253</v>
      </c>
      <c r="M1986" s="2"/>
    </row>
    <row r="1987" customFormat="false" ht="15" hidden="false" customHeight="false" outlineLevel="0" collapsed="false">
      <c r="A1987" s="2" t="s">
        <v>6077</v>
      </c>
      <c r="B1987" s="2" t="s">
        <v>3734</v>
      </c>
      <c r="C1987" s="2" t="s">
        <v>3735</v>
      </c>
      <c r="D1987" s="13" t="n">
        <v>45360.7625</v>
      </c>
      <c r="E1987" s="2" t="s">
        <v>35</v>
      </c>
      <c r="F1987" s="2" t="s">
        <v>31</v>
      </c>
      <c r="G1987" s="2" t="n">
        <v>1235.38</v>
      </c>
      <c r="H1987" s="2" t="n">
        <v>10.62</v>
      </c>
      <c r="I1987" s="2" t="s">
        <v>30</v>
      </c>
      <c r="J1987" s="2" t="s">
        <v>6078</v>
      </c>
      <c r="K1987" s="2" t="s">
        <v>89</v>
      </c>
      <c r="L1987" s="2" t="s">
        <v>258</v>
      </c>
      <c r="M1987" s="2"/>
    </row>
    <row r="1988" customFormat="false" ht="15" hidden="false" customHeight="false" outlineLevel="0" collapsed="false">
      <c r="A1988" s="2" t="s">
        <v>6079</v>
      </c>
      <c r="B1988" s="2" t="s">
        <v>2689</v>
      </c>
      <c r="C1988" s="2" t="s">
        <v>2690</v>
      </c>
      <c r="D1988" s="13" t="n">
        <v>45902.8548611111</v>
      </c>
      <c r="E1988" s="2" t="s">
        <v>37</v>
      </c>
      <c r="F1988" s="2" t="s">
        <v>32</v>
      </c>
      <c r="G1988" s="2" t="n">
        <v>2785.67</v>
      </c>
      <c r="H1988" s="2" t="n">
        <v>11.99</v>
      </c>
      <c r="I1988" s="2" t="s">
        <v>26</v>
      </c>
      <c r="J1988" s="2" t="s">
        <v>6080</v>
      </c>
      <c r="K1988" s="2" t="s">
        <v>101</v>
      </c>
      <c r="L1988" s="2" t="s">
        <v>940</v>
      </c>
      <c r="M1988" s="2"/>
    </row>
    <row r="1989" customFormat="false" ht="15" hidden="false" customHeight="false" outlineLevel="0" collapsed="false">
      <c r="A1989" s="2" t="s">
        <v>6081</v>
      </c>
      <c r="B1989" s="2" t="s">
        <v>6082</v>
      </c>
      <c r="C1989" s="2" t="s">
        <v>6083</v>
      </c>
      <c r="D1989" s="13" t="n">
        <v>45911.3291666667</v>
      </c>
      <c r="E1989" s="2" t="s">
        <v>41</v>
      </c>
      <c r="F1989" s="2" t="s">
        <v>27</v>
      </c>
      <c r="G1989" s="2" t="n">
        <v>3005.98</v>
      </c>
      <c r="H1989" s="2" t="n">
        <v>7.96</v>
      </c>
      <c r="I1989" s="2" t="s">
        <v>26</v>
      </c>
      <c r="J1989" s="2" t="s">
        <v>6084</v>
      </c>
      <c r="K1989" s="2" t="s">
        <v>95</v>
      </c>
      <c r="L1989" s="2"/>
      <c r="M1989" s="2" t="s">
        <v>2390</v>
      </c>
    </row>
    <row r="1990" customFormat="false" ht="15" hidden="false" customHeight="false" outlineLevel="0" collapsed="false">
      <c r="A1990" s="2" t="s">
        <v>6085</v>
      </c>
      <c r="B1990" s="2" t="s">
        <v>1484</v>
      </c>
      <c r="C1990" s="2" t="s">
        <v>1485</v>
      </c>
      <c r="D1990" s="13" t="n">
        <v>45559.4763888889</v>
      </c>
      <c r="E1990" s="2" t="s">
        <v>37</v>
      </c>
      <c r="F1990" s="2" t="s">
        <v>31</v>
      </c>
      <c r="G1990" s="2" t="n">
        <v>13686.94</v>
      </c>
      <c r="H1990" s="2" t="n">
        <v>96.13</v>
      </c>
      <c r="I1990" s="2" t="s">
        <v>30</v>
      </c>
      <c r="J1990" s="2" t="s">
        <v>6086</v>
      </c>
      <c r="K1990" s="2" t="s">
        <v>95</v>
      </c>
      <c r="L1990" s="2" t="s">
        <v>1538</v>
      </c>
      <c r="M1990" s="2"/>
    </row>
    <row r="1991" customFormat="false" ht="15" hidden="false" customHeight="false" outlineLevel="0" collapsed="false">
      <c r="A1991" s="2" t="s">
        <v>6087</v>
      </c>
      <c r="B1991" s="2" t="s">
        <v>355</v>
      </c>
      <c r="C1991" s="2" t="s">
        <v>356</v>
      </c>
      <c r="D1991" s="13" t="n">
        <v>45986.5090277778</v>
      </c>
      <c r="E1991" s="2" t="s">
        <v>39</v>
      </c>
      <c r="F1991" s="2" t="s">
        <v>27</v>
      </c>
      <c r="G1991" s="2" t="n">
        <v>6651.44</v>
      </c>
      <c r="H1991" s="2" t="n">
        <v>22.61</v>
      </c>
      <c r="I1991" s="2" t="s">
        <v>26</v>
      </c>
      <c r="J1991" s="2" t="s">
        <v>6088</v>
      </c>
      <c r="K1991" s="2" t="s">
        <v>95</v>
      </c>
      <c r="L1991" s="2"/>
      <c r="M1991" s="2" t="s">
        <v>528</v>
      </c>
    </row>
    <row r="1992" customFormat="false" ht="15" hidden="false" customHeight="false" outlineLevel="0" collapsed="false">
      <c r="A1992" s="2" t="s">
        <v>6089</v>
      </c>
      <c r="B1992" s="2" t="s">
        <v>978</v>
      </c>
      <c r="C1992" s="2" t="s">
        <v>979</v>
      </c>
      <c r="D1992" s="13" t="n">
        <v>45606.9076388889</v>
      </c>
      <c r="E1992" s="2" t="s">
        <v>39</v>
      </c>
      <c r="F1992" s="2" t="s">
        <v>31</v>
      </c>
      <c r="G1992" s="2" t="n">
        <v>13967.58</v>
      </c>
      <c r="H1992" s="2" t="n">
        <v>150.48</v>
      </c>
      <c r="I1992" s="2" t="s">
        <v>26</v>
      </c>
      <c r="J1992" s="2" t="s">
        <v>6090</v>
      </c>
      <c r="K1992" s="2" t="s">
        <v>122</v>
      </c>
      <c r="L1992" s="2" t="s">
        <v>283</v>
      </c>
      <c r="M1992" s="2"/>
    </row>
    <row r="1993" customFormat="false" ht="15" hidden="false" customHeight="false" outlineLevel="0" collapsed="false">
      <c r="A1993" s="2" t="s">
        <v>6091</v>
      </c>
      <c r="B1993" s="2" t="s">
        <v>480</v>
      </c>
      <c r="C1993" s="2" t="s">
        <v>481</v>
      </c>
      <c r="D1993" s="13" t="n">
        <v>45616.84375</v>
      </c>
      <c r="E1993" s="2" t="s">
        <v>39</v>
      </c>
      <c r="F1993" s="2" t="s">
        <v>31</v>
      </c>
      <c r="G1993" s="2" t="n">
        <v>9699.02</v>
      </c>
      <c r="H1993" s="2" t="n">
        <v>98.61</v>
      </c>
      <c r="I1993" s="2" t="s">
        <v>26</v>
      </c>
      <c r="J1993" s="2" t="s">
        <v>6092</v>
      </c>
      <c r="K1993" s="2" t="s">
        <v>95</v>
      </c>
      <c r="L1993" s="2" t="s">
        <v>963</v>
      </c>
      <c r="M1993" s="2"/>
    </row>
    <row r="1994" customFormat="false" ht="15" hidden="false" customHeight="false" outlineLevel="0" collapsed="false">
      <c r="A1994" s="2" t="s">
        <v>6093</v>
      </c>
      <c r="B1994" s="2" t="s">
        <v>3265</v>
      </c>
      <c r="C1994" s="2" t="s">
        <v>3266</v>
      </c>
      <c r="D1994" s="13" t="n">
        <v>45399.3152777778</v>
      </c>
      <c r="E1994" s="2" t="s">
        <v>37</v>
      </c>
      <c r="F1994" s="2" t="s">
        <v>29</v>
      </c>
      <c r="G1994" s="2" t="n">
        <v>4055.87</v>
      </c>
      <c r="H1994" s="2" t="n">
        <v>17.88</v>
      </c>
      <c r="I1994" s="2" t="s">
        <v>28</v>
      </c>
      <c r="J1994" s="2" t="s">
        <v>6094</v>
      </c>
      <c r="K1994" s="2" t="s">
        <v>101</v>
      </c>
      <c r="L1994" s="2" t="s">
        <v>293</v>
      </c>
      <c r="M1994" s="2"/>
    </row>
    <row r="1995" customFormat="false" ht="15" hidden="false" customHeight="false" outlineLevel="0" collapsed="false">
      <c r="A1995" s="2" t="s">
        <v>6095</v>
      </c>
      <c r="B1995" s="2" t="s">
        <v>3378</v>
      </c>
      <c r="C1995" s="2" t="s">
        <v>3379</v>
      </c>
      <c r="D1995" s="13" t="n">
        <v>45318.3020833333</v>
      </c>
      <c r="E1995" s="2" t="s">
        <v>39</v>
      </c>
      <c r="F1995" s="2" t="s">
        <v>32</v>
      </c>
      <c r="G1995" s="2" t="n">
        <v>12740.06</v>
      </c>
      <c r="H1995" s="2" t="n">
        <v>90.38</v>
      </c>
      <c r="I1995" s="2" t="s">
        <v>30</v>
      </c>
      <c r="J1995" s="2" t="s">
        <v>6096</v>
      </c>
      <c r="K1995" s="2" t="s">
        <v>122</v>
      </c>
      <c r="L1995" s="2" t="s">
        <v>972</v>
      </c>
      <c r="M1995" s="2"/>
    </row>
    <row r="1996" customFormat="false" ht="15" hidden="false" customHeight="false" outlineLevel="0" collapsed="false">
      <c r="A1996" s="2" t="s">
        <v>6097</v>
      </c>
      <c r="B1996" s="2" t="s">
        <v>2521</v>
      </c>
      <c r="C1996" s="2" t="s">
        <v>2522</v>
      </c>
      <c r="D1996" s="13" t="n">
        <v>45852.78125</v>
      </c>
      <c r="E1996" s="2" t="s">
        <v>41</v>
      </c>
      <c r="F1996" s="2" t="s">
        <v>29</v>
      </c>
      <c r="G1996" s="2" t="n">
        <v>1587.89</v>
      </c>
      <c r="H1996" s="2" t="n">
        <v>10.29</v>
      </c>
      <c r="I1996" s="2" t="s">
        <v>26</v>
      </c>
      <c r="J1996" s="2" t="s">
        <v>6098</v>
      </c>
      <c r="K1996" s="2" t="s">
        <v>89</v>
      </c>
      <c r="L1996" s="2" t="s">
        <v>303</v>
      </c>
      <c r="M1996" s="2"/>
    </row>
    <row r="1997" customFormat="false" ht="15" hidden="false" customHeight="false" outlineLevel="0" collapsed="false">
      <c r="A1997" s="2" t="s">
        <v>6099</v>
      </c>
      <c r="B1997" s="2" t="s">
        <v>4246</v>
      </c>
      <c r="C1997" s="2" t="s">
        <v>4247</v>
      </c>
      <c r="D1997" s="13" t="n">
        <v>45941.9402777778</v>
      </c>
      <c r="E1997" s="2" t="s">
        <v>39</v>
      </c>
      <c r="F1997" s="2" t="s">
        <v>29</v>
      </c>
      <c r="G1997" s="2" t="n">
        <v>2566.45</v>
      </c>
      <c r="H1997" s="2" t="n">
        <v>10.05</v>
      </c>
      <c r="I1997" s="2" t="s">
        <v>28</v>
      </c>
      <c r="J1997" s="2" t="s">
        <v>6100</v>
      </c>
      <c r="K1997" s="2" t="s">
        <v>122</v>
      </c>
      <c r="L1997" s="2" t="s">
        <v>308</v>
      </c>
      <c r="M1997" s="2"/>
    </row>
    <row r="1998" customFormat="false" ht="15" hidden="false" customHeight="false" outlineLevel="0" collapsed="false">
      <c r="A1998" s="2" t="s">
        <v>6101</v>
      </c>
      <c r="B1998" s="2" t="s">
        <v>210</v>
      </c>
      <c r="C1998" s="2" t="s">
        <v>211</v>
      </c>
      <c r="D1998" s="13" t="n">
        <v>45303.5708333333</v>
      </c>
      <c r="E1998" s="2" t="s">
        <v>41</v>
      </c>
      <c r="F1998" s="2" t="s">
        <v>32</v>
      </c>
      <c r="G1998" s="2" t="n">
        <v>1848.25</v>
      </c>
      <c r="H1998" s="2" t="n">
        <v>12.86</v>
      </c>
      <c r="I1998" s="2" t="s">
        <v>26</v>
      </c>
      <c r="J1998" s="2" t="s">
        <v>6102</v>
      </c>
      <c r="K1998" s="2" t="s">
        <v>101</v>
      </c>
      <c r="L1998" s="2" t="s">
        <v>986</v>
      </c>
      <c r="M1998" s="2"/>
    </row>
    <row r="1999" customFormat="false" ht="15" hidden="false" customHeight="false" outlineLevel="0" collapsed="false">
      <c r="A1999" s="2" t="s">
        <v>6103</v>
      </c>
      <c r="B1999" s="2" t="s">
        <v>1450</v>
      </c>
      <c r="C1999" s="2" t="s">
        <v>1451</v>
      </c>
      <c r="D1999" s="13" t="n">
        <v>45398.3513888889</v>
      </c>
      <c r="E1999" s="2" t="s">
        <v>35</v>
      </c>
      <c r="F1999" s="2" t="s">
        <v>27</v>
      </c>
      <c r="G1999" s="2" t="n">
        <v>637.45</v>
      </c>
      <c r="H1999" s="2" t="n">
        <v>6.41</v>
      </c>
      <c r="I1999" s="2" t="s">
        <v>26</v>
      </c>
      <c r="J1999" s="2" t="s">
        <v>6104</v>
      </c>
      <c r="K1999" s="2" t="s">
        <v>89</v>
      </c>
      <c r="L1999" s="2"/>
      <c r="M1999" s="2" t="s">
        <v>2097</v>
      </c>
    </row>
    <row r="2000" customFormat="false" ht="15" hidden="false" customHeight="false" outlineLevel="0" collapsed="false">
      <c r="A2000" s="2" t="s">
        <v>6105</v>
      </c>
      <c r="B2000" s="2" t="s">
        <v>2679</v>
      </c>
      <c r="C2000" s="2" t="s">
        <v>2680</v>
      </c>
      <c r="D2000" s="13" t="n">
        <v>45936.6715277778</v>
      </c>
      <c r="E2000" s="2" t="s">
        <v>37</v>
      </c>
      <c r="F2000" s="2" t="s">
        <v>29</v>
      </c>
      <c r="G2000" s="2" t="n">
        <v>2051.12</v>
      </c>
      <c r="H2000" s="2" t="n">
        <v>11.62</v>
      </c>
      <c r="I2000" s="2" t="s">
        <v>26</v>
      </c>
      <c r="J2000" s="2" t="s">
        <v>6106</v>
      </c>
      <c r="K2000" s="2" t="s">
        <v>89</v>
      </c>
      <c r="L2000" s="2" t="s">
        <v>995</v>
      </c>
      <c r="M2000" s="2"/>
    </row>
    <row r="2001" customFormat="false" ht="15" hidden="false" customHeight="false" outlineLevel="0" collapsed="false">
      <c r="A2001" s="2" t="s">
        <v>6107</v>
      </c>
      <c r="B2001" s="2" t="s">
        <v>4044</v>
      </c>
      <c r="C2001" s="2" t="s">
        <v>4045</v>
      </c>
      <c r="D2001" s="13" t="n">
        <v>45775.4881944444</v>
      </c>
      <c r="E2001" s="2" t="s">
        <v>35</v>
      </c>
      <c r="F2001" s="2" t="s">
        <v>27</v>
      </c>
      <c r="G2001" s="2" t="n">
        <v>10584.58</v>
      </c>
      <c r="H2001" s="2" t="n">
        <v>84.34</v>
      </c>
      <c r="I2001" s="2" t="s">
        <v>30</v>
      </c>
      <c r="J2001" s="2" t="s">
        <v>6108</v>
      </c>
      <c r="K2001" s="2" t="s">
        <v>122</v>
      </c>
      <c r="L2001" s="2"/>
      <c r="M2001" s="2" t="s">
        <v>576</v>
      </c>
    </row>
    <row r="2002" customFormat="false" ht="15" hidden="false" customHeight="false" outlineLevel="0" collapsed="false">
      <c r="A2002" s="2" t="s">
        <v>6109</v>
      </c>
      <c r="B2002" s="2" t="s">
        <v>195</v>
      </c>
      <c r="C2002" s="2" t="s">
        <v>196</v>
      </c>
      <c r="D2002" s="13" t="n">
        <v>45964.3965277778</v>
      </c>
      <c r="E2002" s="2" t="s">
        <v>43</v>
      </c>
      <c r="F2002" s="2" t="s">
        <v>27</v>
      </c>
      <c r="G2002" s="2" t="n">
        <v>1543.93</v>
      </c>
      <c r="H2002" s="2" t="n">
        <v>14.06</v>
      </c>
      <c r="I2002" s="2" t="s">
        <v>30</v>
      </c>
      <c r="J2002" s="2" t="s">
        <v>6110</v>
      </c>
      <c r="K2002" s="2" t="s">
        <v>122</v>
      </c>
      <c r="L2002" s="2"/>
      <c r="M2002" s="2" t="s">
        <v>581</v>
      </c>
    </row>
    <row r="2003" customFormat="false" ht="15" hidden="false" customHeight="false" outlineLevel="0" collapsed="false">
      <c r="A2003" s="2" t="s">
        <v>6111</v>
      </c>
      <c r="B2003" s="2" t="s">
        <v>2726</v>
      </c>
      <c r="C2003" s="2" t="s">
        <v>2727</v>
      </c>
      <c r="D2003" s="13" t="n">
        <v>45725.9493055556</v>
      </c>
      <c r="E2003" s="2" t="s">
        <v>43</v>
      </c>
      <c r="F2003" s="2" t="s">
        <v>27</v>
      </c>
      <c r="G2003" s="2" t="n">
        <v>3397.38</v>
      </c>
      <c r="H2003" s="2" t="n">
        <v>8.95</v>
      </c>
      <c r="I2003" s="2" t="s">
        <v>26</v>
      </c>
      <c r="J2003" s="2" t="s">
        <v>6112</v>
      </c>
      <c r="K2003" s="2" t="s">
        <v>89</v>
      </c>
      <c r="L2003" s="2"/>
      <c r="M2003" s="2" t="s">
        <v>1007</v>
      </c>
    </row>
    <row r="2004" customFormat="false" ht="15" hidden="false" customHeight="false" outlineLevel="0" collapsed="false">
      <c r="A2004" s="2" t="s">
        <v>6113</v>
      </c>
      <c r="B2004" s="2" t="s">
        <v>1551</v>
      </c>
      <c r="C2004" s="2" t="s">
        <v>1552</v>
      </c>
      <c r="D2004" s="13" t="n">
        <v>45510.3986111111</v>
      </c>
      <c r="E2004" s="2" t="s">
        <v>35</v>
      </c>
      <c r="F2004" s="2" t="s">
        <v>27</v>
      </c>
      <c r="G2004" s="2" t="n">
        <v>3277.8</v>
      </c>
      <c r="H2004" s="2" t="n">
        <v>11.82</v>
      </c>
      <c r="I2004" s="2" t="s">
        <v>26</v>
      </c>
      <c r="J2004" s="2" t="s">
        <v>6114</v>
      </c>
      <c r="K2004" s="2" t="s">
        <v>89</v>
      </c>
      <c r="L2004" s="2"/>
      <c r="M2004" s="2" t="s">
        <v>2435</v>
      </c>
    </row>
    <row r="2005" customFormat="false" ht="15" hidden="false" customHeight="false" outlineLevel="0" collapsed="false">
      <c r="A2005" s="2" t="s">
        <v>6115</v>
      </c>
      <c r="B2005" s="2" t="s">
        <v>4466</v>
      </c>
      <c r="C2005" s="2" t="s">
        <v>4467</v>
      </c>
      <c r="D2005" s="13" t="n">
        <v>45661.4423611111</v>
      </c>
      <c r="E2005" s="2" t="s">
        <v>43</v>
      </c>
      <c r="F2005" s="2" t="s">
        <v>31</v>
      </c>
      <c r="G2005" s="2" t="n">
        <v>2113.72</v>
      </c>
      <c r="H2005" s="2" t="n">
        <v>14.82</v>
      </c>
      <c r="I2005" s="2" t="s">
        <v>30</v>
      </c>
      <c r="J2005" s="2" t="s">
        <v>6116</v>
      </c>
      <c r="K2005" s="2" t="s">
        <v>122</v>
      </c>
      <c r="L2005" s="2"/>
      <c r="M2005" s="2" t="s">
        <v>594</v>
      </c>
    </row>
    <row r="2006" customFormat="false" ht="15" hidden="false" customHeight="false" outlineLevel="0" collapsed="false">
      <c r="A2006" s="2" t="s">
        <v>6117</v>
      </c>
      <c r="B2006" s="2" t="s">
        <v>1055</v>
      </c>
      <c r="C2006" s="2" t="s">
        <v>1056</v>
      </c>
      <c r="D2006" s="13" t="n">
        <v>45520.6298611111</v>
      </c>
      <c r="E2006" s="2" t="s">
        <v>43</v>
      </c>
      <c r="F2006" s="2" t="s">
        <v>27</v>
      </c>
      <c r="G2006" s="2" t="n">
        <v>7736.41</v>
      </c>
      <c r="H2006" s="2" t="n">
        <v>17.84</v>
      </c>
      <c r="I2006" s="2" t="s">
        <v>26</v>
      </c>
      <c r="J2006" s="2" t="s">
        <v>6118</v>
      </c>
      <c r="K2006" s="2" t="s">
        <v>89</v>
      </c>
      <c r="L2006" s="2"/>
      <c r="M2006" s="2" t="s">
        <v>112</v>
      </c>
    </row>
    <row r="2007" customFormat="false" ht="15" hidden="false" customHeight="false" outlineLevel="0" collapsed="false">
      <c r="A2007" s="2" t="s">
        <v>6119</v>
      </c>
      <c r="B2007" s="2" t="s">
        <v>2050</v>
      </c>
      <c r="C2007" s="2" t="s">
        <v>2051</v>
      </c>
      <c r="D2007" s="13" t="n">
        <v>45933.4319444444</v>
      </c>
      <c r="E2007" s="2" t="s">
        <v>39</v>
      </c>
      <c r="F2007" s="2" t="s">
        <v>29</v>
      </c>
      <c r="G2007" s="2" t="n">
        <v>4209.58</v>
      </c>
      <c r="H2007" s="2" t="n">
        <v>46.61</v>
      </c>
      <c r="I2007" s="2" t="s">
        <v>26</v>
      </c>
      <c r="J2007" s="2" t="s">
        <v>6120</v>
      </c>
      <c r="K2007" s="2" t="s">
        <v>122</v>
      </c>
      <c r="L2007" s="2" t="s">
        <v>358</v>
      </c>
      <c r="M2007" s="2"/>
    </row>
    <row r="2008" customFormat="false" ht="15" hidden="false" customHeight="false" outlineLevel="0" collapsed="false">
      <c r="A2008" s="2" t="s">
        <v>6121</v>
      </c>
      <c r="B2008" s="2" t="s">
        <v>1664</v>
      </c>
      <c r="C2008" s="2" t="s">
        <v>1665</v>
      </c>
      <c r="D2008" s="13" t="n">
        <v>45435.3493055556</v>
      </c>
      <c r="E2008" s="2" t="s">
        <v>37</v>
      </c>
      <c r="F2008" s="2" t="s">
        <v>31</v>
      </c>
      <c r="G2008" s="2" t="n">
        <v>8467.07</v>
      </c>
      <c r="H2008" s="2" t="n">
        <v>66.34</v>
      </c>
      <c r="I2008" s="2" t="s">
        <v>30</v>
      </c>
      <c r="J2008" s="2" t="s">
        <v>6122</v>
      </c>
      <c r="K2008" s="2" t="s">
        <v>101</v>
      </c>
      <c r="L2008" s="2" t="s">
        <v>1601</v>
      </c>
      <c r="M2008" s="2"/>
    </row>
    <row r="2009" customFormat="false" ht="15" hidden="false" customHeight="false" outlineLevel="0" collapsed="false">
      <c r="A2009" s="2" t="s">
        <v>6123</v>
      </c>
      <c r="B2009" s="2" t="s">
        <v>3366</v>
      </c>
      <c r="C2009" s="2" t="s">
        <v>3367</v>
      </c>
      <c r="D2009" s="13" t="n">
        <v>45323.8430555556</v>
      </c>
      <c r="E2009" s="2" t="s">
        <v>39</v>
      </c>
      <c r="F2009" s="2" t="s">
        <v>32</v>
      </c>
      <c r="G2009" s="2" t="n">
        <v>4847.6</v>
      </c>
      <c r="H2009" s="2" t="n">
        <v>53.15</v>
      </c>
      <c r="I2009" s="2" t="s">
        <v>26</v>
      </c>
      <c r="J2009" s="2" t="s">
        <v>6124</v>
      </c>
      <c r="K2009" s="2" t="s">
        <v>122</v>
      </c>
      <c r="L2009" s="2" t="s">
        <v>368</v>
      </c>
      <c r="M2009" s="2"/>
    </row>
    <row r="2010" customFormat="false" ht="15" hidden="false" customHeight="false" outlineLevel="0" collapsed="false">
      <c r="A2010" s="2" t="s">
        <v>6125</v>
      </c>
      <c r="B2010" s="2" t="s">
        <v>1967</v>
      </c>
      <c r="C2010" s="2" t="s">
        <v>1968</v>
      </c>
      <c r="D2010" s="13" t="n">
        <v>45942.4090277778</v>
      </c>
      <c r="E2010" s="2" t="s">
        <v>41</v>
      </c>
      <c r="F2010" s="2" t="s">
        <v>31</v>
      </c>
      <c r="G2010" s="2" t="n">
        <v>2542.43</v>
      </c>
      <c r="H2010" s="2" t="n">
        <v>21.78</v>
      </c>
      <c r="I2010" s="2" t="s">
        <v>30</v>
      </c>
      <c r="J2010" s="2" t="s">
        <v>6126</v>
      </c>
      <c r="K2010" s="2" t="s">
        <v>101</v>
      </c>
      <c r="L2010" s="2" t="s">
        <v>373</v>
      </c>
      <c r="M2010" s="2"/>
    </row>
    <row r="2011" customFormat="false" ht="15" hidden="false" customHeight="false" outlineLevel="0" collapsed="false">
      <c r="A2011" s="2" t="s">
        <v>6127</v>
      </c>
      <c r="B2011" s="2" t="s">
        <v>3780</v>
      </c>
      <c r="C2011" s="2" t="s">
        <v>3781</v>
      </c>
      <c r="D2011" s="13" t="n">
        <v>45990.7819444445</v>
      </c>
      <c r="E2011" s="2" t="s">
        <v>35</v>
      </c>
      <c r="F2011" s="2" t="s">
        <v>31</v>
      </c>
      <c r="G2011" s="2" t="n">
        <v>2810.18</v>
      </c>
      <c r="H2011" s="2" t="n">
        <v>14.6</v>
      </c>
      <c r="I2011" s="2" t="s">
        <v>26</v>
      </c>
      <c r="J2011" s="2" t="s">
        <v>6128</v>
      </c>
      <c r="K2011" s="2" t="s">
        <v>122</v>
      </c>
      <c r="L2011" s="2" t="s">
        <v>1034</v>
      </c>
      <c r="M2011" s="2"/>
    </row>
    <row r="2012" customFormat="false" ht="15" hidden="false" customHeight="false" outlineLevel="0" collapsed="false">
      <c r="A2012" s="2" t="s">
        <v>6129</v>
      </c>
      <c r="B2012" s="2" t="s">
        <v>1540</v>
      </c>
      <c r="C2012" s="2" t="s">
        <v>1541</v>
      </c>
      <c r="D2012" s="13" t="n">
        <v>45771.5284722222</v>
      </c>
      <c r="E2012" s="2" t="s">
        <v>39</v>
      </c>
      <c r="F2012" s="2" t="s">
        <v>31</v>
      </c>
      <c r="G2012" s="2" t="n">
        <v>15847.74</v>
      </c>
      <c r="H2012" s="2" t="n">
        <v>186.2</v>
      </c>
      <c r="I2012" s="2" t="s">
        <v>30</v>
      </c>
      <c r="J2012" s="2" t="s">
        <v>6130</v>
      </c>
      <c r="K2012" s="2" t="s">
        <v>89</v>
      </c>
      <c r="L2012" s="2" t="s">
        <v>1039</v>
      </c>
      <c r="M2012" s="2"/>
    </row>
    <row r="2013" customFormat="false" ht="15" hidden="false" customHeight="false" outlineLevel="0" collapsed="false">
      <c r="A2013" s="2" t="s">
        <v>6131</v>
      </c>
      <c r="B2013" s="2" t="s">
        <v>1540</v>
      </c>
      <c r="C2013" s="2" t="s">
        <v>1541</v>
      </c>
      <c r="D2013" s="13" t="n">
        <v>45435.3326388889</v>
      </c>
      <c r="E2013" s="2" t="s">
        <v>37</v>
      </c>
      <c r="F2013" s="2" t="s">
        <v>31</v>
      </c>
      <c r="G2013" s="2" t="n">
        <v>769.24</v>
      </c>
      <c r="H2013" s="2" t="n">
        <v>6.3</v>
      </c>
      <c r="I2013" s="2" t="s">
        <v>26</v>
      </c>
      <c r="J2013" s="2" t="s">
        <v>6132</v>
      </c>
      <c r="K2013" s="2" t="s">
        <v>95</v>
      </c>
      <c r="L2013" s="2" t="s">
        <v>1044</v>
      </c>
      <c r="M2013" s="2"/>
    </row>
    <row r="2014" customFormat="false" ht="15" hidden="false" customHeight="false" outlineLevel="0" collapsed="false">
      <c r="A2014" s="2" t="s">
        <v>6133</v>
      </c>
      <c r="B2014" s="2" t="s">
        <v>3764</v>
      </c>
      <c r="C2014" s="2" t="s">
        <v>3765</v>
      </c>
      <c r="D2014" s="13" t="n">
        <v>45704.4472222222</v>
      </c>
      <c r="E2014" s="2" t="s">
        <v>39</v>
      </c>
      <c r="F2014" s="2" t="s">
        <v>29</v>
      </c>
      <c r="G2014" s="2" t="n">
        <v>3004.74</v>
      </c>
      <c r="H2014" s="2" t="n">
        <v>22.16</v>
      </c>
      <c r="I2014" s="2" t="s">
        <v>26</v>
      </c>
      <c r="J2014" s="2" t="s">
        <v>6134</v>
      </c>
      <c r="K2014" s="2" t="s">
        <v>89</v>
      </c>
      <c r="L2014" s="2" t="s">
        <v>393</v>
      </c>
      <c r="M2014" s="2"/>
    </row>
    <row r="2015" customFormat="false" ht="15" hidden="false" customHeight="false" outlineLevel="0" collapsed="false">
      <c r="A2015" s="2" t="s">
        <v>6135</v>
      </c>
      <c r="B2015" s="2" t="s">
        <v>285</v>
      </c>
      <c r="C2015" s="2" t="s">
        <v>286</v>
      </c>
      <c r="D2015" s="13" t="n">
        <v>46002.6909722222</v>
      </c>
      <c r="E2015" s="2" t="s">
        <v>35</v>
      </c>
      <c r="F2015" s="2" t="s">
        <v>29</v>
      </c>
      <c r="G2015" s="2" t="n">
        <v>3163.02</v>
      </c>
      <c r="H2015" s="2" t="n">
        <v>22.83</v>
      </c>
      <c r="I2015" s="2" t="s">
        <v>26</v>
      </c>
      <c r="J2015" s="2" t="s">
        <v>6136</v>
      </c>
      <c r="K2015" s="2" t="s">
        <v>122</v>
      </c>
      <c r="L2015" s="2" t="s">
        <v>1628</v>
      </c>
      <c r="M2015" s="2"/>
    </row>
    <row r="2016" customFormat="false" ht="15" hidden="false" customHeight="false" outlineLevel="0" collapsed="false">
      <c r="A2016" s="2" t="s">
        <v>6137</v>
      </c>
      <c r="B2016" s="2" t="s">
        <v>720</v>
      </c>
      <c r="C2016" s="2" t="s">
        <v>721</v>
      </c>
      <c r="D2016" s="13" t="n">
        <v>45591.7027777778</v>
      </c>
      <c r="E2016" s="2" t="s">
        <v>43</v>
      </c>
      <c r="F2016" s="2" t="s">
        <v>27</v>
      </c>
      <c r="G2016" s="2" t="n">
        <v>18527.1</v>
      </c>
      <c r="H2016" s="2" t="n">
        <v>165.95</v>
      </c>
      <c r="I2016" s="2" t="s">
        <v>26</v>
      </c>
      <c r="J2016" s="2" t="s">
        <v>6138</v>
      </c>
      <c r="K2016" s="2" t="s">
        <v>89</v>
      </c>
      <c r="L2016" s="2"/>
      <c r="M2016" s="2" t="s">
        <v>1448</v>
      </c>
    </row>
    <row r="2017" customFormat="false" ht="15" hidden="false" customHeight="false" outlineLevel="0" collapsed="false">
      <c r="A2017" s="2" t="s">
        <v>6139</v>
      </c>
      <c r="B2017" s="2" t="s">
        <v>1999</v>
      </c>
      <c r="C2017" s="2" t="s">
        <v>2000</v>
      </c>
      <c r="D2017" s="13" t="n">
        <v>45308.4388888889</v>
      </c>
      <c r="E2017" s="2" t="s">
        <v>41</v>
      </c>
      <c r="F2017" s="2" t="s">
        <v>29</v>
      </c>
      <c r="G2017" s="2" t="n">
        <v>3025.28</v>
      </c>
      <c r="H2017" s="2" t="n">
        <v>13.04</v>
      </c>
      <c r="I2017" s="2" t="s">
        <v>26</v>
      </c>
      <c r="J2017" s="2" t="s">
        <v>6140</v>
      </c>
      <c r="K2017" s="2" t="s">
        <v>89</v>
      </c>
      <c r="L2017" s="2" t="s">
        <v>408</v>
      </c>
      <c r="M2017" s="2"/>
    </row>
    <row r="2018" customFormat="false" ht="15" hidden="false" customHeight="false" outlineLevel="0" collapsed="false">
      <c r="A2018" s="2" t="s">
        <v>6141</v>
      </c>
      <c r="B2018" s="2" t="s">
        <v>1510</v>
      </c>
      <c r="C2018" s="2" t="s">
        <v>1511</v>
      </c>
      <c r="D2018" s="13" t="n">
        <v>45584.6763888889</v>
      </c>
      <c r="E2018" s="2" t="s">
        <v>37</v>
      </c>
      <c r="F2018" s="2" t="s">
        <v>27</v>
      </c>
      <c r="G2018" s="2" t="n">
        <v>2134.68</v>
      </c>
      <c r="H2018" s="2" t="n">
        <v>12.3</v>
      </c>
      <c r="I2018" s="2" t="s">
        <v>30</v>
      </c>
      <c r="J2018" s="2" t="s">
        <v>6142</v>
      </c>
      <c r="K2018" s="2" t="s">
        <v>101</v>
      </c>
      <c r="L2018" s="2"/>
      <c r="M2018" s="2" t="s">
        <v>163</v>
      </c>
    </row>
    <row r="2019" customFormat="false" ht="15" hidden="false" customHeight="false" outlineLevel="0" collapsed="false">
      <c r="A2019" s="2" t="s">
        <v>6143</v>
      </c>
      <c r="B2019" s="2" t="s">
        <v>2139</v>
      </c>
      <c r="C2019" s="2" t="s">
        <v>2140</v>
      </c>
      <c r="D2019" s="13" t="n">
        <v>45987.3666666667</v>
      </c>
      <c r="E2019" s="2" t="s">
        <v>41</v>
      </c>
      <c r="F2019" s="2" t="s">
        <v>31</v>
      </c>
      <c r="G2019" s="2" t="n">
        <v>450.34</v>
      </c>
      <c r="H2019" s="2" t="n">
        <v>5</v>
      </c>
      <c r="I2019" s="2" t="s">
        <v>26</v>
      </c>
      <c r="J2019" s="2" t="s">
        <v>6144</v>
      </c>
      <c r="K2019" s="2" t="s">
        <v>122</v>
      </c>
      <c r="L2019" s="2" t="s">
        <v>418</v>
      </c>
      <c r="M2019" s="2"/>
    </row>
    <row r="2020" customFormat="false" ht="15" hidden="false" customHeight="false" outlineLevel="0" collapsed="false">
      <c r="A2020" s="2" t="s">
        <v>6145</v>
      </c>
      <c r="B2020" s="2" t="s">
        <v>6032</v>
      </c>
      <c r="C2020" s="2" t="s">
        <v>6033</v>
      </c>
      <c r="D2020" s="13" t="n">
        <v>45901.4694444445</v>
      </c>
      <c r="E2020" s="2" t="s">
        <v>39</v>
      </c>
      <c r="F2020" s="2" t="s">
        <v>29</v>
      </c>
      <c r="G2020" s="2" t="n">
        <v>2734.02</v>
      </c>
      <c r="H2020" s="2" t="n">
        <v>13.22</v>
      </c>
      <c r="I2020" s="2" t="s">
        <v>28</v>
      </c>
      <c r="J2020" s="2" t="s">
        <v>6146</v>
      </c>
      <c r="K2020" s="2" t="s">
        <v>89</v>
      </c>
      <c r="L2020" s="2" t="s">
        <v>423</v>
      </c>
      <c r="M2020" s="2"/>
    </row>
    <row r="2021" customFormat="false" ht="15" hidden="false" customHeight="false" outlineLevel="0" collapsed="false">
      <c r="A2021" s="2" t="s">
        <v>6147</v>
      </c>
      <c r="B2021" s="2" t="s">
        <v>2422</v>
      </c>
      <c r="C2021" s="2" t="s">
        <v>2423</v>
      </c>
      <c r="D2021" s="13" t="n">
        <v>45988.54375</v>
      </c>
      <c r="E2021" s="2" t="s">
        <v>41</v>
      </c>
      <c r="F2021" s="2" t="s">
        <v>32</v>
      </c>
      <c r="G2021" s="2" t="n">
        <v>1193.1</v>
      </c>
      <c r="H2021" s="2" t="n">
        <v>14.05</v>
      </c>
      <c r="I2021" s="2" t="s">
        <v>26</v>
      </c>
      <c r="J2021" s="2" t="s">
        <v>6148</v>
      </c>
      <c r="K2021" s="2" t="s">
        <v>89</v>
      </c>
      <c r="L2021" s="2" t="s">
        <v>428</v>
      </c>
      <c r="M2021" s="2"/>
    </row>
    <row r="2022" customFormat="false" ht="15" hidden="false" customHeight="false" outlineLevel="0" collapsed="false">
      <c r="A2022" s="2" t="s">
        <v>6149</v>
      </c>
      <c r="B2022" s="2" t="s">
        <v>3578</v>
      </c>
      <c r="C2022" s="2" t="s">
        <v>3579</v>
      </c>
      <c r="D2022" s="13" t="n">
        <v>45562.7805555556</v>
      </c>
      <c r="E2022" s="2" t="s">
        <v>39</v>
      </c>
      <c r="F2022" s="2" t="s">
        <v>32</v>
      </c>
      <c r="G2022" s="2" t="n">
        <v>2891.58</v>
      </c>
      <c r="H2022" s="2" t="n">
        <v>20.53</v>
      </c>
      <c r="I2022" s="2" t="s">
        <v>26</v>
      </c>
      <c r="J2022" s="2" t="s">
        <v>6150</v>
      </c>
      <c r="K2022" s="2" t="s">
        <v>101</v>
      </c>
      <c r="L2022" s="2" t="s">
        <v>433</v>
      </c>
      <c r="M2022" s="2"/>
    </row>
    <row r="2023" customFormat="false" ht="15" hidden="false" customHeight="false" outlineLevel="0" collapsed="false">
      <c r="A2023" s="2" t="s">
        <v>6151</v>
      </c>
      <c r="B2023" s="2" t="s">
        <v>4720</v>
      </c>
      <c r="C2023" s="2" t="s">
        <v>4721</v>
      </c>
      <c r="D2023" s="13" t="n">
        <v>45374.91875</v>
      </c>
      <c r="E2023" s="2" t="s">
        <v>41</v>
      </c>
      <c r="F2023" s="2" t="s">
        <v>29</v>
      </c>
      <c r="G2023" s="2" t="n">
        <v>14511.11</v>
      </c>
      <c r="H2023" s="2" t="n">
        <v>57.73</v>
      </c>
      <c r="I2023" s="2" t="s">
        <v>26</v>
      </c>
      <c r="J2023" s="2" t="s">
        <v>6152</v>
      </c>
      <c r="K2023" s="2" t="s">
        <v>122</v>
      </c>
      <c r="L2023" s="2" t="s">
        <v>438</v>
      </c>
      <c r="M2023" s="2"/>
    </row>
    <row r="2024" customFormat="false" ht="15" hidden="false" customHeight="false" outlineLevel="0" collapsed="false">
      <c r="A2024" s="2" t="s">
        <v>6153</v>
      </c>
      <c r="B2024" s="2" t="s">
        <v>5174</v>
      </c>
      <c r="C2024" s="2" t="s">
        <v>5175</v>
      </c>
      <c r="D2024" s="13" t="n">
        <v>45321.7173611111</v>
      </c>
      <c r="E2024" s="2" t="s">
        <v>41</v>
      </c>
      <c r="F2024" s="2" t="s">
        <v>32</v>
      </c>
      <c r="G2024" s="2" t="n">
        <v>2978.68</v>
      </c>
      <c r="H2024" s="2" t="n">
        <v>32.03</v>
      </c>
      <c r="I2024" s="2" t="s">
        <v>26</v>
      </c>
      <c r="J2024" s="2" t="s">
        <v>6154</v>
      </c>
      <c r="K2024" s="2" t="s">
        <v>89</v>
      </c>
      <c r="L2024" s="2" t="s">
        <v>443</v>
      </c>
      <c r="M2024" s="2"/>
    </row>
    <row r="2025" customFormat="false" ht="15" hidden="false" customHeight="false" outlineLevel="0" collapsed="false">
      <c r="A2025" s="2" t="s">
        <v>6155</v>
      </c>
      <c r="B2025" s="2" t="s">
        <v>1124</v>
      </c>
      <c r="C2025" s="2" t="s">
        <v>1125</v>
      </c>
      <c r="D2025" s="13" t="n">
        <v>45636.6291666667</v>
      </c>
      <c r="E2025" s="2" t="s">
        <v>39</v>
      </c>
      <c r="F2025" s="2" t="s">
        <v>32</v>
      </c>
      <c r="G2025" s="2" t="n">
        <v>5245.4</v>
      </c>
      <c r="H2025" s="2" t="n">
        <v>54.34</v>
      </c>
      <c r="I2025" s="2" t="s">
        <v>26</v>
      </c>
      <c r="J2025" s="2" t="s">
        <v>6156</v>
      </c>
      <c r="K2025" s="2" t="s">
        <v>122</v>
      </c>
      <c r="L2025" s="2" t="s">
        <v>2186</v>
      </c>
      <c r="M2025" s="2"/>
    </row>
    <row r="2026" customFormat="false" ht="15" hidden="false" customHeight="false" outlineLevel="0" collapsed="false">
      <c r="A2026" s="2" t="s">
        <v>6157</v>
      </c>
      <c r="B2026" s="2" t="s">
        <v>558</v>
      </c>
      <c r="C2026" s="2" t="s">
        <v>559</v>
      </c>
      <c r="D2026" s="13" t="n">
        <v>45792.4270833333</v>
      </c>
      <c r="E2026" s="2" t="s">
        <v>39</v>
      </c>
      <c r="F2026" s="2" t="s">
        <v>29</v>
      </c>
      <c r="G2026" s="2" t="n">
        <v>12841.12</v>
      </c>
      <c r="H2026" s="2" t="n">
        <v>51.87</v>
      </c>
      <c r="I2026" s="2" t="s">
        <v>26</v>
      </c>
      <c r="J2026" s="2" t="s">
        <v>6158</v>
      </c>
      <c r="K2026" s="2" t="s">
        <v>95</v>
      </c>
      <c r="L2026" s="2" t="s">
        <v>453</v>
      </c>
      <c r="M2026" s="2"/>
    </row>
    <row r="2027" customFormat="false" ht="15" hidden="false" customHeight="false" outlineLevel="0" collapsed="false">
      <c r="A2027" s="2" t="s">
        <v>6159</v>
      </c>
      <c r="B2027" s="2" t="s">
        <v>2371</v>
      </c>
      <c r="C2027" s="2" t="s">
        <v>2372</v>
      </c>
      <c r="D2027" s="13" t="n">
        <v>45983.6777777778</v>
      </c>
      <c r="E2027" s="2" t="s">
        <v>41</v>
      </c>
      <c r="F2027" s="2" t="s">
        <v>29</v>
      </c>
      <c r="G2027" s="2" t="n">
        <v>9576.38</v>
      </c>
      <c r="H2027" s="2" t="n">
        <v>113.61</v>
      </c>
      <c r="I2027" s="2" t="s">
        <v>26</v>
      </c>
      <c r="J2027" s="2" t="s">
        <v>6160</v>
      </c>
      <c r="K2027" s="2" t="s">
        <v>101</v>
      </c>
      <c r="L2027" s="2" t="s">
        <v>458</v>
      </c>
      <c r="M2027" s="2"/>
    </row>
    <row r="2028" customFormat="false" ht="15" hidden="false" customHeight="false" outlineLevel="0" collapsed="false">
      <c r="A2028" s="2" t="s">
        <v>6161</v>
      </c>
      <c r="B2028" s="2" t="s">
        <v>380</v>
      </c>
      <c r="C2028" s="2" t="s">
        <v>381</v>
      </c>
      <c r="D2028" s="13" t="n">
        <v>45431.7423611111</v>
      </c>
      <c r="E2028" s="2" t="s">
        <v>35</v>
      </c>
      <c r="F2028" s="2" t="s">
        <v>29</v>
      </c>
      <c r="G2028" s="2" t="n">
        <v>3470.45</v>
      </c>
      <c r="H2028" s="2" t="n">
        <v>21.15</v>
      </c>
      <c r="I2028" s="2" t="s">
        <v>26</v>
      </c>
      <c r="J2028" s="2" t="s">
        <v>6162</v>
      </c>
      <c r="K2028" s="2" t="s">
        <v>95</v>
      </c>
      <c r="L2028" s="2" t="s">
        <v>1105</v>
      </c>
      <c r="M2028" s="2"/>
    </row>
    <row r="2029" customFormat="false" ht="15" hidden="false" customHeight="false" outlineLevel="0" collapsed="false">
      <c r="A2029" s="2" t="s">
        <v>6163</v>
      </c>
      <c r="B2029" s="2" t="s">
        <v>4828</v>
      </c>
      <c r="C2029" s="2" t="s">
        <v>4829</v>
      </c>
      <c r="D2029" s="13" t="n">
        <v>46010.3986111111</v>
      </c>
      <c r="E2029" s="2" t="s">
        <v>37</v>
      </c>
      <c r="F2029" s="2" t="s">
        <v>29</v>
      </c>
      <c r="G2029" s="2" t="n">
        <v>432.91</v>
      </c>
      <c r="H2029" s="2" t="n">
        <v>5</v>
      </c>
      <c r="I2029" s="2" t="s">
        <v>28</v>
      </c>
      <c r="J2029" s="2" t="s">
        <v>6164</v>
      </c>
      <c r="K2029" s="2" t="s">
        <v>95</v>
      </c>
      <c r="L2029" s="2" t="s">
        <v>468</v>
      </c>
      <c r="M2029" s="2"/>
    </row>
    <row r="2030" customFormat="false" ht="15" hidden="false" customHeight="false" outlineLevel="0" collapsed="false">
      <c r="A2030" s="2" t="s">
        <v>6165</v>
      </c>
      <c r="B2030" s="2" t="s">
        <v>2086</v>
      </c>
      <c r="C2030" s="2" t="s">
        <v>2087</v>
      </c>
      <c r="D2030" s="13" t="n">
        <v>45834.4902777778</v>
      </c>
      <c r="E2030" s="2" t="s">
        <v>35</v>
      </c>
      <c r="F2030" s="2" t="s">
        <v>29</v>
      </c>
      <c r="G2030" s="2" t="n">
        <v>5905.33</v>
      </c>
      <c r="H2030" s="2" t="n">
        <v>43.34</v>
      </c>
      <c r="I2030" s="2" t="s">
        <v>26</v>
      </c>
      <c r="J2030" s="2" t="s">
        <v>6166</v>
      </c>
      <c r="K2030" s="2" t="s">
        <v>95</v>
      </c>
      <c r="L2030" s="2" t="s">
        <v>473</v>
      </c>
      <c r="M2030" s="2"/>
    </row>
    <row r="2031" customFormat="false" ht="15" hidden="false" customHeight="false" outlineLevel="0" collapsed="false">
      <c r="A2031" s="2" t="s">
        <v>6167</v>
      </c>
      <c r="B2031" s="2" t="s">
        <v>5074</v>
      </c>
      <c r="C2031" s="2" t="s">
        <v>5075</v>
      </c>
      <c r="D2031" s="13" t="n">
        <v>45488.4666666667</v>
      </c>
      <c r="E2031" s="2" t="s">
        <v>35</v>
      </c>
      <c r="F2031" s="2" t="s">
        <v>31</v>
      </c>
      <c r="G2031" s="2" t="n">
        <v>2654.47</v>
      </c>
      <c r="H2031" s="2" t="n">
        <v>11.41</v>
      </c>
      <c r="I2031" s="2" t="s">
        <v>30</v>
      </c>
      <c r="J2031" s="2" t="s">
        <v>6168</v>
      </c>
      <c r="K2031" s="2" t="s">
        <v>95</v>
      </c>
      <c r="L2031" s="2" t="s">
        <v>478</v>
      </c>
      <c r="M2031" s="2"/>
    </row>
    <row r="2032" customFormat="false" ht="15" hidden="false" customHeight="false" outlineLevel="0" collapsed="false">
      <c r="A2032" s="2" t="s">
        <v>6169</v>
      </c>
      <c r="B2032" s="2" t="s">
        <v>505</v>
      </c>
      <c r="C2032" s="2" t="s">
        <v>506</v>
      </c>
      <c r="D2032" s="13" t="n">
        <v>45977.7472222222</v>
      </c>
      <c r="E2032" s="2" t="s">
        <v>39</v>
      </c>
      <c r="F2032" s="2" t="s">
        <v>27</v>
      </c>
      <c r="G2032" s="2" t="n">
        <v>6667.6</v>
      </c>
      <c r="H2032" s="2" t="n">
        <v>15.35</v>
      </c>
      <c r="I2032" s="2" t="s">
        <v>26</v>
      </c>
      <c r="J2032" s="2" t="s">
        <v>6170</v>
      </c>
      <c r="K2032" s="2" t="s">
        <v>89</v>
      </c>
      <c r="L2032" s="2"/>
      <c r="M2032" s="2" t="s">
        <v>233</v>
      </c>
    </row>
    <row r="2033" customFormat="false" ht="15" hidden="false" customHeight="false" outlineLevel="0" collapsed="false">
      <c r="A2033" s="2" t="s">
        <v>6171</v>
      </c>
      <c r="B2033" s="2" t="s">
        <v>1692</v>
      </c>
      <c r="C2033" s="2" t="s">
        <v>1693</v>
      </c>
      <c r="D2033" s="13" t="n">
        <v>45801.4006944444</v>
      </c>
      <c r="E2033" s="2" t="s">
        <v>41</v>
      </c>
      <c r="F2033" s="2" t="s">
        <v>29</v>
      </c>
      <c r="G2033" s="2" t="n">
        <v>76814.28</v>
      </c>
      <c r="H2033" s="2" t="n">
        <v>784.49</v>
      </c>
      <c r="I2033" s="2" t="s">
        <v>26</v>
      </c>
      <c r="J2033" s="2" t="s">
        <v>6172</v>
      </c>
      <c r="K2033" s="2" t="s">
        <v>101</v>
      </c>
      <c r="L2033" s="2" t="s">
        <v>488</v>
      </c>
      <c r="M2033" s="2"/>
    </row>
    <row r="2034" customFormat="false" ht="15" hidden="false" customHeight="false" outlineLevel="0" collapsed="false">
      <c r="A2034" s="2" t="s">
        <v>6173</v>
      </c>
      <c r="B2034" s="2" t="s">
        <v>683</v>
      </c>
      <c r="C2034" s="2" t="s">
        <v>684</v>
      </c>
      <c r="D2034" s="13" t="n">
        <v>45426.7576388889</v>
      </c>
      <c r="E2034" s="2" t="s">
        <v>37</v>
      </c>
      <c r="F2034" s="2" t="s">
        <v>29</v>
      </c>
      <c r="G2034" s="2" t="n">
        <v>1140.96</v>
      </c>
      <c r="H2034" s="2" t="n">
        <v>7.9</v>
      </c>
      <c r="I2034" s="2" t="s">
        <v>26</v>
      </c>
      <c r="J2034" s="2" t="s">
        <v>6174</v>
      </c>
      <c r="K2034" s="2" t="s">
        <v>101</v>
      </c>
      <c r="L2034" s="2" t="s">
        <v>1122</v>
      </c>
      <c r="M2034" s="2"/>
    </row>
    <row r="2035" customFormat="false" ht="15" hidden="false" customHeight="false" outlineLevel="0" collapsed="false">
      <c r="A2035" s="2" t="s">
        <v>6175</v>
      </c>
      <c r="B2035" s="2" t="s">
        <v>573</v>
      </c>
      <c r="C2035" s="2" t="s">
        <v>574</v>
      </c>
      <c r="D2035" s="13" t="n">
        <v>45691.6597222222</v>
      </c>
      <c r="E2035" s="2" t="s">
        <v>39</v>
      </c>
      <c r="F2035" s="2" t="s">
        <v>31</v>
      </c>
      <c r="G2035" s="2" t="n">
        <v>4698.63</v>
      </c>
      <c r="H2035" s="2" t="n">
        <v>29.47</v>
      </c>
      <c r="I2035" s="2" t="s">
        <v>26</v>
      </c>
      <c r="J2035" s="2" t="s">
        <v>6176</v>
      </c>
      <c r="K2035" s="2" t="s">
        <v>89</v>
      </c>
      <c r="L2035" s="2" t="s">
        <v>1127</v>
      </c>
      <c r="M2035" s="2"/>
    </row>
    <row r="2036" customFormat="false" ht="15" hidden="false" customHeight="false" outlineLevel="0" collapsed="false">
      <c r="A2036" s="2" t="s">
        <v>6177</v>
      </c>
      <c r="B2036" s="2" t="s">
        <v>5356</v>
      </c>
      <c r="C2036" s="2" t="s">
        <v>5357</v>
      </c>
      <c r="D2036" s="13" t="n">
        <v>45873.475</v>
      </c>
      <c r="E2036" s="2" t="s">
        <v>37</v>
      </c>
      <c r="F2036" s="2" t="s">
        <v>29</v>
      </c>
      <c r="G2036" s="2" t="n">
        <v>2178.22</v>
      </c>
      <c r="H2036" s="2" t="n">
        <v>25.27</v>
      </c>
      <c r="I2036" s="2" t="s">
        <v>26</v>
      </c>
      <c r="J2036" s="2" t="s">
        <v>6178</v>
      </c>
      <c r="K2036" s="2" t="s">
        <v>95</v>
      </c>
      <c r="L2036" s="2" t="s">
        <v>503</v>
      </c>
      <c r="M2036" s="2"/>
    </row>
    <row r="2037" customFormat="false" ht="15" hidden="false" customHeight="false" outlineLevel="0" collapsed="false">
      <c r="A2037" s="2" t="s">
        <v>6179</v>
      </c>
      <c r="B2037" s="2" t="s">
        <v>814</v>
      </c>
      <c r="C2037" s="2" t="s">
        <v>815</v>
      </c>
      <c r="D2037" s="13" t="n">
        <v>45765.6180555556</v>
      </c>
      <c r="E2037" s="2" t="s">
        <v>37</v>
      </c>
      <c r="F2037" s="2" t="s">
        <v>31</v>
      </c>
      <c r="G2037" s="2" t="n">
        <v>1938.13</v>
      </c>
      <c r="H2037" s="2" t="n">
        <v>9.5</v>
      </c>
      <c r="I2037" s="2" t="s">
        <v>28</v>
      </c>
      <c r="J2037" s="2" t="s">
        <v>6180</v>
      </c>
      <c r="K2037" s="2" t="s">
        <v>89</v>
      </c>
      <c r="L2037" s="2" t="s">
        <v>508</v>
      </c>
      <c r="M2037" s="2"/>
    </row>
    <row r="2038" customFormat="false" ht="15" hidden="false" customHeight="false" outlineLevel="0" collapsed="false">
      <c r="A2038" s="2" t="s">
        <v>6181</v>
      </c>
      <c r="B2038" s="2" t="s">
        <v>1075</v>
      </c>
      <c r="C2038" s="2" t="s">
        <v>1076</v>
      </c>
      <c r="D2038" s="13" t="n">
        <v>45416.3305555556</v>
      </c>
      <c r="E2038" s="2" t="s">
        <v>35</v>
      </c>
      <c r="F2038" s="2" t="s">
        <v>32</v>
      </c>
      <c r="G2038" s="2" t="n">
        <v>1604.15</v>
      </c>
      <c r="H2038" s="2" t="n">
        <v>16.2</v>
      </c>
      <c r="I2038" s="2" t="s">
        <v>28</v>
      </c>
      <c r="J2038" s="2" t="s">
        <v>6182</v>
      </c>
      <c r="K2038" s="2" t="s">
        <v>122</v>
      </c>
      <c r="L2038" s="2" t="s">
        <v>1139</v>
      </c>
      <c r="M2038" s="2"/>
    </row>
    <row r="2039" customFormat="false" ht="15" hidden="false" customHeight="false" outlineLevel="0" collapsed="false">
      <c r="A2039" s="2" t="s">
        <v>6183</v>
      </c>
      <c r="B2039" s="2" t="s">
        <v>4174</v>
      </c>
      <c r="C2039" s="2" t="s">
        <v>4175</v>
      </c>
      <c r="D2039" s="13" t="n">
        <v>45386.8354166667</v>
      </c>
      <c r="E2039" s="2" t="s">
        <v>39</v>
      </c>
      <c r="F2039" s="2" t="s">
        <v>27</v>
      </c>
      <c r="G2039" s="2" t="n">
        <v>755.16</v>
      </c>
      <c r="H2039" s="2" t="n">
        <v>5</v>
      </c>
      <c r="I2039" s="2" t="s">
        <v>28</v>
      </c>
      <c r="J2039" s="2" t="s">
        <v>6184</v>
      </c>
      <c r="K2039" s="2" t="s">
        <v>95</v>
      </c>
      <c r="L2039" s="2"/>
      <c r="M2039" s="2" t="s">
        <v>268</v>
      </c>
    </row>
    <row r="2040" customFormat="false" ht="15" hidden="false" customHeight="false" outlineLevel="0" collapsed="false">
      <c r="A2040" s="2" t="s">
        <v>6185</v>
      </c>
      <c r="B2040" s="2" t="s">
        <v>2155</v>
      </c>
      <c r="C2040" s="2" t="s">
        <v>2156</v>
      </c>
      <c r="D2040" s="13" t="n">
        <v>45431.7791666667</v>
      </c>
      <c r="E2040" s="2" t="s">
        <v>37</v>
      </c>
      <c r="F2040" s="2" t="s">
        <v>31</v>
      </c>
      <c r="G2040" s="2" t="n">
        <v>6661.26</v>
      </c>
      <c r="H2040" s="2" t="n">
        <v>21.61</v>
      </c>
      <c r="I2040" s="2" t="s">
        <v>26</v>
      </c>
      <c r="J2040" s="2" t="s">
        <v>6186</v>
      </c>
      <c r="K2040" s="2" t="s">
        <v>95</v>
      </c>
      <c r="L2040" s="2" t="s">
        <v>523</v>
      </c>
      <c r="M2040" s="2"/>
    </row>
    <row r="2041" customFormat="false" ht="15" hidden="false" customHeight="false" outlineLevel="0" collapsed="false">
      <c r="A2041" s="2" t="s">
        <v>6187</v>
      </c>
      <c r="B2041" s="2" t="s">
        <v>2665</v>
      </c>
      <c r="C2041" s="2" t="s">
        <v>2666</v>
      </c>
      <c r="D2041" s="13" t="n">
        <v>45352.6159722222</v>
      </c>
      <c r="E2041" s="2" t="s">
        <v>41</v>
      </c>
      <c r="F2041" s="2" t="s">
        <v>29</v>
      </c>
      <c r="G2041" s="2" t="n">
        <v>11010.16</v>
      </c>
      <c r="H2041" s="2" t="n">
        <v>86.37</v>
      </c>
      <c r="I2041" s="2" t="s">
        <v>26</v>
      </c>
      <c r="J2041" s="2" t="s">
        <v>6188</v>
      </c>
      <c r="K2041" s="2" t="s">
        <v>95</v>
      </c>
      <c r="L2041" s="2" t="s">
        <v>1152</v>
      </c>
      <c r="M2041" s="2"/>
    </row>
    <row r="2042" customFormat="false" ht="15" hidden="false" customHeight="false" outlineLevel="0" collapsed="false">
      <c r="A2042" s="2" t="s">
        <v>6189</v>
      </c>
      <c r="B2042" s="2" t="s">
        <v>1979</v>
      </c>
      <c r="C2042" s="2" t="s">
        <v>1980</v>
      </c>
      <c r="D2042" s="13" t="n">
        <v>45862.75625</v>
      </c>
      <c r="E2042" s="2" t="s">
        <v>37</v>
      </c>
      <c r="F2042" s="2" t="s">
        <v>29</v>
      </c>
      <c r="G2042" s="2" t="n">
        <v>6128.33</v>
      </c>
      <c r="H2042" s="2" t="n">
        <v>17.82</v>
      </c>
      <c r="I2042" s="2" t="s">
        <v>28</v>
      </c>
      <c r="J2042" s="2" t="s">
        <v>6190</v>
      </c>
      <c r="K2042" s="2" t="s">
        <v>122</v>
      </c>
      <c r="L2042" s="2" t="s">
        <v>1726</v>
      </c>
      <c r="M2042" s="2"/>
    </row>
    <row r="2043" customFormat="false" ht="15" hidden="false" customHeight="false" outlineLevel="0" collapsed="false">
      <c r="A2043" s="2" t="s">
        <v>6191</v>
      </c>
      <c r="B2043" s="2" t="s">
        <v>2573</v>
      </c>
      <c r="C2043" s="2" t="s">
        <v>2574</v>
      </c>
      <c r="D2043" s="13" t="n">
        <v>45560.7493055556</v>
      </c>
      <c r="E2043" s="2" t="s">
        <v>35</v>
      </c>
      <c r="F2043" s="2" t="s">
        <v>29</v>
      </c>
      <c r="G2043" s="2" t="n">
        <v>14683.82</v>
      </c>
      <c r="H2043" s="2" t="n">
        <v>139.27</v>
      </c>
      <c r="I2043" s="2" t="s">
        <v>26</v>
      </c>
      <c r="J2043" s="2" t="s">
        <v>6192</v>
      </c>
      <c r="K2043" s="2" t="s">
        <v>89</v>
      </c>
      <c r="L2043" s="2" t="s">
        <v>1160</v>
      </c>
      <c r="M2043" s="2"/>
    </row>
    <row r="2044" customFormat="false" ht="15" hidden="false" customHeight="false" outlineLevel="0" collapsed="false">
      <c r="A2044" s="2" t="s">
        <v>6193</v>
      </c>
      <c r="B2044" s="2" t="s">
        <v>2302</v>
      </c>
      <c r="C2044" s="2" t="s">
        <v>2303</v>
      </c>
      <c r="D2044" s="13" t="n">
        <v>45751.5736111111</v>
      </c>
      <c r="E2044" s="2" t="s">
        <v>41</v>
      </c>
      <c r="F2044" s="2" t="s">
        <v>27</v>
      </c>
      <c r="G2044" s="2" t="n">
        <v>1056.63</v>
      </c>
      <c r="H2044" s="2" t="n">
        <v>9.07</v>
      </c>
      <c r="I2044" s="2" t="s">
        <v>30</v>
      </c>
      <c r="J2044" s="2" t="s">
        <v>6194</v>
      </c>
      <c r="K2044" s="2" t="s">
        <v>89</v>
      </c>
      <c r="L2044" s="2"/>
      <c r="M2044" s="2" t="s">
        <v>762</v>
      </c>
    </row>
    <row r="2045" customFormat="false" ht="15" hidden="false" customHeight="false" outlineLevel="0" collapsed="false">
      <c r="A2045" s="2" t="s">
        <v>6195</v>
      </c>
      <c r="B2045" s="2" t="s">
        <v>1117</v>
      </c>
      <c r="C2045" s="2" t="s">
        <v>1118</v>
      </c>
      <c r="D2045" s="13" t="n">
        <v>45526.4958333333</v>
      </c>
      <c r="E2045" s="2" t="s">
        <v>41</v>
      </c>
      <c r="F2045" s="2" t="s">
        <v>32</v>
      </c>
      <c r="G2045" s="2" t="n">
        <v>590.25</v>
      </c>
      <c r="H2045" s="2" t="n">
        <v>6.51</v>
      </c>
      <c r="I2045" s="2" t="s">
        <v>28</v>
      </c>
      <c r="J2045" s="2" t="s">
        <v>6196</v>
      </c>
      <c r="K2045" s="2" t="s">
        <v>95</v>
      </c>
      <c r="L2045" s="2" t="s">
        <v>1169</v>
      </c>
      <c r="M2045" s="2"/>
    </row>
    <row r="2046" customFormat="false" ht="15" hidden="false" customHeight="false" outlineLevel="0" collapsed="false">
      <c r="A2046" s="2" t="s">
        <v>6197</v>
      </c>
      <c r="B2046" s="2" t="s">
        <v>705</v>
      </c>
      <c r="C2046" s="2" t="s">
        <v>706</v>
      </c>
      <c r="D2046" s="13" t="n">
        <v>45973.4791666667</v>
      </c>
      <c r="E2046" s="2" t="s">
        <v>35</v>
      </c>
      <c r="F2046" s="2" t="s">
        <v>31</v>
      </c>
      <c r="G2046" s="2" t="n">
        <v>2811.21</v>
      </c>
      <c r="H2046" s="2" t="n">
        <v>31.43</v>
      </c>
      <c r="I2046" s="2" t="s">
        <v>30</v>
      </c>
      <c r="J2046" s="2" t="s">
        <v>6198</v>
      </c>
      <c r="K2046" s="2" t="s">
        <v>101</v>
      </c>
      <c r="L2046" s="2" t="s">
        <v>2735</v>
      </c>
      <c r="M2046" s="2"/>
    </row>
    <row r="2047" customFormat="false" ht="15" hidden="false" customHeight="false" outlineLevel="0" collapsed="false">
      <c r="A2047" s="2" t="s">
        <v>6199</v>
      </c>
      <c r="B2047" s="2" t="s">
        <v>1098</v>
      </c>
      <c r="C2047" s="2" t="s">
        <v>1099</v>
      </c>
      <c r="D2047" s="13" t="n">
        <v>45576.80625</v>
      </c>
      <c r="E2047" s="2" t="s">
        <v>37</v>
      </c>
      <c r="F2047" s="2" t="s">
        <v>32</v>
      </c>
      <c r="G2047" s="2" t="n">
        <v>5496.93</v>
      </c>
      <c r="H2047" s="2" t="n">
        <v>19.97</v>
      </c>
      <c r="I2047" s="2" t="s">
        <v>28</v>
      </c>
      <c r="J2047" s="2" t="s">
        <v>6200</v>
      </c>
      <c r="K2047" s="2" t="s">
        <v>89</v>
      </c>
      <c r="L2047" s="2" t="s">
        <v>556</v>
      </c>
      <c r="M2047" s="2"/>
    </row>
    <row r="2048" customFormat="false" ht="15" hidden="false" customHeight="false" outlineLevel="0" collapsed="false">
      <c r="A2048" s="2" t="s">
        <v>6201</v>
      </c>
      <c r="B2048" s="2" t="s">
        <v>290</v>
      </c>
      <c r="C2048" s="2" t="s">
        <v>291</v>
      </c>
      <c r="D2048" s="13" t="n">
        <v>45417.3069444444</v>
      </c>
      <c r="E2048" s="2" t="s">
        <v>41</v>
      </c>
      <c r="F2048" s="2" t="s">
        <v>31</v>
      </c>
      <c r="G2048" s="2" t="n">
        <v>8346.18</v>
      </c>
      <c r="H2048" s="2" t="n">
        <v>76.66</v>
      </c>
      <c r="I2048" s="2" t="s">
        <v>26</v>
      </c>
      <c r="J2048" s="2" t="s">
        <v>6202</v>
      </c>
      <c r="K2048" s="2" t="s">
        <v>101</v>
      </c>
      <c r="L2048" s="2" t="s">
        <v>1183</v>
      </c>
      <c r="M2048" s="2"/>
    </row>
    <row r="2049" customFormat="false" ht="15" hidden="false" customHeight="false" outlineLevel="0" collapsed="false">
      <c r="A2049" s="2" t="s">
        <v>6203</v>
      </c>
      <c r="B2049" s="2" t="s">
        <v>500</v>
      </c>
      <c r="C2049" s="2" t="s">
        <v>501</v>
      </c>
      <c r="D2049" s="13" t="n">
        <v>45943.7340277778</v>
      </c>
      <c r="E2049" s="2" t="s">
        <v>41</v>
      </c>
      <c r="F2049" s="2" t="s">
        <v>27</v>
      </c>
      <c r="G2049" s="2" t="n">
        <v>1224.12</v>
      </c>
      <c r="H2049" s="2" t="n">
        <v>13.86</v>
      </c>
      <c r="I2049" s="2" t="s">
        <v>26</v>
      </c>
      <c r="J2049" s="2" t="s">
        <v>6204</v>
      </c>
      <c r="K2049" s="2" t="s">
        <v>122</v>
      </c>
      <c r="L2049" s="2"/>
      <c r="M2049" s="2" t="s">
        <v>784</v>
      </c>
    </row>
    <row r="2050" customFormat="false" ht="15" hidden="false" customHeight="false" outlineLevel="0" collapsed="false">
      <c r="A2050" s="2" t="s">
        <v>6205</v>
      </c>
      <c r="B2050" s="2" t="s">
        <v>6206</v>
      </c>
      <c r="C2050" s="2" t="s">
        <v>6207</v>
      </c>
      <c r="D2050" s="13" t="n">
        <v>45571.5090277778</v>
      </c>
      <c r="E2050" s="2" t="s">
        <v>41</v>
      </c>
      <c r="F2050" s="2" t="s">
        <v>27</v>
      </c>
      <c r="G2050" s="2" t="n">
        <v>5510.79</v>
      </c>
      <c r="H2050" s="2" t="n">
        <v>25.62</v>
      </c>
      <c r="I2050" s="2" t="s">
        <v>26</v>
      </c>
      <c r="J2050" s="2" t="s">
        <v>6208</v>
      </c>
      <c r="K2050" s="2" t="s">
        <v>95</v>
      </c>
      <c r="L2050" s="2"/>
      <c r="M2050" s="2" t="s">
        <v>323</v>
      </c>
    </row>
    <row r="2051" customFormat="false" ht="15" hidden="false" customHeight="false" outlineLevel="0" collapsed="false">
      <c r="A2051" s="2" t="s">
        <v>6209</v>
      </c>
      <c r="B2051" s="2" t="s">
        <v>3062</v>
      </c>
      <c r="C2051" s="2" t="s">
        <v>3063</v>
      </c>
      <c r="D2051" s="13" t="n">
        <v>45743.5680555556</v>
      </c>
      <c r="E2051" s="2" t="s">
        <v>35</v>
      </c>
      <c r="F2051" s="2" t="s">
        <v>31</v>
      </c>
      <c r="G2051" s="2" t="n">
        <v>2315.38</v>
      </c>
      <c r="H2051" s="2" t="n">
        <v>8.96</v>
      </c>
      <c r="I2051" s="2" t="s">
        <v>26</v>
      </c>
      <c r="J2051" s="2" t="s">
        <v>6210</v>
      </c>
      <c r="K2051" s="2" t="s">
        <v>89</v>
      </c>
      <c r="L2051" s="2" t="s">
        <v>1759</v>
      </c>
      <c r="M2051" s="2"/>
    </row>
    <row r="2052" customFormat="false" ht="15" hidden="false" customHeight="false" outlineLevel="0" collapsed="false">
      <c r="A2052" s="2" t="s">
        <v>6211</v>
      </c>
      <c r="B2052" s="2" t="s">
        <v>3300</v>
      </c>
      <c r="C2052" s="2" t="s">
        <v>3301</v>
      </c>
      <c r="D2052" s="13" t="n">
        <v>45680.3131944445</v>
      </c>
      <c r="E2052" s="2" t="s">
        <v>35</v>
      </c>
      <c r="F2052" s="2" t="s">
        <v>27</v>
      </c>
      <c r="G2052" s="2" t="n">
        <v>3564.61</v>
      </c>
      <c r="H2052" s="2" t="n">
        <v>16.31</v>
      </c>
      <c r="I2052" s="2" t="s">
        <v>28</v>
      </c>
      <c r="J2052" s="2" t="s">
        <v>6212</v>
      </c>
      <c r="K2052" s="2" t="s">
        <v>122</v>
      </c>
      <c r="L2052" s="2"/>
      <c r="M2052" s="2" t="s">
        <v>795</v>
      </c>
    </row>
    <row r="2053" customFormat="false" ht="15" hidden="false" customHeight="false" outlineLevel="0" collapsed="false">
      <c r="A2053" s="2" t="s">
        <v>6213</v>
      </c>
      <c r="B2053" s="2" t="s">
        <v>1860</v>
      </c>
      <c r="C2053" s="2" t="s">
        <v>1861</v>
      </c>
      <c r="D2053" s="13" t="n">
        <v>45643.5798611111</v>
      </c>
      <c r="E2053" s="2" t="s">
        <v>41</v>
      </c>
      <c r="F2053" s="2" t="s">
        <v>31</v>
      </c>
      <c r="G2053" s="2" t="n">
        <v>3988.57</v>
      </c>
      <c r="H2053" s="2" t="n">
        <v>22.2</v>
      </c>
      <c r="I2053" s="2" t="s">
        <v>26</v>
      </c>
      <c r="J2053" s="2" t="s">
        <v>6214</v>
      </c>
      <c r="K2053" s="2" t="s">
        <v>101</v>
      </c>
      <c r="L2053" s="2" t="s">
        <v>584</v>
      </c>
      <c r="M2053" s="2"/>
    </row>
    <row r="2054" customFormat="false" ht="15" hidden="false" customHeight="false" outlineLevel="0" collapsed="false">
      <c r="A2054" s="2" t="s">
        <v>6215</v>
      </c>
      <c r="B2054" s="2" t="s">
        <v>6216</v>
      </c>
      <c r="C2054" s="2" t="s">
        <v>6217</v>
      </c>
      <c r="D2054" s="13" t="n">
        <v>45296.5444444444</v>
      </c>
      <c r="E2054" s="2" t="s">
        <v>43</v>
      </c>
      <c r="F2054" s="2" t="s">
        <v>29</v>
      </c>
      <c r="G2054" s="2" t="n">
        <v>4553.86</v>
      </c>
      <c r="H2054" s="2" t="n">
        <v>39.4</v>
      </c>
      <c r="I2054" s="2" t="s">
        <v>26</v>
      </c>
      <c r="J2054" s="2" t="s">
        <v>6218</v>
      </c>
      <c r="K2054" s="2" t="s">
        <v>122</v>
      </c>
      <c r="L2054" s="2"/>
      <c r="M2054" s="2" t="s">
        <v>1588</v>
      </c>
    </row>
    <row r="2055" customFormat="false" ht="15" hidden="false" customHeight="false" outlineLevel="0" collapsed="false">
      <c r="A2055" s="2" t="s">
        <v>6219</v>
      </c>
      <c r="B2055" s="2" t="s">
        <v>2655</v>
      </c>
      <c r="C2055" s="2" t="s">
        <v>2656</v>
      </c>
      <c r="D2055" s="13" t="n">
        <v>45506.6034722222</v>
      </c>
      <c r="E2055" s="2" t="s">
        <v>41</v>
      </c>
      <c r="F2055" s="2" t="s">
        <v>27</v>
      </c>
      <c r="G2055" s="2" t="n">
        <v>2415.08</v>
      </c>
      <c r="H2055" s="2" t="n">
        <v>10.33</v>
      </c>
      <c r="I2055" s="2" t="s">
        <v>26</v>
      </c>
      <c r="J2055" s="2" t="s">
        <v>6220</v>
      </c>
      <c r="K2055" s="2" t="s">
        <v>101</v>
      </c>
      <c r="L2055" s="2"/>
      <c r="M2055" s="2" t="s">
        <v>348</v>
      </c>
    </row>
    <row r="2056" customFormat="false" ht="15" hidden="false" customHeight="false" outlineLevel="0" collapsed="false">
      <c r="A2056" s="2" t="s">
        <v>6221</v>
      </c>
      <c r="B2056" s="2" t="s">
        <v>2942</v>
      </c>
      <c r="C2056" s="2" t="s">
        <v>2943</v>
      </c>
      <c r="D2056" s="13" t="n">
        <v>45379.6895833333</v>
      </c>
      <c r="E2056" s="2" t="s">
        <v>37</v>
      </c>
      <c r="F2056" s="2" t="s">
        <v>29</v>
      </c>
      <c r="G2056" s="2" t="n">
        <v>303.51</v>
      </c>
      <c r="H2056" s="2" t="n">
        <v>5</v>
      </c>
      <c r="I2056" s="2" t="s">
        <v>28</v>
      </c>
      <c r="J2056" s="2" t="s">
        <v>6222</v>
      </c>
      <c r="K2056" s="2" t="s">
        <v>89</v>
      </c>
      <c r="L2056" s="2" t="s">
        <v>599</v>
      </c>
      <c r="M2056" s="2"/>
    </row>
    <row r="2057" customFormat="false" ht="15" hidden="false" customHeight="false" outlineLevel="0" collapsed="false">
      <c r="A2057" s="2" t="s">
        <v>6223</v>
      </c>
      <c r="B2057" s="2" t="s">
        <v>1149</v>
      </c>
      <c r="C2057" s="2" t="s">
        <v>1150</v>
      </c>
      <c r="D2057" s="13" t="n">
        <v>45444.8569444444</v>
      </c>
      <c r="E2057" s="2" t="s">
        <v>39</v>
      </c>
      <c r="F2057" s="2" t="s">
        <v>29</v>
      </c>
      <c r="G2057" s="2" t="n">
        <v>2983.98</v>
      </c>
      <c r="H2057" s="2" t="n">
        <v>34.13</v>
      </c>
      <c r="I2057" s="2" t="s">
        <v>26</v>
      </c>
      <c r="J2057" s="2" t="s">
        <v>6224</v>
      </c>
      <c r="K2057" s="2" t="s">
        <v>95</v>
      </c>
      <c r="L2057" s="2" t="s">
        <v>604</v>
      </c>
      <c r="M2057" s="2"/>
    </row>
    <row r="2058" customFormat="false" ht="15" hidden="false" customHeight="false" outlineLevel="0" collapsed="false">
      <c r="A2058" s="2" t="s">
        <v>6225</v>
      </c>
      <c r="B2058" s="2" t="s">
        <v>3030</v>
      </c>
      <c r="C2058" s="2" t="s">
        <v>3031</v>
      </c>
      <c r="D2058" s="13" t="n">
        <v>45902.7333333333</v>
      </c>
      <c r="E2058" s="2" t="s">
        <v>39</v>
      </c>
      <c r="F2058" s="2" t="s">
        <v>29</v>
      </c>
      <c r="G2058" s="2" t="n">
        <v>3448.95</v>
      </c>
      <c r="H2058" s="2" t="n">
        <v>14.99</v>
      </c>
      <c r="I2058" s="2" t="s">
        <v>28</v>
      </c>
      <c r="J2058" s="2" t="s">
        <v>6226</v>
      </c>
      <c r="K2058" s="2" t="s">
        <v>122</v>
      </c>
      <c r="L2058" s="2" t="s">
        <v>607</v>
      </c>
      <c r="M2058" s="2"/>
    </row>
    <row r="2059" customFormat="false" ht="15" hidden="false" customHeight="false" outlineLevel="0" collapsed="false">
      <c r="A2059" s="2" t="s">
        <v>6227</v>
      </c>
      <c r="B2059" s="2" t="s">
        <v>4564</v>
      </c>
      <c r="C2059" s="2" t="s">
        <v>4565</v>
      </c>
      <c r="D2059" s="13" t="n">
        <v>45651.4368055556</v>
      </c>
      <c r="E2059" s="2" t="s">
        <v>41</v>
      </c>
      <c r="F2059" s="2" t="s">
        <v>32</v>
      </c>
      <c r="G2059" s="2" t="n">
        <v>1293.43</v>
      </c>
      <c r="H2059" s="2" t="n">
        <v>5</v>
      </c>
      <c r="I2059" s="2" t="s">
        <v>26</v>
      </c>
      <c r="J2059" s="2" t="s">
        <v>6228</v>
      </c>
      <c r="K2059" s="2" t="s">
        <v>89</v>
      </c>
      <c r="L2059" s="2" t="s">
        <v>612</v>
      </c>
      <c r="M2059" s="2"/>
    </row>
    <row r="2060" customFormat="false" ht="15" hidden="false" customHeight="false" outlineLevel="0" collapsed="false">
      <c r="A2060" s="2" t="s">
        <v>6229</v>
      </c>
      <c r="B2060" s="2" t="s">
        <v>2569</v>
      </c>
      <c r="C2060" s="2" t="s">
        <v>2570</v>
      </c>
      <c r="D2060" s="13" t="n">
        <v>45736.3305555556</v>
      </c>
      <c r="E2060" s="2" t="s">
        <v>39</v>
      </c>
      <c r="F2060" s="2" t="s">
        <v>32</v>
      </c>
      <c r="G2060" s="2" t="n">
        <v>76973.7</v>
      </c>
      <c r="H2060" s="2" t="n">
        <v>511.77</v>
      </c>
      <c r="I2060" s="2" t="s">
        <v>30</v>
      </c>
      <c r="J2060" s="2" t="s">
        <v>6230</v>
      </c>
      <c r="K2060" s="2" t="s">
        <v>101</v>
      </c>
      <c r="L2060" s="2" t="s">
        <v>1232</v>
      </c>
      <c r="M2060" s="2"/>
    </row>
    <row r="2061" customFormat="false" ht="15" hidden="false" customHeight="false" outlineLevel="0" collapsed="false">
      <c r="A2061" s="2" t="s">
        <v>6231</v>
      </c>
      <c r="B2061" s="2" t="s">
        <v>3209</v>
      </c>
      <c r="C2061" s="2" t="s">
        <v>3210</v>
      </c>
      <c r="D2061" s="13" t="n">
        <v>45518.29375</v>
      </c>
      <c r="E2061" s="2" t="s">
        <v>35</v>
      </c>
      <c r="F2061" s="2" t="s">
        <v>27</v>
      </c>
      <c r="G2061" s="2" t="n">
        <v>3109.64</v>
      </c>
      <c r="H2061" s="2" t="n">
        <v>19.38</v>
      </c>
      <c r="I2061" s="2" t="s">
        <v>26</v>
      </c>
      <c r="J2061" s="2" t="s">
        <v>6232</v>
      </c>
      <c r="K2061" s="2" t="s">
        <v>101</v>
      </c>
      <c r="L2061" s="2"/>
      <c r="M2061" s="2" t="s">
        <v>378</v>
      </c>
    </row>
    <row r="2062" customFormat="false" ht="15" hidden="false" customHeight="false" outlineLevel="0" collapsed="false">
      <c r="A2062" s="2" t="s">
        <v>6233</v>
      </c>
      <c r="B2062" s="2" t="s">
        <v>5628</v>
      </c>
      <c r="C2062" s="2" t="s">
        <v>5629</v>
      </c>
      <c r="D2062" s="13" t="n">
        <v>45846.7083333333</v>
      </c>
      <c r="E2062" s="2" t="s">
        <v>35</v>
      </c>
      <c r="F2062" s="2" t="s">
        <v>31</v>
      </c>
      <c r="G2062" s="2" t="n">
        <v>5733.27</v>
      </c>
      <c r="H2062" s="2" t="n">
        <v>17.03</v>
      </c>
      <c r="I2062" s="2" t="s">
        <v>26</v>
      </c>
      <c r="J2062" s="2" t="s">
        <v>6234</v>
      </c>
      <c r="K2062" s="2" t="s">
        <v>122</v>
      </c>
      <c r="L2062" s="2" t="s">
        <v>1241</v>
      </c>
      <c r="M2062" s="2"/>
    </row>
    <row r="2063" customFormat="false" ht="15" hidden="false" customHeight="false" outlineLevel="0" collapsed="false">
      <c r="A2063" s="2" t="s">
        <v>6235</v>
      </c>
      <c r="B2063" s="2" t="s">
        <v>4794</v>
      </c>
      <c r="C2063" s="2" t="s">
        <v>4795</v>
      </c>
      <c r="D2063" s="13" t="n">
        <v>45546.8097222222</v>
      </c>
      <c r="E2063" s="2" t="s">
        <v>41</v>
      </c>
      <c r="F2063" s="2" t="s">
        <v>27</v>
      </c>
      <c r="G2063" s="2" t="n">
        <v>7695.65</v>
      </c>
      <c r="H2063" s="2" t="n">
        <v>25.24</v>
      </c>
      <c r="I2063" s="2" t="s">
        <v>26</v>
      </c>
      <c r="J2063" s="2" t="s">
        <v>6236</v>
      </c>
      <c r="K2063" s="2" t="s">
        <v>89</v>
      </c>
      <c r="L2063" s="2"/>
      <c r="M2063" s="2" t="s">
        <v>388</v>
      </c>
    </row>
    <row r="2064" customFormat="false" ht="15" hidden="false" customHeight="false" outlineLevel="0" collapsed="false">
      <c r="A2064" s="2" t="s">
        <v>6237</v>
      </c>
      <c r="B2064" s="2" t="s">
        <v>1341</v>
      </c>
      <c r="C2064" s="2" t="s">
        <v>1342</v>
      </c>
      <c r="D2064" s="13" t="n">
        <v>45419.7006944444</v>
      </c>
      <c r="E2064" s="2" t="s">
        <v>41</v>
      </c>
      <c r="F2064" s="2" t="s">
        <v>29</v>
      </c>
      <c r="G2064" s="2" t="n">
        <v>5647.37</v>
      </c>
      <c r="H2064" s="2" t="n">
        <v>56.09</v>
      </c>
      <c r="I2064" s="2" t="s">
        <v>30</v>
      </c>
      <c r="J2064" s="2" t="s">
        <v>6238</v>
      </c>
      <c r="K2064" s="2" t="s">
        <v>101</v>
      </c>
      <c r="L2064" s="2" t="s">
        <v>637</v>
      </c>
      <c r="M2064" s="2"/>
    </row>
    <row r="2065" customFormat="false" ht="15" hidden="false" customHeight="false" outlineLevel="0" collapsed="false">
      <c r="A2065" s="2" t="s">
        <v>6239</v>
      </c>
      <c r="B2065" s="2" t="s">
        <v>1953</v>
      </c>
      <c r="C2065" s="2" t="s">
        <v>1954</v>
      </c>
      <c r="D2065" s="13" t="n">
        <v>45339.6652777778</v>
      </c>
      <c r="E2065" s="2" t="s">
        <v>35</v>
      </c>
      <c r="F2065" s="2" t="s">
        <v>32</v>
      </c>
      <c r="G2065" s="2" t="n">
        <v>3329.97</v>
      </c>
      <c r="H2065" s="2" t="n">
        <v>35.86</v>
      </c>
      <c r="I2065" s="2" t="s">
        <v>26</v>
      </c>
      <c r="J2065" s="2" t="s">
        <v>6240</v>
      </c>
      <c r="K2065" s="2" t="s">
        <v>95</v>
      </c>
      <c r="L2065" s="2" t="s">
        <v>640</v>
      </c>
      <c r="M2065" s="2"/>
    </row>
    <row r="2066" customFormat="false" ht="15" hidden="false" customHeight="false" outlineLevel="0" collapsed="false">
      <c r="A2066" s="2" t="s">
        <v>6241</v>
      </c>
      <c r="B2066" s="2" t="s">
        <v>3852</v>
      </c>
      <c r="C2066" s="2" t="s">
        <v>3853</v>
      </c>
      <c r="D2066" s="13" t="n">
        <v>45879.6708333333</v>
      </c>
      <c r="E2066" s="2" t="s">
        <v>37</v>
      </c>
      <c r="F2066" s="2" t="s">
        <v>27</v>
      </c>
      <c r="G2066" s="2" t="n">
        <v>1406.39</v>
      </c>
      <c r="H2066" s="2" t="n">
        <v>16.14</v>
      </c>
      <c r="I2066" s="2" t="s">
        <v>26</v>
      </c>
      <c r="J2066" s="2" t="s">
        <v>6242</v>
      </c>
      <c r="K2066" s="2" t="s">
        <v>89</v>
      </c>
      <c r="L2066" s="2"/>
      <c r="M2066" s="2" t="s">
        <v>852</v>
      </c>
    </row>
    <row r="2067" customFormat="false" ht="15" hidden="false" customHeight="false" outlineLevel="0" collapsed="false">
      <c r="A2067" s="2" t="s">
        <v>6243</v>
      </c>
      <c r="B2067" s="2" t="s">
        <v>6244</v>
      </c>
      <c r="C2067" s="2" t="s">
        <v>6245</v>
      </c>
      <c r="D2067" s="13" t="n">
        <v>45861.8583333333</v>
      </c>
      <c r="E2067" s="2" t="s">
        <v>35</v>
      </c>
      <c r="F2067" s="2" t="s">
        <v>29</v>
      </c>
      <c r="G2067" s="2" t="n">
        <v>4496.22</v>
      </c>
      <c r="H2067" s="2" t="n">
        <v>51.08</v>
      </c>
      <c r="I2067" s="2" t="s">
        <v>26</v>
      </c>
      <c r="J2067" s="2" t="s">
        <v>6246</v>
      </c>
      <c r="K2067" s="2" t="s">
        <v>101</v>
      </c>
      <c r="L2067" s="2" t="s">
        <v>648</v>
      </c>
      <c r="M2067" s="2"/>
    </row>
    <row r="2068" customFormat="false" ht="15" hidden="false" customHeight="false" outlineLevel="0" collapsed="false">
      <c r="A2068" s="2" t="s">
        <v>6247</v>
      </c>
      <c r="B2068" s="2" t="s">
        <v>694</v>
      </c>
      <c r="C2068" s="2" t="s">
        <v>695</v>
      </c>
      <c r="D2068" s="13" t="n">
        <v>45369.3770833333</v>
      </c>
      <c r="E2068" s="2" t="s">
        <v>41</v>
      </c>
      <c r="F2068" s="2" t="s">
        <v>27</v>
      </c>
      <c r="G2068" s="2" t="n">
        <v>1555.17</v>
      </c>
      <c r="H2068" s="2" t="n">
        <v>9.9</v>
      </c>
      <c r="I2068" s="2" t="s">
        <v>26</v>
      </c>
      <c r="J2068" s="2" t="s">
        <v>6248</v>
      </c>
      <c r="K2068" s="2" t="s">
        <v>89</v>
      </c>
      <c r="L2068" s="2"/>
      <c r="M2068" s="2" t="s">
        <v>862</v>
      </c>
    </row>
    <row r="2069" customFormat="false" ht="15" hidden="false" customHeight="false" outlineLevel="0" collapsed="false">
      <c r="A2069" s="2" t="s">
        <v>6249</v>
      </c>
      <c r="B2069" s="2" t="s">
        <v>3940</v>
      </c>
      <c r="C2069" s="2" t="s">
        <v>3941</v>
      </c>
      <c r="D2069" s="13" t="n">
        <v>45750.6118055556</v>
      </c>
      <c r="E2069" s="2" t="s">
        <v>41</v>
      </c>
      <c r="F2069" s="2" t="s">
        <v>27</v>
      </c>
      <c r="G2069" s="2" t="n">
        <v>5396.84</v>
      </c>
      <c r="H2069" s="2" t="n">
        <v>58.97</v>
      </c>
      <c r="I2069" s="2" t="s">
        <v>26</v>
      </c>
      <c r="J2069" s="2" t="s">
        <v>6250</v>
      </c>
      <c r="K2069" s="2" t="s">
        <v>89</v>
      </c>
      <c r="L2069" s="2"/>
      <c r="M2069" s="2" t="s">
        <v>2325</v>
      </c>
    </row>
    <row r="2070" customFormat="false" ht="15" hidden="false" customHeight="false" outlineLevel="0" collapsed="false">
      <c r="A2070" s="2" t="s">
        <v>6251</v>
      </c>
      <c r="B2070" s="2" t="s">
        <v>1196</v>
      </c>
      <c r="C2070" s="2" t="s">
        <v>1197</v>
      </c>
      <c r="D2070" s="13" t="n">
        <v>45455.65</v>
      </c>
      <c r="E2070" s="2" t="s">
        <v>43</v>
      </c>
      <c r="F2070" s="2" t="s">
        <v>32</v>
      </c>
      <c r="G2070" s="2" t="n">
        <v>3425.87</v>
      </c>
      <c r="H2070" s="2" t="n">
        <v>30</v>
      </c>
      <c r="I2070" s="2" t="s">
        <v>26</v>
      </c>
      <c r="J2070" s="2" t="s">
        <v>6252</v>
      </c>
      <c r="K2070" s="2" t="s">
        <v>95</v>
      </c>
      <c r="L2070" s="2"/>
      <c r="M2070" s="2" t="s">
        <v>1645</v>
      </c>
    </row>
    <row r="2071" customFormat="false" ht="15" hidden="false" customHeight="false" outlineLevel="0" collapsed="false">
      <c r="A2071" s="2" t="s">
        <v>6253</v>
      </c>
      <c r="B2071" s="2" t="s">
        <v>3229</v>
      </c>
      <c r="C2071" s="2" t="s">
        <v>3230</v>
      </c>
      <c r="D2071" s="13" t="n">
        <v>45741.3034722222</v>
      </c>
      <c r="E2071" s="2" t="s">
        <v>43</v>
      </c>
      <c r="F2071" s="2" t="s">
        <v>32</v>
      </c>
      <c r="G2071" s="2" t="n">
        <v>3482.23</v>
      </c>
      <c r="H2071" s="2" t="n">
        <v>23.77</v>
      </c>
      <c r="I2071" s="2" t="s">
        <v>26</v>
      </c>
      <c r="J2071" s="2" t="s">
        <v>6254</v>
      </c>
      <c r="K2071" s="2" t="s">
        <v>101</v>
      </c>
      <c r="L2071" s="2"/>
      <c r="M2071" s="2" t="s">
        <v>871</v>
      </c>
    </row>
    <row r="2072" customFormat="false" ht="15" hidden="false" customHeight="false" outlineLevel="0" collapsed="false">
      <c r="A2072" s="2" t="s">
        <v>6255</v>
      </c>
      <c r="B2072" s="2" t="s">
        <v>3332</v>
      </c>
      <c r="C2072" s="2" t="s">
        <v>3333</v>
      </c>
      <c r="D2072" s="13" t="n">
        <v>45813.8909722222</v>
      </c>
      <c r="E2072" s="2" t="s">
        <v>43</v>
      </c>
      <c r="F2072" s="2" t="s">
        <v>32</v>
      </c>
      <c r="G2072" s="2" t="n">
        <v>2609.13</v>
      </c>
      <c r="H2072" s="2" t="n">
        <v>30.94</v>
      </c>
      <c r="I2072" s="2" t="s">
        <v>26</v>
      </c>
      <c r="J2072" s="2" t="s">
        <v>6256</v>
      </c>
      <c r="K2072" s="2" t="s">
        <v>95</v>
      </c>
      <c r="L2072" s="2"/>
      <c r="M2072" s="2" t="s">
        <v>1282</v>
      </c>
    </row>
    <row r="2073" customFormat="false" ht="15" hidden="false" customHeight="false" outlineLevel="0" collapsed="false">
      <c r="A2073" s="2" t="s">
        <v>6257</v>
      </c>
      <c r="B2073" s="2" t="s">
        <v>6258</v>
      </c>
      <c r="C2073" s="2" t="s">
        <v>6259</v>
      </c>
      <c r="D2073" s="13" t="n">
        <v>45454.9256944444</v>
      </c>
      <c r="E2073" s="2" t="s">
        <v>41</v>
      </c>
      <c r="F2073" s="2" t="s">
        <v>31</v>
      </c>
      <c r="G2073" s="2" t="n">
        <v>1434.77</v>
      </c>
      <c r="H2073" s="2" t="n">
        <v>15.65</v>
      </c>
      <c r="I2073" s="2" t="s">
        <v>26</v>
      </c>
      <c r="J2073" s="2" t="s">
        <v>6260</v>
      </c>
      <c r="K2073" s="2" t="s">
        <v>95</v>
      </c>
      <c r="L2073" s="2" t="s">
        <v>676</v>
      </c>
      <c r="M2073" s="2"/>
    </row>
    <row r="2074" customFormat="false" ht="15" hidden="false" customHeight="false" outlineLevel="0" collapsed="false">
      <c r="A2074" s="2" t="s">
        <v>6261</v>
      </c>
      <c r="B2074" s="2" t="s">
        <v>109</v>
      </c>
      <c r="C2074" s="2" t="s">
        <v>110</v>
      </c>
      <c r="D2074" s="13" t="n">
        <v>45319.7284722222</v>
      </c>
      <c r="E2074" s="2" t="s">
        <v>43</v>
      </c>
      <c r="F2074" s="2" t="s">
        <v>31</v>
      </c>
      <c r="G2074" s="2" t="n">
        <v>29532.09</v>
      </c>
      <c r="H2074" s="2" t="n">
        <v>162.11</v>
      </c>
      <c r="I2074" s="2" t="s">
        <v>26</v>
      </c>
      <c r="J2074" s="2" t="s">
        <v>6262</v>
      </c>
      <c r="K2074" s="2" t="s">
        <v>95</v>
      </c>
      <c r="L2074" s="2"/>
      <c r="M2074" s="2" t="s">
        <v>1658</v>
      </c>
    </row>
    <row r="2075" customFormat="false" ht="15" hidden="false" customHeight="false" outlineLevel="0" collapsed="false">
      <c r="A2075" s="2" t="s">
        <v>6263</v>
      </c>
      <c r="B2075" s="2" t="s">
        <v>689</v>
      </c>
      <c r="C2075" s="2" t="s">
        <v>690</v>
      </c>
      <c r="D2075" s="13" t="n">
        <v>46014.6743055556</v>
      </c>
      <c r="E2075" s="2" t="s">
        <v>43</v>
      </c>
      <c r="F2075" s="2" t="s">
        <v>31</v>
      </c>
      <c r="G2075" s="2" t="n">
        <v>2571.92</v>
      </c>
      <c r="H2075" s="2" t="n">
        <v>5.65</v>
      </c>
      <c r="I2075" s="2" t="s">
        <v>26</v>
      </c>
      <c r="J2075" s="2" t="s">
        <v>6264</v>
      </c>
      <c r="K2075" s="2" t="s">
        <v>122</v>
      </c>
      <c r="L2075" s="2"/>
      <c r="M2075" s="2" t="s">
        <v>448</v>
      </c>
    </row>
    <row r="2076" customFormat="false" ht="15" hidden="false" customHeight="false" outlineLevel="0" collapsed="false">
      <c r="A2076" s="2" t="s">
        <v>6265</v>
      </c>
      <c r="B2076" s="2" t="s">
        <v>1162</v>
      </c>
      <c r="C2076" s="2" t="s">
        <v>1163</v>
      </c>
      <c r="D2076" s="13" t="n">
        <v>45842.5597222222</v>
      </c>
      <c r="E2076" s="2" t="s">
        <v>39</v>
      </c>
      <c r="F2076" s="2" t="s">
        <v>32</v>
      </c>
      <c r="G2076" s="2" t="n">
        <v>5301.99</v>
      </c>
      <c r="H2076" s="2" t="n">
        <v>61.17</v>
      </c>
      <c r="I2076" s="2" t="s">
        <v>26</v>
      </c>
      <c r="J2076" s="2" t="s">
        <v>6266</v>
      </c>
      <c r="K2076" s="2" t="s">
        <v>89</v>
      </c>
      <c r="L2076" s="2" t="s">
        <v>1299</v>
      </c>
      <c r="M2076" s="2"/>
    </row>
    <row r="2077" customFormat="false" ht="15" hidden="false" customHeight="false" outlineLevel="0" collapsed="false">
      <c r="A2077" s="2" t="s">
        <v>6267</v>
      </c>
      <c r="B2077" s="2" t="s">
        <v>3259</v>
      </c>
      <c r="C2077" s="2" t="s">
        <v>3260</v>
      </c>
      <c r="D2077" s="13" t="n">
        <v>45543.80625</v>
      </c>
      <c r="E2077" s="2" t="s">
        <v>37</v>
      </c>
      <c r="F2077" s="2" t="s">
        <v>29</v>
      </c>
      <c r="G2077" s="2" t="n">
        <v>5444.71</v>
      </c>
      <c r="H2077" s="2" t="n">
        <v>38.96</v>
      </c>
      <c r="I2077" s="2" t="s">
        <v>28</v>
      </c>
      <c r="J2077" s="2" t="s">
        <v>6268</v>
      </c>
      <c r="K2077" s="2" t="s">
        <v>122</v>
      </c>
      <c r="L2077" s="2" t="s">
        <v>1854</v>
      </c>
      <c r="M2077" s="2"/>
    </row>
    <row r="2078" customFormat="false" ht="15" hidden="false" customHeight="false" outlineLevel="0" collapsed="false">
      <c r="A2078" s="2" t="s">
        <v>6269</v>
      </c>
      <c r="B2078" s="2" t="s">
        <v>3282</v>
      </c>
      <c r="C2078" s="2" t="s">
        <v>3283</v>
      </c>
      <c r="D2078" s="13" t="n">
        <v>45743.3243055556</v>
      </c>
      <c r="E2078" s="2" t="s">
        <v>37</v>
      </c>
      <c r="F2078" s="2" t="s">
        <v>29</v>
      </c>
      <c r="G2078" s="2" t="n">
        <v>4011.87</v>
      </c>
      <c r="H2078" s="2" t="n">
        <v>9.79</v>
      </c>
      <c r="I2078" s="2" t="s">
        <v>26</v>
      </c>
      <c r="J2078" s="2" t="s">
        <v>6270</v>
      </c>
      <c r="K2078" s="2" t="s">
        <v>89</v>
      </c>
      <c r="L2078" s="2" t="s">
        <v>697</v>
      </c>
      <c r="M2078" s="2"/>
    </row>
    <row r="2079" customFormat="false" ht="15" hidden="false" customHeight="false" outlineLevel="0" collapsed="false">
      <c r="A2079" s="2" t="s">
        <v>6271</v>
      </c>
      <c r="B2079" s="2" t="s">
        <v>2641</v>
      </c>
      <c r="C2079" s="2" t="s">
        <v>2642</v>
      </c>
      <c r="D2079" s="13" t="n">
        <v>45576.59375</v>
      </c>
      <c r="E2079" s="2" t="s">
        <v>37</v>
      </c>
      <c r="F2079" s="2" t="s">
        <v>29</v>
      </c>
      <c r="G2079" s="2" t="n">
        <v>1384.63</v>
      </c>
      <c r="H2079" s="2" t="n">
        <v>10.96</v>
      </c>
      <c r="I2079" s="2" t="s">
        <v>26</v>
      </c>
      <c r="J2079" s="2" t="s">
        <v>6272</v>
      </c>
      <c r="K2079" s="2" t="s">
        <v>95</v>
      </c>
      <c r="L2079" s="2" t="s">
        <v>1311</v>
      </c>
      <c r="M2079" s="2"/>
    </row>
    <row r="2080" customFormat="false" ht="15" hidden="false" customHeight="false" outlineLevel="0" collapsed="false">
      <c r="A2080" s="2" t="s">
        <v>6273</v>
      </c>
      <c r="B2080" s="2" t="s">
        <v>5576</v>
      </c>
      <c r="C2080" s="2" t="s">
        <v>5577</v>
      </c>
      <c r="D2080" s="13" t="n">
        <v>45865.8784722222</v>
      </c>
      <c r="E2080" s="2" t="s">
        <v>37</v>
      </c>
      <c r="F2080" s="2" t="s">
        <v>32</v>
      </c>
      <c r="G2080" s="2" t="n">
        <v>8582.75</v>
      </c>
      <c r="H2080" s="2" t="n">
        <v>89.91</v>
      </c>
      <c r="I2080" s="2" t="s">
        <v>28</v>
      </c>
      <c r="J2080" s="2" t="s">
        <v>6274</v>
      </c>
      <c r="K2080" s="2" t="s">
        <v>122</v>
      </c>
      <c r="L2080" s="2" t="s">
        <v>703</v>
      </c>
      <c r="M2080" s="2"/>
    </row>
    <row r="2081" customFormat="false" ht="15" hidden="false" customHeight="false" outlineLevel="0" collapsed="false">
      <c r="A2081" s="2" t="s">
        <v>6275</v>
      </c>
      <c r="B2081" s="2" t="s">
        <v>6276</v>
      </c>
      <c r="C2081" s="2" t="s">
        <v>6277</v>
      </c>
      <c r="D2081" s="13" t="n">
        <v>45482.4152777778</v>
      </c>
      <c r="E2081" s="2" t="s">
        <v>35</v>
      </c>
      <c r="F2081" s="2" t="s">
        <v>31</v>
      </c>
      <c r="G2081" s="2" t="n">
        <v>2521.52</v>
      </c>
      <c r="H2081" s="2" t="n">
        <v>17.39</v>
      </c>
      <c r="I2081" s="2" t="s">
        <v>30</v>
      </c>
      <c r="J2081" s="2" t="s">
        <v>6278</v>
      </c>
      <c r="K2081" s="2" t="s">
        <v>101</v>
      </c>
      <c r="L2081" s="2" t="s">
        <v>1320</v>
      </c>
      <c r="M2081" s="2"/>
    </row>
    <row r="2082" customFormat="false" ht="15" hidden="false" customHeight="false" outlineLevel="0" collapsed="false">
      <c r="A2082" s="2" t="s">
        <v>6279</v>
      </c>
      <c r="B2082" s="2" t="s">
        <v>5382</v>
      </c>
      <c r="C2082" s="2" t="s">
        <v>5383</v>
      </c>
      <c r="D2082" s="13" t="n">
        <v>45675.8520833333</v>
      </c>
      <c r="E2082" s="2" t="s">
        <v>37</v>
      </c>
      <c r="F2082" s="2" t="s">
        <v>29</v>
      </c>
      <c r="G2082" s="2" t="n">
        <v>1877.42</v>
      </c>
      <c r="H2082" s="2" t="n">
        <v>18.03</v>
      </c>
      <c r="I2082" s="2" t="s">
        <v>26</v>
      </c>
      <c r="J2082" s="2" t="s">
        <v>6280</v>
      </c>
      <c r="K2082" s="2" t="s">
        <v>101</v>
      </c>
      <c r="L2082" s="2" t="s">
        <v>1325</v>
      </c>
      <c r="M2082" s="2"/>
    </row>
    <row r="2083" customFormat="false" ht="15" hidden="false" customHeight="false" outlineLevel="0" collapsed="false">
      <c r="A2083" s="2" t="s">
        <v>6281</v>
      </c>
      <c r="B2083" s="2" t="s">
        <v>2716</v>
      </c>
      <c r="C2083" s="2" t="s">
        <v>2717</v>
      </c>
      <c r="D2083" s="13" t="n">
        <v>45792.7888888889</v>
      </c>
      <c r="E2083" s="2" t="s">
        <v>43</v>
      </c>
      <c r="F2083" s="2" t="s">
        <v>27</v>
      </c>
      <c r="G2083" s="2" t="n">
        <v>2471.23</v>
      </c>
      <c r="H2083" s="2" t="n">
        <v>7.63</v>
      </c>
      <c r="I2083" s="2" t="s">
        <v>26</v>
      </c>
      <c r="J2083" s="2" t="s">
        <v>6282</v>
      </c>
      <c r="K2083" s="2" t="s">
        <v>122</v>
      </c>
      <c r="L2083" s="2"/>
      <c r="M2083" s="2" t="s">
        <v>921</v>
      </c>
    </row>
    <row r="2084" customFormat="false" ht="15" hidden="false" customHeight="false" outlineLevel="0" collapsed="false">
      <c r="A2084" s="2" t="s">
        <v>6283</v>
      </c>
      <c r="B2084" s="2" t="s">
        <v>669</v>
      </c>
      <c r="C2084" s="2" t="s">
        <v>670</v>
      </c>
      <c r="D2084" s="13" t="n">
        <v>46017.6548611111</v>
      </c>
      <c r="E2084" s="2" t="s">
        <v>41</v>
      </c>
      <c r="F2084" s="2" t="s">
        <v>32</v>
      </c>
      <c r="G2084" s="2" t="n">
        <v>4603.11</v>
      </c>
      <c r="H2084" s="2" t="n">
        <v>16.62</v>
      </c>
      <c r="I2084" s="2" t="s">
        <v>28</v>
      </c>
      <c r="J2084" s="2" t="s">
        <v>6284</v>
      </c>
      <c r="K2084" s="2" t="s">
        <v>95</v>
      </c>
      <c r="L2084" s="2" t="s">
        <v>1877</v>
      </c>
      <c r="M2084" s="2"/>
    </row>
    <row r="2085" customFormat="false" ht="15" hidden="false" customHeight="false" outlineLevel="0" collapsed="false">
      <c r="A2085" s="2" t="s">
        <v>6285</v>
      </c>
      <c r="B2085" s="2" t="s">
        <v>5520</v>
      </c>
      <c r="C2085" s="2" t="s">
        <v>5521</v>
      </c>
      <c r="D2085" s="13" t="n">
        <v>45613.2916666667</v>
      </c>
      <c r="E2085" s="2" t="s">
        <v>41</v>
      </c>
      <c r="F2085" s="2" t="s">
        <v>31</v>
      </c>
      <c r="G2085" s="2" t="n">
        <v>2762.67</v>
      </c>
      <c r="H2085" s="2" t="n">
        <v>11.37</v>
      </c>
      <c r="I2085" s="2" t="s">
        <v>26</v>
      </c>
      <c r="J2085" s="2" t="s">
        <v>6286</v>
      </c>
      <c r="K2085" s="2" t="s">
        <v>101</v>
      </c>
      <c r="L2085" s="2" t="s">
        <v>1339</v>
      </c>
      <c r="M2085" s="2"/>
    </row>
    <row r="2086" customFormat="false" ht="15" hidden="false" customHeight="false" outlineLevel="0" collapsed="false">
      <c r="A2086" s="2" t="s">
        <v>6287</v>
      </c>
      <c r="B2086" s="2" t="s">
        <v>6288</v>
      </c>
      <c r="C2086" s="2" t="s">
        <v>6289</v>
      </c>
      <c r="D2086" s="13" t="n">
        <v>45815.6659722222</v>
      </c>
      <c r="E2086" s="2" t="s">
        <v>37</v>
      </c>
      <c r="F2086" s="2" t="s">
        <v>31</v>
      </c>
      <c r="G2086" s="2" t="n">
        <v>9225.54</v>
      </c>
      <c r="H2086" s="2" t="n">
        <v>103.66</v>
      </c>
      <c r="I2086" s="2" t="s">
        <v>26</v>
      </c>
      <c r="J2086" s="2" t="s">
        <v>6290</v>
      </c>
      <c r="K2086" s="2" t="s">
        <v>101</v>
      </c>
      <c r="L2086" s="2" t="s">
        <v>1344</v>
      </c>
      <c r="M2086" s="2"/>
    </row>
    <row r="2087" customFormat="false" ht="15" hidden="false" customHeight="false" outlineLevel="0" collapsed="false">
      <c r="A2087" s="2" t="s">
        <v>6291</v>
      </c>
      <c r="B2087" s="2" t="s">
        <v>4064</v>
      </c>
      <c r="C2087" s="2" t="s">
        <v>4065</v>
      </c>
      <c r="D2087" s="13" t="n">
        <v>45767.8083333333</v>
      </c>
      <c r="E2087" s="2" t="s">
        <v>39</v>
      </c>
      <c r="F2087" s="2" t="s">
        <v>27</v>
      </c>
      <c r="G2087" s="2" t="n">
        <v>6689.88</v>
      </c>
      <c r="H2087" s="2" t="n">
        <v>51.96</v>
      </c>
      <c r="I2087" s="2" t="s">
        <v>30</v>
      </c>
      <c r="J2087" s="2" t="s">
        <v>6292</v>
      </c>
      <c r="K2087" s="2" t="s">
        <v>101</v>
      </c>
      <c r="L2087" s="2"/>
      <c r="M2087" s="2" t="s">
        <v>2706</v>
      </c>
    </row>
    <row r="2088" customFormat="false" ht="15" hidden="false" customHeight="false" outlineLevel="0" collapsed="false">
      <c r="A2088" s="2" t="s">
        <v>6293</v>
      </c>
      <c r="B2088" s="2" t="s">
        <v>3640</v>
      </c>
      <c r="C2088" s="2" t="s">
        <v>3641</v>
      </c>
      <c r="D2088" s="13" t="n">
        <v>45742.8131944445</v>
      </c>
      <c r="E2088" s="2" t="s">
        <v>37</v>
      </c>
      <c r="F2088" s="2" t="s">
        <v>27</v>
      </c>
      <c r="G2088" s="2" t="n">
        <v>3057.23</v>
      </c>
      <c r="H2088" s="2" t="n">
        <v>20.6</v>
      </c>
      <c r="I2088" s="2" t="s">
        <v>26</v>
      </c>
      <c r="J2088" s="2" t="s">
        <v>6294</v>
      </c>
      <c r="K2088" s="2" t="s">
        <v>101</v>
      </c>
      <c r="L2088" s="2"/>
      <c r="M2088" s="2" t="s">
        <v>513</v>
      </c>
    </row>
    <row r="2089" customFormat="false" ht="15" hidden="false" customHeight="false" outlineLevel="0" collapsed="false">
      <c r="A2089" s="2" t="s">
        <v>6295</v>
      </c>
      <c r="B2089" s="2" t="s">
        <v>888</v>
      </c>
      <c r="C2089" s="2" t="s">
        <v>889</v>
      </c>
      <c r="D2089" s="13" t="n">
        <v>45695.3576388889</v>
      </c>
      <c r="E2089" s="2" t="s">
        <v>35</v>
      </c>
      <c r="F2089" s="2" t="s">
        <v>29</v>
      </c>
      <c r="G2089" s="2" t="n">
        <v>8084.11</v>
      </c>
      <c r="H2089" s="2" t="n">
        <v>51.4</v>
      </c>
      <c r="I2089" s="2" t="s">
        <v>26</v>
      </c>
      <c r="J2089" s="2" t="s">
        <v>6296</v>
      </c>
      <c r="K2089" s="2" t="s">
        <v>89</v>
      </c>
      <c r="L2089" s="2" t="s">
        <v>738</v>
      </c>
      <c r="M2089" s="2"/>
    </row>
    <row r="2090" customFormat="false" ht="15" hidden="false" customHeight="false" outlineLevel="0" collapsed="false">
      <c r="A2090" s="2" t="s">
        <v>6297</v>
      </c>
      <c r="B2090" s="2" t="s">
        <v>2726</v>
      </c>
      <c r="C2090" s="2" t="s">
        <v>2727</v>
      </c>
      <c r="D2090" s="13" t="n">
        <v>45664.3458333333</v>
      </c>
      <c r="E2090" s="2" t="s">
        <v>41</v>
      </c>
      <c r="F2090" s="2" t="s">
        <v>27</v>
      </c>
      <c r="G2090" s="2" t="n">
        <v>5278.99</v>
      </c>
      <c r="H2090" s="2" t="n">
        <v>36.69</v>
      </c>
      <c r="I2090" s="2" t="s">
        <v>26</v>
      </c>
      <c r="J2090" s="2" t="s">
        <v>6298</v>
      </c>
      <c r="K2090" s="2" t="s">
        <v>122</v>
      </c>
      <c r="L2090" s="2"/>
      <c r="M2090" s="2" t="s">
        <v>950</v>
      </c>
    </row>
    <row r="2091" customFormat="false" ht="15" hidden="false" customHeight="false" outlineLevel="0" collapsed="false">
      <c r="A2091" s="2" t="s">
        <v>6299</v>
      </c>
      <c r="B2091" s="2" t="s">
        <v>405</v>
      </c>
      <c r="C2091" s="2" t="s">
        <v>406</v>
      </c>
      <c r="D2091" s="13" t="n">
        <v>45598.63125</v>
      </c>
      <c r="E2091" s="2" t="s">
        <v>43</v>
      </c>
      <c r="F2091" s="2" t="s">
        <v>29</v>
      </c>
      <c r="G2091" s="2" t="n">
        <v>1472.35</v>
      </c>
      <c r="H2091" s="2" t="n">
        <v>13.06</v>
      </c>
      <c r="I2091" s="2" t="s">
        <v>30</v>
      </c>
      <c r="J2091" s="2" t="s">
        <v>6300</v>
      </c>
      <c r="K2091" s="2" t="s">
        <v>89</v>
      </c>
      <c r="L2091" s="2"/>
      <c r="M2091" s="2" t="s">
        <v>528</v>
      </c>
    </row>
    <row r="2092" customFormat="false" ht="15" hidden="false" customHeight="false" outlineLevel="0" collapsed="false">
      <c r="A2092" s="2" t="s">
        <v>6301</v>
      </c>
      <c r="B2092" s="2" t="s">
        <v>2357</v>
      </c>
      <c r="C2092" s="2" t="s">
        <v>2358</v>
      </c>
      <c r="D2092" s="13" t="n">
        <v>45913.5263888889</v>
      </c>
      <c r="E2092" s="2" t="s">
        <v>43</v>
      </c>
      <c r="F2092" s="2" t="s">
        <v>27</v>
      </c>
      <c r="G2092" s="2" t="n">
        <v>11532.06</v>
      </c>
      <c r="H2092" s="2" t="n">
        <v>101.42</v>
      </c>
      <c r="I2092" s="2" t="s">
        <v>30</v>
      </c>
      <c r="J2092" s="2" t="s">
        <v>6302</v>
      </c>
      <c r="K2092" s="2" t="s">
        <v>101</v>
      </c>
      <c r="L2092" s="2"/>
      <c r="M2092" s="2" t="s">
        <v>531</v>
      </c>
    </row>
    <row r="2093" customFormat="false" ht="15" hidden="false" customHeight="false" outlineLevel="0" collapsed="false">
      <c r="A2093" s="2" t="s">
        <v>6303</v>
      </c>
      <c r="B2093" s="2" t="s">
        <v>1046</v>
      </c>
      <c r="C2093" s="2" t="s">
        <v>1047</v>
      </c>
      <c r="D2093" s="13" t="n">
        <v>45355.8270833333</v>
      </c>
      <c r="E2093" s="2" t="s">
        <v>37</v>
      </c>
      <c r="F2093" s="2" t="s">
        <v>32</v>
      </c>
      <c r="G2093" s="2" t="n">
        <v>3820.08</v>
      </c>
      <c r="H2093" s="2" t="n">
        <v>40.52</v>
      </c>
      <c r="I2093" s="2" t="s">
        <v>28</v>
      </c>
      <c r="J2093" s="2" t="s">
        <v>6304</v>
      </c>
      <c r="K2093" s="2" t="s">
        <v>89</v>
      </c>
      <c r="L2093" s="2" t="s">
        <v>757</v>
      </c>
      <c r="M2093" s="2"/>
    </row>
    <row r="2094" customFormat="false" ht="15" hidden="false" customHeight="false" outlineLevel="0" collapsed="false">
      <c r="A2094" s="2" t="s">
        <v>6305</v>
      </c>
      <c r="B2094" s="2" t="s">
        <v>3030</v>
      </c>
      <c r="C2094" s="2" t="s">
        <v>3031</v>
      </c>
      <c r="D2094" s="13" t="n">
        <v>45458.3861111111</v>
      </c>
      <c r="E2094" s="2" t="s">
        <v>41</v>
      </c>
      <c r="F2094" s="2" t="s">
        <v>32</v>
      </c>
      <c r="G2094" s="2" t="n">
        <v>2349.32</v>
      </c>
      <c r="H2094" s="2" t="n">
        <v>17.48</v>
      </c>
      <c r="I2094" s="2" t="s">
        <v>26</v>
      </c>
      <c r="J2094" s="2" t="s">
        <v>6306</v>
      </c>
      <c r="K2094" s="2" t="s">
        <v>89</v>
      </c>
      <c r="L2094" s="2" t="s">
        <v>1912</v>
      </c>
      <c r="M2094" s="2"/>
    </row>
    <row r="2095" customFormat="false" ht="15" hidden="false" customHeight="false" outlineLevel="0" collapsed="false">
      <c r="A2095" s="2" t="s">
        <v>6307</v>
      </c>
      <c r="B2095" s="2" t="s">
        <v>2994</v>
      </c>
      <c r="C2095" s="2" t="s">
        <v>2995</v>
      </c>
      <c r="D2095" s="13" t="n">
        <v>45372.4569444444</v>
      </c>
      <c r="E2095" s="2" t="s">
        <v>43</v>
      </c>
      <c r="F2095" s="2" t="s">
        <v>27</v>
      </c>
      <c r="G2095" s="2" t="n">
        <v>2430.99</v>
      </c>
      <c r="H2095" s="2" t="n">
        <v>12.72</v>
      </c>
      <c r="I2095" s="2" t="s">
        <v>26</v>
      </c>
      <c r="J2095" s="2" t="s">
        <v>6308</v>
      </c>
      <c r="K2095" s="2" t="s">
        <v>101</v>
      </c>
      <c r="L2095" s="2"/>
      <c r="M2095" s="2" t="s">
        <v>546</v>
      </c>
    </row>
    <row r="2096" customFormat="false" ht="15" hidden="false" customHeight="false" outlineLevel="0" collapsed="false">
      <c r="A2096" s="2" t="s">
        <v>6309</v>
      </c>
      <c r="B2096" s="2" t="s">
        <v>3478</v>
      </c>
      <c r="C2096" s="2" t="s">
        <v>3479</v>
      </c>
      <c r="D2096" s="13" t="n">
        <v>46005.6819444444</v>
      </c>
      <c r="E2096" s="2" t="s">
        <v>35</v>
      </c>
      <c r="F2096" s="2" t="s">
        <v>32</v>
      </c>
      <c r="G2096" s="2" t="n">
        <v>1511.93</v>
      </c>
      <c r="H2096" s="2" t="n">
        <v>8.22</v>
      </c>
      <c r="I2096" s="2" t="s">
        <v>26</v>
      </c>
      <c r="J2096" s="2" t="s">
        <v>6310</v>
      </c>
      <c r="K2096" s="2" t="s">
        <v>122</v>
      </c>
      <c r="L2096" s="2" t="s">
        <v>769</v>
      </c>
      <c r="M2096" s="2"/>
    </row>
    <row r="2097" customFormat="false" ht="15" hidden="false" customHeight="false" outlineLevel="0" collapsed="false">
      <c r="A2097" s="2" t="s">
        <v>6311</v>
      </c>
      <c r="B2097" s="2" t="s">
        <v>3229</v>
      </c>
      <c r="C2097" s="2" t="s">
        <v>3230</v>
      </c>
      <c r="D2097" s="13" t="n">
        <v>45551.7701388889</v>
      </c>
      <c r="E2097" s="2" t="s">
        <v>37</v>
      </c>
      <c r="F2097" s="2" t="s">
        <v>32</v>
      </c>
      <c r="G2097" s="2" t="n">
        <v>8490.94</v>
      </c>
      <c r="H2097" s="2" t="n">
        <v>43.93</v>
      </c>
      <c r="I2097" s="2" t="s">
        <v>30</v>
      </c>
      <c r="J2097" s="2" t="s">
        <v>6312</v>
      </c>
      <c r="K2097" s="2" t="s">
        <v>122</v>
      </c>
      <c r="L2097" s="2" t="s">
        <v>2892</v>
      </c>
      <c r="M2097" s="2"/>
    </row>
    <row r="2098" customFormat="false" ht="15" hidden="false" customHeight="false" outlineLevel="0" collapsed="false">
      <c r="A2098" s="2" t="s">
        <v>6313</v>
      </c>
      <c r="B2098" s="2" t="s">
        <v>609</v>
      </c>
      <c r="C2098" s="2" t="s">
        <v>610</v>
      </c>
      <c r="D2098" s="13" t="n">
        <v>45383.5979166667</v>
      </c>
      <c r="E2098" s="2" t="s">
        <v>43</v>
      </c>
      <c r="F2098" s="2" t="s">
        <v>27</v>
      </c>
      <c r="G2098" s="2" t="n">
        <v>2618.58</v>
      </c>
      <c r="H2098" s="2" t="n">
        <v>16.35</v>
      </c>
      <c r="I2098" s="2" t="s">
        <v>26</v>
      </c>
      <c r="J2098" s="2" t="s">
        <v>6314</v>
      </c>
      <c r="K2098" s="2" t="s">
        <v>95</v>
      </c>
      <c r="L2098" s="2"/>
      <c r="M2098" s="2" t="s">
        <v>561</v>
      </c>
    </row>
    <row r="2099" customFormat="false" ht="15" hidden="false" customHeight="false" outlineLevel="0" collapsed="false">
      <c r="A2099" s="2" t="s">
        <v>6315</v>
      </c>
      <c r="B2099" s="2" t="s">
        <v>533</v>
      </c>
      <c r="C2099" s="2" t="s">
        <v>534</v>
      </c>
      <c r="D2099" s="13" t="n">
        <v>45847.78125</v>
      </c>
      <c r="E2099" s="2" t="s">
        <v>39</v>
      </c>
      <c r="F2099" s="2" t="s">
        <v>27</v>
      </c>
      <c r="G2099" s="2" t="n">
        <v>16780.39</v>
      </c>
      <c r="H2099" s="2" t="n">
        <v>145.03</v>
      </c>
      <c r="I2099" s="2" t="s">
        <v>30</v>
      </c>
      <c r="J2099" s="2" t="s">
        <v>6316</v>
      </c>
      <c r="K2099" s="2" t="s">
        <v>95</v>
      </c>
      <c r="L2099" s="2"/>
      <c r="M2099" s="2" t="s">
        <v>2097</v>
      </c>
    </row>
    <row r="2100" customFormat="false" ht="15" hidden="false" customHeight="false" outlineLevel="0" collapsed="false">
      <c r="A2100" s="2" t="s">
        <v>6317</v>
      </c>
      <c r="B2100" s="2" t="s">
        <v>2410</v>
      </c>
      <c r="C2100" s="2" t="s">
        <v>2411</v>
      </c>
      <c r="D2100" s="13" t="n">
        <v>45990.83125</v>
      </c>
      <c r="E2100" s="2" t="s">
        <v>37</v>
      </c>
      <c r="F2100" s="2" t="s">
        <v>32</v>
      </c>
      <c r="G2100" s="2" t="n">
        <v>6452.11</v>
      </c>
      <c r="H2100" s="2" t="n">
        <v>20.06</v>
      </c>
      <c r="I2100" s="2" t="s">
        <v>26</v>
      </c>
      <c r="J2100" s="2" t="s">
        <v>6318</v>
      </c>
      <c r="K2100" s="2" t="s">
        <v>122</v>
      </c>
      <c r="L2100" s="2" t="s">
        <v>1935</v>
      </c>
      <c r="M2100" s="2"/>
    </row>
    <row r="2101" customFormat="false" ht="15" hidden="false" customHeight="false" outlineLevel="0" collapsed="false">
      <c r="A2101" s="2" t="s">
        <v>6319</v>
      </c>
      <c r="B2101" s="2" t="s">
        <v>5802</v>
      </c>
      <c r="C2101" s="2" t="s">
        <v>5803</v>
      </c>
      <c r="D2101" s="13" t="n">
        <v>45909.6944444445</v>
      </c>
      <c r="E2101" s="2" t="s">
        <v>41</v>
      </c>
      <c r="F2101" s="2" t="s">
        <v>27</v>
      </c>
      <c r="G2101" s="2" t="n">
        <v>3392.65</v>
      </c>
      <c r="H2101" s="2" t="n">
        <v>12.49</v>
      </c>
      <c r="I2101" s="2" t="s">
        <v>30</v>
      </c>
      <c r="J2101" s="2" t="s">
        <v>6320</v>
      </c>
      <c r="K2101" s="2" t="s">
        <v>101</v>
      </c>
      <c r="L2101" s="2"/>
      <c r="M2101" s="2" t="s">
        <v>576</v>
      </c>
    </row>
    <row r="2102" customFormat="false" ht="15" hidden="false" customHeight="false" outlineLevel="0" collapsed="false">
      <c r="A2102" s="2" t="s">
        <v>6321</v>
      </c>
      <c r="B2102" s="2" t="s">
        <v>6322</v>
      </c>
      <c r="C2102" s="2" t="s">
        <v>6323</v>
      </c>
      <c r="D2102" s="13" t="n">
        <v>45733.7868055556</v>
      </c>
      <c r="E2102" s="2" t="s">
        <v>43</v>
      </c>
      <c r="F2102" s="2" t="s">
        <v>31</v>
      </c>
      <c r="G2102" s="2" t="n">
        <v>3538.24</v>
      </c>
      <c r="H2102" s="2" t="n">
        <v>27.05</v>
      </c>
      <c r="I2102" s="2" t="s">
        <v>26</v>
      </c>
      <c r="J2102" s="2" t="s">
        <v>6324</v>
      </c>
      <c r="K2102" s="2" t="s">
        <v>89</v>
      </c>
      <c r="L2102" s="2"/>
      <c r="M2102" s="2" t="s">
        <v>581</v>
      </c>
    </row>
    <row r="2103" customFormat="false" ht="15" hidden="false" customHeight="false" outlineLevel="0" collapsed="false">
      <c r="A2103" s="2" t="s">
        <v>6325</v>
      </c>
      <c r="B2103" s="2" t="s">
        <v>1441</v>
      </c>
      <c r="C2103" s="2" t="s">
        <v>1442</v>
      </c>
      <c r="D2103" s="13" t="n">
        <v>45962.9527777778</v>
      </c>
      <c r="E2103" s="2" t="s">
        <v>41</v>
      </c>
      <c r="F2103" s="2" t="s">
        <v>31</v>
      </c>
      <c r="G2103" s="2" t="n">
        <v>1276.5</v>
      </c>
      <c r="H2103" s="2" t="n">
        <v>11.18</v>
      </c>
      <c r="I2103" s="2" t="s">
        <v>26</v>
      </c>
      <c r="J2103" s="2" t="s">
        <v>6326</v>
      </c>
      <c r="K2103" s="2" t="s">
        <v>122</v>
      </c>
      <c r="L2103" s="2" t="s">
        <v>96</v>
      </c>
      <c r="M2103" s="2"/>
    </row>
    <row r="2104" customFormat="false" ht="15" hidden="false" customHeight="false" outlineLevel="0" collapsed="false">
      <c r="A2104" s="2" t="s">
        <v>6327</v>
      </c>
      <c r="B2104" s="2" t="s">
        <v>3466</v>
      </c>
      <c r="C2104" s="2" t="s">
        <v>3467</v>
      </c>
      <c r="D2104" s="13" t="n">
        <v>45395.4631944444</v>
      </c>
      <c r="E2104" s="2" t="s">
        <v>43</v>
      </c>
      <c r="F2104" s="2" t="s">
        <v>31</v>
      </c>
      <c r="G2104" s="2" t="n">
        <v>43730.59</v>
      </c>
      <c r="H2104" s="2" t="n">
        <v>366</v>
      </c>
      <c r="I2104" s="2" t="s">
        <v>30</v>
      </c>
      <c r="J2104" s="2" t="s">
        <v>6328</v>
      </c>
      <c r="K2104" s="2" t="s">
        <v>101</v>
      </c>
      <c r="L2104" s="2"/>
      <c r="M2104" s="2" t="s">
        <v>2435</v>
      </c>
    </row>
    <row r="2105" customFormat="false" ht="15" hidden="false" customHeight="false" outlineLevel="0" collapsed="false">
      <c r="A2105" s="2" t="s">
        <v>6329</v>
      </c>
      <c r="B2105" s="2" t="s">
        <v>5766</v>
      </c>
      <c r="C2105" s="2" t="s">
        <v>5767</v>
      </c>
      <c r="D2105" s="13" t="n">
        <v>45652.7986111111</v>
      </c>
      <c r="E2105" s="2" t="s">
        <v>39</v>
      </c>
      <c r="F2105" s="2" t="s">
        <v>31</v>
      </c>
      <c r="G2105" s="2" t="n">
        <v>7759.32</v>
      </c>
      <c r="H2105" s="2" t="n">
        <v>29.71</v>
      </c>
      <c r="I2105" s="2" t="s">
        <v>26</v>
      </c>
      <c r="J2105" s="2" t="s">
        <v>6330</v>
      </c>
      <c r="K2105" s="2" t="s">
        <v>101</v>
      </c>
      <c r="L2105" s="2" t="s">
        <v>107</v>
      </c>
      <c r="M2105" s="2"/>
    </row>
    <row r="2106" customFormat="false" ht="15" hidden="false" customHeight="false" outlineLevel="0" collapsed="false">
      <c r="A2106" s="2" t="s">
        <v>6331</v>
      </c>
      <c r="B2106" s="2" t="s">
        <v>2507</v>
      </c>
      <c r="C2106" s="2" t="s">
        <v>2508</v>
      </c>
      <c r="D2106" s="13" t="n">
        <v>45709.5694444445</v>
      </c>
      <c r="E2106" s="2" t="s">
        <v>35</v>
      </c>
      <c r="F2106" s="2" t="s">
        <v>31</v>
      </c>
      <c r="G2106" s="2" t="n">
        <v>14149.08</v>
      </c>
      <c r="H2106" s="2" t="n">
        <v>167.72</v>
      </c>
      <c r="I2106" s="2" t="s">
        <v>28</v>
      </c>
      <c r="J2106" s="2" t="s">
        <v>6332</v>
      </c>
      <c r="K2106" s="2" t="s">
        <v>95</v>
      </c>
      <c r="L2106" s="2" t="s">
        <v>812</v>
      </c>
      <c r="M2106" s="2"/>
    </row>
    <row r="2107" customFormat="false" ht="15" hidden="false" customHeight="false" outlineLevel="0" collapsed="false">
      <c r="A2107" s="2" t="s">
        <v>6333</v>
      </c>
      <c r="B2107" s="2" t="s">
        <v>2499</v>
      </c>
      <c r="C2107" s="2" t="s">
        <v>2500</v>
      </c>
      <c r="D2107" s="13" t="n">
        <v>45485.475</v>
      </c>
      <c r="E2107" s="2" t="s">
        <v>35</v>
      </c>
      <c r="F2107" s="2" t="s">
        <v>31</v>
      </c>
      <c r="G2107" s="2" t="n">
        <v>1737.43</v>
      </c>
      <c r="H2107" s="2" t="n">
        <v>12.83</v>
      </c>
      <c r="I2107" s="2" t="s">
        <v>26</v>
      </c>
      <c r="J2107" s="2" t="s">
        <v>6334</v>
      </c>
      <c r="K2107" s="2" t="s">
        <v>89</v>
      </c>
      <c r="L2107" s="2" t="s">
        <v>117</v>
      </c>
      <c r="M2107" s="2"/>
    </row>
    <row r="2108" customFormat="false" ht="15" hidden="false" customHeight="false" outlineLevel="0" collapsed="false">
      <c r="A2108" s="2" t="s">
        <v>6335</v>
      </c>
      <c r="B2108" s="2" t="s">
        <v>5366</v>
      </c>
      <c r="C2108" s="2" t="s">
        <v>5367</v>
      </c>
      <c r="D2108" s="13" t="n">
        <v>45798.7222222222</v>
      </c>
      <c r="E2108" s="2" t="s">
        <v>35</v>
      </c>
      <c r="F2108" s="2" t="s">
        <v>31</v>
      </c>
      <c r="G2108" s="2" t="n">
        <v>26471.3</v>
      </c>
      <c r="H2108" s="2" t="n">
        <v>192.46</v>
      </c>
      <c r="I2108" s="2" t="s">
        <v>30</v>
      </c>
      <c r="J2108" s="2" t="s">
        <v>6336</v>
      </c>
      <c r="K2108" s="2" t="s">
        <v>101</v>
      </c>
      <c r="L2108" s="2" t="s">
        <v>123</v>
      </c>
      <c r="M2108" s="2"/>
    </row>
    <row r="2109" customFormat="false" ht="15" hidden="false" customHeight="false" outlineLevel="0" collapsed="false">
      <c r="A2109" s="2" t="s">
        <v>6337</v>
      </c>
      <c r="B2109" s="2" t="s">
        <v>2851</v>
      </c>
      <c r="C2109" s="2" t="s">
        <v>2852</v>
      </c>
      <c r="D2109" s="13" t="n">
        <v>45455.3395833333</v>
      </c>
      <c r="E2109" s="2" t="s">
        <v>35</v>
      </c>
      <c r="F2109" s="2" t="s">
        <v>31</v>
      </c>
      <c r="G2109" s="2" t="n">
        <v>16314.82</v>
      </c>
      <c r="H2109" s="2" t="n">
        <v>63.57</v>
      </c>
      <c r="I2109" s="2" t="s">
        <v>26</v>
      </c>
      <c r="J2109" s="2" t="s">
        <v>6338</v>
      </c>
      <c r="K2109" s="2" t="s">
        <v>101</v>
      </c>
      <c r="L2109" s="2" t="s">
        <v>128</v>
      </c>
      <c r="M2109" s="2"/>
    </row>
    <row r="2110" customFormat="false" ht="15" hidden="false" customHeight="false" outlineLevel="0" collapsed="false">
      <c r="A2110" s="2" t="s">
        <v>6339</v>
      </c>
      <c r="B2110" s="2" t="s">
        <v>1136</v>
      </c>
      <c r="C2110" s="2" t="s">
        <v>1137</v>
      </c>
      <c r="D2110" s="13" t="n">
        <v>45306.5743055556</v>
      </c>
      <c r="E2110" s="2" t="s">
        <v>43</v>
      </c>
      <c r="F2110" s="2" t="s">
        <v>27</v>
      </c>
      <c r="G2110" s="2" t="n">
        <v>4833.1</v>
      </c>
      <c r="H2110" s="2" t="n">
        <v>40.58</v>
      </c>
      <c r="I2110" s="2" t="s">
        <v>26</v>
      </c>
      <c r="J2110" s="2" t="s">
        <v>6340</v>
      </c>
      <c r="K2110" s="2" t="s">
        <v>95</v>
      </c>
      <c r="L2110" s="2"/>
      <c r="M2110" s="2" t="s">
        <v>617</v>
      </c>
    </row>
    <row r="2111" customFormat="false" ht="15" hidden="false" customHeight="false" outlineLevel="0" collapsed="false">
      <c r="A2111" s="2" t="s">
        <v>6341</v>
      </c>
      <c r="B2111" s="2" t="s">
        <v>5594</v>
      </c>
      <c r="C2111" s="2" t="s">
        <v>5595</v>
      </c>
      <c r="D2111" s="13" t="n">
        <v>45568.3048611111</v>
      </c>
      <c r="E2111" s="2" t="s">
        <v>43</v>
      </c>
      <c r="F2111" s="2" t="s">
        <v>31</v>
      </c>
      <c r="G2111" s="2" t="n">
        <v>10097.85</v>
      </c>
      <c r="H2111" s="2" t="n">
        <v>22.62</v>
      </c>
      <c r="I2111" s="2" t="s">
        <v>26</v>
      </c>
      <c r="J2111" s="2" t="s">
        <v>6342</v>
      </c>
      <c r="K2111" s="2" t="s">
        <v>122</v>
      </c>
      <c r="L2111" s="2"/>
      <c r="M2111" s="2" t="s">
        <v>1795</v>
      </c>
    </row>
    <row r="2112" customFormat="false" ht="15" hidden="false" customHeight="false" outlineLevel="0" collapsed="false">
      <c r="A2112" s="2" t="s">
        <v>6343</v>
      </c>
      <c r="B2112" s="2" t="s">
        <v>5276</v>
      </c>
      <c r="C2112" s="2" t="s">
        <v>5277</v>
      </c>
      <c r="D2112" s="13" t="n">
        <v>45977.5104166667</v>
      </c>
      <c r="E2112" s="2" t="s">
        <v>41</v>
      </c>
      <c r="F2112" s="2" t="s">
        <v>27</v>
      </c>
      <c r="G2112" s="2" t="n">
        <v>11214.22</v>
      </c>
      <c r="H2112" s="2" t="n">
        <v>49.51</v>
      </c>
      <c r="I2112" s="2" t="s">
        <v>26</v>
      </c>
      <c r="J2112" s="2" t="s">
        <v>6344</v>
      </c>
      <c r="K2112" s="2" t="s">
        <v>95</v>
      </c>
      <c r="L2112" s="2"/>
      <c r="M2112" s="2" t="s">
        <v>627</v>
      </c>
    </row>
    <row r="2113" customFormat="false" ht="15" hidden="false" customHeight="false" outlineLevel="0" collapsed="false">
      <c r="A2113" s="2" t="s">
        <v>6345</v>
      </c>
      <c r="B2113" s="2" t="s">
        <v>5700</v>
      </c>
      <c r="C2113" s="2" t="s">
        <v>5701</v>
      </c>
      <c r="D2113" s="13" t="n">
        <v>45738.7645833333</v>
      </c>
      <c r="E2113" s="2" t="s">
        <v>37</v>
      </c>
      <c r="F2113" s="2" t="s">
        <v>29</v>
      </c>
      <c r="G2113" s="2" t="n">
        <v>2015.12</v>
      </c>
      <c r="H2113" s="2" t="n">
        <v>12.85</v>
      </c>
      <c r="I2113" s="2" t="s">
        <v>26</v>
      </c>
      <c r="J2113" s="2" t="s">
        <v>6346</v>
      </c>
      <c r="K2113" s="2" t="s">
        <v>95</v>
      </c>
      <c r="L2113" s="2" t="s">
        <v>841</v>
      </c>
      <c r="M2113" s="2"/>
    </row>
    <row r="2114" customFormat="false" ht="15" hidden="false" customHeight="false" outlineLevel="0" collapsed="false">
      <c r="A2114" s="2" t="s">
        <v>6347</v>
      </c>
      <c r="B2114" s="2" t="s">
        <v>275</v>
      </c>
      <c r="C2114" s="2" t="s">
        <v>276</v>
      </c>
      <c r="D2114" s="13" t="n">
        <v>45620.6909722222</v>
      </c>
      <c r="E2114" s="2" t="s">
        <v>41</v>
      </c>
      <c r="F2114" s="2" t="s">
        <v>27</v>
      </c>
      <c r="G2114" s="2" t="n">
        <v>11252.92</v>
      </c>
      <c r="H2114" s="2" t="n">
        <v>128.01</v>
      </c>
      <c r="I2114" s="2" t="s">
        <v>26</v>
      </c>
      <c r="J2114" s="2" t="s">
        <v>6348</v>
      </c>
      <c r="K2114" s="2" t="s">
        <v>122</v>
      </c>
      <c r="L2114" s="2"/>
      <c r="M2114" s="2" t="s">
        <v>1806</v>
      </c>
    </row>
    <row r="2115" customFormat="false" ht="15" hidden="false" customHeight="false" outlineLevel="0" collapsed="false">
      <c r="A2115" s="2" t="s">
        <v>6349</v>
      </c>
      <c r="B2115" s="2" t="s">
        <v>2314</v>
      </c>
      <c r="C2115" s="2" t="s">
        <v>2315</v>
      </c>
      <c r="D2115" s="13" t="n">
        <v>45639.6090277778</v>
      </c>
      <c r="E2115" s="2" t="s">
        <v>41</v>
      </c>
      <c r="F2115" s="2" t="s">
        <v>29</v>
      </c>
      <c r="G2115" s="2" t="n">
        <v>479.5</v>
      </c>
      <c r="H2115" s="2" t="n">
        <v>5</v>
      </c>
      <c r="I2115" s="2" t="s">
        <v>26</v>
      </c>
      <c r="J2115" s="2" t="s">
        <v>6350</v>
      </c>
      <c r="K2115" s="2" t="s">
        <v>122</v>
      </c>
      <c r="L2115" s="2" t="s">
        <v>150</v>
      </c>
      <c r="M2115" s="2"/>
    </row>
    <row r="2116" customFormat="false" ht="15" hidden="false" customHeight="false" outlineLevel="0" collapsed="false">
      <c r="A2116" s="2" t="s">
        <v>6351</v>
      </c>
      <c r="B2116" s="2" t="s">
        <v>5292</v>
      </c>
      <c r="C2116" s="2" t="s">
        <v>5293</v>
      </c>
      <c r="D2116" s="13" t="n">
        <v>45344.4611111111</v>
      </c>
      <c r="E2116" s="2" t="s">
        <v>39</v>
      </c>
      <c r="F2116" s="2" t="s">
        <v>27</v>
      </c>
      <c r="G2116" s="2" t="n">
        <v>8344.27</v>
      </c>
      <c r="H2116" s="2" t="n">
        <v>37.51</v>
      </c>
      <c r="I2116" s="2" t="s">
        <v>26</v>
      </c>
      <c r="J2116" s="2" t="s">
        <v>6352</v>
      </c>
      <c r="K2116" s="2" t="s">
        <v>122</v>
      </c>
      <c r="L2116" s="2"/>
      <c r="M2116" s="2" t="s">
        <v>1448</v>
      </c>
    </row>
    <row r="2117" customFormat="false" ht="15" hidden="false" customHeight="false" outlineLevel="0" collapsed="false">
      <c r="A2117" s="2" t="s">
        <v>6353</v>
      </c>
      <c r="B2117" s="2" t="s">
        <v>3794</v>
      </c>
      <c r="C2117" s="2" t="s">
        <v>3795</v>
      </c>
      <c r="D2117" s="13" t="n">
        <v>45844.7305555556</v>
      </c>
      <c r="E2117" s="2" t="s">
        <v>41</v>
      </c>
      <c r="F2117" s="2" t="s">
        <v>32</v>
      </c>
      <c r="G2117" s="2" t="n">
        <v>1865.36</v>
      </c>
      <c r="H2117" s="2" t="n">
        <v>12.06</v>
      </c>
      <c r="I2117" s="2" t="s">
        <v>30</v>
      </c>
      <c r="J2117" s="2" t="s">
        <v>6354</v>
      </c>
      <c r="K2117" s="2" t="s">
        <v>89</v>
      </c>
      <c r="L2117" s="2" t="s">
        <v>158</v>
      </c>
      <c r="M2117" s="2"/>
    </row>
    <row r="2118" customFormat="false" ht="15" hidden="false" customHeight="false" outlineLevel="0" collapsed="false">
      <c r="A2118" s="2" t="s">
        <v>6355</v>
      </c>
      <c r="B2118" s="2" t="s">
        <v>2641</v>
      </c>
      <c r="C2118" s="2" t="s">
        <v>2642</v>
      </c>
      <c r="D2118" s="13" t="n">
        <v>45426.3430555556</v>
      </c>
      <c r="E2118" s="2" t="s">
        <v>41</v>
      </c>
      <c r="F2118" s="2" t="s">
        <v>27</v>
      </c>
      <c r="G2118" s="2" t="n">
        <v>3652.85</v>
      </c>
      <c r="H2118" s="2" t="n">
        <v>29.24</v>
      </c>
      <c r="I2118" s="2" t="s">
        <v>26</v>
      </c>
      <c r="J2118" s="2" t="s">
        <v>6356</v>
      </c>
      <c r="K2118" s="2" t="s">
        <v>95</v>
      </c>
      <c r="L2118" s="2"/>
      <c r="M2118" s="2" t="s">
        <v>163</v>
      </c>
    </row>
    <row r="2119" customFormat="false" ht="15" hidden="false" customHeight="false" outlineLevel="0" collapsed="false">
      <c r="A2119" s="2" t="s">
        <v>6357</v>
      </c>
      <c r="B2119" s="2" t="s">
        <v>3340</v>
      </c>
      <c r="C2119" s="2" t="s">
        <v>3341</v>
      </c>
      <c r="D2119" s="13" t="n">
        <v>46005.7638888889</v>
      </c>
      <c r="E2119" s="2" t="s">
        <v>41</v>
      </c>
      <c r="F2119" s="2" t="s">
        <v>31</v>
      </c>
      <c r="G2119" s="2" t="n">
        <v>1778.24</v>
      </c>
      <c r="H2119" s="2" t="n">
        <v>20.43</v>
      </c>
      <c r="I2119" s="2" t="s">
        <v>30</v>
      </c>
      <c r="J2119" s="2" t="s">
        <v>6358</v>
      </c>
      <c r="K2119" s="2" t="s">
        <v>89</v>
      </c>
      <c r="L2119" s="2" t="s">
        <v>168</v>
      </c>
      <c r="M2119" s="2"/>
    </row>
    <row r="2120" customFormat="false" ht="15" hidden="false" customHeight="false" outlineLevel="0" collapsed="false">
      <c r="A2120" s="2" t="s">
        <v>6359</v>
      </c>
      <c r="B2120" s="2" t="s">
        <v>2529</v>
      </c>
      <c r="C2120" s="2" t="s">
        <v>2530</v>
      </c>
      <c r="D2120" s="13" t="n">
        <v>45981.5076388889</v>
      </c>
      <c r="E2120" s="2" t="s">
        <v>43</v>
      </c>
      <c r="F2120" s="2" t="s">
        <v>31</v>
      </c>
      <c r="G2120" s="2" t="n">
        <v>2352.84</v>
      </c>
      <c r="H2120" s="2" t="n">
        <v>20.54</v>
      </c>
      <c r="I2120" s="2" t="s">
        <v>26</v>
      </c>
      <c r="J2120" s="2" t="s">
        <v>6360</v>
      </c>
      <c r="K2120" s="2" t="s">
        <v>89</v>
      </c>
      <c r="L2120" s="2"/>
      <c r="M2120" s="2" t="s">
        <v>662</v>
      </c>
    </row>
    <row r="2121" customFormat="false" ht="15" hidden="false" customHeight="false" outlineLevel="0" collapsed="false">
      <c r="A2121" s="2" t="s">
        <v>6361</v>
      </c>
      <c r="B2121" s="2" t="s">
        <v>1918</v>
      </c>
      <c r="C2121" s="2" t="s">
        <v>1919</v>
      </c>
      <c r="D2121" s="13" t="n">
        <v>45574.6333333333</v>
      </c>
      <c r="E2121" s="2" t="s">
        <v>35</v>
      </c>
      <c r="F2121" s="2" t="s">
        <v>29</v>
      </c>
      <c r="G2121" s="2" t="n">
        <v>920.75</v>
      </c>
      <c r="H2121" s="2" t="n">
        <v>5.45</v>
      </c>
      <c r="I2121" s="2" t="s">
        <v>26</v>
      </c>
      <c r="J2121" s="2" t="s">
        <v>6362</v>
      </c>
      <c r="K2121" s="2" t="s">
        <v>95</v>
      </c>
      <c r="L2121" s="2" t="s">
        <v>178</v>
      </c>
      <c r="M2121" s="2"/>
    </row>
    <row r="2122" customFormat="false" ht="15" hidden="false" customHeight="false" outlineLevel="0" collapsed="false">
      <c r="A2122" s="2" t="s">
        <v>6363</v>
      </c>
      <c r="B2122" s="2" t="s">
        <v>5036</v>
      </c>
      <c r="C2122" s="2" t="s">
        <v>5037</v>
      </c>
      <c r="D2122" s="13" t="n">
        <v>45868.8590277778</v>
      </c>
      <c r="E2122" s="2" t="s">
        <v>41</v>
      </c>
      <c r="F2122" s="2" t="s">
        <v>32</v>
      </c>
      <c r="G2122" s="2" t="n">
        <v>10575.68</v>
      </c>
      <c r="H2122" s="2" t="n">
        <v>70.16</v>
      </c>
      <c r="I2122" s="2" t="s">
        <v>26</v>
      </c>
      <c r="J2122" s="2" t="s">
        <v>6364</v>
      </c>
      <c r="K2122" s="2" t="s">
        <v>122</v>
      </c>
      <c r="L2122" s="2" t="s">
        <v>874</v>
      </c>
      <c r="M2122" s="2"/>
    </row>
    <row r="2123" customFormat="false" ht="15" hidden="false" customHeight="false" outlineLevel="0" collapsed="false">
      <c r="A2123" s="2" t="s">
        <v>6365</v>
      </c>
      <c r="B2123" s="2" t="s">
        <v>3255</v>
      </c>
      <c r="C2123" s="2" t="s">
        <v>3256</v>
      </c>
      <c r="D2123" s="13" t="n">
        <v>45804.5972222222</v>
      </c>
      <c r="E2123" s="2" t="s">
        <v>43</v>
      </c>
      <c r="F2123" s="2" t="s">
        <v>27</v>
      </c>
      <c r="G2123" s="2" t="n">
        <v>1215.92</v>
      </c>
      <c r="H2123" s="2" t="n">
        <v>12.73</v>
      </c>
      <c r="I2123" s="2" t="s">
        <v>28</v>
      </c>
      <c r="J2123" s="2" t="s">
        <v>6366</v>
      </c>
      <c r="K2123" s="2" t="s">
        <v>101</v>
      </c>
      <c r="L2123" s="2"/>
      <c r="M2123" s="2" t="s">
        <v>1084</v>
      </c>
    </row>
    <row r="2124" customFormat="false" ht="15" hidden="false" customHeight="false" outlineLevel="0" collapsed="false">
      <c r="A2124" s="2" t="s">
        <v>6367</v>
      </c>
      <c r="B2124" s="2" t="s">
        <v>6258</v>
      </c>
      <c r="C2124" s="2" t="s">
        <v>6259</v>
      </c>
      <c r="D2124" s="13" t="n">
        <v>45785.41875</v>
      </c>
      <c r="E2124" s="2" t="s">
        <v>35</v>
      </c>
      <c r="F2124" s="2" t="s">
        <v>32</v>
      </c>
      <c r="G2124" s="2" t="n">
        <v>5028.81</v>
      </c>
      <c r="H2124" s="2" t="n">
        <v>37.23</v>
      </c>
      <c r="I2124" s="2" t="s">
        <v>26</v>
      </c>
      <c r="J2124" s="2" t="s">
        <v>6368</v>
      </c>
      <c r="K2124" s="2" t="s">
        <v>89</v>
      </c>
      <c r="L2124" s="2" t="s">
        <v>193</v>
      </c>
      <c r="M2124" s="2"/>
    </row>
    <row r="2125" customFormat="false" ht="15" hidden="false" customHeight="false" outlineLevel="0" collapsed="false">
      <c r="A2125" s="2" t="s">
        <v>6369</v>
      </c>
      <c r="B2125" s="2" t="s">
        <v>4174</v>
      </c>
      <c r="C2125" s="2" t="s">
        <v>4175</v>
      </c>
      <c r="D2125" s="13" t="n">
        <v>45894.3729166667</v>
      </c>
      <c r="E2125" s="2" t="s">
        <v>41</v>
      </c>
      <c r="F2125" s="2" t="s">
        <v>29</v>
      </c>
      <c r="G2125" s="2" t="n">
        <v>1087.68</v>
      </c>
      <c r="H2125" s="2" t="n">
        <v>9.07</v>
      </c>
      <c r="I2125" s="2" t="s">
        <v>28</v>
      </c>
      <c r="J2125" s="2" t="s">
        <v>6370</v>
      </c>
      <c r="K2125" s="2" t="s">
        <v>122</v>
      </c>
      <c r="L2125" s="2" t="s">
        <v>1482</v>
      </c>
      <c r="M2125" s="2"/>
    </row>
    <row r="2126" customFormat="false" ht="15" hidden="false" customHeight="false" outlineLevel="0" collapsed="false">
      <c r="A2126" s="2" t="s">
        <v>6371</v>
      </c>
      <c r="B2126" s="2" t="s">
        <v>370</v>
      </c>
      <c r="C2126" s="2" t="s">
        <v>371</v>
      </c>
      <c r="D2126" s="13" t="n">
        <v>45779.9138888889</v>
      </c>
      <c r="E2126" s="2" t="s">
        <v>39</v>
      </c>
      <c r="F2126" s="2" t="s">
        <v>27</v>
      </c>
      <c r="G2126" s="2" t="n">
        <v>2474.85</v>
      </c>
      <c r="H2126" s="2" t="n">
        <v>18.6</v>
      </c>
      <c r="I2126" s="2" t="s">
        <v>26</v>
      </c>
      <c r="J2126" s="2" t="s">
        <v>6372</v>
      </c>
      <c r="K2126" s="2" t="s">
        <v>101</v>
      </c>
      <c r="L2126" s="2"/>
      <c r="M2126" s="2" t="s">
        <v>203</v>
      </c>
    </row>
    <row r="2127" customFormat="false" ht="15" hidden="false" customHeight="false" outlineLevel="0" collapsed="false">
      <c r="A2127" s="2" t="s">
        <v>6373</v>
      </c>
      <c r="B2127" s="2" t="s">
        <v>1433</v>
      </c>
      <c r="C2127" s="2" t="s">
        <v>1434</v>
      </c>
      <c r="D2127" s="13" t="n">
        <v>45765.3020833333</v>
      </c>
      <c r="E2127" s="2" t="s">
        <v>41</v>
      </c>
      <c r="F2127" s="2" t="s">
        <v>32</v>
      </c>
      <c r="G2127" s="2" t="n">
        <v>639.8</v>
      </c>
      <c r="H2127" s="2" t="n">
        <v>5.36</v>
      </c>
      <c r="I2127" s="2" t="s">
        <v>30</v>
      </c>
      <c r="J2127" s="2" t="s">
        <v>6374</v>
      </c>
      <c r="K2127" s="2" t="s">
        <v>101</v>
      </c>
      <c r="L2127" s="2" t="s">
        <v>208</v>
      </c>
      <c r="M2127" s="2"/>
    </row>
    <row r="2128" customFormat="false" ht="15" hidden="false" customHeight="false" outlineLevel="0" collapsed="false">
      <c r="A2128" s="2" t="s">
        <v>6375</v>
      </c>
      <c r="B2128" s="2" t="s">
        <v>1788</v>
      </c>
      <c r="C2128" s="2" t="s">
        <v>1789</v>
      </c>
      <c r="D2128" s="13" t="n">
        <v>45679.7784722222</v>
      </c>
      <c r="E2128" s="2" t="s">
        <v>43</v>
      </c>
      <c r="F2128" s="2" t="s">
        <v>29</v>
      </c>
      <c r="G2128" s="2" t="n">
        <v>31940.41</v>
      </c>
      <c r="H2128" s="2" t="n">
        <v>195.83</v>
      </c>
      <c r="I2128" s="2" t="s">
        <v>26</v>
      </c>
      <c r="J2128" s="2" t="s">
        <v>6376</v>
      </c>
      <c r="K2128" s="2" t="s">
        <v>101</v>
      </c>
      <c r="L2128" s="2"/>
      <c r="M2128" s="2" t="s">
        <v>1495</v>
      </c>
    </row>
    <row r="2129" customFormat="false" ht="15" hidden="false" customHeight="false" outlineLevel="0" collapsed="false">
      <c r="A2129" s="2" t="s">
        <v>6377</v>
      </c>
      <c r="B2129" s="2" t="s">
        <v>5174</v>
      </c>
      <c r="C2129" s="2" t="s">
        <v>5175</v>
      </c>
      <c r="D2129" s="13" t="n">
        <v>45712.55625</v>
      </c>
      <c r="E2129" s="2" t="s">
        <v>39</v>
      </c>
      <c r="F2129" s="2" t="s">
        <v>29</v>
      </c>
      <c r="G2129" s="2" t="n">
        <v>1562.97</v>
      </c>
      <c r="H2129" s="2" t="n">
        <v>6.31</v>
      </c>
      <c r="I2129" s="2" t="s">
        <v>26</v>
      </c>
      <c r="J2129" s="2" t="s">
        <v>6378</v>
      </c>
      <c r="K2129" s="2" t="s">
        <v>122</v>
      </c>
      <c r="L2129" s="2" t="s">
        <v>218</v>
      </c>
      <c r="M2129" s="2"/>
    </row>
    <row r="2130" customFormat="false" ht="15" hidden="false" customHeight="false" outlineLevel="0" collapsed="false">
      <c r="A2130" s="2" t="s">
        <v>6379</v>
      </c>
      <c r="B2130" s="2" t="s">
        <v>2659</v>
      </c>
      <c r="C2130" s="2" t="s">
        <v>2660</v>
      </c>
      <c r="D2130" s="13" t="n">
        <v>45874.8069444444</v>
      </c>
      <c r="E2130" s="2" t="s">
        <v>37</v>
      </c>
      <c r="F2130" s="2" t="s">
        <v>29</v>
      </c>
      <c r="G2130" s="2" t="n">
        <v>9004.96</v>
      </c>
      <c r="H2130" s="2" t="n">
        <v>100.24</v>
      </c>
      <c r="I2130" s="2" t="s">
        <v>26</v>
      </c>
      <c r="J2130" s="2" t="s">
        <v>6380</v>
      </c>
      <c r="K2130" s="2" t="s">
        <v>89</v>
      </c>
      <c r="L2130" s="2" t="s">
        <v>1504</v>
      </c>
      <c r="M2130" s="2"/>
    </row>
    <row r="2131" customFormat="false" ht="15" hidden="false" customHeight="false" outlineLevel="0" collapsed="false">
      <c r="A2131" s="2" t="s">
        <v>6381</v>
      </c>
      <c r="B2131" s="2" t="s">
        <v>2035</v>
      </c>
      <c r="C2131" s="2" t="s">
        <v>2036</v>
      </c>
      <c r="D2131" s="13" t="n">
        <v>45947.6145833333</v>
      </c>
      <c r="E2131" s="2" t="s">
        <v>43</v>
      </c>
      <c r="F2131" s="2" t="s">
        <v>27</v>
      </c>
      <c r="G2131" s="2" t="n">
        <v>612.03</v>
      </c>
      <c r="H2131" s="2" t="n">
        <v>5</v>
      </c>
      <c r="I2131" s="2" t="s">
        <v>30</v>
      </c>
      <c r="J2131" s="2" t="s">
        <v>6382</v>
      </c>
      <c r="K2131" s="2" t="s">
        <v>101</v>
      </c>
      <c r="L2131" s="2"/>
      <c r="M2131" s="2" t="s">
        <v>228</v>
      </c>
    </row>
    <row r="2132" customFormat="false" ht="15" hidden="false" customHeight="false" outlineLevel="0" collapsed="false">
      <c r="A2132" s="2" t="s">
        <v>6383</v>
      </c>
      <c r="B2132" s="2" t="s">
        <v>5194</v>
      </c>
      <c r="C2132" s="2" t="s">
        <v>5195</v>
      </c>
      <c r="D2132" s="13" t="n">
        <v>45554.4618055556</v>
      </c>
      <c r="E2132" s="2" t="s">
        <v>43</v>
      </c>
      <c r="F2132" s="2" t="s">
        <v>29</v>
      </c>
      <c r="G2132" s="2" t="n">
        <v>1553.6</v>
      </c>
      <c r="H2132" s="2" t="n">
        <v>8.59</v>
      </c>
      <c r="I2132" s="2" t="s">
        <v>30</v>
      </c>
      <c r="J2132" s="2" t="s">
        <v>6384</v>
      </c>
      <c r="K2132" s="2" t="s">
        <v>95</v>
      </c>
      <c r="L2132" s="2"/>
      <c r="M2132" s="2" t="s">
        <v>233</v>
      </c>
    </row>
    <row r="2133" customFormat="false" ht="15" hidden="false" customHeight="false" outlineLevel="0" collapsed="false">
      <c r="A2133" s="2" t="s">
        <v>6385</v>
      </c>
      <c r="B2133" s="2" t="s">
        <v>4484</v>
      </c>
      <c r="C2133" s="2" t="s">
        <v>4485</v>
      </c>
      <c r="D2133" s="13" t="n">
        <v>45948.4680555556</v>
      </c>
      <c r="E2133" s="2" t="s">
        <v>35</v>
      </c>
      <c r="F2133" s="2" t="s">
        <v>32</v>
      </c>
      <c r="G2133" s="2" t="n">
        <v>3847.54</v>
      </c>
      <c r="H2133" s="2" t="n">
        <v>18.2</v>
      </c>
      <c r="I2133" s="2" t="s">
        <v>26</v>
      </c>
      <c r="J2133" s="2" t="s">
        <v>6386</v>
      </c>
      <c r="K2133" s="2" t="s">
        <v>101</v>
      </c>
      <c r="L2133" s="2" t="s">
        <v>1513</v>
      </c>
      <c r="M2133" s="2"/>
    </row>
    <row r="2134" customFormat="false" ht="15" hidden="false" customHeight="false" outlineLevel="0" collapsed="false">
      <c r="A2134" s="2" t="s">
        <v>6387</v>
      </c>
      <c r="B2134" s="2" t="s">
        <v>2651</v>
      </c>
      <c r="C2134" s="2" t="s">
        <v>2652</v>
      </c>
      <c r="D2134" s="13" t="n">
        <v>45350.5270833333</v>
      </c>
      <c r="E2134" s="2" t="s">
        <v>39</v>
      </c>
      <c r="F2134" s="2" t="s">
        <v>32</v>
      </c>
      <c r="G2134" s="2" t="n">
        <v>949.87</v>
      </c>
      <c r="H2134" s="2" t="n">
        <v>5</v>
      </c>
      <c r="I2134" s="2" t="s">
        <v>26</v>
      </c>
      <c r="J2134" s="2" t="s">
        <v>6388</v>
      </c>
      <c r="K2134" s="2" t="s">
        <v>95</v>
      </c>
      <c r="L2134" s="2" t="s">
        <v>243</v>
      </c>
      <c r="M2134" s="2"/>
    </row>
    <row r="2135" customFormat="false" ht="15" hidden="false" customHeight="false" outlineLevel="0" collapsed="false">
      <c r="A2135" s="2" t="s">
        <v>6389</v>
      </c>
      <c r="B2135" s="2" t="s">
        <v>1742</v>
      </c>
      <c r="C2135" s="2" t="s">
        <v>1743</v>
      </c>
      <c r="D2135" s="13" t="n">
        <v>45979.5680555556</v>
      </c>
      <c r="E2135" s="2" t="s">
        <v>39</v>
      </c>
      <c r="F2135" s="2" t="s">
        <v>29</v>
      </c>
      <c r="G2135" s="2" t="n">
        <v>882.85</v>
      </c>
      <c r="H2135" s="2" t="n">
        <v>5.03</v>
      </c>
      <c r="I2135" s="2" t="s">
        <v>28</v>
      </c>
      <c r="J2135" s="2" t="s">
        <v>6390</v>
      </c>
      <c r="K2135" s="2" t="s">
        <v>122</v>
      </c>
      <c r="L2135" s="2" t="s">
        <v>248</v>
      </c>
      <c r="M2135" s="2"/>
    </row>
    <row r="2136" customFormat="false" ht="15" hidden="false" customHeight="false" outlineLevel="0" collapsed="false">
      <c r="A2136" s="2" t="s">
        <v>6391</v>
      </c>
      <c r="B2136" s="2" t="s">
        <v>395</v>
      </c>
      <c r="C2136" s="2" t="s">
        <v>396</v>
      </c>
      <c r="D2136" s="13" t="n">
        <v>45428.6256944445</v>
      </c>
      <c r="E2136" s="2" t="s">
        <v>43</v>
      </c>
      <c r="F2136" s="2" t="s">
        <v>29</v>
      </c>
      <c r="G2136" s="2" t="n">
        <v>3574.9</v>
      </c>
      <c r="H2136" s="2" t="n">
        <v>30.26</v>
      </c>
      <c r="I2136" s="2" t="s">
        <v>26</v>
      </c>
      <c r="J2136" s="2" t="s">
        <v>6392</v>
      </c>
      <c r="K2136" s="2" t="s">
        <v>89</v>
      </c>
      <c r="L2136" s="2"/>
      <c r="M2136" s="2" t="s">
        <v>728</v>
      </c>
    </row>
    <row r="2137" customFormat="false" ht="15" hidden="false" customHeight="false" outlineLevel="0" collapsed="false">
      <c r="A2137" s="2" t="s">
        <v>6393</v>
      </c>
      <c r="B2137" s="2" t="s">
        <v>1922</v>
      </c>
      <c r="C2137" s="2" t="s">
        <v>1923</v>
      </c>
      <c r="D2137" s="13" t="n">
        <v>45850.8986111111</v>
      </c>
      <c r="E2137" s="2" t="s">
        <v>43</v>
      </c>
      <c r="F2137" s="2" t="s">
        <v>31</v>
      </c>
      <c r="G2137" s="2" t="n">
        <v>11836.32</v>
      </c>
      <c r="H2137" s="2" t="n">
        <v>71.36</v>
      </c>
      <c r="I2137" s="2" t="s">
        <v>26</v>
      </c>
      <c r="J2137" s="2" t="s">
        <v>6394</v>
      </c>
      <c r="K2137" s="2" t="s">
        <v>122</v>
      </c>
      <c r="L2137" s="2"/>
      <c r="M2137" s="2" t="s">
        <v>1134</v>
      </c>
    </row>
    <row r="2138" customFormat="false" ht="15" hidden="false" customHeight="false" outlineLevel="0" collapsed="false">
      <c r="A2138" s="2" t="s">
        <v>6395</v>
      </c>
      <c r="B2138" s="2" t="s">
        <v>3094</v>
      </c>
      <c r="C2138" s="2" t="s">
        <v>3095</v>
      </c>
      <c r="D2138" s="13" t="n">
        <v>45451.6798611111</v>
      </c>
      <c r="E2138" s="2" t="s">
        <v>37</v>
      </c>
      <c r="F2138" s="2" t="s">
        <v>31</v>
      </c>
      <c r="G2138" s="2" t="n">
        <v>2967.61</v>
      </c>
      <c r="H2138" s="2" t="n">
        <v>22.61</v>
      </c>
      <c r="I2138" s="2" t="s">
        <v>30</v>
      </c>
      <c r="J2138" s="2" t="s">
        <v>6396</v>
      </c>
      <c r="K2138" s="2" t="s">
        <v>101</v>
      </c>
      <c r="L2138" s="2" t="s">
        <v>940</v>
      </c>
      <c r="M2138" s="2"/>
    </row>
    <row r="2139" customFormat="false" ht="15" hidden="false" customHeight="false" outlineLevel="0" collapsed="false">
      <c r="A2139" s="2" t="s">
        <v>6397</v>
      </c>
      <c r="B2139" s="2" t="s">
        <v>823</v>
      </c>
      <c r="C2139" s="2" t="s">
        <v>824</v>
      </c>
      <c r="D2139" s="13" t="n">
        <v>45822.8555555556</v>
      </c>
      <c r="E2139" s="2" t="s">
        <v>39</v>
      </c>
      <c r="F2139" s="2" t="s">
        <v>29</v>
      </c>
      <c r="G2139" s="2" t="n">
        <v>637.49</v>
      </c>
      <c r="H2139" s="2" t="n">
        <v>5</v>
      </c>
      <c r="I2139" s="2" t="s">
        <v>26</v>
      </c>
      <c r="J2139" s="2" t="s">
        <v>6398</v>
      </c>
      <c r="K2139" s="2" t="s">
        <v>95</v>
      </c>
      <c r="L2139" s="2" t="s">
        <v>945</v>
      </c>
      <c r="M2139" s="2"/>
    </row>
    <row r="2140" customFormat="false" ht="15" hidden="false" customHeight="false" outlineLevel="0" collapsed="false">
      <c r="A2140" s="2" t="s">
        <v>6399</v>
      </c>
      <c r="B2140" s="2" t="s">
        <v>4902</v>
      </c>
      <c r="C2140" s="2" t="s">
        <v>4903</v>
      </c>
      <c r="D2140" s="13" t="n">
        <v>45940.8402777778</v>
      </c>
      <c r="E2140" s="2" t="s">
        <v>43</v>
      </c>
      <c r="F2140" s="2" t="s">
        <v>32</v>
      </c>
      <c r="G2140" s="2" t="n">
        <v>7234.4</v>
      </c>
      <c r="H2140" s="2" t="n">
        <v>41.74</v>
      </c>
      <c r="I2140" s="2" t="s">
        <v>26</v>
      </c>
      <c r="J2140" s="2" t="s">
        <v>6400</v>
      </c>
      <c r="K2140" s="2" t="s">
        <v>95</v>
      </c>
      <c r="L2140" s="2"/>
      <c r="M2140" s="2" t="s">
        <v>273</v>
      </c>
    </row>
    <row r="2141" customFormat="false" ht="15" hidden="false" customHeight="false" outlineLevel="0" collapsed="false">
      <c r="A2141" s="2" t="s">
        <v>6401</v>
      </c>
      <c r="B2141" s="2" t="s">
        <v>2599</v>
      </c>
      <c r="C2141" s="2" t="s">
        <v>2600</v>
      </c>
      <c r="D2141" s="13" t="n">
        <v>45750.5215277778</v>
      </c>
      <c r="E2141" s="2" t="s">
        <v>35</v>
      </c>
      <c r="F2141" s="2" t="s">
        <v>27</v>
      </c>
      <c r="G2141" s="2" t="n">
        <v>5001.09</v>
      </c>
      <c r="H2141" s="2" t="n">
        <v>58.06</v>
      </c>
      <c r="I2141" s="2" t="s">
        <v>26</v>
      </c>
      <c r="J2141" s="2" t="s">
        <v>6402</v>
      </c>
      <c r="K2141" s="2" t="s">
        <v>95</v>
      </c>
      <c r="L2141" s="2"/>
      <c r="M2141" s="2" t="s">
        <v>278</v>
      </c>
    </row>
    <row r="2142" customFormat="false" ht="15" hidden="false" customHeight="false" outlineLevel="0" collapsed="false">
      <c r="A2142" s="2" t="s">
        <v>6403</v>
      </c>
      <c r="B2142" s="2" t="s">
        <v>578</v>
      </c>
      <c r="C2142" s="2" t="s">
        <v>579</v>
      </c>
      <c r="D2142" s="13" t="n">
        <v>45980.5944444445</v>
      </c>
      <c r="E2142" s="2" t="s">
        <v>37</v>
      </c>
      <c r="F2142" s="2" t="s">
        <v>27</v>
      </c>
      <c r="G2142" s="2" t="n">
        <v>26850.13</v>
      </c>
      <c r="H2142" s="2" t="n">
        <v>316.33</v>
      </c>
      <c r="I2142" s="2" t="s">
        <v>26</v>
      </c>
      <c r="J2142" s="2" t="s">
        <v>6404</v>
      </c>
      <c r="K2142" s="2" t="s">
        <v>89</v>
      </c>
      <c r="L2142" s="2"/>
      <c r="M2142" s="2" t="s">
        <v>1157</v>
      </c>
    </row>
    <row r="2143" customFormat="false" ht="15" hidden="false" customHeight="false" outlineLevel="0" collapsed="false">
      <c r="A2143" s="2" t="s">
        <v>6405</v>
      </c>
      <c r="B2143" s="2" t="s">
        <v>978</v>
      </c>
      <c r="C2143" s="2" t="s">
        <v>979</v>
      </c>
      <c r="D2143" s="13" t="n">
        <v>45394.6930555556</v>
      </c>
      <c r="E2143" s="2" t="s">
        <v>37</v>
      </c>
      <c r="F2143" s="2" t="s">
        <v>27</v>
      </c>
      <c r="G2143" s="2" t="n">
        <v>7629.75</v>
      </c>
      <c r="H2143" s="2" t="n">
        <v>56.98</v>
      </c>
      <c r="I2143" s="2" t="s">
        <v>26</v>
      </c>
      <c r="J2143" s="2" t="s">
        <v>6406</v>
      </c>
      <c r="K2143" s="2" t="s">
        <v>122</v>
      </c>
      <c r="L2143" s="2"/>
      <c r="M2143" s="2" t="s">
        <v>288</v>
      </c>
    </row>
    <row r="2144" customFormat="false" ht="15" hidden="false" customHeight="false" outlineLevel="0" collapsed="false">
      <c r="A2144" s="2" t="s">
        <v>6407</v>
      </c>
      <c r="B2144" s="2" t="s">
        <v>2603</v>
      </c>
      <c r="C2144" s="2" t="s">
        <v>2604</v>
      </c>
      <c r="D2144" s="13" t="n">
        <v>45824.94375</v>
      </c>
      <c r="E2144" s="2" t="s">
        <v>35</v>
      </c>
      <c r="F2144" s="2" t="s">
        <v>31</v>
      </c>
      <c r="G2144" s="2" t="n">
        <v>12090.4</v>
      </c>
      <c r="H2144" s="2" t="n">
        <v>54.48</v>
      </c>
      <c r="I2144" s="2" t="s">
        <v>26</v>
      </c>
      <c r="J2144" s="2" t="s">
        <v>6408</v>
      </c>
      <c r="K2144" s="2" t="s">
        <v>101</v>
      </c>
      <c r="L2144" s="2" t="s">
        <v>293</v>
      </c>
      <c r="M2144" s="2"/>
    </row>
    <row r="2145" customFormat="false" ht="15" hidden="false" customHeight="false" outlineLevel="0" collapsed="false">
      <c r="A2145" s="2" t="s">
        <v>6409</v>
      </c>
      <c r="B2145" s="2" t="s">
        <v>1081</v>
      </c>
      <c r="C2145" s="2" t="s">
        <v>1082</v>
      </c>
      <c r="D2145" s="13" t="n">
        <v>45824.8604166667</v>
      </c>
      <c r="E2145" s="2" t="s">
        <v>35</v>
      </c>
      <c r="F2145" s="2" t="s">
        <v>29</v>
      </c>
      <c r="G2145" s="2" t="n">
        <v>7405.81</v>
      </c>
      <c r="H2145" s="2" t="n">
        <v>21.23</v>
      </c>
      <c r="I2145" s="2" t="s">
        <v>26</v>
      </c>
      <c r="J2145" s="2" t="s">
        <v>6410</v>
      </c>
      <c r="K2145" s="2" t="s">
        <v>95</v>
      </c>
      <c r="L2145" s="2" t="s">
        <v>972</v>
      </c>
      <c r="M2145" s="2"/>
    </row>
    <row r="2146" customFormat="false" ht="15" hidden="false" customHeight="false" outlineLevel="0" collapsed="false">
      <c r="A2146" s="2" t="s">
        <v>6411</v>
      </c>
      <c r="B2146" s="2" t="s">
        <v>918</v>
      </c>
      <c r="C2146" s="2" t="s">
        <v>919</v>
      </c>
      <c r="D2146" s="13" t="n">
        <v>45963.6215277778</v>
      </c>
      <c r="E2146" s="2" t="s">
        <v>37</v>
      </c>
      <c r="F2146" s="2" t="s">
        <v>32</v>
      </c>
      <c r="G2146" s="2" t="n">
        <v>1622</v>
      </c>
      <c r="H2146" s="2" t="n">
        <v>5</v>
      </c>
      <c r="I2146" s="2" t="s">
        <v>26</v>
      </c>
      <c r="J2146" s="2" t="s">
        <v>6412</v>
      </c>
      <c r="K2146" s="2" t="s">
        <v>122</v>
      </c>
      <c r="L2146" s="2" t="s">
        <v>303</v>
      </c>
      <c r="M2146" s="2"/>
    </row>
    <row r="2147" customFormat="false" ht="15" hidden="false" customHeight="false" outlineLevel="0" collapsed="false">
      <c r="A2147" s="2" t="s">
        <v>6413</v>
      </c>
      <c r="B2147" s="2" t="s">
        <v>3392</v>
      </c>
      <c r="C2147" s="2" t="s">
        <v>3393</v>
      </c>
      <c r="D2147" s="13" t="n">
        <v>45891.4104166667</v>
      </c>
      <c r="E2147" s="2" t="s">
        <v>41</v>
      </c>
      <c r="F2147" s="2" t="s">
        <v>31</v>
      </c>
      <c r="G2147" s="2" t="n">
        <v>16622.7</v>
      </c>
      <c r="H2147" s="2" t="n">
        <v>115.33</v>
      </c>
      <c r="I2147" s="2" t="s">
        <v>26</v>
      </c>
      <c r="J2147" s="2" t="s">
        <v>6414</v>
      </c>
      <c r="K2147" s="2" t="s">
        <v>95</v>
      </c>
      <c r="L2147" s="2" t="s">
        <v>308</v>
      </c>
      <c r="M2147" s="2"/>
    </row>
    <row r="2148" customFormat="false" ht="15" hidden="false" customHeight="false" outlineLevel="0" collapsed="false">
      <c r="A2148" s="2" t="s">
        <v>6415</v>
      </c>
      <c r="B2148" s="2" t="s">
        <v>2954</v>
      </c>
      <c r="C2148" s="2" t="s">
        <v>2955</v>
      </c>
      <c r="D2148" s="13" t="n">
        <v>45320.3916666667</v>
      </c>
      <c r="E2148" s="2" t="s">
        <v>39</v>
      </c>
      <c r="F2148" s="2" t="s">
        <v>31</v>
      </c>
      <c r="G2148" s="2" t="n">
        <v>1510.29</v>
      </c>
      <c r="H2148" s="2" t="n">
        <v>8.56</v>
      </c>
      <c r="I2148" s="2" t="s">
        <v>30</v>
      </c>
      <c r="J2148" s="2" t="s">
        <v>6416</v>
      </c>
      <c r="K2148" s="2" t="s">
        <v>95</v>
      </c>
      <c r="L2148" s="2" t="s">
        <v>986</v>
      </c>
      <c r="M2148" s="2"/>
    </row>
    <row r="2149" customFormat="false" ht="15" hidden="false" customHeight="false" outlineLevel="0" collapsed="false">
      <c r="A2149" s="2" t="s">
        <v>6417</v>
      </c>
      <c r="B2149" s="2" t="s">
        <v>1792</v>
      </c>
      <c r="C2149" s="2" t="s">
        <v>1793</v>
      </c>
      <c r="D2149" s="13" t="n">
        <v>45885.4326388889</v>
      </c>
      <c r="E2149" s="2" t="s">
        <v>39</v>
      </c>
      <c r="F2149" s="2" t="s">
        <v>29</v>
      </c>
      <c r="G2149" s="2" t="n">
        <v>1900.24</v>
      </c>
      <c r="H2149" s="2" t="n">
        <v>7.92</v>
      </c>
      <c r="I2149" s="2" t="s">
        <v>26</v>
      </c>
      <c r="J2149" s="2" t="s">
        <v>6418</v>
      </c>
      <c r="K2149" s="2" t="s">
        <v>95</v>
      </c>
      <c r="L2149" s="2" t="s">
        <v>318</v>
      </c>
      <c r="M2149" s="2"/>
    </row>
    <row r="2150" customFormat="false" ht="15" hidden="false" customHeight="false" outlineLevel="0" collapsed="false">
      <c r="A2150" s="2" t="s">
        <v>6419</v>
      </c>
      <c r="B2150" s="2" t="s">
        <v>3770</v>
      </c>
      <c r="C2150" s="2" t="s">
        <v>3771</v>
      </c>
      <c r="D2150" s="13" t="n">
        <v>45463.9180555556</v>
      </c>
      <c r="E2150" s="2" t="s">
        <v>37</v>
      </c>
      <c r="F2150" s="2" t="s">
        <v>27</v>
      </c>
      <c r="G2150" s="2" t="n">
        <v>2168.15</v>
      </c>
      <c r="H2150" s="2" t="n">
        <v>17.23</v>
      </c>
      <c r="I2150" s="2" t="s">
        <v>26</v>
      </c>
      <c r="J2150" s="2" t="s">
        <v>6420</v>
      </c>
      <c r="K2150" s="2" t="s">
        <v>89</v>
      </c>
      <c r="L2150" s="2"/>
      <c r="M2150" s="2" t="s">
        <v>323</v>
      </c>
    </row>
    <row r="2151" customFormat="false" ht="15" hidden="false" customHeight="false" outlineLevel="0" collapsed="false">
      <c r="A2151" s="2" t="s">
        <v>6421</v>
      </c>
      <c r="B2151" s="2" t="s">
        <v>1264</v>
      </c>
      <c r="C2151" s="2" t="s">
        <v>1265</v>
      </c>
      <c r="D2151" s="13" t="n">
        <v>45407.5270833333</v>
      </c>
      <c r="E2151" s="2" t="s">
        <v>41</v>
      </c>
      <c r="F2151" s="2" t="s">
        <v>31</v>
      </c>
      <c r="G2151" s="2" t="n">
        <v>3083.63</v>
      </c>
      <c r="H2151" s="2" t="n">
        <v>32.32</v>
      </c>
      <c r="I2151" s="2" t="s">
        <v>30</v>
      </c>
      <c r="J2151" s="2" t="s">
        <v>6422</v>
      </c>
      <c r="K2151" s="2" t="s">
        <v>122</v>
      </c>
      <c r="L2151" s="2" t="s">
        <v>1000</v>
      </c>
      <c r="M2151" s="2"/>
    </row>
    <row r="2152" customFormat="false" ht="15" hidden="false" customHeight="false" outlineLevel="0" collapsed="false">
      <c r="A2152" s="2" t="s">
        <v>6423</v>
      </c>
      <c r="B2152" s="2" t="s">
        <v>1201</v>
      </c>
      <c r="C2152" s="2" t="s">
        <v>1202</v>
      </c>
      <c r="D2152" s="13" t="n">
        <v>45942.7256944445</v>
      </c>
      <c r="E2152" s="2" t="s">
        <v>39</v>
      </c>
      <c r="F2152" s="2" t="s">
        <v>27</v>
      </c>
      <c r="G2152" s="2" t="n">
        <v>10396.98</v>
      </c>
      <c r="H2152" s="2" t="n">
        <v>87.22</v>
      </c>
      <c r="I2152" s="2" t="s">
        <v>26</v>
      </c>
      <c r="J2152" s="2" t="s">
        <v>6424</v>
      </c>
      <c r="K2152" s="2" t="s">
        <v>101</v>
      </c>
      <c r="L2152" s="2"/>
      <c r="M2152" s="2" t="s">
        <v>795</v>
      </c>
    </row>
    <row r="2153" customFormat="false" ht="15" hidden="false" customHeight="false" outlineLevel="0" collapsed="false">
      <c r="A2153" s="2" t="s">
        <v>6425</v>
      </c>
      <c r="B2153" s="2" t="s">
        <v>908</v>
      </c>
      <c r="C2153" s="2" t="s">
        <v>909</v>
      </c>
      <c r="D2153" s="13" t="n">
        <v>45509.5125</v>
      </c>
      <c r="E2153" s="2" t="s">
        <v>41</v>
      </c>
      <c r="F2153" s="2" t="s">
        <v>27</v>
      </c>
      <c r="G2153" s="2" t="n">
        <v>14417.51</v>
      </c>
      <c r="H2153" s="2" t="n">
        <v>65.91</v>
      </c>
      <c r="I2153" s="2" t="s">
        <v>26</v>
      </c>
      <c r="J2153" s="2" t="s">
        <v>6426</v>
      </c>
      <c r="K2153" s="2" t="s">
        <v>101</v>
      </c>
      <c r="L2153" s="2"/>
      <c r="M2153" s="2" t="s">
        <v>3207</v>
      </c>
    </row>
    <row r="2154" customFormat="false" ht="15" hidden="false" customHeight="false" outlineLevel="0" collapsed="false">
      <c r="A2154" s="2" t="s">
        <v>6427</v>
      </c>
      <c r="B2154" s="2" t="s">
        <v>1953</v>
      </c>
      <c r="C2154" s="2" t="s">
        <v>1954</v>
      </c>
      <c r="D2154" s="13" t="n">
        <v>45366.7208333333</v>
      </c>
      <c r="E2154" s="2" t="s">
        <v>39</v>
      </c>
      <c r="F2154" s="2" t="s">
        <v>27</v>
      </c>
      <c r="G2154" s="2" t="n">
        <v>6902.29</v>
      </c>
      <c r="H2154" s="2" t="n">
        <v>56.52</v>
      </c>
      <c r="I2154" s="2" t="s">
        <v>30</v>
      </c>
      <c r="J2154" s="2" t="s">
        <v>6428</v>
      </c>
      <c r="K2154" s="2" t="s">
        <v>89</v>
      </c>
      <c r="L2154" s="2"/>
      <c r="M2154" s="2" t="s">
        <v>1588</v>
      </c>
    </row>
    <row r="2155" customFormat="false" ht="15" hidden="false" customHeight="false" outlineLevel="0" collapsed="false">
      <c r="A2155" s="2" t="s">
        <v>6429</v>
      </c>
      <c r="B2155" s="2" t="s">
        <v>395</v>
      </c>
      <c r="C2155" s="2" t="s">
        <v>396</v>
      </c>
      <c r="D2155" s="13" t="n">
        <v>45998.875</v>
      </c>
      <c r="E2155" s="2" t="s">
        <v>39</v>
      </c>
      <c r="F2155" s="2" t="s">
        <v>29</v>
      </c>
      <c r="G2155" s="2" t="n">
        <v>1935.49</v>
      </c>
      <c r="H2155" s="2" t="n">
        <v>22.59</v>
      </c>
      <c r="I2155" s="2" t="s">
        <v>26</v>
      </c>
      <c r="J2155" s="2" t="s">
        <v>6430</v>
      </c>
      <c r="K2155" s="2" t="s">
        <v>89</v>
      </c>
      <c r="L2155" s="2" t="s">
        <v>1012</v>
      </c>
      <c r="M2155" s="2"/>
    </row>
    <row r="2156" customFormat="false" ht="15" hidden="false" customHeight="false" outlineLevel="0" collapsed="false">
      <c r="A2156" s="2" t="s">
        <v>6431</v>
      </c>
      <c r="B2156" s="2" t="s">
        <v>2976</v>
      </c>
      <c r="C2156" s="2" t="s">
        <v>2977</v>
      </c>
      <c r="D2156" s="13" t="n">
        <v>45535.3298611111</v>
      </c>
      <c r="E2156" s="2" t="s">
        <v>39</v>
      </c>
      <c r="F2156" s="2" t="s">
        <v>32</v>
      </c>
      <c r="G2156" s="2" t="n">
        <v>1022.02</v>
      </c>
      <c r="H2156" s="2" t="n">
        <v>7.85</v>
      </c>
      <c r="I2156" s="2" t="s">
        <v>26</v>
      </c>
      <c r="J2156" s="2" t="s">
        <v>6432</v>
      </c>
      <c r="K2156" s="2" t="s">
        <v>95</v>
      </c>
      <c r="L2156" s="2" t="s">
        <v>353</v>
      </c>
      <c r="M2156" s="2"/>
    </row>
    <row r="2157" customFormat="false" ht="15" hidden="false" customHeight="false" outlineLevel="0" collapsed="false">
      <c r="A2157" s="2" t="s">
        <v>6433</v>
      </c>
      <c r="B2157" s="2" t="s">
        <v>400</v>
      </c>
      <c r="C2157" s="2" t="s">
        <v>401</v>
      </c>
      <c r="D2157" s="13" t="n">
        <v>45681.2923611111</v>
      </c>
      <c r="E2157" s="2" t="s">
        <v>41</v>
      </c>
      <c r="F2157" s="2" t="s">
        <v>29</v>
      </c>
      <c r="G2157" s="2" t="n">
        <v>2349.65</v>
      </c>
      <c r="H2157" s="2" t="n">
        <v>21.39</v>
      </c>
      <c r="I2157" s="2" t="s">
        <v>30</v>
      </c>
      <c r="J2157" s="2" t="s">
        <v>6434</v>
      </c>
      <c r="K2157" s="2" t="s">
        <v>89</v>
      </c>
      <c r="L2157" s="2" t="s">
        <v>358</v>
      </c>
      <c r="M2157" s="2"/>
    </row>
    <row r="2158" customFormat="false" ht="15" hidden="false" customHeight="false" outlineLevel="0" collapsed="false">
      <c r="A2158" s="2" t="s">
        <v>6435</v>
      </c>
      <c r="B2158" s="2" t="s">
        <v>5040</v>
      </c>
      <c r="C2158" s="2" t="s">
        <v>5041</v>
      </c>
      <c r="D2158" s="13" t="n">
        <v>45531.4881944444</v>
      </c>
      <c r="E2158" s="2" t="s">
        <v>37</v>
      </c>
      <c r="F2158" s="2" t="s">
        <v>32</v>
      </c>
      <c r="G2158" s="2" t="n">
        <v>7504.3</v>
      </c>
      <c r="H2158" s="2" t="n">
        <v>68.39</v>
      </c>
      <c r="I2158" s="2" t="s">
        <v>26</v>
      </c>
      <c r="J2158" s="2" t="s">
        <v>6436</v>
      </c>
      <c r="K2158" s="2" t="s">
        <v>95</v>
      </c>
      <c r="L2158" s="2" t="s">
        <v>1601</v>
      </c>
      <c r="M2158" s="2"/>
    </row>
    <row r="2159" customFormat="false" ht="15" hidden="false" customHeight="false" outlineLevel="0" collapsed="false">
      <c r="A2159" s="2" t="s">
        <v>6437</v>
      </c>
      <c r="B2159" s="2" t="s">
        <v>2171</v>
      </c>
      <c r="C2159" s="2" t="s">
        <v>2172</v>
      </c>
      <c r="D2159" s="13" t="n">
        <v>45335.5034722222</v>
      </c>
      <c r="E2159" s="2" t="s">
        <v>35</v>
      </c>
      <c r="F2159" s="2" t="s">
        <v>29</v>
      </c>
      <c r="G2159" s="2" t="n">
        <v>2362.55</v>
      </c>
      <c r="H2159" s="2" t="n">
        <v>15.77</v>
      </c>
      <c r="I2159" s="2" t="s">
        <v>26</v>
      </c>
      <c r="J2159" s="2" t="s">
        <v>6438</v>
      </c>
      <c r="K2159" s="2" t="s">
        <v>95</v>
      </c>
      <c r="L2159" s="2" t="s">
        <v>368</v>
      </c>
      <c r="M2159" s="2"/>
    </row>
    <row r="2160" customFormat="false" ht="15" hidden="false" customHeight="false" outlineLevel="0" collapsed="false">
      <c r="A2160" s="2" t="s">
        <v>6439</v>
      </c>
      <c r="B2160" s="2" t="s">
        <v>3492</v>
      </c>
      <c r="C2160" s="2" t="s">
        <v>3493</v>
      </c>
      <c r="D2160" s="13" t="n">
        <v>45687.9465277778</v>
      </c>
      <c r="E2160" s="2" t="s">
        <v>37</v>
      </c>
      <c r="F2160" s="2" t="s">
        <v>27</v>
      </c>
      <c r="G2160" s="2" t="n">
        <v>1107.91</v>
      </c>
      <c r="H2160" s="2" t="n">
        <v>5</v>
      </c>
      <c r="I2160" s="2" t="s">
        <v>30</v>
      </c>
      <c r="J2160" s="2" t="s">
        <v>6440</v>
      </c>
      <c r="K2160" s="2" t="s">
        <v>122</v>
      </c>
      <c r="L2160" s="2"/>
      <c r="M2160" s="2" t="s">
        <v>828</v>
      </c>
    </row>
    <row r="2161" customFormat="false" ht="15" hidden="false" customHeight="false" outlineLevel="0" collapsed="false">
      <c r="A2161" s="2" t="s">
        <v>6441</v>
      </c>
      <c r="B2161" s="2" t="s">
        <v>215</v>
      </c>
      <c r="C2161" s="2" t="s">
        <v>216</v>
      </c>
      <c r="D2161" s="13" t="n">
        <v>45430.2993055556</v>
      </c>
      <c r="E2161" s="2" t="s">
        <v>35</v>
      </c>
      <c r="F2161" s="2" t="s">
        <v>32</v>
      </c>
      <c r="G2161" s="2" t="n">
        <v>2531.61</v>
      </c>
      <c r="H2161" s="2" t="n">
        <v>17.9</v>
      </c>
      <c r="I2161" s="2" t="s">
        <v>26</v>
      </c>
      <c r="J2161" s="2" t="s">
        <v>6442</v>
      </c>
      <c r="K2161" s="2" t="s">
        <v>122</v>
      </c>
      <c r="L2161" s="2" t="s">
        <v>1034</v>
      </c>
      <c r="M2161" s="2"/>
    </row>
    <row r="2162" customFormat="false" ht="15" hidden="false" customHeight="false" outlineLevel="0" collapsed="false">
      <c r="A2162" s="2" t="s">
        <v>6443</v>
      </c>
      <c r="B2162" s="2" t="s">
        <v>3542</v>
      </c>
      <c r="C2162" s="2" t="s">
        <v>3543</v>
      </c>
      <c r="D2162" s="13" t="n">
        <v>45308.5069444445</v>
      </c>
      <c r="E2162" s="2" t="s">
        <v>39</v>
      </c>
      <c r="F2162" s="2" t="s">
        <v>29</v>
      </c>
      <c r="G2162" s="2" t="n">
        <v>12296.88</v>
      </c>
      <c r="H2162" s="2" t="n">
        <v>103.38</v>
      </c>
      <c r="I2162" s="2" t="s">
        <v>30</v>
      </c>
      <c r="J2162" s="2" t="s">
        <v>6444</v>
      </c>
      <c r="K2162" s="2" t="s">
        <v>89</v>
      </c>
      <c r="L2162" s="2" t="s">
        <v>1039</v>
      </c>
      <c r="M2162" s="2"/>
    </row>
    <row r="2163" customFormat="false" ht="15" hidden="false" customHeight="false" outlineLevel="0" collapsed="false">
      <c r="A2163" s="2" t="s">
        <v>6445</v>
      </c>
      <c r="B2163" s="2" t="s">
        <v>405</v>
      </c>
      <c r="C2163" s="2" t="s">
        <v>406</v>
      </c>
      <c r="D2163" s="13" t="n">
        <v>45494.4013888889</v>
      </c>
      <c r="E2163" s="2" t="s">
        <v>35</v>
      </c>
      <c r="F2163" s="2" t="s">
        <v>31</v>
      </c>
      <c r="G2163" s="2" t="n">
        <v>4770.86</v>
      </c>
      <c r="H2163" s="2" t="n">
        <v>12.44</v>
      </c>
      <c r="I2163" s="2" t="s">
        <v>26</v>
      </c>
      <c r="J2163" s="2" t="s">
        <v>6446</v>
      </c>
      <c r="K2163" s="2" t="s">
        <v>101</v>
      </c>
      <c r="L2163" s="2" t="s">
        <v>1044</v>
      </c>
      <c r="M2163" s="2"/>
    </row>
    <row r="2164" customFormat="false" ht="15" hidden="false" customHeight="false" outlineLevel="0" collapsed="false">
      <c r="A2164" s="2" t="s">
        <v>6447</v>
      </c>
      <c r="B2164" s="2" t="s">
        <v>3233</v>
      </c>
      <c r="C2164" s="2" t="s">
        <v>3234</v>
      </c>
      <c r="D2164" s="13" t="n">
        <v>45619.3145833333</v>
      </c>
      <c r="E2164" s="2" t="s">
        <v>37</v>
      </c>
      <c r="F2164" s="2" t="s">
        <v>27</v>
      </c>
      <c r="G2164" s="2" t="n">
        <v>2193.45</v>
      </c>
      <c r="H2164" s="2" t="n">
        <v>16.4</v>
      </c>
      <c r="I2164" s="2" t="s">
        <v>26</v>
      </c>
      <c r="J2164" s="2" t="s">
        <v>6448</v>
      </c>
      <c r="K2164" s="2" t="s">
        <v>89</v>
      </c>
      <c r="L2164" s="2"/>
      <c r="M2164" s="2" t="s">
        <v>1623</v>
      </c>
    </row>
    <row r="2165" customFormat="false" ht="15" hidden="false" customHeight="false" outlineLevel="0" collapsed="false">
      <c r="A2165" s="2" t="s">
        <v>6449</v>
      </c>
      <c r="B2165" s="2" t="s">
        <v>6450</v>
      </c>
      <c r="C2165" s="2" t="s">
        <v>6451</v>
      </c>
      <c r="D2165" s="13" t="n">
        <v>45800.64375</v>
      </c>
      <c r="E2165" s="2" t="s">
        <v>43</v>
      </c>
      <c r="F2165" s="2" t="s">
        <v>32</v>
      </c>
      <c r="G2165" s="2" t="n">
        <v>3422.56</v>
      </c>
      <c r="H2165" s="2" t="n">
        <v>31.96</v>
      </c>
      <c r="I2165" s="2" t="s">
        <v>26</v>
      </c>
      <c r="J2165" s="2" t="s">
        <v>6452</v>
      </c>
      <c r="K2165" s="2" t="s">
        <v>122</v>
      </c>
      <c r="L2165" s="2"/>
      <c r="M2165" s="2" t="s">
        <v>398</v>
      </c>
    </row>
    <row r="2166" customFormat="false" ht="15" hidden="false" customHeight="false" outlineLevel="0" collapsed="false">
      <c r="A2166" s="2" t="s">
        <v>6453</v>
      </c>
      <c r="B2166" s="2" t="s">
        <v>3834</v>
      </c>
      <c r="C2166" s="2" t="s">
        <v>3835</v>
      </c>
      <c r="D2166" s="13" t="n">
        <v>45571.7034722222</v>
      </c>
      <c r="E2166" s="2" t="s">
        <v>39</v>
      </c>
      <c r="F2166" s="2" t="s">
        <v>27</v>
      </c>
      <c r="G2166" s="2" t="n">
        <v>2032.27</v>
      </c>
      <c r="H2166" s="2" t="n">
        <v>22.27</v>
      </c>
      <c r="I2166" s="2" t="s">
        <v>26</v>
      </c>
      <c r="J2166" s="2" t="s">
        <v>6454</v>
      </c>
      <c r="K2166" s="2" t="s">
        <v>122</v>
      </c>
      <c r="L2166" s="2"/>
      <c r="M2166" s="2" t="s">
        <v>852</v>
      </c>
    </row>
    <row r="2167" customFormat="false" ht="15" hidden="false" customHeight="false" outlineLevel="0" collapsed="false">
      <c r="A2167" s="2" t="s">
        <v>6455</v>
      </c>
      <c r="B2167" s="2" t="s">
        <v>3492</v>
      </c>
      <c r="C2167" s="2" t="s">
        <v>3493</v>
      </c>
      <c r="D2167" s="13" t="n">
        <v>45757.8854166667</v>
      </c>
      <c r="E2167" s="2" t="s">
        <v>39</v>
      </c>
      <c r="F2167" s="2" t="s">
        <v>29</v>
      </c>
      <c r="G2167" s="2" t="n">
        <v>14966.57</v>
      </c>
      <c r="H2167" s="2" t="n">
        <v>65.29</v>
      </c>
      <c r="I2167" s="2" t="s">
        <v>26</v>
      </c>
      <c r="J2167" s="2" t="s">
        <v>6456</v>
      </c>
      <c r="K2167" s="2" t="s">
        <v>89</v>
      </c>
      <c r="L2167" s="2" t="s">
        <v>408</v>
      </c>
      <c r="M2167" s="2"/>
    </row>
    <row r="2168" customFormat="false" ht="15" hidden="false" customHeight="false" outlineLevel="0" collapsed="false">
      <c r="A2168" s="2" t="s">
        <v>6457</v>
      </c>
      <c r="B2168" s="2" t="s">
        <v>3118</v>
      </c>
      <c r="C2168" s="2" t="s">
        <v>3119</v>
      </c>
      <c r="D2168" s="13" t="n">
        <v>45453.4111111111</v>
      </c>
      <c r="E2168" s="2" t="s">
        <v>39</v>
      </c>
      <c r="F2168" s="2" t="s">
        <v>29</v>
      </c>
      <c r="G2168" s="2" t="n">
        <v>4286.49</v>
      </c>
      <c r="H2168" s="2" t="n">
        <v>35.06</v>
      </c>
      <c r="I2168" s="2" t="s">
        <v>26</v>
      </c>
      <c r="J2168" s="2" t="s">
        <v>6458</v>
      </c>
      <c r="K2168" s="2" t="s">
        <v>95</v>
      </c>
      <c r="L2168" s="2" t="s">
        <v>413</v>
      </c>
      <c r="M2168" s="2"/>
    </row>
    <row r="2169" customFormat="false" ht="15" hidden="false" customHeight="false" outlineLevel="0" collapsed="false">
      <c r="A2169" s="2" t="s">
        <v>6459</v>
      </c>
      <c r="B2169" s="2" t="s">
        <v>6460</v>
      </c>
      <c r="C2169" s="2" t="s">
        <v>6461</v>
      </c>
      <c r="D2169" s="13" t="n">
        <v>45334.8055555556</v>
      </c>
      <c r="E2169" s="2" t="s">
        <v>37</v>
      </c>
      <c r="F2169" s="2" t="s">
        <v>31</v>
      </c>
      <c r="G2169" s="2" t="n">
        <v>16463.47</v>
      </c>
      <c r="H2169" s="2" t="n">
        <v>173.83</v>
      </c>
      <c r="I2169" s="2" t="s">
        <v>30</v>
      </c>
      <c r="J2169" s="2" t="s">
        <v>6462</v>
      </c>
      <c r="K2169" s="2" t="s">
        <v>89</v>
      </c>
      <c r="L2169" s="2" t="s">
        <v>418</v>
      </c>
      <c r="M2169" s="2"/>
    </row>
    <row r="2170" customFormat="false" ht="15" hidden="false" customHeight="false" outlineLevel="0" collapsed="false">
      <c r="A2170" s="2" t="s">
        <v>6463</v>
      </c>
      <c r="B2170" s="2" t="s">
        <v>1036</v>
      </c>
      <c r="C2170" s="2" t="s">
        <v>1037</v>
      </c>
      <c r="D2170" s="13" t="n">
        <v>45342.8034722222</v>
      </c>
      <c r="E2170" s="2" t="s">
        <v>43</v>
      </c>
      <c r="F2170" s="2" t="s">
        <v>27</v>
      </c>
      <c r="G2170" s="2" t="n">
        <v>12702.95</v>
      </c>
      <c r="H2170" s="2" t="n">
        <v>134.37</v>
      </c>
      <c r="I2170" s="2" t="s">
        <v>28</v>
      </c>
      <c r="J2170" s="2" t="s">
        <v>6464</v>
      </c>
      <c r="K2170" s="2" t="s">
        <v>122</v>
      </c>
      <c r="L2170" s="2"/>
      <c r="M2170" s="2" t="s">
        <v>1645</v>
      </c>
    </row>
    <row r="2171" customFormat="false" ht="15" hidden="false" customHeight="false" outlineLevel="0" collapsed="false">
      <c r="A2171" s="2" t="s">
        <v>6465</v>
      </c>
      <c r="B2171" s="2" t="s">
        <v>819</v>
      </c>
      <c r="C2171" s="2" t="s">
        <v>820</v>
      </c>
      <c r="D2171" s="13" t="n">
        <v>45491.3819444445</v>
      </c>
      <c r="E2171" s="2" t="s">
        <v>43</v>
      </c>
      <c r="F2171" s="2" t="s">
        <v>31</v>
      </c>
      <c r="G2171" s="2" t="n">
        <v>2576.17</v>
      </c>
      <c r="H2171" s="2" t="n">
        <v>24.17</v>
      </c>
      <c r="I2171" s="2" t="s">
        <v>26</v>
      </c>
      <c r="J2171" s="2" t="s">
        <v>6466</v>
      </c>
      <c r="K2171" s="2" t="s">
        <v>101</v>
      </c>
      <c r="L2171" s="2"/>
      <c r="M2171" s="2" t="s">
        <v>871</v>
      </c>
    </row>
    <row r="2172" customFormat="false" ht="15" hidden="false" customHeight="false" outlineLevel="0" collapsed="false">
      <c r="A2172" s="2" t="s">
        <v>6467</v>
      </c>
      <c r="B2172" s="2" t="s">
        <v>1332</v>
      </c>
      <c r="C2172" s="2" t="s">
        <v>1333</v>
      </c>
      <c r="D2172" s="13" t="n">
        <v>45993.3854166667</v>
      </c>
      <c r="E2172" s="2" t="s">
        <v>39</v>
      </c>
      <c r="F2172" s="2" t="s">
        <v>31</v>
      </c>
      <c r="G2172" s="2" t="n">
        <v>4976.63</v>
      </c>
      <c r="H2172" s="2" t="n">
        <v>15.95</v>
      </c>
      <c r="I2172" s="2" t="s">
        <v>26</v>
      </c>
      <c r="J2172" s="2" t="s">
        <v>6468</v>
      </c>
      <c r="K2172" s="2" t="s">
        <v>101</v>
      </c>
      <c r="L2172" s="2" t="s">
        <v>433</v>
      </c>
      <c r="M2172" s="2"/>
    </row>
    <row r="2173" customFormat="false" ht="15" hidden="false" customHeight="false" outlineLevel="0" collapsed="false">
      <c r="A2173" s="2" t="s">
        <v>6469</v>
      </c>
      <c r="B2173" s="2" t="s">
        <v>3259</v>
      </c>
      <c r="C2173" s="2" t="s">
        <v>3260</v>
      </c>
      <c r="D2173" s="13" t="n">
        <v>45635.8548611111</v>
      </c>
      <c r="E2173" s="2" t="s">
        <v>39</v>
      </c>
      <c r="F2173" s="2" t="s">
        <v>29</v>
      </c>
      <c r="G2173" s="2" t="n">
        <v>9400.75</v>
      </c>
      <c r="H2173" s="2" t="n">
        <v>60.07</v>
      </c>
      <c r="I2173" s="2" t="s">
        <v>26</v>
      </c>
      <c r="J2173" s="2" t="s">
        <v>6470</v>
      </c>
      <c r="K2173" s="2" t="s">
        <v>101</v>
      </c>
      <c r="L2173" s="2" t="s">
        <v>438</v>
      </c>
      <c r="M2173" s="2"/>
    </row>
    <row r="2174" customFormat="false" ht="15" hidden="false" customHeight="false" outlineLevel="0" collapsed="false">
      <c r="A2174" s="2" t="s">
        <v>6471</v>
      </c>
      <c r="B2174" s="2" t="s">
        <v>2964</v>
      </c>
      <c r="C2174" s="2" t="s">
        <v>2965</v>
      </c>
      <c r="D2174" s="13" t="n">
        <v>45700.2958333333</v>
      </c>
      <c r="E2174" s="2" t="s">
        <v>37</v>
      </c>
      <c r="F2174" s="2" t="s">
        <v>27</v>
      </c>
      <c r="G2174" s="2" t="n">
        <v>3775.11</v>
      </c>
      <c r="H2174" s="2" t="n">
        <v>37.38</v>
      </c>
      <c r="I2174" s="2" t="s">
        <v>26</v>
      </c>
      <c r="J2174" s="2" t="s">
        <v>6472</v>
      </c>
      <c r="K2174" s="2" t="s">
        <v>101</v>
      </c>
      <c r="L2174" s="2"/>
      <c r="M2174" s="2" t="s">
        <v>1658</v>
      </c>
    </row>
    <row r="2175" customFormat="false" ht="15" hidden="false" customHeight="false" outlineLevel="0" collapsed="false">
      <c r="A2175" s="2" t="s">
        <v>6473</v>
      </c>
      <c r="B2175" s="2" t="s">
        <v>6474</v>
      </c>
      <c r="C2175" s="2" t="s">
        <v>6475</v>
      </c>
      <c r="D2175" s="13" t="n">
        <v>45786.9083333333</v>
      </c>
      <c r="E2175" s="2" t="s">
        <v>41</v>
      </c>
      <c r="F2175" s="2" t="s">
        <v>31</v>
      </c>
      <c r="G2175" s="2" t="n">
        <v>7244.17</v>
      </c>
      <c r="H2175" s="2" t="n">
        <v>25.54</v>
      </c>
      <c r="I2175" s="2" t="s">
        <v>26</v>
      </c>
      <c r="J2175" s="2" t="s">
        <v>6476</v>
      </c>
      <c r="K2175" s="2" t="s">
        <v>101</v>
      </c>
      <c r="L2175" s="2" t="s">
        <v>2186</v>
      </c>
      <c r="M2175" s="2"/>
    </row>
    <row r="2176" customFormat="false" ht="15" hidden="false" customHeight="false" outlineLevel="0" collapsed="false">
      <c r="A2176" s="2" t="s">
        <v>6477</v>
      </c>
      <c r="B2176" s="2" t="s">
        <v>1989</v>
      </c>
      <c r="C2176" s="2" t="s">
        <v>1990</v>
      </c>
      <c r="D2176" s="13" t="n">
        <v>45527.6861111111</v>
      </c>
      <c r="E2176" s="2" t="s">
        <v>41</v>
      </c>
      <c r="F2176" s="2" t="s">
        <v>29</v>
      </c>
      <c r="G2176" s="2" t="n">
        <v>4063.63</v>
      </c>
      <c r="H2176" s="2" t="n">
        <v>26.84</v>
      </c>
      <c r="I2176" s="2" t="s">
        <v>26</v>
      </c>
      <c r="J2176" s="2" t="s">
        <v>6478</v>
      </c>
      <c r="K2176" s="2" t="s">
        <v>95</v>
      </c>
      <c r="L2176" s="2" t="s">
        <v>453</v>
      </c>
      <c r="M2176" s="2"/>
    </row>
    <row r="2177" customFormat="false" ht="15" hidden="false" customHeight="false" outlineLevel="0" collapsed="false">
      <c r="A2177" s="2" t="s">
        <v>6479</v>
      </c>
      <c r="B2177" s="2" t="s">
        <v>1458</v>
      </c>
      <c r="C2177" s="2" t="s">
        <v>1459</v>
      </c>
      <c r="D2177" s="13" t="n">
        <v>45924.7777777778</v>
      </c>
      <c r="E2177" s="2" t="s">
        <v>43</v>
      </c>
      <c r="F2177" s="2" t="s">
        <v>27</v>
      </c>
      <c r="G2177" s="2" t="n">
        <v>6547.64</v>
      </c>
      <c r="H2177" s="2" t="n">
        <v>47.94</v>
      </c>
      <c r="I2177" s="2" t="s">
        <v>26</v>
      </c>
      <c r="J2177" s="2" t="s">
        <v>6480</v>
      </c>
      <c r="K2177" s="2" t="s">
        <v>101</v>
      </c>
      <c r="L2177" s="2"/>
      <c r="M2177" s="2" t="s">
        <v>1304</v>
      </c>
    </row>
    <row r="2178" customFormat="false" ht="15" hidden="false" customHeight="false" outlineLevel="0" collapsed="false">
      <c r="A2178" s="2" t="s">
        <v>6481</v>
      </c>
      <c r="B2178" s="2" t="s">
        <v>2827</v>
      </c>
      <c r="C2178" s="2" t="s">
        <v>2828</v>
      </c>
      <c r="D2178" s="13" t="n">
        <v>45806.9243055556</v>
      </c>
      <c r="E2178" s="2" t="s">
        <v>35</v>
      </c>
      <c r="F2178" s="2" t="s">
        <v>27</v>
      </c>
      <c r="G2178" s="2" t="n">
        <v>21106.2</v>
      </c>
      <c r="H2178" s="2" t="n">
        <v>82.35</v>
      </c>
      <c r="I2178" s="2" t="s">
        <v>30</v>
      </c>
      <c r="J2178" s="2" t="s">
        <v>6482</v>
      </c>
      <c r="K2178" s="2" t="s">
        <v>89</v>
      </c>
      <c r="L2178" s="2"/>
      <c r="M2178" s="2" t="s">
        <v>463</v>
      </c>
    </row>
    <row r="2179" customFormat="false" ht="15" hidden="false" customHeight="false" outlineLevel="0" collapsed="false">
      <c r="A2179" s="2" t="s">
        <v>6483</v>
      </c>
      <c r="B2179" s="2" t="s">
        <v>2551</v>
      </c>
      <c r="C2179" s="2" t="s">
        <v>2552</v>
      </c>
      <c r="D2179" s="13" t="n">
        <v>46008.6256944445</v>
      </c>
      <c r="E2179" s="2" t="s">
        <v>37</v>
      </c>
      <c r="F2179" s="2" t="s">
        <v>27</v>
      </c>
      <c r="G2179" s="2" t="n">
        <v>23043.15</v>
      </c>
      <c r="H2179" s="2" t="n">
        <v>178.66</v>
      </c>
      <c r="I2179" s="2" t="s">
        <v>26</v>
      </c>
      <c r="J2179" s="2" t="s">
        <v>6484</v>
      </c>
      <c r="K2179" s="2" t="s">
        <v>101</v>
      </c>
      <c r="L2179" s="2"/>
      <c r="M2179" s="2" t="s">
        <v>1677</v>
      </c>
    </row>
    <row r="2180" customFormat="false" ht="15" hidden="false" customHeight="false" outlineLevel="0" collapsed="false">
      <c r="A2180" s="2" t="s">
        <v>6485</v>
      </c>
      <c r="B2180" s="2" t="s">
        <v>6486</v>
      </c>
      <c r="C2180" s="2" t="s">
        <v>6487</v>
      </c>
      <c r="D2180" s="13" t="n">
        <v>45685.6902777778</v>
      </c>
      <c r="E2180" s="2" t="s">
        <v>43</v>
      </c>
      <c r="F2180" s="2" t="s">
        <v>32</v>
      </c>
      <c r="G2180" s="2" t="n">
        <v>2631.79</v>
      </c>
      <c r="H2180" s="2" t="n">
        <v>17.24</v>
      </c>
      <c r="I2180" s="2" t="s">
        <v>26</v>
      </c>
      <c r="J2180" s="2" t="s">
        <v>6488</v>
      </c>
      <c r="K2180" s="2" t="s">
        <v>122</v>
      </c>
      <c r="L2180" s="2"/>
      <c r="M2180" s="2" t="s">
        <v>906</v>
      </c>
    </row>
    <row r="2181" customFormat="false" ht="15" hidden="false" customHeight="false" outlineLevel="0" collapsed="false">
      <c r="A2181" s="2" t="s">
        <v>6489</v>
      </c>
      <c r="B2181" s="2" t="s">
        <v>6490</v>
      </c>
      <c r="C2181" s="2" t="s">
        <v>6491</v>
      </c>
      <c r="D2181" s="13" t="n">
        <v>45985.7555555556</v>
      </c>
      <c r="E2181" s="2" t="s">
        <v>43</v>
      </c>
      <c r="F2181" s="2" t="s">
        <v>27</v>
      </c>
      <c r="G2181" s="2" t="n">
        <v>9971.76</v>
      </c>
      <c r="H2181" s="2" t="n">
        <v>75.09</v>
      </c>
      <c r="I2181" s="2" t="s">
        <v>30</v>
      </c>
      <c r="J2181" s="2" t="s">
        <v>6492</v>
      </c>
      <c r="K2181" s="2" t="s">
        <v>122</v>
      </c>
      <c r="L2181" s="2"/>
      <c r="M2181" s="2" t="s">
        <v>1686</v>
      </c>
    </row>
    <row r="2182" customFormat="false" ht="15" hidden="false" customHeight="false" outlineLevel="0" collapsed="false">
      <c r="A2182" s="2" t="s">
        <v>6493</v>
      </c>
      <c r="B2182" s="2" t="s">
        <v>1102</v>
      </c>
      <c r="C2182" s="2" t="s">
        <v>1103</v>
      </c>
      <c r="D2182" s="13" t="n">
        <v>45462.4791666667</v>
      </c>
      <c r="E2182" s="2" t="s">
        <v>39</v>
      </c>
      <c r="F2182" s="2" t="s">
        <v>29</v>
      </c>
      <c r="G2182" s="2" t="n">
        <v>3386.01</v>
      </c>
      <c r="H2182" s="2" t="n">
        <v>33.17</v>
      </c>
      <c r="I2182" s="2" t="s">
        <v>30</v>
      </c>
      <c r="J2182" s="2" t="s">
        <v>6494</v>
      </c>
      <c r="K2182" s="2" t="s">
        <v>95</v>
      </c>
      <c r="L2182" s="2" t="s">
        <v>483</v>
      </c>
      <c r="M2182" s="2"/>
    </row>
    <row r="2183" customFormat="false" ht="15" hidden="false" customHeight="false" outlineLevel="0" collapsed="false">
      <c r="A2183" s="2" t="s">
        <v>6495</v>
      </c>
      <c r="B2183" s="2" t="s">
        <v>1746</v>
      </c>
      <c r="C2183" s="2" t="s">
        <v>1747</v>
      </c>
      <c r="D2183" s="13" t="n">
        <v>45675.8222222222</v>
      </c>
      <c r="E2183" s="2" t="s">
        <v>43</v>
      </c>
      <c r="F2183" s="2" t="s">
        <v>27</v>
      </c>
      <c r="G2183" s="2" t="n">
        <v>9074.92</v>
      </c>
      <c r="H2183" s="2" t="n">
        <v>33.7</v>
      </c>
      <c r="I2183" s="2" t="s">
        <v>26</v>
      </c>
      <c r="J2183" s="2" t="s">
        <v>6496</v>
      </c>
      <c r="K2183" s="2" t="s">
        <v>95</v>
      </c>
      <c r="L2183" s="2"/>
      <c r="M2183" s="2" t="s">
        <v>921</v>
      </c>
    </row>
    <row r="2184" customFormat="false" ht="15" hidden="false" customHeight="false" outlineLevel="0" collapsed="false">
      <c r="A2184" s="2" t="s">
        <v>6497</v>
      </c>
      <c r="B2184" s="2" t="s">
        <v>2587</v>
      </c>
      <c r="C2184" s="2" t="s">
        <v>2588</v>
      </c>
      <c r="D2184" s="13" t="n">
        <v>45665.8763888889</v>
      </c>
      <c r="E2184" s="2" t="s">
        <v>39</v>
      </c>
      <c r="F2184" s="2" t="s">
        <v>29</v>
      </c>
      <c r="G2184" s="2" t="n">
        <v>2424.34</v>
      </c>
      <c r="H2184" s="2" t="n">
        <v>13.65</v>
      </c>
      <c r="I2184" s="2" t="s">
        <v>26</v>
      </c>
      <c r="J2184" s="2" t="s">
        <v>6498</v>
      </c>
      <c r="K2184" s="2" t="s">
        <v>101</v>
      </c>
      <c r="L2184" s="2" t="s">
        <v>1122</v>
      </c>
      <c r="M2184" s="2"/>
    </row>
    <row r="2185" customFormat="false" ht="15" hidden="false" customHeight="false" outlineLevel="0" collapsed="false">
      <c r="A2185" s="2" t="s">
        <v>6499</v>
      </c>
      <c r="B2185" s="2" t="s">
        <v>4142</v>
      </c>
      <c r="C2185" s="2" t="s">
        <v>4143</v>
      </c>
      <c r="D2185" s="13" t="n">
        <v>45589.4618055556</v>
      </c>
      <c r="E2185" s="2" t="s">
        <v>43</v>
      </c>
      <c r="F2185" s="2" t="s">
        <v>29</v>
      </c>
      <c r="G2185" s="2" t="n">
        <v>1032.4</v>
      </c>
      <c r="H2185" s="2" t="n">
        <v>5</v>
      </c>
      <c r="I2185" s="2" t="s">
        <v>26</v>
      </c>
      <c r="J2185" s="2" t="s">
        <v>6500</v>
      </c>
      <c r="K2185" s="2" t="s">
        <v>101</v>
      </c>
      <c r="L2185" s="2"/>
      <c r="M2185" s="2" t="s">
        <v>498</v>
      </c>
    </row>
    <row r="2186" customFormat="false" ht="15" hidden="false" customHeight="false" outlineLevel="0" collapsed="false">
      <c r="A2186" s="2" t="s">
        <v>6501</v>
      </c>
      <c r="B2186" s="2" t="s">
        <v>553</v>
      </c>
      <c r="C2186" s="2" t="s">
        <v>554</v>
      </c>
      <c r="D2186" s="13" t="n">
        <v>45948.6736111111</v>
      </c>
      <c r="E2186" s="2" t="s">
        <v>35</v>
      </c>
      <c r="F2186" s="2" t="s">
        <v>32</v>
      </c>
      <c r="G2186" s="2" t="n">
        <v>6603.07</v>
      </c>
      <c r="H2186" s="2" t="n">
        <v>49.8</v>
      </c>
      <c r="I2186" s="2" t="s">
        <v>30</v>
      </c>
      <c r="J2186" s="2" t="s">
        <v>6502</v>
      </c>
      <c r="K2186" s="2" t="s">
        <v>101</v>
      </c>
      <c r="L2186" s="2" t="s">
        <v>503</v>
      </c>
      <c r="M2186" s="2"/>
    </row>
    <row r="2187" customFormat="false" ht="15" hidden="false" customHeight="false" outlineLevel="0" collapsed="false">
      <c r="A2187" s="2" t="s">
        <v>6503</v>
      </c>
      <c r="B2187" s="2" t="s">
        <v>5202</v>
      </c>
      <c r="C2187" s="2" t="s">
        <v>5203</v>
      </c>
      <c r="D2187" s="13" t="n">
        <v>45535.45625</v>
      </c>
      <c r="E2187" s="2" t="s">
        <v>37</v>
      </c>
      <c r="F2187" s="2" t="s">
        <v>29</v>
      </c>
      <c r="G2187" s="2" t="n">
        <v>3065.89</v>
      </c>
      <c r="H2187" s="2" t="n">
        <v>9.54</v>
      </c>
      <c r="I2187" s="2" t="s">
        <v>26</v>
      </c>
      <c r="J2187" s="2" t="s">
        <v>6504</v>
      </c>
      <c r="K2187" s="2" t="s">
        <v>95</v>
      </c>
      <c r="L2187" s="2" t="s">
        <v>508</v>
      </c>
      <c r="M2187" s="2"/>
    </row>
    <row r="2188" customFormat="false" ht="15" hidden="false" customHeight="false" outlineLevel="0" collapsed="false">
      <c r="A2188" s="2" t="s">
        <v>6505</v>
      </c>
      <c r="B2188" s="2" t="s">
        <v>6506</v>
      </c>
      <c r="C2188" s="2" t="s">
        <v>6507</v>
      </c>
      <c r="D2188" s="13" t="n">
        <v>45549.8041666667</v>
      </c>
      <c r="E2188" s="2" t="s">
        <v>37</v>
      </c>
      <c r="F2188" s="2" t="s">
        <v>32</v>
      </c>
      <c r="G2188" s="2" t="n">
        <v>1024.57</v>
      </c>
      <c r="H2188" s="2" t="n">
        <v>7.18</v>
      </c>
      <c r="I2188" s="2" t="s">
        <v>26</v>
      </c>
      <c r="J2188" s="2" t="s">
        <v>6508</v>
      </c>
      <c r="K2188" s="2" t="s">
        <v>122</v>
      </c>
      <c r="L2188" s="2" t="s">
        <v>1139</v>
      </c>
      <c r="M2188" s="2"/>
    </row>
    <row r="2189" customFormat="false" ht="15" hidden="false" customHeight="false" outlineLevel="0" collapsed="false">
      <c r="A2189" s="2" t="s">
        <v>6509</v>
      </c>
      <c r="B2189" s="2" t="s">
        <v>5064</v>
      </c>
      <c r="C2189" s="2" t="s">
        <v>5065</v>
      </c>
      <c r="D2189" s="13" t="n">
        <v>45501.7173611111</v>
      </c>
      <c r="E2189" s="2" t="s">
        <v>37</v>
      </c>
      <c r="F2189" s="2" t="s">
        <v>29</v>
      </c>
      <c r="G2189" s="2" t="n">
        <v>8011.08</v>
      </c>
      <c r="H2189" s="2" t="n">
        <v>58.35</v>
      </c>
      <c r="I2189" s="2" t="s">
        <v>30</v>
      </c>
      <c r="J2189" s="2" t="s">
        <v>6510</v>
      </c>
      <c r="K2189" s="2" t="s">
        <v>89</v>
      </c>
      <c r="L2189" s="2" t="s">
        <v>518</v>
      </c>
      <c r="M2189" s="2"/>
    </row>
    <row r="2190" customFormat="false" ht="15" hidden="false" customHeight="false" outlineLevel="0" collapsed="false">
      <c r="A2190" s="2" t="s">
        <v>6511</v>
      </c>
      <c r="B2190" s="2" t="s">
        <v>6512</v>
      </c>
      <c r="C2190" s="2" t="s">
        <v>6513</v>
      </c>
      <c r="D2190" s="13" t="n">
        <v>45537.29375</v>
      </c>
      <c r="E2190" s="2" t="s">
        <v>39</v>
      </c>
      <c r="F2190" s="2" t="s">
        <v>32</v>
      </c>
      <c r="G2190" s="2" t="n">
        <v>2928.47</v>
      </c>
      <c r="H2190" s="2" t="n">
        <v>13.5</v>
      </c>
      <c r="I2190" s="2" t="s">
        <v>26</v>
      </c>
      <c r="J2190" s="2" t="s">
        <v>6514</v>
      </c>
      <c r="K2190" s="2" t="s">
        <v>122</v>
      </c>
      <c r="L2190" s="2" t="s">
        <v>523</v>
      </c>
      <c r="M2190" s="2"/>
    </row>
    <row r="2191" customFormat="false" ht="15" hidden="false" customHeight="false" outlineLevel="0" collapsed="false">
      <c r="A2191" s="2" t="s">
        <v>6515</v>
      </c>
      <c r="B2191" s="2" t="s">
        <v>355</v>
      </c>
      <c r="C2191" s="2" t="s">
        <v>356</v>
      </c>
      <c r="D2191" s="13" t="n">
        <v>45874.5402777778</v>
      </c>
      <c r="E2191" s="2" t="s">
        <v>37</v>
      </c>
      <c r="F2191" s="2" t="s">
        <v>32</v>
      </c>
      <c r="G2191" s="2" t="n">
        <v>6123.89</v>
      </c>
      <c r="H2191" s="2" t="n">
        <v>33.04</v>
      </c>
      <c r="I2191" s="2" t="s">
        <v>26</v>
      </c>
      <c r="J2191" s="2" t="s">
        <v>6516</v>
      </c>
      <c r="K2191" s="2" t="s">
        <v>101</v>
      </c>
      <c r="L2191" s="2" t="s">
        <v>1152</v>
      </c>
      <c r="M2191" s="2"/>
    </row>
    <row r="2192" customFormat="false" ht="15" hidden="false" customHeight="false" outlineLevel="0" collapsed="false">
      <c r="A2192" s="2" t="s">
        <v>6517</v>
      </c>
      <c r="B2192" s="2" t="s">
        <v>2072</v>
      </c>
      <c r="C2192" s="2" t="s">
        <v>2073</v>
      </c>
      <c r="D2192" s="13" t="n">
        <v>45493.3756944445</v>
      </c>
      <c r="E2192" s="2" t="s">
        <v>35</v>
      </c>
      <c r="F2192" s="2" t="s">
        <v>32</v>
      </c>
      <c r="G2192" s="2" t="n">
        <v>6145.82</v>
      </c>
      <c r="H2192" s="2" t="n">
        <v>27.72</v>
      </c>
      <c r="I2192" s="2" t="s">
        <v>30</v>
      </c>
      <c r="J2192" s="2" t="s">
        <v>6518</v>
      </c>
      <c r="K2192" s="2" t="s">
        <v>122</v>
      </c>
      <c r="L2192" s="2" t="s">
        <v>1726</v>
      </c>
      <c r="M2192" s="2"/>
    </row>
    <row r="2193" customFormat="false" ht="15" hidden="false" customHeight="false" outlineLevel="0" collapsed="false">
      <c r="A2193" s="2" t="s">
        <v>6519</v>
      </c>
      <c r="B2193" s="2" t="s">
        <v>1018</v>
      </c>
      <c r="C2193" s="2" t="s">
        <v>1019</v>
      </c>
      <c r="D2193" s="13" t="n">
        <v>45947.7986111111</v>
      </c>
      <c r="E2193" s="2" t="s">
        <v>39</v>
      </c>
      <c r="F2193" s="2" t="s">
        <v>29</v>
      </c>
      <c r="G2193" s="2" t="n">
        <v>1111.04</v>
      </c>
      <c r="H2193" s="2" t="n">
        <v>13.2</v>
      </c>
      <c r="I2193" s="2" t="s">
        <v>30</v>
      </c>
      <c r="J2193" s="2" t="s">
        <v>6520</v>
      </c>
      <c r="K2193" s="2" t="s">
        <v>122</v>
      </c>
      <c r="L2193" s="2" t="s">
        <v>1160</v>
      </c>
      <c r="M2193" s="2"/>
    </row>
    <row r="2194" customFormat="false" ht="15" hidden="false" customHeight="false" outlineLevel="0" collapsed="false">
      <c r="A2194" s="2" t="s">
        <v>6521</v>
      </c>
      <c r="B2194" s="2" t="s">
        <v>3516</v>
      </c>
      <c r="C2194" s="2" t="s">
        <v>3517</v>
      </c>
      <c r="D2194" s="13" t="n">
        <v>45727.8659722222</v>
      </c>
      <c r="E2194" s="2" t="s">
        <v>37</v>
      </c>
      <c r="F2194" s="2" t="s">
        <v>27</v>
      </c>
      <c r="G2194" s="2" t="n">
        <v>7973.03</v>
      </c>
      <c r="H2194" s="2" t="n">
        <v>73.78</v>
      </c>
      <c r="I2194" s="2" t="s">
        <v>26</v>
      </c>
      <c r="J2194" s="2" t="s">
        <v>6522</v>
      </c>
      <c r="K2194" s="2" t="s">
        <v>122</v>
      </c>
      <c r="L2194" s="2"/>
      <c r="M2194" s="2" t="s">
        <v>1371</v>
      </c>
    </row>
    <row r="2195" customFormat="false" ht="15" hidden="false" customHeight="false" outlineLevel="0" collapsed="false">
      <c r="A2195" s="2" t="s">
        <v>6523</v>
      </c>
      <c r="B2195" s="2" t="s">
        <v>1953</v>
      </c>
      <c r="C2195" s="2" t="s">
        <v>1954</v>
      </c>
      <c r="D2195" s="13" t="n">
        <v>45608.4555555556</v>
      </c>
      <c r="E2195" s="2" t="s">
        <v>39</v>
      </c>
      <c r="F2195" s="2" t="s">
        <v>27</v>
      </c>
      <c r="G2195" s="2" t="n">
        <v>11553.24</v>
      </c>
      <c r="H2195" s="2" t="n">
        <v>79.84</v>
      </c>
      <c r="I2195" s="2" t="s">
        <v>26</v>
      </c>
      <c r="J2195" s="2" t="s">
        <v>6524</v>
      </c>
      <c r="K2195" s="2" t="s">
        <v>89</v>
      </c>
      <c r="L2195" s="2"/>
      <c r="M2195" s="2" t="s">
        <v>546</v>
      </c>
    </row>
    <row r="2196" customFormat="false" ht="15" hidden="false" customHeight="false" outlineLevel="0" collapsed="false">
      <c r="A2196" s="2" t="s">
        <v>6525</v>
      </c>
      <c r="B2196" s="2" t="s">
        <v>4246</v>
      </c>
      <c r="C2196" s="2" t="s">
        <v>4247</v>
      </c>
      <c r="D2196" s="13" t="n">
        <v>45371.6444444444</v>
      </c>
      <c r="E2196" s="2" t="s">
        <v>41</v>
      </c>
      <c r="F2196" s="2" t="s">
        <v>29</v>
      </c>
      <c r="G2196" s="2" t="n">
        <v>730.37</v>
      </c>
      <c r="H2196" s="2" t="n">
        <v>5</v>
      </c>
      <c r="I2196" s="2" t="s">
        <v>26</v>
      </c>
      <c r="J2196" s="2" t="s">
        <v>6526</v>
      </c>
      <c r="K2196" s="2" t="s">
        <v>95</v>
      </c>
      <c r="L2196" s="2" t="s">
        <v>2735</v>
      </c>
      <c r="M2196" s="2"/>
    </row>
    <row r="2197" customFormat="false" ht="15" hidden="false" customHeight="false" outlineLevel="0" collapsed="false">
      <c r="A2197" s="2" t="s">
        <v>6527</v>
      </c>
      <c r="B2197" s="2" t="s">
        <v>6020</v>
      </c>
      <c r="C2197" s="2" t="s">
        <v>6021</v>
      </c>
      <c r="D2197" s="13" t="n">
        <v>45487.3930555556</v>
      </c>
      <c r="E2197" s="2" t="s">
        <v>41</v>
      </c>
      <c r="F2197" s="2" t="s">
        <v>27</v>
      </c>
      <c r="G2197" s="2" t="n">
        <v>6988.69</v>
      </c>
      <c r="H2197" s="2" t="n">
        <v>82.67</v>
      </c>
      <c r="I2197" s="2" t="s">
        <v>28</v>
      </c>
      <c r="J2197" s="2" t="s">
        <v>6528</v>
      </c>
      <c r="K2197" s="2" t="s">
        <v>95</v>
      </c>
      <c r="L2197" s="2"/>
      <c r="M2197" s="2" t="s">
        <v>981</v>
      </c>
    </row>
    <row r="2198" customFormat="false" ht="15" hidden="false" customHeight="false" outlineLevel="0" collapsed="false">
      <c r="A2198" s="2" t="s">
        <v>6529</v>
      </c>
      <c r="B2198" s="2" t="s">
        <v>1322</v>
      </c>
      <c r="C2198" s="2" t="s">
        <v>1323</v>
      </c>
      <c r="D2198" s="13" t="n">
        <v>45428.4576388889</v>
      </c>
      <c r="E2198" s="2" t="s">
        <v>35</v>
      </c>
      <c r="F2198" s="2" t="s">
        <v>29</v>
      </c>
      <c r="G2198" s="2" t="n">
        <v>1141.78</v>
      </c>
      <c r="H2198" s="2" t="n">
        <v>12.43</v>
      </c>
      <c r="I2198" s="2" t="s">
        <v>26</v>
      </c>
      <c r="J2198" s="2" t="s">
        <v>6530</v>
      </c>
      <c r="K2198" s="2" t="s">
        <v>101</v>
      </c>
      <c r="L2198" s="2" t="s">
        <v>1183</v>
      </c>
      <c r="M2198" s="2"/>
    </row>
    <row r="2199" customFormat="false" ht="15" hidden="false" customHeight="false" outlineLevel="0" collapsed="false">
      <c r="A2199" s="2" t="s">
        <v>6531</v>
      </c>
      <c r="B2199" s="2" t="s">
        <v>2809</v>
      </c>
      <c r="C2199" s="2" t="s">
        <v>2810</v>
      </c>
      <c r="D2199" s="13" t="n">
        <v>45765.825</v>
      </c>
      <c r="E2199" s="2" t="s">
        <v>37</v>
      </c>
      <c r="F2199" s="2" t="s">
        <v>29</v>
      </c>
      <c r="G2199" s="2" t="n">
        <v>2398.56</v>
      </c>
      <c r="H2199" s="2" t="n">
        <v>20.07</v>
      </c>
      <c r="I2199" s="2" t="s">
        <v>26</v>
      </c>
      <c r="J2199" s="2" t="s">
        <v>6532</v>
      </c>
      <c r="K2199" s="2" t="s">
        <v>89</v>
      </c>
      <c r="L2199" s="2" t="s">
        <v>566</v>
      </c>
      <c r="M2199" s="2"/>
    </row>
    <row r="2200" customFormat="false" ht="15" hidden="false" customHeight="false" outlineLevel="0" collapsed="false">
      <c r="A2200" s="2" t="s">
        <v>6533</v>
      </c>
      <c r="B2200" s="2" t="s">
        <v>876</v>
      </c>
      <c r="C2200" s="2" t="s">
        <v>877</v>
      </c>
      <c r="D2200" s="13" t="n">
        <v>45355.3875</v>
      </c>
      <c r="E2200" s="2" t="s">
        <v>41</v>
      </c>
      <c r="F2200" s="2" t="s">
        <v>27</v>
      </c>
      <c r="G2200" s="2" t="n">
        <v>1441.84</v>
      </c>
      <c r="H2200" s="2" t="n">
        <v>12.14</v>
      </c>
      <c r="I2200" s="2" t="s">
        <v>26</v>
      </c>
      <c r="J2200" s="2" t="s">
        <v>6534</v>
      </c>
      <c r="K2200" s="2" t="s">
        <v>95</v>
      </c>
      <c r="L2200" s="2"/>
      <c r="M2200" s="2" t="s">
        <v>571</v>
      </c>
    </row>
    <row r="2201" customFormat="false" ht="15" hidden="false" customHeight="false" outlineLevel="0" collapsed="false">
      <c r="A2201" s="2" t="s">
        <v>6535</v>
      </c>
      <c r="B2201" s="2" t="s">
        <v>4358</v>
      </c>
      <c r="C2201" s="2" t="s">
        <v>4359</v>
      </c>
      <c r="D2201" s="13" t="n">
        <v>45838.8361111111</v>
      </c>
      <c r="E2201" s="2" t="s">
        <v>43</v>
      </c>
      <c r="F2201" s="2" t="s">
        <v>29</v>
      </c>
      <c r="G2201" s="2" t="n">
        <v>7186.52</v>
      </c>
      <c r="H2201" s="2" t="n">
        <v>40.83</v>
      </c>
      <c r="I2201" s="2" t="s">
        <v>30</v>
      </c>
      <c r="J2201" s="2" t="s">
        <v>6536</v>
      </c>
      <c r="K2201" s="2" t="s">
        <v>101</v>
      </c>
      <c r="L2201" s="2"/>
      <c r="M2201" s="2" t="s">
        <v>576</v>
      </c>
    </row>
    <row r="2202" customFormat="false" ht="15" hidden="false" customHeight="false" outlineLevel="0" collapsed="false">
      <c r="A2202" s="2" t="s">
        <v>6537</v>
      </c>
      <c r="B2202" s="2" t="s">
        <v>430</v>
      </c>
      <c r="C2202" s="2" t="s">
        <v>431</v>
      </c>
      <c r="D2202" s="13" t="n">
        <v>45623.9472222222</v>
      </c>
      <c r="E2202" s="2" t="s">
        <v>43</v>
      </c>
      <c r="F2202" s="2" t="s">
        <v>32</v>
      </c>
      <c r="G2202" s="2" t="n">
        <v>1427.72</v>
      </c>
      <c r="H2202" s="2" t="n">
        <v>15.67</v>
      </c>
      <c r="I2202" s="2" t="s">
        <v>28</v>
      </c>
      <c r="J2202" s="2" t="s">
        <v>6538</v>
      </c>
      <c r="K2202" s="2" t="s">
        <v>95</v>
      </c>
      <c r="L2202" s="2"/>
      <c r="M2202" s="2" t="s">
        <v>581</v>
      </c>
    </row>
    <row r="2203" customFormat="false" ht="15" hidden="false" customHeight="false" outlineLevel="0" collapsed="false">
      <c r="A2203" s="2" t="s">
        <v>6539</v>
      </c>
      <c r="B2203" s="2" t="s">
        <v>2306</v>
      </c>
      <c r="C2203" s="2" t="s">
        <v>2307</v>
      </c>
      <c r="D2203" s="13" t="n">
        <v>45640.7298611111</v>
      </c>
      <c r="E2203" s="2" t="s">
        <v>43</v>
      </c>
      <c r="F2203" s="2" t="s">
        <v>32</v>
      </c>
      <c r="G2203" s="2" t="n">
        <v>3745.99</v>
      </c>
      <c r="H2203" s="2" t="n">
        <v>38.24</v>
      </c>
      <c r="I2203" s="2" t="s">
        <v>26</v>
      </c>
      <c r="J2203" s="2" t="s">
        <v>6540</v>
      </c>
      <c r="K2203" s="2" t="s">
        <v>122</v>
      </c>
      <c r="L2203" s="2"/>
      <c r="M2203" s="2" t="s">
        <v>1007</v>
      </c>
    </row>
    <row r="2204" customFormat="false" ht="15" hidden="false" customHeight="false" outlineLevel="0" collapsed="false">
      <c r="A2204" s="2" t="s">
        <v>6541</v>
      </c>
      <c r="B2204" s="2" t="s">
        <v>270</v>
      </c>
      <c r="C2204" s="2" t="s">
        <v>271</v>
      </c>
      <c r="D2204" s="13" t="n">
        <v>45308.9298611111</v>
      </c>
      <c r="E2204" s="2" t="s">
        <v>41</v>
      </c>
      <c r="F2204" s="2" t="s">
        <v>29</v>
      </c>
      <c r="G2204" s="2" t="n">
        <v>6118.09</v>
      </c>
      <c r="H2204" s="2" t="n">
        <v>34.81</v>
      </c>
      <c r="I2204" s="2" t="s">
        <v>30</v>
      </c>
      <c r="J2204" s="2" t="s">
        <v>6542</v>
      </c>
      <c r="K2204" s="2" t="s">
        <v>89</v>
      </c>
      <c r="L2204" s="2" t="s">
        <v>589</v>
      </c>
      <c r="M2204" s="2"/>
    </row>
    <row r="2205" customFormat="false" ht="15" hidden="false" customHeight="false" outlineLevel="0" collapsed="false">
      <c r="A2205" s="2" t="s">
        <v>6543</v>
      </c>
      <c r="B2205" s="2" t="s">
        <v>4000</v>
      </c>
      <c r="C2205" s="2" t="s">
        <v>4001</v>
      </c>
      <c r="D2205" s="13" t="n">
        <v>45296.6611111111</v>
      </c>
      <c r="E2205" s="2" t="s">
        <v>35</v>
      </c>
      <c r="F2205" s="2" t="s">
        <v>27</v>
      </c>
      <c r="G2205" s="2" t="n">
        <v>16053</v>
      </c>
      <c r="H2205" s="2" t="n">
        <v>188.66</v>
      </c>
      <c r="I2205" s="2" t="s">
        <v>30</v>
      </c>
      <c r="J2205" s="2" t="s">
        <v>6544</v>
      </c>
      <c r="K2205" s="2" t="s">
        <v>89</v>
      </c>
      <c r="L2205" s="2"/>
      <c r="M2205" s="2" t="s">
        <v>594</v>
      </c>
    </row>
    <row r="2206" customFormat="false" ht="15" hidden="false" customHeight="false" outlineLevel="0" collapsed="false">
      <c r="A2206" s="2" t="s">
        <v>6545</v>
      </c>
      <c r="B2206" s="2" t="s">
        <v>1192</v>
      </c>
      <c r="C2206" s="2" t="s">
        <v>1193</v>
      </c>
      <c r="D2206" s="13" t="n">
        <v>45428.7840277778</v>
      </c>
      <c r="E2206" s="2" t="s">
        <v>37</v>
      </c>
      <c r="F2206" s="2" t="s">
        <v>27</v>
      </c>
      <c r="G2206" s="2" t="n">
        <v>4674.19</v>
      </c>
      <c r="H2206" s="2" t="n">
        <v>38.92</v>
      </c>
      <c r="I2206" s="2" t="s">
        <v>30</v>
      </c>
      <c r="J2206" s="2" t="s">
        <v>6546</v>
      </c>
      <c r="K2206" s="2" t="s">
        <v>89</v>
      </c>
      <c r="L2206" s="2"/>
      <c r="M2206" s="2" t="s">
        <v>112</v>
      </c>
    </row>
    <row r="2207" customFormat="false" ht="15" hidden="false" customHeight="false" outlineLevel="0" collapsed="false">
      <c r="A2207" s="2" t="s">
        <v>6547</v>
      </c>
      <c r="B2207" s="2" t="s">
        <v>4030</v>
      </c>
      <c r="C2207" s="2" t="s">
        <v>4031</v>
      </c>
      <c r="D2207" s="13" t="n">
        <v>45924.8423611111</v>
      </c>
      <c r="E2207" s="2" t="s">
        <v>37</v>
      </c>
      <c r="F2207" s="2" t="s">
        <v>31</v>
      </c>
      <c r="G2207" s="2" t="n">
        <v>1887.18</v>
      </c>
      <c r="H2207" s="2" t="n">
        <v>20.89</v>
      </c>
      <c r="I2207" s="2" t="s">
        <v>26</v>
      </c>
      <c r="J2207" s="2" t="s">
        <v>6548</v>
      </c>
      <c r="K2207" s="2" t="s">
        <v>101</v>
      </c>
      <c r="L2207" s="2" t="s">
        <v>604</v>
      </c>
      <c r="M2207" s="2"/>
    </row>
    <row r="2208" customFormat="false" ht="15" hidden="false" customHeight="false" outlineLevel="0" collapsed="false">
      <c r="A2208" s="2" t="s">
        <v>6549</v>
      </c>
      <c r="B2208" s="2" t="s">
        <v>5762</v>
      </c>
      <c r="C2208" s="2" t="s">
        <v>5763</v>
      </c>
      <c r="D2208" s="13" t="n">
        <v>45375.5034722222</v>
      </c>
      <c r="E2208" s="2" t="s">
        <v>41</v>
      </c>
      <c r="F2208" s="2" t="s">
        <v>32</v>
      </c>
      <c r="G2208" s="2" t="n">
        <v>878.83</v>
      </c>
      <c r="H2208" s="2" t="n">
        <v>5</v>
      </c>
      <c r="I2208" s="2" t="s">
        <v>26</v>
      </c>
      <c r="J2208" s="2" t="s">
        <v>6550</v>
      </c>
      <c r="K2208" s="2" t="s">
        <v>101</v>
      </c>
      <c r="L2208" s="2" t="s">
        <v>607</v>
      </c>
      <c r="M2208" s="2"/>
    </row>
    <row r="2209" customFormat="false" ht="15" hidden="false" customHeight="false" outlineLevel="0" collapsed="false">
      <c r="A2209" s="2" t="s">
        <v>6551</v>
      </c>
      <c r="B2209" s="2" t="s">
        <v>1596</v>
      </c>
      <c r="C2209" s="2" t="s">
        <v>1597</v>
      </c>
      <c r="D2209" s="13" t="n">
        <v>45963.7069444444</v>
      </c>
      <c r="E2209" s="2" t="s">
        <v>43</v>
      </c>
      <c r="F2209" s="2" t="s">
        <v>32</v>
      </c>
      <c r="G2209" s="2" t="n">
        <v>2763.49</v>
      </c>
      <c r="H2209" s="2" t="n">
        <v>19.39</v>
      </c>
      <c r="I2209" s="2" t="s">
        <v>26</v>
      </c>
      <c r="J2209" s="2" t="s">
        <v>6552</v>
      </c>
      <c r="K2209" s="2" t="s">
        <v>122</v>
      </c>
      <c r="L2209" s="2"/>
      <c r="M2209" s="2" t="s">
        <v>1425</v>
      </c>
    </row>
    <row r="2210" customFormat="false" ht="15" hidden="false" customHeight="false" outlineLevel="0" collapsed="false">
      <c r="A2210" s="2" t="s">
        <v>6553</v>
      </c>
      <c r="B2210" s="2" t="s">
        <v>3596</v>
      </c>
      <c r="C2210" s="2" t="s">
        <v>3597</v>
      </c>
      <c r="D2210" s="13" t="n">
        <v>45538.7152777778</v>
      </c>
      <c r="E2210" s="2" t="s">
        <v>37</v>
      </c>
      <c r="F2210" s="2" t="s">
        <v>29</v>
      </c>
      <c r="G2210" s="2" t="n">
        <v>16958.06</v>
      </c>
      <c r="H2210" s="2" t="n">
        <v>113.73</v>
      </c>
      <c r="I2210" s="2" t="s">
        <v>26</v>
      </c>
      <c r="J2210" s="2" t="s">
        <v>6554</v>
      </c>
      <c r="K2210" s="2" t="s">
        <v>122</v>
      </c>
      <c r="L2210" s="2" t="s">
        <v>1232</v>
      </c>
      <c r="M2210" s="2"/>
    </row>
    <row r="2211" customFormat="false" ht="15" hidden="false" customHeight="false" outlineLevel="0" collapsed="false">
      <c r="A2211" s="2" t="s">
        <v>6555</v>
      </c>
      <c r="B2211" s="2" t="s">
        <v>2595</v>
      </c>
      <c r="C2211" s="2" t="s">
        <v>2596</v>
      </c>
      <c r="D2211" s="13" t="n">
        <v>45719.7840277778</v>
      </c>
      <c r="E2211" s="2" t="s">
        <v>35</v>
      </c>
      <c r="F2211" s="2" t="s">
        <v>29</v>
      </c>
      <c r="G2211" s="2" t="n">
        <v>9591.89</v>
      </c>
      <c r="H2211" s="2" t="n">
        <v>40.62</v>
      </c>
      <c r="I2211" s="2" t="s">
        <v>30</v>
      </c>
      <c r="J2211" s="2" t="s">
        <v>6556</v>
      </c>
      <c r="K2211" s="2" t="s">
        <v>95</v>
      </c>
      <c r="L2211" s="2" t="s">
        <v>622</v>
      </c>
      <c r="M2211" s="2"/>
    </row>
    <row r="2212" customFormat="false" ht="15" hidden="false" customHeight="false" outlineLevel="0" collapsed="false">
      <c r="A2212" s="2" t="s">
        <v>6557</v>
      </c>
      <c r="B2212" s="2" t="s">
        <v>5912</v>
      </c>
      <c r="C2212" s="2" t="s">
        <v>5913</v>
      </c>
      <c r="D2212" s="13" t="n">
        <v>45369.5069444445</v>
      </c>
      <c r="E2212" s="2" t="s">
        <v>43</v>
      </c>
      <c r="F2212" s="2" t="s">
        <v>31</v>
      </c>
      <c r="G2212" s="2" t="n">
        <v>47055.06</v>
      </c>
      <c r="H2212" s="2" t="n">
        <v>291.42</v>
      </c>
      <c r="I2212" s="2" t="s">
        <v>26</v>
      </c>
      <c r="J2212" s="2" t="s">
        <v>6558</v>
      </c>
      <c r="K2212" s="2" t="s">
        <v>122</v>
      </c>
      <c r="L2212" s="2"/>
      <c r="M2212" s="2" t="s">
        <v>627</v>
      </c>
    </row>
    <row r="2213" customFormat="false" ht="15" hidden="false" customHeight="false" outlineLevel="0" collapsed="false">
      <c r="A2213" s="2" t="s">
        <v>6559</v>
      </c>
      <c r="B2213" s="2" t="s">
        <v>1905</v>
      </c>
      <c r="C2213" s="2" t="s">
        <v>1906</v>
      </c>
      <c r="D2213" s="13" t="n">
        <v>45624.5375</v>
      </c>
      <c r="E2213" s="2" t="s">
        <v>41</v>
      </c>
      <c r="F2213" s="2" t="s">
        <v>29</v>
      </c>
      <c r="G2213" s="2" t="n">
        <v>1300.37</v>
      </c>
      <c r="H2213" s="2" t="n">
        <v>12.37</v>
      </c>
      <c r="I2213" s="2" t="s">
        <v>28</v>
      </c>
      <c r="J2213" s="2" t="s">
        <v>6560</v>
      </c>
      <c r="K2213" s="2" t="s">
        <v>122</v>
      </c>
      <c r="L2213" s="2" t="s">
        <v>632</v>
      </c>
      <c r="M2213" s="2"/>
    </row>
    <row r="2214" customFormat="false" ht="15" hidden="false" customHeight="false" outlineLevel="0" collapsed="false">
      <c r="A2214" s="2" t="s">
        <v>6561</v>
      </c>
      <c r="B2214" s="2" t="s">
        <v>2599</v>
      </c>
      <c r="C2214" s="2" t="s">
        <v>2600</v>
      </c>
      <c r="D2214" s="13" t="n">
        <v>45457.5763888889</v>
      </c>
      <c r="E2214" s="2" t="s">
        <v>43</v>
      </c>
      <c r="F2214" s="2" t="s">
        <v>31</v>
      </c>
      <c r="G2214" s="2" t="n">
        <v>6142.32</v>
      </c>
      <c r="H2214" s="2" t="n">
        <v>53.97</v>
      </c>
      <c r="I2214" s="2" t="s">
        <v>26</v>
      </c>
      <c r="J2214" s="2" t="s">
        <v>6562</v>
      </c>
      <c r="K2214" s="2" t="s">
        <v>89</v>
      </c>
      <c r="L2214" s="2"/>
      <c r="M2214" s="2" t="s">
        <v>1806</v>
      </c>
    </row>
    <row r="2215" customFormat="false" ht="15" hidden="false" customHeight="false" outlineLevel="0" collapsed="false">
      <c r="A2215" s="2" t="s">
        <v>6563</v>
      </c>
      <c r="B2215" s="2" t="s">
        <v>1788</v>
      </c>
      <c r="C2215" s="2" t="s">
        <v>1789</v>
      </c>
      <c r="D2215" s="13" t="n">
        <v>45521.7201388889</v>
      </c>
      <c r="E2215" s="2" t="s">
        <v>39</v>
      </c>
      <c r="F2215" s="2" t="s">
        <v>32</v>
      </c>
      <c r="G2215" s="2" t="n">
        <v>6186.43</v>
      </c>
      <c r="H2215" s="2" t="n">
        <v>33.56</v>
      </c>
      <c r="I2215" s="2" t="s">
        <v>26</v>
      </c>
      <c r="J2215" s="2" t="s">
        <v>6564</v>
      </c>
      <c r="K2215" s="2" t="s">
        <v>95</v>
      </c>
      <c r="L2215" s="2" t="s">
        <v>640</v>
      </c>
      <c r="M2215" s="2"/>
    </row>
    <row r="2216" customFormat="false" ht="15" hidden="false" customHeight="false" outlineLevel="0" collapsed="false">
      <c r="A2216" s="2" t="s">
        <v>6565</v>
      </c>
      <c r="B2216" s="2" t="s">
        <v>2357</v>
      </c>
      <c r="C2216" s="2" t="s">
        <v>2358</v>
      </c>
      <c r="D2216" s="13" t="n">
        <v>45869.7291666667</v>
      </c>
      <c r="E2216" s="2" t="s">
        <v>35</v>
      </c>
      <c r="F2216" s="2" t="s">
        <v>31</v>
      </c>
      <c r="G2216" s="2" t="n">
        <v>9480.1</v>
      </c>
      <c r="H2216" s="2" t="n">
        <v>84.82</v>
      </c>
      <c r="I2216" s="2" t="s">
        <v>30</v>
      </c>
      <c r="J2216" s="2" t="s">
        <v>6566</v>
      </c>
      <c r="K2216" s="2" t="s">
        <v>95</v>
      </c>
      <c r="L2216" s="2" t="s">
        <v>645</v>
      </c>
      <c r="M2216" s="2"/>
    </row>
    <row r="2217" customFormat="false" ht="15" hidden="false" customHeight="false" outlineLevel="0" collapsed="false">
      <c r="A2217" s="2" t="s">
        <v>6567</v>
      </c>
      <c r="B2217" s="2" t="s">
        <v>460</v>
      </c>
      <c r="C2217" s="2" t="s">
        <v>461</v>
      </c>
      <c r="D2217" s="13" t="n">
        <v>45914.9333333333</v>
      </c>
      <c r="E2217" s="2" t="s">
        <v>37</v>
      </c>
      <c r="F2217" s="2" t="s">
        <v>31</v>
      </c>
      <c r="G2217" s="2" t="n">
        <v>6829.02</v>
      </c>
      <c r="H2217" s="2" t="n">
        <v>55.66</v>
      </c>
      <c r="I2217" s="2" t="s">
        <v>26</v>
      </c>
      <c r="J2217" s="2" t="s">
        <v>6568</v>
      </c>
      <c r="K2217" s="2" t="s">
        <v>95</v>
      </c>
      <c r="L2217" s="2" t="s">
        <v>648</v>
      </c>
      <c r="M2217" s="2"/>
    </row>
    <row r="2218" customFormat="false" ht="15" hidden="false" customHeight="false" outlineLevel="0" collapsed="false">
      <c r="A2218" s="2" t="s">
        <v>6569</v>
      </c>
      <c r="B2218" s="2" t="s">
        <v>2595</v>
      </c>
      <c r="C2218" s="2" t="s">
        <v>2596</v>
      </c>
      <c r="D2218" s="13" t="n">
        <v>45736.5006944445</v>
      </c>
      <c r="E2218" s="2" t="s">
        <v>37</v>
      </c>
      <c r="F2218" s="2" t="s">
        <v>32</v>
      </c>
      <c r="G2218" s="2" t="n">
        <v>1802.33</v>
      </c>
      <c r="H2218" s="2" t="n">
        <v>6.14</v>
      </c>
      <c r="I2218" s="2" t="s">
        <v>26</v>
      </c>
      <c r="J2218" s="2" t="s">
        <v>6570</v>
      </c>
      <c r="K2218" s="2" t="s">
        <v>101</v>
      </c>
      <c r="L2218" s="2" t="s">
        <v>1262</v>
      </c>
      <c r="M2218" s="2"/>
    </row>
    <row r="2219" customFormat="false" ht="15" hidden="false" customHeight="false" outlineLevel="0" collapsed="false">
      <c r="A2219" s="2" t="s">
        <v>6571</v>
      </c>
      <c r="B2219" s="2" t="s">
        <v>6572</v>
      </c>
      <c r="C2219" s="2" t="s">
        <v>6573</v>
      </c>
      <c r="D2219" s="13" t="n">
        <v>45709.3777777778</v>
      </c>
      <c r="E2219" s="2" t="s">
        <v>37</v>
      </c>
      <c r="F2219" s="2" t="s">
        <v>32</v>
      </c>
      <c r="G2219" s="2" t="n">
        <v>4416.14</v>
      </c>
      <c r="H2219" s="2" t="n">
        <v>30.74</v>
      </c>
      <c r="I2219" s="2" t="s">
        <v>28</v>
      </c>
      <c r="J2219" s="2" t="s">
        <v>6574</v>
      </c>
      <c r="K2219" s="2" t="s">
        <v>95</v>
      </c>
      <c r="L2219" s="2" t="s">
        <v>1267</v>
      </c>
      <c r="M2219" s="2"/>
    </row>
    <row r="2220" customFormat="false" ht="15" hidden="false" customHeight="false" outlineLevel="0" collapsed="false">
      <c r="A2220" s="2" t="s">
        <v>6575</v>
      </c>
      <c r="B2220" s="2" t="s">
        <v>3154</v>
      </c>
      <c r="C2220" s="2" t="s">
        <v>3155</v>
      </c>
      <c r="D2220" s="13" t="n">
        <v>45683.7763888889</v>
      </c>
      <c r="E2220" s="2" t="s">
        <v>43</v>
      </c>
      <c r="F2220" s="2" t="s">
        <v>31</v>
      </c>
      <c r="G2220" s="2" t="n">
        <v>9238.37</v>
      </c>
      <c r="H2220" s="2" t="n">
        <v>38.66</v>
      </c>
      <c r="I2220" s="2" t="s">
        <v>26</v>
      </c>
      <c r="J2220" s="2" t="s">
        <v>6576</v>
      </c>
      <c r="K2220" s="2" t="s">
        <v>89</v>
      </c>
      <c r="L2220" s="2"/>
      <c r="M2220" s="2" t="s">
        <v>662</v>
      </c>
    </row>
    <row r="2221" customFormat="false" ht="15" hidden="false" customHeight="false" outlineLevel="0" collapsed="false">
      <c r="A2221" s="2" t="s">
        <v>6577</v>
      </c>
      <c r="B2221" s="2" t="s">
        <v>1812</v>
      </c>
      <c r="C2221" s="2" t="s">
        <v>1813</v>
      </c>
      <c r="D2221" s="13" t="n">
        <v>45919.3958333333</v>
      </c>
      <c r="E2221" s="2" t="s">
        <v>35</v>
      </c>
      <c r="F2221" s="2" t="s">
        <v>29</v>
      </c>
      <c r="G2221" s="2" t="n">
        <v>7919.99</v>
      </c>
      <c r="H2221" s="2" t="n">
        <v>55.8</v>
      </c>
      <c r="I2221" s="2" t="s">
        <v>26</v>
      </c>
      <c r="J2221" s="2" t="s">
        <v>6578</v>
      </c>
      <c r="K2221" s="2" t="s">
        <v>89</v>
      </c>
      <c r="L2221" s="2" t="s">
        <v>1277</v>
      </c>
      <c r="M2221" s="2"/>
    </row>
    <row r="2222" customFormat="false" ht="15" hidden="false" customHeight="false" outlineLevel="0" collapsed="false">
      <c r="A2222" s="2" t="s">
        <v>6579</v>
      </c>
      <c r="B2222" s="2" t="s">
        <v>1117</v>
      </c>
      <c r="C2222" s="2" t="s">
        <v>1118</v>
      </c>
      <c r="D2222" s="13" t="n">
        <v>45957.6770833333</v>
      </c>
      <c r="E2222" s="2" t="s">
        <v>41</v>
      </c>
      <c r="F2222" s="2" t="s">
        <v>31</v>
      </c>
      <c r="G2222" s="2" t="n">
        <v>1989.03</v>
      </c>
      <c r="H2222" s="2" t="n">
        <v>12.53</v>
      </c>
      <c r="I2222" s="2" t="s">
        <v>30</v>
      </c>
      <c r="J2222" s="2" t="s">
        <v>6580</v>
      </c>
      <c r="K2222" s="2" t="s">
        <v>95</v>
      </c>
      <c r="L2222" s="2" t="s">
        <v>1837</v>
      </c>
      <c r="M2222" s="2"/>
    </row>
    <row r="2223" customFormat="false" ht="15" hidden="false" customHeight="false" outlineLevel="0" collapsed="false">
      <c r="A2223" s="2" t="s">
        <v>6581</v>
      </c>
      <c r="B2223" s="2" t="s">
        <v>1993</v>
      </c>
      <c r="C2223" s="2" t="s">
        <v>1994</v>
      </c>
      <c r="D2223" s="13" t="n">
        <v>45519.9569444444</v>
      </c>
      <c r="E2223" s="2" t="s">
        <v>39</v>
      </c>
      <c r="F2223" s="2" t="s">
        <v>31</v>
      </c>
      <c r="G2223" s="2" t="n">
        <v>4429.85</v>
      </c>
      <c r="H2223" s="2" t="n">
        <v>15.87</v>
      </c>
      <c r="I2223" s="2" t="s">
        <v>28</v>
      </c>
      <c r="J2223" s="2" t="s">
        <v>6582</v>
      </c>
      <c r="K2223" s="2" t="s">
        <v>95</v>
      </c>
      <c r="L2223" s="2" t="s">
        <v>676</v>
      </c>
      <c r="M2223" s="2"/>
    </row>
    <row r="2224" customFormat="false" ht="15" hidden="false" customHeight="false" outlineLevel="0" collapsed="false">
      <c r="A2224" s="2" t="s">
        <v>6583</v>
      </c>
      <c r="B2224" s="2" t="s">
        <v>830</v>
      </c>
      <c r="C2224" s="2" t="s">
        <v>831</v>
      </c>
      <c r="D2224" s="13" t="n">
        <v>45717.9486111111</v>
      </c>
      <c r="E2224" s="2" t="s">
        <v>41</v>
      </c>
      <c r="F2224" s="2" t="s">
        <v>27</v>
      </c>
      <c r="G2224" s="2" t="n">
        <v>4006.99</v>
      </c>
      <c r="H2224" s="2" t="n">
        <v>26.6</v>
      </c>
      <c r="I2224" s="2" t="s">
        <v>26</v>
      </c>
      <c r="J2224" s="2" t="s">
        <v>6584</v>
      </c>
      <c r="K2224" s="2" t="s">
        <v>122</v>
      </c>
      <c r="L2224" s="2"/>
      <c r="M2224" s="2" t="s">
        <v>1477</v>
      </c>
    </row>
    <row r="2225" customFormat="false" ht="15" hidden="false" customHeight="false" outlineLevel="0" collapsed="false">
      <c r="A2225" s="2" t="s">
        <v>6585</v>
      </c>
      <c r="B2225" s="2" t="s">
        <v>6586</v>
      </c>
      <c r="C2225" s="2" t="s">
        <v>6587</v>
      </c>
      <c r="D2225" s="13" t="n">
        <v>45610.7652777778</v>
      </c>
      <c r="E2225" s="2" t="s">
        <v>35</v>
      </c>
      <c r="F2225" s="2" t="s">
        <v>31</v>
      </c>
      <c r="G2225" s="2" t="n">
        <v>1632.12</v>
      </c>
      <c r="H2225" s="2" t="n">
        <v>5</v>
      </c>
      <c r="I2225" s="2" t="s">
        <v>28</v>
      </c>
      <c r="J2225" s="2" t="s">
        <v>6588</v>
      </c>
      <c r="K2225" s="2" t="s">
        <v>101</v>
      </c>
      <c r="L2225" s="2" t="s">
        <v>1294</v>
      </c>
      <c r="M2225" s="2"/>
    </row>
    <row r="2226" customFormat="false" ht="15" hidden="false" customHeight="false" outlineLevel="0" collapsed="false">
      <c r="A2226" s="2" t="s">
        <v>6589</v>
      </c>
      <c r="B2226" s="2" t="s">
        <v>2645</v>
      </c>
      <c r="C2226" s="2" t="s">
        <v>2646</v>
      </c>
      <c r="D2226" s="13" t="n">
        <v>46004.6333333333</v>
      </c>
      <c r="E2226" s="2" t="s">
        <v>39</v>
      </c>
      <c r="F2226" s="2" t="s">
        <v>32</v>
      </c>
      <c r="G2226" s="2" t="n">
        <v>1584.25</v>
      </c>
      <c r="H2226" s="2" t="n">
        <v>5</v>
      </c>
      <c r="I2226" s="2" t="s">
        <v>26</v>
      </c>
      <c r="J2226" s="2" t="s">
        <v>6590</v>
      </c>
      <c r="K2226" s="2" t="s">
        <v>95</v>
      </c>
      <c r="L2226" s="2" t="s">
        <v>1299</v>
      </c>
      <c r="M2226" s="2"/>
    </row>
    <row r="2227" customFormat="false" ht="15" hidden="false" customHeight="false" outlineLevel="0" collapsed="false">
      <c r="A2227" s="2" t="s">
        <v>6591</v>
      </c>
      <c r="B2227" s="2" t="s">
        <v>1219</v>
      </c>
      <c r="C2227" s="2" t="s">
        <v>1220</v>
      </c>
      <c r="D2227" s="13" t="n">
        <v>45614.7590277778</v>
      </c>
      <c r="E2227" s="2" t="s">
        <v>41</v>
      </c>
      <c r="F2227" s="2" t="s">
        <v>32</v>
      </c>
      <c r="G2227" s="2" t="n">
        <v>9092.32</v>
      </c>
      <c r="H2227" s="2" t="n">
        <v>35.65</v>
      </c>
      <c r="I2227" s="2" t="s">
        <v>30</v>
      </c>
      <c r="J2227" s="2" t="s">
        <v>6592</v>
      </c>
      <c r="K2227" s="2" t="s">
        <v>89</v>
      </c>
      <c r="L2227" s="2" t="s">
        <v>1854</v>
      </c>
      <c r="M2227" s="2"/>
    </row>
    <row r="2228" customFormat="false" ht="15" hidden="false" customHeight="false" outlineLevel="0" collapsed="false">
      <c r="A2228" s="2" t="s">
        <v>6593</v>
      </c>
      <c r="B2228" s="2" t="s">
        <v>3058</v>
      </c>
      <c r="C2228" s="2" t="s">
        <v>3059</v>
      </c>
      <c r="D2228" s="13" t="n">
        <v>45665.3881944444</v>
      </c>
      <c r="E2228" s="2" t="s">
        <v>39</v>
      </c>
      <c r="F2228" s="2" t="s">
        <v>27</v>
      </c>
      <c r="G2228" s="2" t="n">
        <v>21882.92</v>
      </c>
      <c r="H2228" s="2" t="n">
        <v>117.37</v>
      </c>
      <c r="I2228" s="2" t="s">
        <v>26</v>
      </c>
      <c r="J2228" s="2" t="s">
        <v>6594</v>
      </c>
      <c r="K2228" s="2" t="s">
        <v>95</v>
      </c>
      <c r="L2228" s="2"/>
      <c r="M2228" s="2" t="s">
        <v>1495</v>
      </c>
    </row>
    <row r="2229" customFormat="false" ht="15" hidden="false" customHeight="false" outlineLevel="0" collapsed="false">
      <c r="A2229" s="2" t="s">
        <v>6595</v>
      </c>
      <c r="B2229" s="2" t="s">
        <v>2341</v>
      </c>
      <c r="C2229" s="2" t="s">
        <v>2342</v>
      </c>
      <c r="D2229" s="13" t="n">
        <v>45548.3104166667</v>
      </c>
      <c r="E2229" s="2" t="s">
        <v>35</v>
      </c>
      <c r="F2229" s="2" t="s">
        <v>31</v>
      </c>
      <c r="G2229" s="2" t="n">
        <v>908.46</v>
      </c>
      <c r="H2229" s="2" t="n">
        <v>8.33</v>
      </c>
      <c r="I2229" s="2" t="s">
        <v>30</v>
      </c>
      <c r="J2229" s="2" t="s">
        <v>6596</v>
      </c>
      <c r="K2229" s="2" t="s">
        <v>101</v>
      </c>
      <c r="L2229" s="2" t="s">
        <v>1311</v>
      </c>
      <c r="M2229" s="2"/>
    </row>
    <row r="2230" customFormat="false" ht="15" hidden="false" customHeight="false" outlineLevel="0" collapsed="false">
      <c r="A2230" s="2" t="s">
        <v>6597</v>
      </c>
      <c r="B2230" s="2" t="s">
        <v>5388</v>
      </c>
      <c r="C2230" s="2" t="s">
        <v>5389</v>
      </c>
      <c r="D2230" s="13" t="n">
        <v>45811.9354166667</v>
      </c>
      <c r="E2230" s="2" t="s">
        <v>41</v>
      </c>
      <c r="F2230" s="2" t="s">
        <v>29</v>
      </c>
      <c r="G2230" s="2" t="n">
        <v>13312.74</v>
      </c>
      <c r="H2230" s="2" t="n">
        <v>64.65</v>
      </c>
      <c r="I2230" s="2" t="s">
        <v>30</v>
      </c>
      <c r="J2230" s="2" t="s">
        <v>6598</v>
      </c>
      <c r="K2230" s="2" t="s">
        <v>95</v>
      </c>
      <c r="L2230" s="2" t="s">
        <v>703</v>
      </c>
      <c r="M2230" s="2"/>
    </row>
    <row r="2231" customFormat="false" ht="15" hidden="false" customHeight="false" outlineLevel="0" collapsed="false">
      <c r="A2231" s="2" t="s">
        <v>6599</v>
      </c>
      <c r="B2231" s="2" t="s">
        <v>4484</v>
      </c>
      <c r="C2231" s="2" t="s">
        <v>4485</v>
      </c>
      <c r="D2231" s="13" t="n">
        <v>46005.8854166667</v>
      </c>
      <c r="E2231" s="2" t="s">
        <v>43</v>
      </c>
      <c r="F2231" s="2" t="s">
        <v>29</v>
      </c>
      <c r="G2231" s="2" t="n">
        <v>643.4</v>
      </c>
      <c r="H2231" s="2" t="n">
        <v>5</v>
      </c>
      <c r="I2231" s="2" t="s">
        <v>26</v>
      </c>
      <c r="J2231" s="2" t="s">
        <v>6600</v>
      </c>
      <c r="K2231" s="2" t="s">
        <v>95</v>
      </c>
      <c r="L2231" s="2"/>
      <c r="M2231" s="2" t="s">
        <v>228</v>
      </c>
    </row>
    <row r="2232" customFormat="false" ht="15" hidden="false" customHeight="false" outlineLevel="0" collapsed="false">
      <c r="A2232" s="2" t="s">
        <v>6601</v>
      </c>
      <c r="B2232" s="2" t="s">
        <v>1462</v>
      </c>
      <c r="C2232" s="2" t="s">
        <v>1463</v>
      </c>
      <c r="D2232" s="13" t="n">
        <v>45463.3402777778</v>
      </c>
      <c r="E2232" s="2" t="s">
        <v>43</v>
      </c>
      <c r="F2232" s="2" t="s">
        <v>32</v>
      </c>
      <c r="G2232" s="2" t="n">
        <v>404.24</v>
      </c>
      <c r="H2232" s="2" t="n">
        <v>5</v>
      </c>
      <c r="I2232" s="2" t="s">
        <v>26</v>
      </c>
      <c r="J2232" s="2" t="s">
        <v>6602</v>
      </c>
      <c r="K2232" s="2" t="s">
        <v>122</v>
      </c>
      <c r="L2232" s="2"/>
      <c r="M2232" s="2" t="s">
        <v>233</v>
      </c>
    </row>
    <row r="2233" customFormat="false" ht="15" hidden="false" customHeight="false" outlineLevel="0" collapsed="false">
      <c r="A2233" s="2" t="s">
        <v>6603</v>
      </c>
      <c r="B2233" s="2" t="s">
        <v>4502</v>
      </c>
      <c r="C2233" s="2" t="s">
        <v>4503</v>
      </c>
      <c r="D2233" s="13" t="n">
        <v>45406.5159722222</v>
      </c>
      <c r="E2233" s="2" t="s">
        <v>43</v>
      </c>
      <c r="F2233" s="2" t="s">
        <v>31</v>
      </c>
      <c r="G2233" s="2" t="n">
        <v>4775.14</v>
      </c>
      <c r="H2233" s="2" t="n">
        <v>34.89</v>
      </c>
      <c r="I2233" s="2" t="s">
        <v>28</v>
      </c>
      <c r="J2233" s="2" t="s">
        <v>6604</v>
      </c>
      <c r="K2233" s="2" t="s">
        <v>101</v>
      </c>
      <c r="L2233" s="2"/>
      <c r="M2233" s="2" t="s">
        <v>238</v>
      </c>
    </row>
    <row r="2234" customFormat="false" ht="15" hidden="false" customHeight="false" outlineLevel="0" collapsed="false">
      <c r="A2234" s="2" t="s">
        <v>6605</v>
      </c>
      <c r="B2234" s="2" t="s">
        <v>1620</v>
      </c>
      <c r="C2234" s="2" t="s">
        <v>1621</v>
      </c>
      <c r="D2234" s="13" t="n">
        <v>45909.7534722222</v>
      </c>
      <c r="E2234" s="2" t="s">
        <v>39</v>
      </c>
      <c r="F2234" s="2" t="s">
        <v>29</v>
      </c>
      <c r="G2234" s="2" t="n">
        <v>1951.47</v>
      </c>
      <c r="H2234" s="2" t="n">
        <v>16.1</v>
      </c>
      <c r="I2234" s="2" t="s">
        <v>26</v>
      </c>
      <c r="J2234" s="2" t="s">
        <v>6606</v>
      </c>
      <c r="K2234" s="2" t="s">
        <v>122</v>
      </c>
      <c r="L2234" s="2" t="s">
        <v>1877</v>
      </c>
      <c r="M2234" s="2"/>
    </row>
    <row r="2235" customFormat="false" ht="15" hidden="false" customHeight="false" outlineLevel="0" collapsed="false">
      <c r="A2235" s="2" t="s">
        <v>6607</v>
      </c>
      <c r="B2235" s="2" t="s">
        <v>440</v>
      </c>
      <c r="C2235" s="2" t="s">
        <v>441</v>
      </c>
      <c r="D2235" s="13" t="n">
        <v>45592.6854166667</v>
      </c>
      <c r="E2235" s="2" t="s">
        <v>43</v>
      </c>
      <c r="F2235" s="2" t="s">
        <v>31</v>
      </c>
      <c r="G2235" s="2" t="n">
        <v>2146.42</v>
      </c>
      <c r="H2235" s="2" t="n">
        <v>9.41</v>
      </c>
      <c r="I2235" s="2" t="s">
        <v>26</v>
      </c>
      <c r="J2235" s="2" t="s">
        <v>6608</v>
      </c>
      <c r="K2235" s="2" t="s">
        <v>101</v>
      </c>
      <c r="L2235" s="2"/>
      <c r="M2235" s="2" t="s">
        <v>723</v>
      </c>
    </row>
    <row r="2236" customFormat="false" ht="15" hidden="false" customHeight="false" outlineLevel="0" collapsed="false">
      <c r="A2236" s="2" t="s">
        <v>6609</v>
      </c>
      <c r="B2236" s="2" t="s">
        <v>1196</v>
      </c>
      <c r="C2236" s="2" t="s">
        <v>1197</v>
      </c>
      <c r="D2236" s="13" t="n">
        <v>45671.5131944444</v>
      </c>
      <c r="E2236" s="2" t="s">
        <v>37</v>
      </c>
      <c r="F2236" s="2" t="s">
        <v>31</v>
      </c>
      <c r="G2236" s="2" t="n">
        <v>2535.19</v>
      </c>
      <c r="H2236" s="2" t="n">
        <v>13.44</v>
      </c>
      <c r="I2236" s="2" t="s">
        <v>26</v>
      </c>
      <c r="J2236" s="2" t="s">
        <v>6610</v>
      </c>
      <c r="K2236" s="2" t="s">
        <v>122</v>
      </c>
      <c r="L2236" s="2" t="s">
        <v>1344</v>
      </c>
      <c r="M2236" s="2"/>
    </row>
    <row r="2237" customFormat="false" ht="15" hidden="false" customHeight="false" outlineLevel="0" collapsed="false">
      <c r="A2237" s="2" t="s">
        <v>6611</v>
      </c>
      <c r="B2237" s="2" t="s">
        <v>1555</v>
      </c>
      <c r="C2237" s="2" t="s">
        <v>1556</v>
      </c>
      <c r="D2237" s="13" t="n">
        <v>45791.7833333333</v>
      </c>
      <c r="E2237" s="2" t="s">
        <v>43</v>
      </c>
      <c r="F2237" s="2" t="s">
        <v>32</v>
      </c>
      <c r="G2237" s="2" t="n">
        <v>2161.36</v>
      </c>
      <c r="H2237" s="2" t="n">
        <v>5.26</v>
      </c>
      <c r="I2237" s="2" t="s">
        <v>26</v>
      </c>
      <c r="J2237" s="2" t="s">
        <v>6612</v>
      </c>
      <c r="K2237" s="2" t="s">
        <v>122</v>
      </c>
      <c r="L2237" s="2"/>
      <c r="M2237" s="2" t="s">
        <v>1134</v>
      </c>
    </row>
    <row r="2238" customFormat="false" ht="15" hidden="false" customHeight="false" outlineLevel="0" collapsed="false">
      <c r="A2238" s="2" t="s">
        <v>6613</v>
      </c>
      <c r="B2238" s="2" t="s">
        <v>2629</v>
      </c>
      <c r="C2238" s="2" t="s">
        <v>2630</v>
      </c>
      <c r="D2238" s="13" t="n">
        <v>45949.7479166667</v>
      </c>
      <c r="E2238" s="2" t="s">
        <v>35</v>
      </c>
      <c r="F2238" s="2" t="s">
        <v>31</v>
      </c>
      <c r="G2238" s="2" t="n">
        <v>4048.86</v>
      </c>
      <c r="H2238" s="2" t="n">
        <v>40.39</v>
      </c>
      <c r="I2238" s="2" t="s">
        <v>26</v>
      </c>
      <c r="J2238" s="2" t="s">
        <v>6614</v>
      </c>
      <c r="K2238" s="2" t="s">
        <v>122</v>
      </c>
      <c r="L2238" s="2" t="s">
        <v>1888</v>
      </c>
      <c r="M2238" s="2"/>
    </row>
    <row r="2239" customFormat="false" ht="15" hidden="false" customHeight="false" outlineLevel="0" collapsed="false">
      <c r="A2239" s="2" t="s">
        <v>6615</v>
      </c>
      <c r="B2239" s="2" t="s">
        <v>1380</v>
      </c>
      <c r="C2239" s="2" t="s">
        <v>1381</v>
      </c>
      <c r="D2239" s="13" t="n">
        <v>46020.3701388889</v>
      </c>
      <c r="E2239" s="2" t="s">
        <v>37</v>
      </c>
      <c r="F2239" s="2" t="s">
        <v>31</v>
      </c>
      <c r="G2239" s="2" t="n">
        <v>5463.34</v>
      </c>
      <c r="H2239" s="2" t="n">
        <v>49.23</v>
      </c>
      <c r="I2239" s="2" t="s">
        <v>30</v>
      </c>
      <c r="J2239" s="2" t="s">
        <v>6616</v>
      </c>
      <c r="K2239" s="2" t="s">
        <v>95</v>
      </c>
      <c r="L2239" s="2" t="s">
        <v>738</v>
      </c>
      <c r="M2239" s="2"/>
    </row>
    <row r="2240" customFormat="false" ht="15" hidden="false" customHeight="false" outlineLevel="0" collapsed="false">
      <c r="A2240" s="2" t="s">
        <v>6617</v>
      </c>
      <c r="B2240" s="2" t="s">
        <v>2314</v>
      </c>
      <c r="C2240" s="2" t="s">
        <v>2315</v>
      </c>
      <c r="D2240" s="13" t="n">
        <v>45715.4263888889</v>
      </c>
      <c r="E2240" s="2" t="s">
        <v>39</v>
      </c>
      <c r="F2240" s="2" t="s">
        <v>27</v>
      </c>
      <c r="G2240" s="2" t="n">
        <v>3801.21</v>
      </c>
      <c r="H2240" s="2" t="n">
        <v>38.08</v>
      </c>
      <c r="I2240" s="2" t="s">
        <v>26</v>
      </c>
      <c r="J2240" s="2" t="s">
        <v>6618</v>
      </c>
      <c r="K2240" s="2" t="s">
        <v>101</v>
      </c>
      <c r="L2240" s="2"/>
      <c r="M2240" s="2" t="s">
        <v>273</v>
      </c>
    </row>
    <row r="2241" customFormat="false" ht="15" hidden="false" customHeight="false" outlineLevel="0" collapsed="false">
      <c r="A2241" s="2" t="s">
        <v>6619</v>
      </c>
      <c r="B2241" s="2" t="s">
        <v>888</v>
      </c>
      <c r="C2241" s="2" t="s">
        <v>889</v>
      </c>
      <c r="D2241" s="13" t="n">
        <v>45623.5215277778</v>
      </c>
      <c r="E2241" s="2" t="s">
        <v>41</v>
      </c>
      <c r="F2241" s="2" t="s">
        <v>32</v>
      </c>
      <c r="G2241" s="2" t="n">
        <v>1894.97</v>
      </c>
      <c r="H2241" s="2" t="n">
        <v>17.39</v>
      </c>
      <c r="I2241" s="2" t="s">
        <v>28</v>
      </c>
      <c r="J2241" s="2" t="s">
        <v>6620</v>
      </c>
      <c r="K2241" s="2" t="s">
        <v>122</v>
      </c>
      <c r="L2241" s="2" t="s">
        <v>1901</v>
      </c>
      <c r="M2241" s="2"/>
    </row>
    <row r="2242" customFormat="false" ht="15" hidden="false" customHeight="false" outlineLevel="0" collapsed="false">
      <c r="A2242" s="2" t="s">
        <v>6621</v>
      </c>
      <c r="B2242" s="2" t="s">
        <v>5700</v>
      </c>
      <c r="C2242" s="2" t="s">
        <v>5701</v>
      </c>
      <c r="D2242" s="13" t="n">
        <v>45995.7486111111</v>
      </c>
      <c r="E2242" s="2" t="s">
        <v>37</v>
      </c>
      <c r="F2242" s="2" t="s">
        <v>31</v>
      </c>
      <c r="G2242" s="2" t="n">
        <v>1353.21</v>
      </c>
      <c r="H2242" s="2" t="n">
        <v>5</v>
      </c>
      <c r="I2242" s="2" t="s">
        <v>26</v>
      </c>
      <c r="J2242" s="2" t="s">
        <v>6622</v>
      </c>
      <c r="K2242" s="2" t="s">
        <v>101</v>
      </c>
      <c r="L2242" s="2" t="s">
        <v>752</v>
      </c>
      <c r="M2242" s="2"/>
    </row>
    <row r="2243" customFormat="false" ht="15" hidden="false" customHeight="false" outlineLevel="0" collapsed="false">
      <c r="A2243" s="2" t="s">
        <v>6623</v>
      </c>
      <c r="B2243" s="2" t="s">
        <v>255</v>
      </c>
      <c r="C2243" s="2" t="s">
        <v>256</v>
      </c>
      <c r="D2243" s="13" t="n">
        <v>45771.4472222222</v>
      </c>
      <c r="E2243" s="2" t="s">
        <v>39</v>
      </c>
      <c r="F2243" s="2" t="s">
        <v>27</v>
      </c>
      <c r="G2243" s="2" t="n">
        <v>646.86</v>
      </c>
      <c r="H2243" s="2" t="n">
        <v>5.68</v>
      </c>
      <c r="I2243" s="2" t="s">
        <v>26</v>
      </c>
      <c r="J2243" s="2" t="s">
        <v>6624</v>
      </c>
      <c r="K2243" s="2" t="s">
        <v>101</v>
      </c>
      <c r="L2243" s="2"/>
      <c r="M2243" s="2" t="s">
        <v>288</v>
      </c>
    </row>
    <row r="2244" customFormat="false" ht="15" hidden="false" customHeight="false" outlineLevel="0" collapsed="false">
      <c r="A2244" s="2" t="s">
        <v>6625</v>
      </c>
      <c r="B2244" s="2" t="s">
        <v>4174</v>
      </c>
      <c r="C2244" s="2" t="s">
        <v>4175</v>
      </c>
      <c r="D2244" s="13" t="n">
        <v>45871.6013888889</v>
      </c>
      <c r="E2244" s="2" t="s">
        <v>39</v>
      </c>
      <c r="F2244" s="2" t="s">
        <v>29</v>
      </c>
      <c r="G2244" s="2" t="n">
        <v>10709.09</v>
      </c>
      <c r="H2244" s="2" t="n">
        <v>48.29</v>
      </c>
      <c r="I2244" s="2" t="s">
        <v>28</v>
      </c>
      <c r="J2244" s="2" t="s">
        <v>6626</v>
      </c>
      <c r="K2244" s="2" t="s">
        <v>101</v>
      </c>
      <c r="L2244" s="2" t="s">
        <v>1912</v>
      </c>
      <c r="M2244" s="2"/>
    </row>
    <row r="2245" customFormat="false" ht="15" hidden="false" customHeight="false" outlineLevel="0" collapsed="false">
      <c r="A2245" s="2" t="s">
        <v>6627</v>
      </c>
      <c r="B2245" s="2" t="s">
        <v>1713</v>
      </c>
      <c r="C2245" s="2" t="s">
        <v>1714</v>
      </c>
      <c r="D2245" s="13" t="n">
        <v>45414.8381944444</v>
      </c>
      <c r="E2245" s="2" t="s">
        <v>41</v>
      </c>
      <c r="F2245" s="2" t="s">
        <v>32</v>
      </c>
      <c r="G2245" s="2" t="n">
        <v>1891.55</v>
      </c>
      <c r="H2245" s="2" t="n">
        <v>22.4</v>
      </c>
      <c r="I2245" s="2" t="s">
        <v>26</v>
      </c>
      <c r="J2245" s="2" t="s">
        <v>6628</v>
      </c>
      <c r="K2245" s="2" t="s">
        <v>101</v>
      </c>
      <c r="L2245" s="2" t="s">
        <v>1374</v>
      </c>
      <c r="M2245" s="2"/>
    </row>
    <row r="2246" customFormat="false" ht="15" hidden="false" customHeight="false" outlineLevel="0" collapsed="false">
      <c r="A2246" s="2" t="s">
        <v>6629</v>
      </c>
      <c r="B2246" s="2" t="s">
        <v>876</v>
      </c>
      <c r="C2246" s="2" t="s">
        <v>877</v>
      </c>
      <c r="D2246" s="13" t="n">
        <v>45368.4743055556</v>
      </c>
      <c r="E2246" s="2" t="s">
        <v>39</v>
      </c>
      <c r="F2246" s="2" t="s">
        <v>32</v>
      </c>
      <c r="G2246" s="2" t="n">
        <v>2973.55</v>
      </c>
      <c r="H2246" s="2" t="n">
        <v>23.59</v>
      </c>
      <c r="I2246" s="2" t="s">
        <v>30</v>
      </c>
      <c r="J2246" s="2" t="s">
        <v>6630</v>
      </c>
      <c r="K2246" s="2" t="s">
        <v>122</v>
      </c>
      <c r="L2246" s="2" t="s">
        <v>769</v>
      </c>
      <c r="M2246" s="2"/>
    </row>
    <row r="2247" customFormat="false" ht="15" hidden="false" customHeight="false" outlineLevel="0" collapsed="false">
      <c r="A2247" s="2" t="s">
        <v>6631</v>
      </c>
      <c r="B2247" s="2" t="s">
        <v>5726</v>
      </c>
      <c r="C2247" s="2" t="s">
        <v>5727</v>
      </c>
      <c r="D2247" s="13" t="n">
        <v>45873.9125</v>
      </c>
      <c r="E2247" s="2" t="s">
        <v>37</v>
      </c>
      <c r="F2247" s="2" t="s">
        <v>27</v>
      </c>
      <c r="G2247" s="2" t="n">
        <v>7303</v>
      </c>
      <c r="H2247" s="2" t="n">
        <v>75.92</v>
      </c>
      <c r="I2247" s="2" t="s">
        <v>28</v>
      </c>
      <c r="J2247" s="2" t="s">
        <v>6632</v>
      </c>
      <c r="K2247" s="2" t="s">
        <v>101</v>
      </c>
      <c r="L2247" s="2"/>
      <c r="M2247" s="2" t="s">
        <v>774</v>
      </c>
    </row>
    <row r="2248" customFormat="false" ht="15" hidden="false" customHeight="false" outlineLevel="0" collapsed="false">
      <c r="A2248" s="2" t="s">
        <v>6633</v>
      </c>
      <c r="B2248" s="2" t="s">
        <v>1149</v>
      </c>
      <c r="C2248" s="2" t="s">
        <v>1150</v>
      </c>
      <c r="D2248" s="13" t="n">
        <v>45785.8659722222</v>
      </c>
      <c r="E2248" s="2" t="s">
        <v>39</v>
      </c>
      <c r="F2248" s="2" t="s">
        <v>29</v>
      </c>
      <c r="G2248" s="2" t="n">
        <v>1201.44</v>
      </c>
      <c r="H2248" s="2" t="n">
        <v>13.57</v>
      </c>
      <c r="I2248" s="2" t="s">
        <v>26</v>
      </c>
      <c r="J2248" s="2" t="s">
        <v>6634</v>
      </c>
      <c r="K2248" s="2" t="s">
        <v>122</v>
      </c>
      <c r="L2248" s="2" t="s">
        <v>779</v>
      </c>
      <c r="M2248" s="2"/>
    </row>
    <row r="2249" customFormat="false" ht="15" hidden="false" customHeight="false" outlineLevel="0" collapsed="false">
      <c r="A2249" s="2" t="s">
        <v>6635</v>
      </c>
      <c r="B2249" s="2" t="s">
        <v>1004</v>
      </c>
      <c r="C2249" s="2" t="s">
        <v>1005</v>
      </c>
      <c r="D2249" s="13" t="n">
        <v>45344.65625</v>
      </c>
      <c r="E2249" s="2" t="s">
        <v>41</v>
      </c>
      <c r="F2249" s="2" t="s">
        <v>32</v>
      </c>
      <c r="G2249" s="2" t="n">
        <v>1237.2</v>
      </c>
      <c r="H2249" s="2" t="n">
        <v>12.75</v>
      </c>
      <c r="I2249" s="2" t="s">
        <v>26</v>
      </c>
      <c r="J2249" s="2" t="s">
        <v>6636</v>
      </c>
      <c r="K2249" s="2" t="s">
        <v>89</v>
      </c>
      <c r="L2249" s="2" t="s">
        <v>1389</v>
      </c>
      <c r="M2249" s="2"/>
    </row>
    <row r="2250" customFormat="false" ht="15" hidden="false" customHeight="false" outlineLevel="0" collapsed="false">
      <c r="A2250" s="2" t="s">
        <v>6637</v>
      </c>
      <c r="B2250" s="2" t="s">
        <v>1834</v>
      </c>
      <c r="C2250" s="2" t="s">
        <v>1835</v>
      </c>
      <c r="D2250" s="13" t="n">
        <v>45548.46875</v>
      </c>
      <c r="E2250" s="2" t="s">
        <v>39</v>
      </c>
      <c r="F2250" s="2" t="s">
        <v>31</v>
      </c>
      <c r="G2250" s="2" t="n">
        <v>3827.71</v>
      </c>
      <c r="H2250" s="2" t="n">
        <v>42.74</v>
      </c>
      <c r="I2250" s="2" t="s">
        <v>26</v>
      </c>
      <c r="J2250" s="2" t="s">
        <v>6638</v>
      </c>
      <c r="K2250" s="2" t="s">
        <v>122</v>
      </c>
      <c r="L2250" s="2" t="s">
        <v>1935</v>
      </c>
      <c r="M2250" s="2"/>
    </row>
    <row r="2251" customFormat="false" ht="15" hidden="false" customHeight="false" outlineLevel="0" collapsed="false">
      <c r="A2251" s="2" t="s">
        <v>6639</v>
      </c>
      <c r="B2251" s="2" t="s">
        <v>1957</v>
      </c>
      <c r="C2251" s="2" t="s">
        <v>1958</v>
      </c>
      <c r="D2251" s="13" t="n">
        <v>45402.4</v>
      </c>
      <c r="E2251" s="2" t="s">
        <v>35</v>
      </c>
      <c r="F2251" s="2" t="s">
        <v>32</v>
      </c>
      <c r="G2251" s="2" t="n">
        <v>19810.65</v>
      </c>
      <c r="H2251" s="2" t="n">
        <v>111.5</v>
      </c>
      <c r="I2251" s="2" t="s">
        <v>26</v>
      </c>
      <c r="J2251" s="2" t="s">
        <v>6640</v>
      </c>
      <c r="K2251" s="2" t="s">
        <v>89</v>
      </c>
      <c r="L2251" s="2" t="s">
        <v>1396</v>
      </c>
      <c r="M2251" s="2"/>
    </row>
    <row r="2252" customFormat="false" ht="15" hidden="false" customHeight="false" outlineLevel="0" collapsed="false">
      <c r="A2252" s="2" t="s">
        <v>6641</v>
      </c>
      <c r="B2252" s="2" t="s">
        <v>3392</v>
      </c>
      <c r="C2252" s="2" t="s">
        <v>3393</v>
      </c>
      <c r="D2252" s="13" t="n">
        <v>45445.5083333333</v>
      </c>
      <c r="E2252" s="2" t="s">
        <v>37</v>
      </c>
      <c r="F2252" s="2" t="s">
        <v>27</v>
      </c>
      <c r="G2252" s="2" t="n">
        <v>3364.5</v>
      </c>
      <c r="H2252" s="2" t="n">
        <v>31.52</v>
      </c>
      <c r="I2252" s="2" t="s">
        <v>26</v>
      </c>
      <c r="J2252" s="2" t="s">
        <v>6642</v>
      </c>
      <c r="K2252" s="2" t="s">
        <v>122</v>
      </c>
      <c r="L2252" s="2"/>
      <c r="M2252" s="2" t="s">
        <v>795</v>
      </c>
    </row>
    <row r="2253" customFormat="false" ht="15" hidden="false" customHeight="false" outlineLevel="0" collapsed="false">
      <c r="A2253" s="2" t="s">
        <v>6643</v>
      </c>
      <c r="B2253" s="2" t="s">
        <v>694</v>
      </c>
      <c r="C2253" s="2" t="s">
        <v>695</v>
      </c>
      <c r="D2253" s="13" t="n">
        <v>45588.5340277778</v>
      </c>
      <c r="E2253" s="2" t="s">
        <v>35</v>
      </c>
      <c r="F2253" s="2" t="s">
        <v>31</v>
      </c>
      <c r="G2253" s="2" t="n">
        <v>5261.88</v>
      </c>
      <c r="H2253" s="2" t="n">
        <v>13.94</v>
      </c>
      <c r="I2253" s="2" t="s">
        <v>30</v>
      </c>
      <c r="J2253" s="2" t="s">
        <v>6644</v>
      </c>
      <c r="K2253" s="2" t="s">
        <v>89</v>
      </c>
      <c r="L2253" s="2" t="s">
        <v>96</v>
      </c>
      <c r="M2253" s="2"/>
    </row>
    <row r="2254" customFormat="false" ht="15" hidden="false" customHeight="false" outlineLevel="0" collapsed="false">
      <c r="A2254" s="2" t="s">
        <v>6645</v>
      </c>
      <c r="B2254" s="2" t="s">
        <v>2396</v>
      </c>
      <c r="C2254" s="2" t="s">
        <v>2397</v>
      </c>
      <c r="D2254" s="13" t="n">
        <v>45455.9256944444</v>
      </c>
      <c r="E2254" s="2" t="s">
        <v>35</v>
      </c>
      <c r="F2254" s="2" t="s">
        <v>27</v>
      </c>
      <c r="G2254" s="2" t="n">
        <v>2018.9</v>
      </c>
      <c r="H2254" s="2" t="n">
        <v>18.36</v>
      </c>
      <c r="I2254" s="2" t="s">
        <v>26</v>
      </c>
      <c r="J2254" s="2" t="s">
        <v>6646</v>
      </c>
      <c r="K2254" s="2" t="s">
        <v>101</v>
      </c>
      <c r="L2254" s="2"/>
      <c r="M2254" s="2" t="s">
        <v>1588</v>
      </c>
    </row>
    <row r="2255" customFormat="false" ht="15" hidden="false" customHeight="false" outlineLevel="0" collapsed="false">
      <c r="A2255" s="2" t="s">
        <v>6647</v>
      </c>
      <c r="B2255" s="2" t="s">
        <v>2783</v>
      </c>
      <c r="C2255" s="2" t="s">
        <v>2784</v>
      </c>
      <c r="D2255" s="13" t="n">
        <v>45991.6180555556</v>
      </c>
      <c r="E2255" s="2" t="s">
        <v>43</v>
      </c>
      <c r="F2255" s="2" t="s">
        <v>32</v>
      </c>
      <c r="G2255" s="2" t="n">
        <v>2532.02</v>
      </c>
      <c r="H2255" s="2" t="n">
        <v>8</v>
      </c>
      <c r="I2255" s="2" t="s">
        <v>26</v>
      </c>
      <c r="J2255" s="2" t="s">
        <v>6648</v>
      </c>
      <c r="K2255" s="2" t="s">
        <v>95</v>
      </c>
      <c r="L2255" s="2"/>
      <c r="M2255" s="2" t="s">
        <v>348</v>
      </c>
    </row>
    <row r="2256" customFormat="false" ht="15" hidden="false" customHeight="false" outlineLevel="0" collapsed="false">
      <c r="A2256" s="2" t="s">
        <v>6649</v>
      </c>
      <c r="B2256" s="2" t="s">
        <v>1041</v>
      </c>
      <c r="C2256" s="2" t="s">
        <v>1042</v>
      </c>
      <c r="D2256" s="13" t="n">
        <v>45845.3215277778</v>
      </c>
      <c r="E2256" s="2" t="s">
        <v>37</v>
      </c>
      <c r="F2256" s="2" t="s">
        <v>32</v>
      </c>
      <c r="G2256" s="2" t="n">
        <v>11579.83</v>
      </c>
      <c r="H2256" s="2" t="n">
        <v>61.32</v>
      </c>
      <c r="I2256" s="2" t="s">
        <v>30</v>
      </c>
      <c r="J2256" s="2" t="s">
        <v>6650</v>
      </c>
      <c r="K2256" s="2" t="s">
        <v>89</v>
      </c>
      <c r="L2256" s="2" t="s">
        <v>812</v>
      </c>
      <c r="M2256" s="2"/>
    </row>
    <row r="2257" customFormat="false" ht="15" hidden="false" customHeight="false" outlineLevel="0" collapsed="false">
      <c r="A2257" s="2" t="s">
        <v>6651</v>
      </c>
      <c r="B2257" s="2" t="s">
        <v>586</v>
      </c>
      <c r="C2257" s="2" t="s">
        <v>587</v>
      </c>
      <c r="D2257" s="13" t="n">
        <v>45634.5819444444</v>
      </c>
      <c r="E2257" s="2" t="s">
        <v>39</v>
      </c>
      <c r="F2257" s="2" t="s">
        <v>31</v>
      </c>
      <c r="G2257" s="2" t="n">
        <v>8642.22</v>
      </c>
      <c r="H2257" s="2" t="n">
        <v>22.82</v>
      </c>
      <c r="I2257" s="2" t="s">
        <v>30</v>
      </c>
      <c r="J2257" s="2" t="s">
        <v>6652</v>
      </c>
      <c r="K2257" s="2" t="s">
        <v>95</v>
      </c>
      <c r="L2257" s="2" t="s">
        <v>117</v>
      </c>
      <c r="M2257" s="2"/>
    </row>
    <row r="2258" customFormat="false" ht="15" hidden="false" customHeight="false" outlineLevel="0" collapsed="false">
      <c r="A2258" s="2" t="s">
        <v>6653</v>
      </c>
      <c r="B2258" s="2" t="s">
        <v>2515</v>
      </c>
      <c r="C2258" s="2" t="s">
        <v>2516</v>
      </c>
      <c r="D2258" s="13" t="n">
        <v>45372.8965277778</v>
      </c>
      <c r="E2258" s="2" t="s">
        <v>43</v>
      </c>
      <c r="F2258" s="2" t="s">
        <v>29</v>
      </c>
      <c r="G2258" s="2" t="n">
        <v>3244.88</v>
      </c>
      <c r="H2258" s="2" t="n">
        <v>19.22</v>
      </c>
      <c r="I2258" s="2" t="s">
        <v>26</v>
      </c>
      <c r="J2258" s="2" t="s">
        <v>6654</v>
      </c>
      <c r="K2258" s="2" t="s">
        <v>95</v>
      </c>
      <c r="L2258" s="2"/>
      <c r="M2258" s="2" t="s">
        <v>363</v>
      </c>
    </row>
    <row r="2259" customFormat="false" ht="15" hidden="false" customHeight="false" outlineLevel="0" collapsed="false">
      <c r="A2259" s="2" t="s">
        <v>6655</v>
      </c>
      <c r="B2259" s="2" t="s">
        <v>230</v>
      </c>
      <c r="C2259" s="2" t="s">
        <v>231</v>
      </c>
      <c r="D2259" s="13" t="n">
        <v>45367.5902777778</v>
      </c>
      <c r="E2259" s="2" t="s">
        <v>35</v>
      </c>
      <c r="F2259" s="2" t="s">
        <v>29</v>
      </c>
      <c r="G2259" s="2" t="n">
        <v>1516.68</v>
      </c>
      <c r="H2259" s="2" t="n">
        <v>11.85</v>
      </c>
      <c r="I2259" s="2" t="s">
        <v>26</v>
      </c>
      <c r="J2259" s="2" t="s">
        <v>6656</v>
      </c>
      <c r="K2259" s="2" t="s">
        <v>95</v>
      </c>
      <c r="L2259" s="2" t="s">
        <v>128</v>
      </c>
      <c r="M2259" s="2"/>
    </row>
    <row r="2260" customFormat="false" ht="15" hidden="false" customHeight="false" outlineLevel="0" collapsed="false">
      <c r="A2260" s="2" t="s">
        <v>6657</v>
      </c>
      <c r="B2260" s="2" t="s">
        <v>2076</v>
      </c>
      <c r="C2260" s="2" t="s">
        <v>2077</v>
      </c>
      <c r="D2260" s="13" t="n">
        <v>45992.94375</v>
      </c>
      <c r="E2260" s="2" t="s">
        <v>41</v>
      </c>
      <c r="F2260" s="2" t="s">
        <v>27</v>
      </c>
      <c r="G2260" s="2" t="n">
        <v>5941.81</v>
      </c>
      <c r="H2260" s="2" t="n">
        <v>70.9</v>
      </c>
      <c r="I2260" s="2" t="s">
        <v>26</v>
      </c>
      <c r="J2260" s="2" t="s">
        <v>6658</v>
      </c>
      <c r="K2260" s="2" t="s">
        <v>95</v>
      </c>
      <c r="L2260" s="2"/>
      <c r="M2260" s="2" t="s">
        <v>828</v>
      </c>
    </row>
    <row r="2261" customFormat="false" ht="15" hidden="false" customHeight="false" outlineLevel="0" collapsed="false">
      <c r="A2261" s="2" t="s">
        <v>6659</v>
      </c>
      <c r="B2261" s="2" t="s">
        <v>1462</v>
      </c>
      <c r="C2261" s="2" t="s">
        <v>1463</v>
      </c>
      <c r="D2261" s="13" t="n">
        <v>45940.5708333333</v>
      </c>
      <c r="E2261" s="2" t="s">
        <v>35</v>
      </c>
      <c r="F2261" s="2" t="s">
        <v>29</v>
      </c>
      <c r="G2261" s="2" t="n">
        <v>13669.68</v>
      </c>
      <c r="H2261" s="2" t="n">
        <v>48.57</v>
      </c>
      <c r="I2261" s="2" t="s">
        <v>26</v>
      </c>
      <c r="J2261" s="2" t="s">
        <v>6660</v>
      </c>
      <c r="K2261" s="2" t="s">
        <v>122</v>
      </c>
      <c r="L2261" s="2" t="s">
        <v>138</v>
      </c>
      <c r="M2261" s="2"/>
    </row>
    <row r="2262" customFormat="false" ht="15" hidden="false" customHeight="false" outlineLevel="0" collapsed="false">
      <c r="A2262" s="2" t="s">
        <v>6661</v>
      </c>
      <c r="B2262" s="2" t="s">
        <v>285</v>
      </c>
      <c r="C2262" s="2" t="s">
        <v>286</v>
      </c>
      <c r="D2262" s="13" t="n">
        <v>45997.7263888889</v>
      </c>
      <c r="E2262" s="2" t="s">
        <v>39</v>
      </c>
      <c r="F2262" s="2" t="s">
        <v>32</v>
      </c>
      <c r="G2262" s="2" t="n">
        <v>3670.14</v>
      </c>
      <c r="H2262" s="2" t="n">
        <v>30.51</v>
      </c>
      <c r="I2262" s="2" t="s">
        <v>26</v>
      </c>
      <c r="J2262" s="2" t="s">
        <v>6662</v>
      </c>
      <c r="K2262" s="2" t="s">
        <v>101</v>
      </c>
      <c r="L2262" s="2" t="s">
        <v>141</v>
      </c>
      <c r="M2262" s="2"/>
    </row>
    <row r="2263" customFormat="false" ht="15" hidden="false" customHeight="false" outlineLevel="0" collapsed="false">
      <c r="A2263" s="2" t="s">
        <v>6663</v>
      </c>
      <c r="B2263" s="2" t="s">
        <v>1336</v>
      </c>
      <c r="C2263" s="2" t="s">
        <v>1337</v>
      </c>
      <c r="D2263" s="13" t="n">
        <v>45805.8993055556</v>
      </c>
      <c r="E2263" s="2" t="s">
        <v>43</v>
      </c>
      <c r="F2263" s="2" t="s">
        <v>29</v>
      </c>
      <c r="G2263" s="2" t="n">
        <v>3273.92</v>
      </c>
      <c r="H2263" s="2" t="n">
        <v>34.35</v>
      </c>
      <c r="I2263" s="2" t="s">
        <v>28</v>
      </c>
      <c r="J2263" s="2" t="s">
        <v>6664</v>
      </c>
      <c r="K2263" s="2" t="s">
        <v>89</v>
      </c>
      <c r="L2263" s="2"/>
      <c r="M2263" s="2" t="s">
        <v>388</v>
      </c>
    </row>
    <row r="2264" customFormat="false" ht="15" hidden="false" customHeight="false" outlineLevel="0" collapsed="false">
      <c r="A2264" s="2" t="s">
        <v>6665</v>
      </c>
      <c r="B2264" s="2" t="s">
        <v>3462</v>
      </c>
      <c r="C2264" s="2" t="s">
        <v>3463</v>
      </c>
      <c r="D2264" s="13" t="n">
        <v>45656.5354166667</v>
      </c>
      <c r="E2264" s="2" t="s">
        <v>39</v>
      </c>
      <c r="F2264" s="2" t="s">
        <v>31</v>
      </c>
      <c r="G2264" s="2" t="n">
        <v>1629.27</v>
      </c>
      <c r="H2264" s="2" t="n">
        <v>6.02</v>
      </c>
      <c r="I2264" s="2" t="s">
        <v>26</v>
      </c>
      <c r="J2264" s="2" t="s">
        <v>6666</v>
      </c>
      <c r="K2264" s="2" t="s">
        <v>89</v>
      </c>
      <c r="L2264" s="2" t="s">
        <v>147</v>
      </c>
      <c r="M2264" s="2"/>
    </row>
    <row r="2265" customFormat="false" ht="15" hidden="false" customHeight="false" outlineLevel="0" collapsed="false">
      <c r="A2265" s="2" t="s">
        <v>6667</v>
      </c>
      <c r="B2265" s="2" t="s">
        <v>6668</v>
      </c>
      <c r="C2265" s="2" t="s">
        <v>6669</v>
      </c>
      <c r="D2265" s="13" t="n">
        <v>45893.8944444444</v>
      </c>
      <c r="E2265" s="2" t="s">
        <v>37</v>
      </c>
      <c r="F2265" s="2" t="s">
        <v>31</v>
      </c>
      <c r="G2265" s="2" t="n">
        <v>3992.41</v>
      </c>
      <c r="H2265" s="2" t="n">
        <v>11.55</v>
      </c>
      <c r="I2265" s="2" t="s">
        <v>26</v>
      </c>
      <c r="J2265" s="2" t="s">
        <v>6670</v>
      </c>
      <c r="K2265" s="2" t="s">
        <v>101</v>
      </c>
      <c r="L2265" s="2" t="s">
        <v>150</v>
      </c>
      <c r="M2265" s="2"/>
    </row>
    <row r="2266" customFormat="false" ht="15" hidden="false" customHeight="false" outlineLevel="0" collapsed="false">
      <c r="A2266" s="2" t="s">
        <v>6671</v>
      </c>
      <c r="B2266" s="2" t="s">
        <v>4084</v>
      </c>
      <c r="C2266" s="2" t="s">
        <v>4085</v>
      </c>
      <c r="D2266" s="13" t="n">
        <v>45715.7555555556</v>
      </c>
      <c r="E2266" s="2" t="s">
        <v>37</v>
      </c>
      <c r="F2266" s="2" t="s">
        <v>31</v>
      </c>
      <c r="G2266" s="2" t="n">
        <v>70452.69</v>
      </c>
      <c r="H2266" s="2" t="n">
        <v>816.41</v>
      </c>
      <c r="I2266" s="2" t="s">
        <v>28</v>
      </c>
      <c r="J2266" s="2" t="s">
        <v>6672</v>
      </c>
      <c r="K2266" s="2" t="s">
        <v>101</v>
      </c>
      <c r="L2266" s="2" t="s">
        <v>153</v>
      </c>
      <c r="M2266" s="2"/>
    </row>
    <row r="2267" customFormat="false" ht="15" hidden="false" customHeight="false" outlineLevel="0" collapsed="false">
      <c r="A2267" s="2" t="s">
        <v>6673</v>
      </c>
      <c r="B2267" s="2" t="s">
        <v>440</v>
      </c>
      <c r="C2267" s="2" t="s">
        <v>441</v>
      </c>
      <c r="D2267" s="13" t="n">
        <v>45567.3305555556</v>
      </c>
      <c r="E2267" s="2" t="s">
        <v>35</v>
      </c>
      <c r="F2267" s="2" t="s">
        <v>29</v>
      </c>
      <c r="G2267" s="2" t="n">
        <v>8148.8</v>
      </c>
      <c r="H2267" s="2" t="n">
        <v>41.15</v>
      </c>
      <c r="I2267" s="2" t="s">
        <v>26</v>
      </c>
      <c r="J2267" s="2" t="s">
        <v>6674</v>
      </c>
      <c r="K2267" s="2" t="s">
        <v>101</v>
      </c>
      <c r="L2267" s="2" t="s">
        <v>158</v>
      </c>
      <c r="M2267" s="2"/>
    </row>
    <row r="2268" customFormat="false" ht="15" hidden="false" customHeight="false" outlineLevel="0" collapsed="false">
      <c r="A2268" s="2" t="s">
        <v>6675</v>
      </c>
      <c r="B2268" s="2" t="s">
        <v>4330</v>
      </c>
      <c r="C2268" s="2" t="s">
        <v>4331</v>
      </c>
      <c r="D2268" s="13" t="n">
        <v>45619.8958333333</v>
      </c>
      <c r="E2268" s="2" t="s">
        <v>39</v>
      </c>
      <c r="F2268" s="2" t="s">
        <v>31</v>
      </c>
      <c r="G2268" s="2" t="n">
        <v>4491.1</v>
      </c>
      <c r="H2268" s="2" t="n">
        <v>37.07</v>
      </c>
      <c r="I2268" s="2" t="s">
        <v>30</v>
      </c>
      <c r="J2268" s="2" t="s">
        <v>6676</v>
      </c>
      <c r="K2268" s="2" t="s">
        <v>89</v>
      </c>
      <c r="L2268" s="2" t="s">
        <v>1456</v>
      </c>
      <c r="M2268" s="2"/>
    </row>
    <row r="2269" customFormat="false" ht="15" hidden="false" customHeight="false" outlineLevel="0" collapsed="false">
      <c r="A2269" s="2" t="s">
        <v>6677</v>
      </c>
      <c r="B2269" s="2" t="s">
        <v>3748</v>
      </c>
      <c r="C2269" s="2" t="s">
        <v>3749</v>
      </c>
      <c r="D2269" s="13" t="n">
        <v>45668.7819444445</v>
      </c>
      <c r="E2269" s="2" t="s">
        <v>41</v>
      </c>
      <c r="F2269" s="2" t="s">
        <v>29</v>
      </c>
      <c r="G2269" s="2" t="n">
        <v>2958.79</v>
      </c>
      <c r="H2269" s="2" t="n">
        <v>11.47</v>
      </c>
      <c r="I2269" s="2" t="s">
        <v>28</v>
      </c>
      <c r="J2269" s="2" t="s">
        <v>6678</v>
      </c>
      <c r="K2269" s="2" t="s">
        <v>95</v>
      </c>
      <c r="L2269" s="2" t="s">
        <v>168</v>
      </c>
      <c r="M2269" s="2"/>
    </row>
    <row r="2270" customFormat="false" ht="15" hidden="false" customHeight="false" outlineLevel="0" collapsed="false">
      <c r="A2270" s="2" t="s">
        <v>6679</v>
      </c>
      <c r="B2270" s="2" t="s">
        <v>2056</v>
      </c>
      <c r="C2270" s="2" t="s">
        <v>2057</v>
      </c>
      <c r="D2270" s="13" t="n">
        <v>45307.4423611111</v>
      </c>
      <c r="E2270" s="2" t="s">
        <v>39</v>
      </c>
      <c r="F2270" s="2" t="s">
        <v>27</v>
      </c>
      <c r="G2270" s="2" t="n">
        <v>6812.18</v>
      </c>
      <c r="H2270" s="2" t="n">
        <v>57.03</v>
      </c>
      <c r="I2270" s="2" t="s">
        <v>26</v>
      </c>
      <c r="J2270" s="2" t="s">
        <v>6680</v>
      </c>
      <c r="K2270" s="2" t="s">
        <v>89</v>
      </c>
      <c r="L2270" s="2"/>
      <c r="M2270" s="2" t="s">
        <v>1645</v>
      </c>
    </row>
    <row r="2271" customFormat="false" ht="15" hidden="false" customHeight="false" outlineLevel="0" collapsed="false">
      <c r="A2271" s="2" t="s">
        <v>6681</v>
      </c>
      <c r="B2271" s="2" t="s">
        <v>586</v>
      </c>
      <c r="C2271" s="2" t="s">
        <v>587</v>
      </c>
      <c r="D2271" s="13" t="n">
        <v>45627.6013888889</v>
      </c>
      <c r="E2271" s="2" t="s">
        <v>37</v>
      </c>
      <c r="F2271" s="2" t="s">
        <v>32</v>
      </c>
      <c r="G2271" s="2" t="n">
        <v>732.52</v>
      </c>
      <c r="H2271" s="2" t="n">
        <v>5.38</v>
      </c>
      <c r="I2271" s="2" t="s">
        <v>26</v>
      </c>
      <c r="J2271" s="2" t="s">
        <v>6682</v>
      </c>
      <c r="K2271" s="2" t="s">
        <v>95</v>
      </c>
      <c r="L2271" s="2" t="s">
        <v>178</v>
      </c>
      <c r="M2271" s="2"/>
    </row>
    <row r="2272" customFormat="false" ht="15" hidden="false" customHeight="false" outlineLevel="0" collapsed="false">
      <c r="A2272" s="2" t="s">
        <v>6683</v>
      </c>
      <c r="B2272" s="2" t="s">
        <v>2306</v>
      </c>
      <c r="C2272" s="2" t="s">
        <v>2307</v>
      </c>
      <c r="D2272" s="13" t="n">
        <v>45520.5659722222</v>
      </c>
      <c r="E2272" s="2" t="s">
        <v>37</v>
      </c>
      <c r="F2272" s="2" t="s">
        <v>27</v>
      </c>
      <c r="G2272" s="2" t="n">
        <v>25683.56</v>
      </c>
      <c r="H2272" s="2" t="n">
        <v>153.08</v>
      </c>
      <c r="I2272" s="2" t="s">
        <v>26</v>
      </c>
      <c r="J2272" s="2" t="s">
        <v>6684</v>
      </c>
      <c r="K2272" s="2" t="s">
        <v>122</v>
      </c>
      <c r="L2272" s="2"/>
      <c r="M2272" s="2" t="s">
        <v>1282</v>
      </c>
    </row>
    <row r="2273" customFormat="false" ht="15" hidden="false" customHeight="false" outlineLevel="0" collapsed="false">
      <c r="A2273" s="2" t="s">
        <v>6685</v>
      </c>
      <c r="B2273" s="2" t="s">
        <v>2551</v>
      </c>
      <c r="C2273" s="2" t="s">
        <v>2552</v>
      </c>
      <c r="D2273" s="13" t="n">
        <v>45309.5701388889</v>
      </c>
      <c r="E2273" s="2" t="s">
        <v>41</v>
      </c>
      <c r="F2273" s="2" t="s">
        <v>27</v>
      </c>
      <c r="G2273" s="2" t="n">
        <v>3509.38</v>
      </c>
      <c r="H2273" s="2" t="n">
        <v>15.8</v>
      </c>
      <c r="I2273" s="2" t="s">
        <v>26</v>
      </c>
      <c r="J2273" s="2" t="s">
        <v>6686</v>
      </c>
      <c r="K2273" s="2" t="s">
        <v>122</v>
      </c>
      <c r="L2273" s="2"/>
      <c r="M2273" s="2" t="s">
        <v>1287</v>
      </c>
    </row>
    <row r="2274" customFormat="false" ht="15" hidden="false" customHeight="false" outlineLevel="0" collapsed="false">
      <c r="A2274" s="2" t="s">
        <v>6687</v>
      </c>
      <c r="B2274" s="2" t="s">
        <v>2539</v>
      </c>
      <c r="C2274" s="2" t="s">
        <v>2540</v>
      </c>
      <c r="D2274" s="13" t="n">
        <v>45292.9027777778</v>
      </c>
      <c r="E2274" s="2" t="s">
        <v>37</v>
      </c>
      <c r="F2274" s="2" t="s">
        <v>29</v>
      </c>
      <c r="G2274" s="2" t="n">
        <v>635.05</v>
      </c>
      <c r="H2274" s="2" t="n">
        <v>5</v>
      </c>
      <c r="I2274" s="2" t="s">
        <v>26</v>
      </c>
      <c r="J2274" s="2" t="s">
        <v>6688</v>
      </c>
      <c r="K2274" s="2" t="s">
        <v>101</v>
      </c>
      <c r="L2274" s="2" t="s">
        <v>193</v>
      </c>
      <c r="M2274" s="2"/>
    </row>
    <row r="2275" customFormat="false" ht="15" hidden="false" customHeight="false" outlineLevel="0" collapsed="false">
      <c r="A2275" s="2" t="s">
        <v>6689</v>
      </c>
      <c r="B2275" s="2" t="s">
        <v>3130</v>
      </c>
      <c r="C2275" s="2" t="s">
        <v>3131</v>
      </c>
      <c r="D2275" s="13" t="n">
        <v>45490.8548611111</v>
      </c>
      <c r="E2275" s="2" t="s">
        <v>37</v>
      </c>
      <c r="F2275" s="2" t="s">
        <v>32</v>
      </c>
      <c r="G2275" s="2" t="n">
        <v>3810.38</v>
      </c>
      <c r="H2275" s="2" t="n">
        <v>22.52</v>
      </c>
      <c r="I2275" s="2" t="s">
        <v>28</v>
      </c>
      <c r="J2275" s="2" t="s">
        <v>6690</v>
      </c>
      <c r="K2275" s="2" t="s">
        <v>95</v>
      </c>
      <c r="L2275" s="2" t="s">
        <v>1482</v>
      </c>
      <c r="M2275" s="2"/>
    </row>
    <row r="2276" customFormat="false" ht="15" hidden="false" customHeight="false" outlineLevel="0" collapsed="false">
      <c r="A2276" s="2" t="s">
        <v>6691</v>
      </c>
      <c r="B2276" s="2" t="s">
        <v>2371</v>
      </c>
      <c r="C2276" s="2" t="s">
        <v>2372</v>
      </c>
      <c r="D2276" s="13" t="n">
        <v>45693.6569444445</v>
      </c>
      <c r="E2276" s="2" t="s">
        <v>35</v>
      </c>
      <c r="F2276" s="2" t="s">
        <v>29</v>
      </c>
      <c r="G2276" s="2" t="n">
        <v>6040.11</v>
      </c>
      <c r="H2276" s="2" t="n">
        <v>56.94</v>
      </c>
      <c r="I2276" s="2" t="s">
        <v>26</v>
      </c>
      <c r="J2276" s="2" t="s">
        <v>6692</v>
      </c>
      <c r="K2276" s="2" t="s">
        <v>122</v>
      </c>
      <c r="L2276" s="2" t="s">
        <v>891</v>
      </c>
      <c r="M2276" s="2"/>
    </row>
    <row r="2277" customFormat="false" ht="15" hidden="false" customHeight="false" outlineLevel="0" collapsed="false">
      <c r="A2277" s="2" t="s">
        <v>6693</v>
      </c>
      <c r="B2277" s="2" t="s">
        <v>960</v>
      </c>
      <c r="C2277" s="2" t="s">
        <v>961</v>
      </c>
      <c r="D2277" s="13" t="n">
        <v>45538.3666666667</v>
      </c>
      <c r="E2277" s="2" t="s">
        <v>35</v>
      </c>
      <c r="F2277" s="2" t="s">
        <v>32</v>
      </c>
      <c r="G2277" s="2" t="n">
        <v>3499.57</v>
      </c>
      <c r="H2277" s="2" t="n">
        <v>36.74</v>
      </c>
      <c r="I2277" s="2" t="s">
        <v>26</v>
      </c>
      <c r="J2277" s="2" t="s">
        <v>6694</v>
      </c>
      <c r="K2277" s="2" t="s">
        <v>95</v>
      </c>
      <c r="L2277" s="2" t="s">
        <v>208</v>
      </c>
      <c r="M2277" s="2"/>
    </row>
    <row r="2278" customFormat="false" ht="15" hidden="false" customHeight="false" outlineLevel="0" collapsed="false">
      <c r="A2278" s="2" t="s">
        <v>6695</v>
      </c>
      <c r="B2278" s="2" t="s">
        <v>1437</v>
      </c>
      <c r="C2278" s="2" t="s">
        <v>1438</v>
      </c>
      <c r="D2278" s="13" t="n">
        <v>45895.51875</v>
      </c>
      <c r="E2278" s="2" t="s">
        <v>37</v>
      </c>
      <c r="F2278" s="2" t="s">
        <v>31</v>
      </c>
      <c r="G2278" s="2" t="n">
        <v>10963.36</v>
      </c>
      <c r="H2278" s="2" t="n">
        <v>56.6</v>
      </c>
      <c r="I2278" s="2" t="s">
        <v>30</v>
      </c>
      <c r="J2278" s="2" t="s">
        <v>6696</v>
      </c>
      <c r="K2278" s="2" t="s">
        <v>89</v>
      </c>
      <c r="L2278" s="2" t="s">
        <v>213</v>
      </c>
      <c r="M2278" s="2"/>
    </row>
    <row r="2279" customFormat="false" ht="15" hidden="false" customHeight="false" outlineLevel="0" collapsed="false">
      <c r="A2279" s="2" t="s">
        <v>6697</v>
      </c>
      <c r="B2279" s="2" t="s">
        <v>1234</v>
      </c>
      <c r="C2279" s="2" t="s">
        <v>1235</v>
      </c>
      <c r="D2279" s="13" t="n">
        <v>45627.3465277778</v>
      </c>
      <c r="E2279" s="2" t="s">
        <v>37</v>
      </c>
      <c r="F2279" s="2" t="s">
        <v>31</v>
      </c>
      <c r="G2279" s="2" t="n">
        <v>2689.73</v>
      </c>
      <c r="H2279" s="2" t="n">
        <v>13.87</v>
      </c>
      <c r="I2279" s="2" t="s">
        <v>26</v>
      </c>
      <c r="J2279" s="2" t="s">
        <v>6698</v>
      </c>
      <c r="K2279" s="2" t="s">
        <v>89</v>
      </c>
      <c r="L2279" s="2" t="s">
        <v>218</v>
      </c>
      <c r="M2279" s="2"/>
    </row>
    <row r="2280" customFormat="false" ht="15" hidden="false" customHeight="false" outlineLevel="0" collapsed="false">
      <c r="A2280" s="2" t="s">
        <v>6699</v>
      </c>
      <c r="B2280" s="2" t="s">
        <v>6066</v>
      </c>
      <c r="C2280" s="2" t="s">
        <v>6067</v>
      </c>
      <c r="D2280" s="13" t="n">
        <v>45885.3722222222</v>
      </c>
      <c r="E2280" s="2" t="s">
        <v>35</v>
      </c>
      <c r="F2280" s="2" t="s">
        <v>29</v>
      </c>
      <c r="G2280" s="2" t="n">
        <v>15185.68</v>
      </c>
      <c r="H2280" s="2" t="n">
        <v>109.19</v>
      </c>
      <c r="I2280" s="2" t="s">
        <v>26</v>
      </c>
      <c r="J2280" s="2" t="s">
        <v>6700</v>
      </c>
      <c r="K2280" s="2" t="s">
        <v>122</v>
      </c>
      <c r="L2280" s="2" t="s">
        <v>1504</v>
      </c>
      <c r="M2280" s="2"/>
    </row>
    <row r="2281" customFormat="false" ht="15" hidden="false" customHeight="false" outlineLevel="0" collapsed="false">
      <c r="A2281" s="2" t="s">
        <v>6701</v>
      </c>
      <c r="B2281" s="2" t="s">
        <v>4384</v>
      </c>
      <c r="C2281" s="2" t="s">
        <v>4385</v>
      </c>
      <c r="D2281" s="13" t="n">
        <v>46018.6111111111</v>
      </c>
      <c r="E2281" s="2" t="s">
        <v>37</v>
      </c>
      <c r="F2281" s="2" t="s">
        <v>32</v>
      </c>
      <c r="G2281" s="2" t="n">
        <v>2100.19</v>
      </c>
      <c r="H2281" s="2" t="n">
        <v>9.33</v>
      </c>
      <c r="I2281" s="2" t="s">
        <v>28</v>
      </c>
      <c r="J2281" s="2" t="s">
        <v>6702</v>
      </c>
      <c r="K2281" s="2" t="s">
        <v>89</v>
      </c>
      <c r="L2281" s="2" t="s">
        <v>911</v>
      </c>
      <c r="M2281" s="2"/>
    </row>
    <row r="2282" customFormat="false" ht="15" hidden="false" customHeight="false" outlineLevel="0" collapsed="false">
      <c r="A2282" s="2" t="s">
        <v>6703</v>
      </c>
      <c r="B2282" s="2" t="s">
        <v>6704</v>
      </c>
      <c r="C2282" s="2" t="s">
        <v>6705</v>
      </c>
      <c r="D2282" s="13" t="n">
        <v>45910.6291666667</v>
      </c>
      <c r="E2282" s="2" t="s">
        <v>43</v>
      </c>
      <c r="F2282" s="2" t="s">
        <v>27</v>
      </c>
      <c r="G2282" s="2" t="n">
        <v>1253.64</v>
      </c>
      <c r="H2282" s="2" t="n">
        <v>6.49</v>
      </c>
      <c r="I2282" s="2" t="s">
        <v>26</v>
      </c>
      <c r="J2282" s="2" t="s">
        <v>6706</v>
      </c>
      <c r="K2282" s="2" t="s">
        <v>89</v>
      </c>
      <c r="L2282" s="2"/>
      <c r="M2282" s="2" t="s">
        <v>2044</v>
      </c>
    </row>
    <row r="2283" customFormat="false" ht="15" hidden="false" customHeight="false" outlineLevel="0" collapsed="false">
      <c r="A2283" s="2" t="s">
        <v>6707</v>
      </c>
      <c r="B2283" s="2" t="s">
        <v>3730</v>
      </c>
      <c r="C2283" s="2" t="s">
        <v>3731</v>
      </c>
      <c r="D2283" s="13" t="n">
        <v>45516.4625</v>
      </c>
      <c r="E2283" s="2" t="s">
        <v>41</v>
      </c>
      <c r="F2283" s="2" t="s">
        <v>29</v>
      </c>
      <c r="G2283" s="2" t="n">
        <v>4426.96</v>
      </c>
      <c r="H2283" s="2" t="n">
        <v>43.96</v>
      </c>
      <c r="I2283" s="2" t="s">
        <v>30</v>
      </c>
      <c r="J2283" s="2" t="s">
        <v>6708</v>
      </c>
      <c r="K2283" s="2" t="s">
        <v>89</v>
      </c>
      <c r="L2283" s="2" t="s">
        <v>1513</v>
      </c>
      <c r="M2283" s="2"/>
    </row>
    <row r="2284" customFormat="false" ht="15" hidden="false" customHeight="false" outlineLevel="0" collapsed="false">
      <c r="A2284" s="2" t="s">
        <v>6709</v>
      </c>
      <c r="B2284" s="2" t="s">
        <v>3400</v>
      </c>
      <c r="C2284" s="2" t="s">
        <v>3401</v>
      </c>
      <c r="D2284" s="13" t="n">
        <v>45380.3416666667</v>
      </c>
      <c r="E2284" s="2" t="s">
        <v>39</v>
      </c>
      <c r="F2284" s="2" t="s">
        <v>29</v>
      </c>
      <c r="G2284" s="2" t="n">
        <v>12086.38</v>
      </c>
      <c r="H2284" s="2" t="n">
        <v>128.09</v>
      </c>
      <c r="I2284" s="2" t="s">
        <v>26</v>
      </c>
      <c r="J2284" s="2" t="s">
        <v>6710</v>
      </c>
      <c r="K2284" s="2" t="s">
        <v>101</v>
      </c>
      <c r="L2284" s="2" t="s">
        <v>243</v>
      </c>
      <c r="M2284" s="2"/>
    </row>
    <row r="2285" customFormat="false" ht="15" hidden="false" customHeight="false" outlineLevel="0" collapsed="false">
      <c r="A2285" s="2" t="s">
        <v>6711</v>
      </c>
      <c r="B2285" s="2" t="s">
        <v>435</v>
      </c>
      <c r="C2285" s="2" t="s">
        <v>436</v>
      </c>
      <c r="D2285" s="13" t="n">
        <v>45477.7333333333</v>
      </c>
      <c r="E2285" s="2" t="s">
        <v>39</v>
      </c>
      <c r="F2285" s="2" t="s">
        <v>32</v>
      </c>
      <c r="G2285" s="2" t="n">
        <v>3179.26</v>
      </c>
      <c r="H2285" s="2" t="n">
        <v>32.44</v>
      </c>
      <c r="I2285" s="2" t="s">
        <v>26</v>
      </c>
      <c r="J2285" s="2" t="s">
        <v>6712</v>
      </c>
      <c r="K2285" s="2" t="s">
        <v>95</v>
      </c>
      <c r="L2285" s="2" t="s">
        <v>248</v>
      </c>
      <c r="M2285" s="2"/>
    </row>
    <row r="2286" customFormat="false" ht="15" hidden="false" customHeight="false" outlineLevel="0" collapsed="false">
      <c r="A2286" s="2" t="s">
        <v>6713</v>
      </c>
      <c r="B2286" s="2" t="s">
        <v>3980</v>
      </c>
      <c r="C2286" s="2" t="s">
        <v>3981</v>
      </c>
      <c r="D2286" s="13" t="n">
        <v>45847.9048611111</v>
      </c>
      <c r="E2286" s="2" t="s">
        <v>39</v>
      </c>
      <c r="F2286" s="2" t="s">
        <v>27</v>
      </c>
      <c r="G2286" s="2" t="n">
        <v>3095.88</v>
      </c>
      <c r="H2286" s="2" t="n">
        <v>32.59</v>
      </c>
      <c r="I2286" s="2" t="s">
        <v>26</v>
      </c>
      <c r="J2286" s="2" t="s">
        <v>6714</v>
      </c>
      <c r="K2286" s="2" t="s">
        <v>101</v>
      </c>
      <c r="L2286" s="2"/>
      <c r="M2286" s="2" t="s">
        <v>1703</v>
      </c>
    </row>
    <row r="2287" customFormat="false" ht="15" hidden="false" customHeight="false" outlineLevel="0" collapsed="false">
      <c r="A2287" s="2" t="s">
        <v>6715</v>
      </c>
      <c r="B2287" s="2" t="s">
        <v>6716</v>
      </c>
      <c r="C2287" s="2" t="s">
        <v>6717</v>
      </c>
      <c r="D2287" s="13" t="n">
        <v>45364.5756944444</v>
      </c>
      <c r="E2287" s="2" t="s">
        <v>43</v>
      </c>
      <c r="F2287" s="2" t="s">
        <v>27</v>
      </c>
      <c r="G2287" s="2" t="n">
        <v>12281.97</v>
      </c>
      <c r="H2287" s="2" t="n">
        <v>104.11</v>
      </c>
      <c r="I2287" s="2" t="s">
        <v>28</v>
      </c>
      <c r="J2287" s="2" t="s">
        <v>6718</v>
      </c>
      <c r="K2287" s="2" t="s">
        <v>95</v>
      </c>
      <c r="L2287" s="2"/>
      <c r="M2287" s="2" t="s">
        <v>2706</v>
      </c>
    </row>
    <row r="2288" customFormat="false" ht="15" hidden="false" customHeight="false" outlineLevel="0" collapsed="false">
      <c r="A2288" s="2" t="s">
        <v>6719</v>
      </c>
      <c r="B2288" s="2" t="s">
        <v>3269</v>
      </c>
      <c r="C2288" s="2" t="s">
        <v>3270</v>
      </c>
      <c r="D2288" s="13" t="n">
        <v>45764.6791666667</v>
      </c>
      <c r="E2288" s="2" t="s">
        <v>39</v>
      </c>
      <c r="F2288" s="2" t="s">
        <v>32</v>
      </c>
      <c r="G2288" s="2" t="n">
        <v>9272.94</v>
      </c>
      <c r="H2288" s="2" t="n">
        <v>20.53</v>
      </c>
      <c r="I2288" s="2" t="s">
        <v>26</v>
      </c>
      <c r="J2288" s="2" t="s">
        <v>6720</v>
      </c>
      <c r="K2288" s="2" t="s">
        <v>95</v>
      </c>
      <c r="L2288" s="2" t="s">
        <v>940</v>
      </c>
      <c r="M2288" s="2"/>
    </row>
    <row r="2289" customFormat="false" ht="15" hidden="false" customHeight="false" outlineLevel="0" collapsed="false">
      <c r="A2289" s="2" t="s">
        <v>6721</v>
      </c>
      <c r="B2289" s="2" t="s">
        <v>1738</v>
      </c>
      <c r="C2289" s="2" t="s">
        <v>1739</v>
      </c>
      <c r="D2289" s="13" t="n">
        <v>45999.5694444445</v>
      </c>
      <c r="E2289" s="2" t="s">
        <v>39</v>
      </c>
      <c r="F2289" s="2" t="s">
        <v>32</v>
      </c>
      <c r="G2289" s="2" t="n">
        <v>7868.02</v>
      </c>
      <c r="H2289" s="2" t="n">
        <v>50.96</v>
      </c>
      <c r="I2289" s="2" t="s">
        <v>26</v>
      </c>
      <c r="J2289" s="2" t="s">
        <v>6722</v>
      </c>
      <c r="K2289" s="2" t="s">
        <v>122</v>
      </c>
      <c r="L2289" s="2" t="s">
        <v>945</v>
      </c>
      <c r="M2289" s="2"/>
    </row>
    <row r="2290" customFormat="false" ht="15" hidden="false" customHeight="false" outlineLevel="0" collapsed="false">
      <c r="A2290" s="2" t="s">
        <v>6723</v>
      </c>
      <c r="B2290" s="2" t="s">
        <v>1730</v>
      </c>
      <c r="C2290" s="2" t="s">
        <v>1731</v>
      </c>
      <c r="D2290" s="13" t="n">
        <v>45814.5388888889</v>
      </c>
      <c r="E2290" s="2" t="s">
        <v>39</v>
      </c>
      <c r="F2290" s="2" t="s">
        <v>32</v>
      </c>
      <c r="G2290" s="2" t="n">
        <v>21739.84</v>
      </c>
      <c r="H2290" s="2" t="n">
        <v>163.25</v>
      </c>
      <c r="I2290" s="2" t="s">
        <v>26</v>
      </c>
      <c r="J2290" s="2" t="s">
        <v>6724</v>
      </c>
      <c r="K2290" s="2" t="s">
        <v>89</v>
      </c>
      <c r="L2290" s="2" t="s">
        <v>1538</v>
      </c>
      <c r="M2290" s="2"/>
    </row>
    <row r="2291" customFormat="false" ht="15" hidden="false" customHeight="false" outlineLevel="0" collapsed="false">
      <c r="A2291" s="2" t="s">
        <v>6725</v>
      </c>
      <c r="B2291" s="2" t="s">
        <v>735</v>
      </c>
      <c r="C2291" s="2" t="s">
        <v>736</v>
      </c>
      <c r="D2291" s="13" t="n">
        <v>45773.8354166667</v>
      </c>
      <c r="E2291" s="2" t="s">
        <v>37</v>
      </c>
      <c r="F2291" s="2" t="s">
        <v>27</v>
      </c>
      <c r="G2291" s="2" t="n">
        <v>815.76</v>
      </c>
      <c r="H2291" s="2" t="n">
        <v>5</v>
      </c>
      <c r="I2291" s="2" t="s">
        <v>26</v>
      </c>
      <c r="J2291" s="2" t="s">
        <v>6726</v>
      </c>
      <c r="K2291" s="2" t="s">
        <v>95</v>
      </c>
      <c r="L2291" s="2"/>
      <c r="M2291" s="2" t="s">
        <v>528</v>
      </c>
    </row>
    <row r="2292" customFormat="false" ht="15" hidden="false" customHeight="false" outlineLevel="0" collapsed="false">
      <c r="A2292" s="2" t="s">
        <v>6727</v>
      </c>
      <c r="B2292" s="2" t="s">
        <v>1926</v>
      </c>
      <c r="C2292" s="2" t="s">
        <v>1927</v>
      </c>
      <c r="D2292" s="13" t="n">
        <v>45972.4916666667</v>
      </c>
      <c r="E2292" s="2" t="s">
        <v>37</v>
      </c>
      <c r="F2292" s="2" t="s">
        <v>29</v>
      </c>
      <c r="G2292" s="2" t="n">
        <v>18807.79</v>
      </c>
      <c r="H2292" s="2" t="n">
        <v>222.41</v>
      </c>
      <c r="I2292" s="2" t="s">
        <v>26</v>
      </c>
      <c r="J2292" s="2" t="s">
        <v>6728</v>
      </c>
      <c r="K2292" s="2" t="s">
        <v>101</v>
      </c>
      <c r="L2292" s="2" t="s">
        <v>283</v>
      </c>
      <c r="M2292" s="2"/>
    </row>
    <row r="2293" customFormat="false" ht="15" hidden="false" customHeight="false" outlineLevel="0" collapsed="false">
      <c r="A2293" s="2" t="s">
        <v>6729</v>
      </c>
      <c r="B2293" s="2" t="s">
        <v>6730</v>
      </c>
      <c r="C2293" s="2" t="s">
        <v>6731</v>
      </c>
      <c r="D2293" s="13" t="n">
        <v>45658.5104166667</v>
      </c>
      <c r="E2293" s="2" t="s">
        <v>37</v>
      </c>
      <c r="F2293" s="2" t="s">
        <v>31</v>
      </c>
      <c r="G2293" s="2" t="n">
        <v>3206.17</v>
      </c>
      <c r="H2293" s="2" t="n">
        <v>22.08</v>
      </c>
      <c r="I2293" s="2" t="s">
        <v>28</v>
      </c>
      <c r="J2293" s="2" t="s">
        <v>6732</v>
      </c>
      <c r="K2293" s="2" t="s">
        <v>95</v>
      </c>
      <c r="L2293" s="2" t="s">
        <v>963</v>
      </c>
      <c r="M2293" s="2"/>
    </row>
    <row r="2294" customFormat="false" ht="15" hidden="false" customHeight="false" outlineLevel="0" collapsed="false">
      <c r="A2294" s="2" t="s">
        <v>6733</v>
      </c>
      <c r="B2294" s="2" t="s">
        <v>390</v>
      </c>
      <c r="C2294" s="2" t="s">
        <v>391</v>
      </c>
      <c r="D2294" s="13" t="n">
        <v>45903.9458333333</v>
      </c>
      <c r="E2294" s="2" t="s">
        <v>37</v>
      </c>
      <c r="F2294" s="2" t="s">
        <v>31</v>
      </c>
      <c r="G2294" s="2" t="n">
        <v>13130.83</v>
      </c>
      <c r="H2294" s="2" t="n">
        <v>71.12</v>
      </c>
      <c r="I2294" s="2" t="s">
        <v>26</v>
      </c>
      <c r="J2294" s="2" t="s">
        <v>6734</v>
      </c>
      <c r="K2294" s="2" t="s">
        <v>122</v>
      </c>
      <c r="L2294" s="2" t="s">
        <v>293</v>
      </c>
      <c r="M2294" s="2"/>
    </row>
    <row r="2295" customFormat="false" ht="15" hidden="false" customHeight="false" outlineLevel="0" collapsed="false">
      <c r="A2295" s="2" t="s">
        <v>6735</v>
      </c>
      <c r="B2295" s="2" t="s">
        <v>6736</v>
      </c>
      <c r="C2295" s="2" t="s">
        <v>6737</v>
      </c>
      <c r="D2295" s="13" t="n">
        <v>45882.8541666667</v>
      </c>
      <c r="E2295" s="2" t="s">
        <v>35</v>
      </c>
      <c r="F2295" s="2" t="s">
        <v>27</v>
      </c>
      <c r="G2295" s="2" t="n">
        <v>2263.02</v>
      </c>
      <c r="H2295" s="2" t="n">
        <v>21.85</v>
      </c>
      <c r="I2295" s="2" t="s">
        <v>30</v>
      </c>
      <c r="J2295" s="2" t="s">
        <v>6738</v>
      </c>
      <c r="K2295" s="2" t="s">
        <v>101</v>
      </c>
      <c r="L2295" s="2"/>
      <c r="M2295" s="2" t="s">
        <v>546</v>
      </c>
    </row>
    <row r="2296" customFormat="false" ht="15" hidden="false" customHeight="false" outlineLevel="0" collapsed="false">
      <c r="A2296" s="2" t="s">
        <v>6739</v>
      </c>
      <c r="B2296" s="2" t="s">
        <v>6740</v>
      </c>
      <c r="C2296" s="2" t="s">
        <v>6741</v>
      </c>
      <c r="D2296" s="13" t="n">
        <v>45596.4958333333</v>
      </c>
      <c r="E2296" s="2" t="s">
        <v>43</v>
      </c>
      <c r="F2296" s="2" t="s">
        <v>31</v>
      </c>
      <c r="G2296" s="2" t="n">
        <v>1359.98</v>
      </c>
      <c r="H2296" s="2" t="n">
        <v>11.62</v>
      </c>
      <c r="I2296" s="2" t="s">
        <v>30</v>
      </c>
      <c r="J2296" s="2" t="s">
        <v>6742</v>
      </c>
      <c r="K2296" s="2" t="s">
        <v>89</v>
      </c>
      <c r="L2296" s="2"/>
      <c r="M2296" s="2" t="s">
        <v>551</v>
      </c>
    </row>
    <row r="2297" customFormat="false" ht="15" hidden="false" customHeight="false" outlineLevel="0" collapsed="false">
      <c r="A2297" s="2" t="s">
        <v>6743</v>
      </c>
      <c r="B2297" s="2" t="s">
        <v>3360</v>
      </c>
      <c r="C2297" s="2" t="s">
        <v>3361</v>
      </c>
      <c r="D2297" s="13" t="n">
        <v>45825.7541666667</v>
      </c>
      <c r="E2297" s="2" t="s">
        <v>37</v>
      </c>
      <c r="F2297" s="2" t="s">
        <v>27</v>
      </c>
      <c r="G2297" s="2" t="n">
        <v>6640.2</v>
      </c>
      <c r="H2297" s="2" t="n">
        <v>20.73</v>
      </c>
      <c r="I2297" s="2" t="s">
        <v>26</v>
      </c>
      <c r="J2297" s="2" t="s">
        <v>6744</v>
      </c>
      <c r="K2297" s="2" t="s">
        <v>95</v>
      </c>
      <c r="L2297" s="2"/>
      <c r="M2297" s="2" t="s">
        <v>981</v>
      </c>
    </row>
    <row r="2298" customFormat="false" ht="15" hidden="false" customHeight="false" outlineLevel="0" collapsed="false">
      <c r="A2298" s="2" t="s">
        <v>6745</v>
      </c>
      <c r="B2298" s="2" t="s">
        <v>1332</v>
      </c>
      <c r="C2298" s="2" t="s">
        <v>1333</v>
      </c>
      <c r="D2298" s="13" t="n">
        <v>45644.3888888889</v>
      </c>
      <c r="E2298" s="2" t="s">
        <v>39</v>
      </c>
      <c r="F2298" s="2" t="s">
        <v>29</v>
      </c>
      <c r="G2298" s="2" t="n">
        <v>3654.26</v>
      </c>
      <c r="H2298" s="2" t="n">
        <v>22.67</v>
      </c>
      <c r="I2298" s="2" t="s">
        <v>26</v>
      </c>
      <c r="J2298" s="2" t="s">
        <v>6746</v>
      </c>
      <c r="K2298" s="2" t="s">
        <v>122</v>
      </c>
      <c r="L2298" s="2" t="s">
        <v>986</v>
      </c>
      <c r="M2298" s="2"/>
    </row>
    <row r="2299" customFormat="false" ht="15" hidden="false" customHeight="false" outlineLevel="0" collapsed="false">
      <c r="A2299" s="2" t="s">
        <v>6747</v>
      </c>
      <c r="B2299" s="2" t="s">
        <v>6748</v>
      </c>
      <c r="C2299" s="2" t="s">
        <v>6749</v>
      </c>
      <c r="D2299" s="13" t="n">
        <v>45836.3180555556</v>
      </c>
      <c r="E2299" s="2" t="s">
        <v>39</v>
      </c>
      <c r="F2299" s="2" t="s">
        <v>32</v>
      </c>
      <c r="G2299" s="2" t="n">
        <v>4694.97</v>
      </c>
      <c r="H2299" s="2" t="n">
        <v>19.23</v>
      </c>
      <c r="I2299" s="2" t="s">
        <v>26</v>
      </c>
      <c r="J2299" s="2" t="s">
        <v>6750</v>
      </c>
      <c r="K2299" s="2" t="s">
        <v>122</v>
      </c>
      <c r="L2299" s="2" t="s">
        <v>318</v>
      </c>
      <c r="M2299" s="2"/>
    </row>
    <row r="2300" customFormat="false" ht="15" hidden="false" customHeight="false" outlineLevel="0" collapsed="false">
      <c r="A2300" s="2" t="s">
        <v>6751</v>
      </c>
      <c r="B2300" s="2" t="s">
        <v>3652</v>
      </c>
      <c r="C2300" s="2" t="s">
        <v>3653</v>
      </c>
      <c r="D2300" s="13" t="n">
        <v>46011.3409722222</v>
      </c>
      <c r="E2300" s="2" t="s">
        <v>39</v>
      </c>
      <c r="F2300" s="2" t="s">
        <v>32</v>
      </c>
      <c r="G2300" s="2" t="n">
        <v>7742.39</v>
      </c>
      <c r="H2300" s="2" t="n">
        <v>89.28</v>
      </c>
      <c r="I2300" s="2" t="s">
        <v>30</v>
      </c>
      <c r="J2300" s="2" t="s">
        <v>6752</v>
      </c>
      <c r="K2300" s="2" t="s">
        <v>101</v>
      </c>
      <c r="L2300" s="2" t="s">
        <v>995</v>
      </c>
      <c r="M2300" s="2"/>
    </row>
    <row r="2301" customFormat="false" ht="15" hidden="false" customHeight="false" outlineLevel="0" collapsed="false">
      <c r="A2301" s="2" t="s">
        <v>6753</v>
      </c>
      <c r="B2301" s="2" t="s">
        <v>960</v>
      </c>
      <c r="C2301" s="2" t="s">
        <v>961</v>
      </c>
      <c r="D2301" s="13" t="n">
        <v>45644.8</v>
      </c>
      <c r="E2301" s="2" t="s">
        <v>43</v>
      </c>
      <c r="F2301" s="2" t="s">
        <v>32</v>
      </c>
      <c r="G2301" s="2" t="n">
        <v>36771.43</v>
      </c>
      <c r="H2301" s="2" t="n">
        <v>359.41</v>
      </c>
      <c r="I2301" s="2" t="s">
        <v>26</v>
      </c>
      <c r="J2301" s="2" t="s">
        <v>6754</v>
      </c>
      <c r="K2301" s="2" t="s">
        <v>101</v>
      </c>
      <c r="L2301" s="2"/>
      <c r="M2301" s="2" t="s">
        <v>576</v>
      </c>
    </row>
    <row r="2302" customFormat="false" ht="15" hidden="false" customHeight="false" outlineLevel="0" collapsed="false">
      <c r="A2302" s="2" t="s">
        <v>6755</v>
      </c>
      <c r="B2302" s="2" t="s">
        <v>2976</v>
      </c>
      <c r="C2302" s="2" t="s">
        <v>2977</v>
      </c>
      <c r="D2302" s="13" t="n">
        <v>45660.4701388889</v>
      </c>
      <c r="E2302" s="2" t="s">
        <v>35</v>
      </c>
      <c r="F2302" s="2" t="s">
        <v>29</v>
      </c>
      <c r="G2302" s="2" t="n">
        <v>9350.45</v>
      </c>
      <c r="H2302" s="2" t="n">
        <v>50.4</v>
      </c>
      <c r="I2302" s="2" t="s">
        <v>30</v>
      </c>
      <c r="J2302" s="2" t="s">
        <v>6756</v>
      </c>
      <c r="K2302" s="2" t="s">
        <v>122</v>
      </c>
      <c r="L2302" s="2" t="s">
        <v>333</v>
      </c>
      <c r="M2302" s="2"/>
    </row>
    <row r="2303" customFormat="false" ht="15" hidden="false" customHeight="false" outlineLevel="0" collapsed="false">
      <c r="A2303" s="2" t="s">
        <v>6757</v>
      </c>
      <c r="B2303" s="2" t="s">
        <v>797</v>
      </c>
      <c r="C2303" s="2" t="s">
        <v>798</v>
      </c>
      <c r="D2303" s="13" t="n">
        <v>45835.4756944445</v>
      </c>
      <c r="E2303" s="2" t="s">
        <v>41</v>
      </c>
      <c r="F2303" s="2" t="s">
        <v>32</v>
      </c>
      <c r="G2303" s="2" t="n">
        <v>1265.1</v>
      </c>
      <c r="H2303" s="2" t="n">
        <v>12.95</v>
      </c>
      <c r="I2303" s="2" t="s">
        <v>26</v>
      </c>
      <c r="J2303" s="2" t="s">
        <v>6758</v>
      </c>
      <c r="K2303" s="2" t="s">
        <v>95</v>
      </c>
      <c r="L2303" s="2" t="s">
        <v>338</v>
      </c>
      <c r="M2303" s="2"/>
    </row>
    <row r="2304" customFormat="false" ht="15" hidden="false" customHeight="false" outlineLevel="0" collapsed="false">
      <c r="A2304" s="2" t="s">
        <v>6759</v>
      </c>
      <c r="B2304" s="2" t="s">
        <v>4592</v>
      </c>
      <c r="C2304" s="2" t="s">
        <v>4593</v>
      </c>
      <c r="D2304" s="13" t="n">
        <v>45382.7965277778</v>
      </c>
      <c r="E2304" s="2" t="s">
        <v>41</v>
      </c>
      <c r="F2304" s="2" t="s">
        <v>27</v>
      </c>
      <c r="G2304" s="2" t="n">
        <v>12349.92</v>
      </c>
      <c r="H2304" s="2" t="n">
        <v>72.83</v>
      </c>
      <c r="I2304" s="2" t="s">
        <v>28</v>
      </c>
      <c r="J2304" s="2" t="s">
        <v>6760</v>
      </c>
      <c r="K2304" s="2" t="s">
        <v>122</v>
      </c>
      <c r="L2304" s="2"/>
      <c r="M2304" s="2" t="s">
        <v>2435</v>
      </c>
    </row>
    <row r="2305" customFormat="false" ht="15" hidden="false" customHeight="false" outlineLevel="0" collapsed="false">
      <c r="A2305" s="2" t="s">
        <v>6761</v>
      </c>
      <c r="B2305" s="2" t="s">
        <v>2591</v>
      </c>
      <c r="C2305" s="2" t="s">
        <v>2592</v>
      </c>
      <c r="D2305" s="13" t="n">
        <v>45548.9347222222</v>
      </c>
      <c r="E2305" s="2" t="s">
        <v>41</v>
      </c>
      <c r="F2305" s="2" t="s">
        <v>27</v>
      </c>
      <c r="G2305" s="2" t="n">
        <v>6419.99</v>
      </c>
      <c r="H2305" s="2" t="n">
        <v>70.12</v>
      </c>
      <c r="I2305" s="2" t="s">
        <v>26</v>
      </c>
      <c r="J2305" s="2" t="s">
        <v>6762</v>
      </c>
      <c r="K2305" s="2" t="s">
        <v>95</v>
      </c>
      <c r="L2305" s="2"/>
      <c r="M2305" s="2" t="s">
        <v>594</v>
      </c>
    </row>
    <row r="2306" customFormat="false" ht="15" hidden="false" customHeight="false" outlineLevel="0" collapsed="false">
      <c r="A2306" s="2" t="s">
        <v>6763</v>
      </c>
      <c r="B2306" s="2" t="s">
        <v>475</v>
      </c>
      <c r="C2306" s="2" t="s">
        <v>476</v>
      </c>
      <c r="D2306" s="13" t="n">
        <v>45861.7784722222</v>
      </c>
      <c r="E2306" s="2" t="s">
        <v>37</v>
      </c>
      <c r="F2306" s="2" t="s">
        <v>31</v>
      </c>
      <c r="G2306" s="2" t="n">
        <v>23895.22</v>
      </c>
      <c r="H2306" s="2" t="n">
        <v>213.88</v>
      </c>
      <c r="I2306" s="2" t="s">
        <v>28</v>
      </c>
      <c r="J2306" s="2" t="s">
        <v>6764</v>
      </c>
      <c r="K2306" s="2" t="s">
        <v>95</v>
      </c>
      <c r="L2306" s="2" t="s">
        <v>353</v>
      </c>
      <c r="M2306" s="2"/>
    </row>
    <row r="2307" customFormat="false" ht="15" hidden="false" customHeight="false" outlineLevel="0" collapsed="false">
      <c r="A2307" s="2" t="s">
        <v>6765</v>
      </c>
      <c r="B2307" s="2" t="s">
        <v>2437</v>
      </c>
      <c r="C2307" s="2" t="s">
        <v>2438</v>
      </c>
      <c r="D2307" s="13" t="n">
        <v>45417.4659722222</v>
      </c>
      <c r="E2307" s="2" t="s">
        <v>39</v>
      </c>
      <c r="F2307" s="2" t="s">
        <v>27</v>
      </c>
      <c r="G2307" s="2" t="n">
        <v>6015.6</v>
      </c>
      <c r="H2307" s="2" t="n">
        <v>57.37</v>
      </c>
      <c r="I2307" s="2" t="s">
        <v>26</v>
      </c>
      <c r="J2307" s="2" t="s">
        <v>6766</v>
      </c>
      <c r="K2307" s="2" t="s">
        <v>101</v>
      </c>
      <c r="L2307" s="2"/>
      <c r="M2307" s="2" t="s">
        <v>1778</v>
      </c>
    </row>
    <row r="2308" customFormat="false" ht="15" hidden="false" customHeight="false" outlineLevel="0" collapsed="false">
      <c r="A2308" s="2" t="s">
        <v>6767</v>
      </c>
      <c r="B2308" s="2" t="s">
        <v>1792</v>
      </c>
      <c r="C2308" s="2" t="s">
        <v>1793</v>
      </c>
      <c r="D2308" s="13" t="n">
        <v>45993.6631944445</v>
      </c>
      <c r="E2308" s="2" t="s">
        <v>43</v>
      </c>
      <c r="F2308" s="2" t="s">
        <v>32</v>
      </c>
      <c r="G2308" s="2" t="n">
        <v>2797.63</v>
      </c>
      <c r="H2308" s="2" t="n">
        <v>13.38</v>
      </c>
      <c r="I2308" s="2" t="s">
        <v>26</v>
      </c>
      <c r="J2308" s="2" t="s">
        <v>6768</v>
      </c>
      <c r="K2308" s="2" t="s">
        <v>95</v>
      </c>
      <c r="L2308" s="2"/>
      <c r="M2308" s="2" t="s">
        <v>1023</v>
      </c>
    </row>
    <row r="2309" customFormat="false" ht="15" hidden="false" customHeight="false" outlineLevel="0" collapsed="false">
      <c r="A2309" s="2" t="s">
        <v>6769</v>
      </c>
      <c r="B2309" s="2" t="s">
        <v>6770</v>
      </c>
      <c r="C2309" s="2" t="s">
        <v>6771</v>
      </c>
      <c r="D2309" s="13" t="n">
        <v>45559.29375</v>
      </c>
      <c r="E2309" s="2" t="s">
        <v>41</v>
      </c>
      <c r="F2309" s="2" t="s">
        <v>32</v>
      </c>
      <c r="G2309" s="2" t="n">
        <v>11228.98</v>
      </c>
      <c r="H2309" s="2" t="n">
        <v>47.68</v>
      </c>
      <c r="I2309" s="2" t="s">
        <v>28</v>
      </c>
      <c r="J2309" s="2" t="s">
        <v>6772</v>
      </c>
      <c r="K2309" s="2" t="s">
        <v>95</v>
      </c>
      <c r="L2309" s="2" t="s">
        <v>368</v>
      </c>
      <c r="M2309" s="2"/>
    </row>
    <row r="2310" customFormat="false" ht="15" hidden="false" customHeight="false" outlineLevel="0" collapsed="false">
      <c r="A2310" s="2" t="s">
        <v>6773</v>
      </c>
      <c r="B2310" s="2" t="s">
        <v>4410</v>
      </c>
      <c r="C2310" s="2" t="s">
        <v>4411</v>
      </c>
      <c r="D2310" s="13" t="n">
        <v>45778.5555555556</v>
      </c>
      <c r="E2310" s="2" t="s">
        <v>37</v>
      </c>
      <c r="F2310" s="2" t="s">
        <v>27</v>
      </c>
      <c r="G2310" s="2" t="n">
        <v>37498.24</v>
      </c>
      <c r="H2310" s="2" t="n">
        <v>78.4</v>
      </c>
      <c r="I2310" s="2" t="s">
        <v>26</v>
      </c>
      <c r="J2310" s="2" t="s">
        <v>6774</v>
      </c>
      <c r="K2310" s="2" t="s">
        <v>122</v>
      </c>
      <c r="L2310" s="2"/>
      <c r="M2310" s="2" t="s">
        <v>617</v>
      </c>
    </row>
    <row r="2311" customFormat="false" ht="15" hidden="false" customHeight="false" outlineLevel="0" collapsed="false">
      <c r="A2311" s="2" t="s">
        <v>6775</v>
      </c>
      <c r="B2311" s="2" t="s">
        <v>933</v>
      </c>
      <c r="C2311" s="2" t="s">
        <v>934</v>
      </c>
      <c r="D2311" s="13" t="n">
        <v>45728.8618055556</v>
      </c>
      <c r="E2311" s="2" t="s">
        <v>35</v>
      </c>
      <c r="F2311" s="2" t="s">
        <v>31</v>
      </c>
      <c r="G2311" s="2" t="n">
        <v>1866.02</v>
      </c>
      <c r="H2311" s="2" t="n">
        <v>18.28</v>
      </c>
      <c r="I2311" s="2" t="s">
        <v>28</v>
      </c>
      <c r="J2311" s="2" t="s">
        <v>6776</v>
      </c>
      <c r="K2311" s="2" t="s">
        <v>122</v>
      </c>
      <c r="L2311" s="2" t="s">
        <v>1034</v>
      </c>
      <c r="M2311" s="2"/>
    </row>
    <row r="2312" customFormat="false" ht="15" hidden="false" customHeight="false" outlineLevel="0" collapsed="false">
      <c r="A2312" s="2" t="s">
        <v>6777</v>
      </c>
      <c r="B2312" s="2" t="s">
        <v>3026</v>
      </c>
      <c r="C2312" s="2" t="s">
        <v>3027</v>
      </c>
      <c r="D2312" s="13" t="n">
        <v>45844.8736111111</v>
      </c>
      <c r="E2312" s="2" t="s">
        <v>41</v>
      </c>
      <c r="F2312" s="2" t="s">
        <v>29</v>
      </c>
      <c r="G2312" s="2" t="n">
        <v>4452.69</v>
      </c>
      <c r="H2312" s="2" t="n">
        <v>51.67</v>
      </c>
      <c r="I2312" s="2" t="s">
        <v>26</v>
      </c>
      <c r="J2312" s="2" t="s">
        <v>6778</v>
      </c>
      <c r="K2312" s="2" t="s">
        <v>122</v>
      </c>
      <c r="L2312" s="2" t="s">
        <v>1039</v>
      </c>
      <c r="M2312" s="2"/>
    </row>
    <row r="2313" customFormat="false" ht="15" hidden="false" customHeight="false" outlineLevel="0" collapsed="false">
      <c r="A2313" s="2" t="s">
        <v>6779</v>
      </c>
      <c r="B2313" s="2" t="s">
        <v>5878</v>
      </c>
      <c r="C2313" s="2" t="s">
        <v>5879</v>
      </c>
      <c r="D2313" s="13" t="n">
        <v>45993.5090277778</v>
      </c>
      <c r="E2313" s="2" t="s">
        <v>35</v>
      </c>
      <c r="F2313" s="2" t="s">
        <v>27</v>
      </c>
      <c r="G2313" s="2" t="n">
        <v>2633.84</v>
      </c>
      <c r="H2313" s="2" t="n">
        <v>18.98</v>
      </c>
      <c r="I2313" s="2" t="s">
        <v>26</v>
      </c>
      <c r="J2313" s="2" t="s">
        <v>6780</v>
      </c>
      <c r="K2313" s="2" t="s">
        <v>95</v>
      </c>
      <c r="L2313" s="2"/>
      <c r="M2313" s="2" t="s">
        <v>144</v>
      </c>
    </row>
    <row r="2314" customFormat="false" ht="15" hidden="false" customHeight="false" outlineLevel="0" collapsed="false">
      <c r="A2314" s="2" t="s">
        <v>6781</v>
      </c>
      <c r="B2314" s="2" t="s">
        <v>3834</v>
      </c>
      <c r="C2314" s="2" t="s">
        <v>3835</v>
      </c>
      <c r="D2314" s="13" t="n">
        <v>45506.3923611111</v>
      </c>
      <c r="E2314" s="2" t="s">
        <v>41</v>
      </c>
      <c r="F2314" s="2" t="s">
        <v>27</v>
      </c>
      <c r="G2314" s="2" t="n">
        <v>4682.27</v>
      </c>
      <c r="H2314" s="2" t="n">
        <v>14.19</v>
      </c>
      <c r="I2314" s="2" t="s">
        <v>26</v>
      </c>
      <c r="J2314" s="2" t="s">
        <v>6782</v>
      </c>
      <c r="K2314" s="2" t="s">
        <v>89</v>
      </c>
      <c r="L2314" s="2"/>
      <c r="M2314" s="2" t="s">
        <v>1806</v>
      </c>
    </row>
    <row r="2315" customFormat="false" ht="15" hidden="false" customHeight="false" outlineLevel="0" collapsed="false">
      <c r="A2315" s="2" t="s">
        <v>6783</v>
      </c>
      <c r="B2315" s="2" t="s">
        <v>6784</v>
      </c>
      <c r="C2315" s="2" t="s">
        <v>6785</v>
      </c>
      <c r="D2315" s="13" t="n">
        <v>45504.8048611111</v>
      </c>
      <c r="E2315" s="2" t="s">
        <v>37</v>
      </c>
      <c r="F2315" s="2" t="s">
        <v>29</v>
      </c>
      <c r="G2315" s="2" t="n">
        <v>5912.46</v>
      </c>
      <c r="H2315" s="2" t="n">
        <v>59.71</v>
      </c>
      <c r="I2315" s="2" t="s">
        <v>28</v>
      </c>
      <c r="J2315" s="2" t="s">
        <v>6786</v>
      </c>
      <c r="K2315" s="2" t="s">
        <v>89</v>
      </c>
      <c r="L2315" s="2" t="s">
        <v>1628</v>
      </c>
      <c r="M2315" s="2"/>
    </row>
    <row r="2316" customFormat="false" ht="15" hidden="false" customHeight="false" outlineLevel="0" collapsed="false">
      <c r="A2316" s="2" t="s">
        <v>6787</v>
      </c>
      <c r="B2316" s="2" t="s">
        <v>3168</v>
      </c>
      <c r="C2316" s="2" t="s">
        <v>3169</v>
      </c>
      <c r="D2316" s="13" t="n">
        <v>45384.86875</v>
      </c>
      <c r="E2316" s="2" t="s">
        <v>39</v>
      </c>
      <c r="F2316" s="2" t="s">
        <v>32</v>
      </c>
      <c r="G2316" s="2" t="n">
        <v>5627.43</v>
      </c>
      <c r="H2316" s="2" t="n">
        <v>67.37</v>
      </c>
      <c r="I2316" s="2" t="s">
        <v>26</v>
      </c>
      <c r="J2316" s="2" t="s">
        <v>6788</v>
      </c>
      <c r="K2316" s="2" t="s">
        <v>89</v>
      </c>
      <c r="L2316" s="2" t="s">
        <v>403</v>
      </c>
      <c r="M2316" s="2"/>
    </row>
    <row r="2317" customFormat="false" ht="15" hidden="false" customHeight="false" outlineLevel="0" collapsed="false">
      <c r="A2317" s="2" t="s">
        <v>6789</v>
      </c>
      <c r="B2317" s="2" t="s">
        <v>6790</v>
      </c>
      <c r="C2317" s="2" t="s">
        <v>6791</v>
      </c>
      <c r="D2317" s="13" t="n">
        <v>45998.4333333333</v>
      </c>
      <c r="E2317" s="2" t="s">
        <v>41</v>
      </c>
      <c r="F2317" s="2" t="s">
        <v>29</v>
      </c>
      <c r="G2317" s="2" t="n">
        <v>2096.34</v>
      </c>
      <c r="H2317" s="2" t="n">
        <v>13.24</v>
      </c>
      <c r="I2317" s="2" t="s">
        <v>26</v>
      </c>
      <c r="J2317" s="2" t="s">
        <v>6792</v>
      </c>
      <c r="K2317" s="2" t="s">
        <v>101</v>
      </c>
      <c r="L2317" s="2" t="s">
        <v>408</v>
      </c>
      <c r="M2317" s="2"/>
    </row>
    <row r="2318" customFormat="false" ht="15" hidden="false" customHeight="false" outlineLevel="0" collapsed="false">
      <c r="A2318" s="2" t="s">
        <v>6793</v>
      </c>
      <c r="B2318" s="2" t="s">
        <v>5388</v>
      </c>
      <c r="C2318" s="2" t="s">
        <v>5389</v>
      </c>
      <c r="D2318" s="13" t="n">
        <v>45366.7</v>
      </c>
      <c r="E2318" s="2" t="s">
        <v>37</v>
      </c>
      <c r="F2318" s="2" t="s">
        <v>32</v>
      </c>
      <c r="G2318" s="2" t="n">
        <v>1601.94</v>
      </c>
      <c r="H2318" s="2" t="n">
        <v>16.88</v>
      </c>
      <c r="I2318" s="2" t="s">
        <v>26</v>
      </c>
      <c r="J2318" s="2" t="s">
        <v>6794</v>
      </c>
      <c r="K2318" s="2" t="s">
        <v>101</v>
      </c>
      <c r="L2318" s="2" t="s">
        <v>413</v>
      </c>
      <c r="M2318" s="2"/>
    </row>
    <row r="2319" customFormat="false" ht="15" hidden="false" customHeight="false" outlineLevel="0" collapsed="false">
      <c r="A2319" s="2" t="s">
        <v>6795</v>
      </c>
      <c r="B2319" s="2" t="s">
        <v>2371</v>
      </c>
      <c r="C2319" s="2" t="s">
        <v>2372</v>
      </c>
      <c r="D2319" s="13" t="n">
        <v>45398.3138888889</v>
      </c>
      <c r="E2319" s="2" t="s">
        <v>37</v>
      </c>
      <c r="F2319" s="2" t="s">
        <v>31</v>
      </c>
      <c r="G2319" s="2" t="n">
        <v>2293.29</v>
      </c>
      <c r="H2319" s="2" t="n">
        <v>5.42</v>
      </c>
      <c r="I2319" s="2" t="s">
        <v>30</v>
      </c>
      <c r="J2319" s="2" t="s">
        <v>6796</v>
      </c>
      <c r="K2319" s="2" t="s">
        <v>89</v>
      </c>
      <c r="L2319" s="2" t="s">
        <v>418</v>
      </c>
      <c r="M2319" s="2"/>
    </row>
    <row r="2320" customFormat="false" ht="15" hidden="false" customHeight="false" outlineLevel="0" collapsed="false">
      <c r="A2320" s="2" t="s">
        <v>6797</v>
      </c>
      <c r="B2320" s="2" t="s">
        <v>614</v>
      </c>
      <c r="C2320" s="2" t="s">
        <v>615</v>
      </c>
      <c r="D2320" s="13" t="n">
        <v>45690.3041666667</v>
      </c>
      <c r="E2320" s="2" t="s">
        <v>35</v>
      </c>
      <c r="F2320" s="2" t="s">
        <v>29</v>
      </c>
      <c r="G2320" s="2" t="n">
        <v>3492.15</v>
      </c>
      <c r="H2320" s="2" t="n">
        <v>10.61</v>
      </c>
      <c r="I2320" s="2" t="s">
        <v>26</v>
      </c>
      <c r="J2320" s="2" t="s">
        <v>6798</v>
      </c>
      <c r="K2320" s="2" t="s">
        <v>89</v>
      </c>
      <c r="L2320" s="2" t="s">
        <v>423</v>
      </c>
      <c r="M2320" s="2"/>
    </row>
    <row r="2321" customFormat="false" ht="15" hidden="false" customHeight="false" outlineLevel="0" collapsed="false">
      <c r="A2321" s="2" t="s">
        <v>6799</v>
      </c>
      <c r="B2321" s="2" t="s">
        <v>2135</v>
      </c>
      <c r="C2321" s="2" t="s">
        <v>2136</v>
      </c>
      <c r="D2321" s="13" t="n">
        <v>45680.4979166667</v>
      </c>
      <c r="E2321" s="2" t="s">
        <v>37</v>
      </c>
      <c r="F2321" s="2" t="s">
        <v>27</v>
      </c>
      <c r="G2321" s="2" t="n">
        <v>2843.31</v>
      </c>
      <c r="H2321" s="2" t="n">
        <v>6.37</v>
      </c>
      <c r="I2321" s="2" t="s">
        <v>28</v>
      </c>
      <c r="J2321" s="2" t="s">
        <v>6800</v>
      </c>
      <c r="K2321" s="2" t="s">
        <v>101</v>
      </c>
      <c r="L2321" s="2"/>
      <c r="M2321" s="2" t="s">
        <v>667</v>
      </c>
    </row>
    <row r="2322" customFormat="false" ht="15" hidden="false" customHeight="false" outlineLevel="0" collapsed="false">
      <c r="A2322" s="2" t="s">
        <v>6801</v>
      </c>
      <c r="B2322" s="2" t="s">
        <v>563</v>
      </c>
      <c r="C2322" s="2" t="s">
        <v>564</v>
      </c>
      <c r="D2322" s="13" t="n">
        <v>45773.6208333333</v>
      </c>
      <c r="E2322" s="2" t="s">
        <v>35</v>
      </c>
      <c r="F2322" s="2" t="s">
        <v>32</v>
      </c>
      <c r="G2322" s="2" t="n">
        <v>3546.92</v>
      </c>
      <c r="H2322" s="2" t="n">
        <v>13.4</v>
      </c>
      <c r="I2322" s="2" t="s">
        <v>26</v>
      </c>
      <c r="J2322" s="2" t="s">
        <v>6802</v>
      </c>
      <c r="K2322" s="2" t="s">
        <v>95</v>
      </c>
      <c r="L2322" s="2" t="s">
        <v>433</v>
      </c>
      <c r="M2322" s="2"/>
    </row>
    <row r="2323" customFormat="false" ht="15" hidden="false" customHeight="false" outlineLevel="0" collapsed="false">
      <c r="A2323" s="2" t="s">
        <v>6803</v>
      </c>
      <c r="B2323" s="2" t="s">
        <v>1756</v>
      </c>
      <c r="C2323" s="2" t="s">
        <v>1757</v>
      </c>
      <c r="D2323" s="13" t="n">
        <v>45564.6625</v>
      </c>
      <c r="E2323" s="2" t="s">
        <v>39</v>
      </c>
      <c r="F2323" s="2" t="s">
        <v>27</v>
      </c>
      <c r="G2323" s="2" t="n">
        <v>11702.16</v>
      </c>
      <c r="H2323" s="2" t="n">
        <v>117.05</v>
      </c>
      <c r="I2323" s="2" t="s">
        <v>26</v>
      </c>
      <c r="J2323" s="2" t="s">
        <v>6804</v>
      </c>
      <c r="K2323" s="2" t="s">
        <v>101</v>
      </c>
      <c r="L2323" s="2"/>
      <c r="M2323" s="2" t="s">
        <v>1084</v>
      </c>
    </row>
    <row r="2324" customFormat="false" ht="15" hidden="false" customHeight="false" outlineLevel="0" collapsed="false">
      <c r="A2324" s="2" t="s">
        <v>6805</v>
      </c>
      <c r="B2324" s="2" t="s">
        <v>548</v>
      </c>
      <c r="C2324" s="2" t="s">
        <v>549</v>
      </c>
      <c r="D2324" s="13" t="n">
        <v>45464.6125</v>
      </c>
      <c r="E2324" s="2" t="s">
        <v>37</v>
      </c>
      <c r="F2324" s="2" t="s">
        <v>27</v>
      </c>
      <c r="G2324" s="2" t="n">
        <v>10384.31</v>
      </c>
      <c r="H2324" s="2" t="n">
        <v>108.05</v>
      </c>
      <c r="I2324" s="2" t="s">
        <v>26</v>
      </c>
      <c r="J2324" s="2" t="s">
        <v>6806</v>
      </c>
      <c r="K2324" s="2" t="s">
        <v>101</v>
      </c>
      <c r="L2324" s="2"/>
      <c r="M2324" s="2" t="s">
        <v>1477</v>
      </c>
    </row>
    <row r="2325" customFormat="false" ht="15" hidden="false" customHeight="false" outlineLevel="0" collapsed="false">
      <c r="A2325" s="2" t="s">
        <v>6807</v>
      </c>
      <c r="B2325" s="2" t="s">
        <v>1341</v>
      </c>
      <c r="C2325" s="2" t="s">
        <v>1342</v>
      </c>
      <c r="D2325" s="13" t="n">
        <v>45639.6243055556</v>
      </c>
      <c r="E2325" s="2" t="s">
        <v>39</v>
      </c>
      <c r="F2325" s="2" t="s">
        <v>29</v>
      </c>
      <c r="G2325" s="2" t="n">
        <v>2219.98</v>
      </c>
      <c r="H2325" s="2" t="n">
        <v>7.15</v>
      </c>
      <c r="I2325" s="2" t="s">
        <v>26</v>
      </c>
      <c r="J2325" s="2" t="s">
        <v>6808</v>
      </c>
      <c r="K2325" s="2" t="s">
        <v>101</v>
      </c>
      <c r="L2325" s="2" t="s">
        <v>2186</v>
      </c>
      <c r="M2325" s="2"/>
    </row>
    <row r="2326" customFormat="false" ht="15" hidden="false" customHeight="false" outlineLevel="0" collapsed="false">
      <c r="A2326" s="2" t="s">
        <v>6809</v>
      </c>
      <c r="B2326" s="2" t="s">
        <v>3896</v>
      </c>
      <c r="C2326" s="2" t="s">
        <v>3897</v>
      </c>
      <c r="D2326" s="13" t="n">
        <v>45553.3819444445</v>
      </c>
      <c r="E2326" s="2" t="s">
        <v>41</v>
      </c>
      <c r="F2326" s="2" t="s">
        <v>29</v>
      </c>
      <c r="G2326" s="2" t="n">
        <v>6895.5</v>
      </c>
      <c r="H2326" s="2" t="n">
        <v>51.88</v>
      </c>
      <c r="I2326" s="2" t="s">
        <v>28</v>
      </c>
      <c r="J2326" s="2" t="s">
        <v>6810</v>
      </c>
      <c r="K2326" s="2" t="s">
        <v>95</v>
      </c>
      <c r="L2326" s="2" t="s">
        <v>453</v>
      </c>
      <c r="M2326" s="2"/>
    </row>
    <row r="2327" customFormat="false" ht="15" hidden="false" customHeight="false" outlineLevel="0" collapsed="false">
      <c r="A2327" s="2" t="s">
        <v>6811</v>
      </c>
      <c r="B2327" s="2" t="s">
        <v>6812</v>
      </c>
      <c r="C2327" s="2" t="s">
        <v>6813</v>
      </c>
      <c r="D2327" s="13" t="n">
        <v>45297.5222222222</v>
      </c>
      <c r="E2327" s="2" t="s">
        <v>35</v>
      </c>
      <c r="F2327" s="2" t="s">
        <v>32</v>
      </c>
      <c r="G2327" s="2" t="n">
        <v>1320.01</v>
      </c>
      <c r="H2327" s="2" t="n">
        <v>13.99</v>
      </c>
      <c r="I2327" s="2" t="s">
        <v>26</v>
      </c>
      <c r="J2327" s="2" t="s">
        <v>6814</v>
      </c>
      <c r="K2327" s="2" t="s">
        <v>122</v>
      </c>
      <c r="L2327" s="2" t="s">
        <v>458</v>
      </c>
      <c r="M2327" s="2"/>
    </row>
    <row r="2328" customFormat="false" ht="15" hidden="false" customHeight="false" outlineLevel="0" collapsed="false">
      <c r="A2328" s="2" t="s">
        <v>6815</v>
      </c>
      <c r="B2328" s="2" t="s">
        <v>1692</v>
      </c>
      <c r="C2328" s="2" t="s">
        <v>1693</v>
      </c>
      <c r="D2328" s="13" t="n">
        <v>45693.2965277778</v>
      </c>
      <c r="E2328" s="2" t="s">
        <v>35</v>
      </c>
      <c r="F2328" s="2" t="s">
        <v>31</v>
      </c>
      <c r="G2328" s="2" t="n">
        <v>5017.73</v>
      </c>
      <c r="H2328" s="2" t="n">
        <v>58.45</v>
      </c>
      <c r="I2328" s="2" t="s">
        <v>26</v>
      </c>
      <c r="J2328" s="2" t="s">
        <v>6816</v>
      </c>
      <c r="K2328" s="2" t="s">
        <v>95</v>
      </c>
      <c r="L2328" s="2" t="s">
        <v>1105</v>
      </c>
      <c r="M2328" s="2"/>
    </row>
    <row r="2329" customFormat="false" ht="15" hidden="false" customHeight="false" outlineLevel="0" collapsed="false">
      <c r="A2329" s="2" t="s">
        <v>6817</v>
      </c>
      <c r="B2329" s="2" t="s">
        <v>609</v>
      </c>
      <c r="C2329" s="2" t="s">
        <v>610</v>
      </c>
      <c r="D2329" s="13" t="n">
        <v>45431.6576388889</v>
      </c>
      <c r="E2329" s="2" t="s">
        <v>41</v>
      </c>
      <c r="F2329" s="2" t="s">
        <v>29</v>
      </c>
      <c r="G2329" s="2" t="n">
        <v>10333.59</v>
      </c>
      <c r="H2329" s="2" t="n">
        <v>26.27</v>
      </c>
      <c r="I2329" s="2" t="s">
        <v>26</v>
      </c>
      <c r="J2329" s="2" t="s">
        <v>6818</v>
      </c>
      <c r="K2329" s="2" t="s">
        <v>95</v>
      </c>
      <c r="L2329" s="2" t="s">
        <v>468</v>
      </c>
      <c r="M2329" s="2"/>
    </row>
    <row r="2330" customFormat="false" ht="15" hidden="false" customHeight="false" outlineLevel="0" collapsed="false">
      <c r="A2330" s="2" t="s">
        <v>6819</v>
      </c>
      <c r="B2330" s="2" t="s">
        <v>280</v>
      </c>
      <c r="C2330" s="2" t="s">
        <v>281</v>
      </c>
      <c r="D2330" s="13" t="n">
        <v>45548.8277777778</v>
      </c>
      <c r="E2330" s="2" t="s">
        <v>39</v>
      </c>
      <c r="F2330" s="2" t="s">
        <v>32</v>
      </c>
      <c r="G2330" s="2" t="n">
        <v>4975.58</v>
      </c>
      <c r="H2330" s="2" t="n">
        <v>23.97</v>
      </c>
      <c r="I2330" s="2" t="s">
        <v>26</v>
      </c>
      <c r="J2330" s="2" t="s">
        <v>6820</v>
      </c>
      <c r="K2330" s="2" t="s">
        <v>122</v>
      </c>
      <c r="L2330" s="2" t="s">
        <v>473</v>
      </c>
      <c r="M2330" s="2"/>
    </row>
    <row r="2331" customFormat="false" ht="15" hidden="false" customHeight="false" outlineLevel="0" collapsed="false">
      <c r="A2331" s="2" t="s">
        <v>6821</v>
      </c>
      <c r="B2331" s="2" t="s">
        <v>3188</v>
      </c>
      <c r="C2331" s="2" t="s">
        <v>3189</v>
      </c>
      <c r="D2331" s="13" t="n">
        <v>45555.5680555556</v>
      </c>
      <c r="E2331" s="2" t="s">
        <v>43</v>
      </c>
      <c r="F2331" s="2" t="s">
        <v>29</v>
      </c>
      <c r="G2331" s="2" t="n">
        <v>4897.14</v>
      </c>
      <c r="H2331" s="2" t="n">
        <v>51.08</v>
      </c>
      <c r="I2331" s="2" t="s">
        <v>30</v>
      </c>
      <c r="J2331" s="2" t="s">
        <v>6822</v>
      </c>
      <c r="K2331" s="2" t="s">
        <v>89</v>
      </c>
      <c r="L2331" s="2"/>
      <c r="M2331" s="2" t="s">
        <v>228</v>
      </c>
    </row>
    <row r="2332" customFormat="false" ht="15" hidden="false" customHeight="false" outlineLevel="0" collapsed="false">
      <c r="A2332" s="2" t="s">
        <v>6823</v>
      </c>
      <c r="B2332" s="2" t="s">
        <v>4758</v>
      </c>
      <c r="C2332" s="2" t="s">
        <v>4759</v>
      </c>
      <c r="D2332" s="13" t="n">
        <v>45522.3145833333</v>
      </c>
      <c r="E2332" s="2" t="s">
        <v>43</v>
      </c>
      <c r="F2332" s="2" t="s">
        <v>27</v>
      </c>
      <c r="G2332" s="2" t="n">
        <v>3277.68</v>
      </c>
      <c r="H2332" s="2" t="n">
        <v>9.7</v>
      </c>
      <c r="I2332" s="2" t="s">
        <v>30</v>
      </c>
      <c r="J2332" s="2" t="s">
        <v>6824</v>
      </c>
      <c r="K2332" s="2" t="s">
        <v>95</v>
      </c>
      <c r="L2332" s="2"/>
      <c r="M2332" s="2" t="s">
        <v>233</v>
      </c>
    </row>
    <row r="2333" customFormat="false" ht="15" hidden="false" customHeight="false" outlineLevel="0" collapsed="false">
      <c r="A2333" s="2" t="s">
        <v>6825</v>
      </c>
      <c r="B2333" s="2" t="s">
        <v>5696</v>
      </c>
      <c r="C2333" s="2" t="s">
        <v>5697</v>
      </c>
      <c r="D2333" s="13" t="n">
        <v>45423.3555555556</v>
      </c>
      <c r="E2333" s="2" t="s">
        <v>39</v>
      </c>
      <c r="F2333" s="2" t="s">
        <v>29</v>
      </c>
      <c r="G2333" s="2" t="n">
        <v>1227.65</v>
      </c>
      <c r="H2333" s="2" t="n">
        <v>12.95</v>
      </c>
      <c r="I2333" s="2" t="s">
        <v>28</v>
      </c>
      <c r="J2333" s="2" t="s">
        <v>6826</v>
      </c>
      <c r="K2333" s="2" t="s">
        <v>89</v>
      </c>
      <c r="L2333" s="2" t="s">
        <v>488</v>
      </c>
      <c r="M2333" s="2"/>
    </row>
    <row r="2334" customFormat="false" ht="15" hidden="false" customHeight="false" outlineLevel="0" collapsed="false">
      <c r="A2334" s="2" t="s">
        <v>6827</v>
      </c>
      <c r="B2334" s="2" t="s">
        <v>1577</v>
      </c>
      <c r="C2334" s="2" t="s">
        <v>1578</v>
      </c>
      <c r="D2334" s="13" t="n">
        <v>45614.4409722222</v>
      </c>
      <c r="E2334" s="2" t="s">
        <v>39</v>
      </c>
      <c r="F2334" s="2" t="s">
        <v>31</v>
      </c>
      <c r="G2334" s="2" t="n">
        <v>1780.73</v>
      </c>
      <c r="H2334" s="2" t="n">
        <v>12.26</v>
      </c>
      <c r="I2334" s="2" t="s">
        <v>28</v>
      </c>
      <c r="J2334" s="2" t="s">
        <v>6828</v>
      </c>
      <c r="K2334" s="2" t="s">
        <v>89</v>
      </c>
      <c r="L2334" s="2" t="s">
        <v>1122</v>
      </c>
      <c r="M2334" s="2"/>
    </row>
    <row r="2335" customFormat="false" ht="15" hidden="false" customHeight="false" outlineLevel="0" collapsed="false">
      <c r="A2335" s="2" t="s">
        <v>6829</v>
      </c>
      <c r="B2335" s="2" t="s">
        <v>2539</v>
      </c>
      <c r="C2335" s="2" t="s">
        <v>2540</v>
      </c>
      <c r="D2335" s="13" t="n">
        <v>45551.6777777778</v>
      </c>
      <c r="E2335" s="2" t="s">
        <v>39</v>
      </c>
      <c r="F2335" s="2" t="s">
        <v>27</v>
      </c>
      <c r="G2335" s="2" t="n">
        <v>3416.6</v>
      </c>
      <c r="H2335" s="2" t="n">
        <v>26.24</v>
      </c>
      <c r="I2335" s="2" t="s">
        <v>26</v>
      </c>
      <c r="J2335" s="2" t="s">
        <v>6830</v>
      </c>
      <c r="K2335" s="2" t="s">
        <v>122</v>
      </c>
      <c r="L2335" s="2"/>
      <c r="M2335" s="2" t="s">
        <v>723</v>
      </c>
    </row>
    <row r="2336" customFormat="false" ht="15" hidden="false" customHeight="false" outlineLevel="0" collapsed="false">
      <c r="A2336" s="2" t="s">
        <v>6831</v>
      </c>
      <c r="B2336" s="2" t="s">
        <v>1866</v>
      </c>
      <c r="C2336" s="2" t="s">
        <v>1867</v>
      </c>
      <c r="D2336" s="13" t="n">
        <v>45549.2923611111</v>
      </c>
      <c r="E2336" s="2" t="s">
        <v>43</v>
      </c>
      <c r="F2336" s="2" t="s">
        <v>29</v>
      </c>
      <c r="G2336" s="2" t="n">
        <v>2016.29</v>
      </c>
      <c r="H2336" s="2" t="n">
        <v>11.99</v>
      </c>
      <c r="I2336" s="2" t="s">
        <v>28</v>
      </c>
      <c r="J2336" s="2" t="s">
        <v>6832</v>
      </c>
      <c r="K2336" s="2" t="s">
        <v>122</v>
      </c>
      <c r="L2336" s="2"/>
      <c r="M2336" s="2" t="s">
        <v>728</v>
      </c>
    </row>
    <row r="2337" customFormat="false" ht="15" hidden="false" customHeight="false" outlineLevel="0" collapsed="false">
      <c r="A2337" s="2" t="s">
        <v>6833</v>
      </c>
      <c r="B2337" s="2" t="s">
        <v>2469</v>
      </c>
      <c r="C2337" s="2" t="s">
        <v>2470</v>
      </c>
      <c r="D2337" s="13" t="n">
        <v>45982.95</v>
      </c>
      <c r="E2337" s="2" t="s">
        <v>37</v>
      </c>
      <c r="F2337" s="2" t="s">
        <v>27</v>
      </c>
      <c r="G2337" s="2" t="n">
        <v>1980.2</v>
      </c>
      <c r="H2337" s="2" t="n">
        <v>9.47</v>
      </c>
      <c r="I2337" s="2" t="s">
        <v>26</v>
      </c>
      <c r="J2337" s="2" t="s">
        <v>6834</v>
      </c>
      <c r="K2337" s="2" t="s">
        <v>89</v>
      </c>
      <c r="L2337" s="2"/>
      <c r="M2337" s="2" t="s">
        <v>1134</v>
      </c>
    </row>
    <row r="2338" customFormat="false" ht="15" hidden="false" customHeight="false" outlineLevel="0" collapsed="false">
      <c r="A2338" s="2" t="s">
        <v>6835</v>
      </c>
      <c r="B2338" s="2" t="s">
        <v>4568</v>
      </c>
      <c r="C2338" s="2" t="s">
        <v>4569</v>
      </c>
      <c r="D2338" s="13" t="n">
        <v>45430.6006944445</v>
      </c>
      <c r="E2338" s="2" t="s">
        <v>37</v>
      </c>
      <c r="F2338" s="2" t="s">
        <v>29</v>
      </c>
      <c r="G2338" s="2" t="n">
        <v>3224.78</v>
      </c>
      <c r="H2338" s="2" t="n">
        <v>15.87</v>
      </c>
      <c r="I2338" s="2" t="s">
        <v>26</v>
      </c>
      <c r="J2338" s="2" t="s">
        <v>6836</v>
      </c>
      <c r="K2338" s="2" t="s">
        <v>95</v>
      </c>
      <c r="L2338" s="2" t="s">
        <v>1139</v>
      </c>
      <c r="M2338" s="2"/>
    </row>
    <row r="2339" customFormat="false" ht="15" hidden="false" customHeight="false" outlineLevel="0" collapsed="false">
      <c r="A2339" s="2" t="s">
        <v>6837</v>
      </c>
      <c r="B2339" s="2" t="s">
        <v>119</v>
      </c>
      <c r="C2339" s="2" t="s">
        <v>120</v>
      </c>
      <c r="D2339" s="13" t="n">
        <v>45863.4402777778</v>
      </c>
      <c r="E2339" s="2" t="s">
        <v>41</v>
      </c>
      <c r="F2339" s="2" t="s">
        <v>29</v>
      </c>
      <c r="G2339" s="2" t="n">
        <v>5563.27</v>
      </c>
      <c r="H2339" s="2" t="n">
        <v>19.69</v>
      </c>
      <c r="I2339" s="2" t="s">
        <v>26</v>
      </c>
      <c r="J2339" s="2" t="s">
        <v>6838</v>
      </c>
      <c r="K2339" s="2" t="s">
        <v>101</v>
      </c>
      <c r="L2339" s="2" t="s">
        <v>518</v>
      </c>
      <c r="M2339" s="2"/>
    </row>
    <row r="2340" customFormat="false" ht="15" hidden="false" customHeight="false" outlineLevel="0" collapsed="false">
      <c r="A2340" s="2" t="s">
        <v>6839</v>
      </c>
      <c r="B2340" s="2" t="s">
        <v>2900</v>
      </c>
      <c r="C2340" s="2" t="s">
        <v>2901</v>
      </c>
      <c r="D2340" s="13" t="n">
        <v>45886.6173611111</v>
      </c>
      <c r="E2340" s="2" t="s">
        <v>43</v>
      </c>
      <c r="F2340" s="2" t="s">
        <v>29</v>
      </c>
      <c r="G2340" s="2" t="n">
        <v>2731.65</v>
      </c>
      <c r="H2340" s="2" t="n">
        <v>9.2</v>
      </c>
      <c r="I2340" s="2" t="s">
        <v>26</v>
      </c>
      <c r="J2340" s="2" t="s">
        <v>6840</v>
      </c>
      <c r="K2340" s="2" t="s">
        <v>122</v>
      </c>
      <c r="L2340" s="2"/>
      <c r="M2340" s="2" t="s">
        <v>273</v>
      </c>
    </row>
    <row r="2341" customFormat="false" ht="15" hidden="false" customHeight="false" outlineLevel="0" collapsed="false">
      <c r="A2341" s="2" t="s">
        <v>6841</v>
      </c>
      <c r="B2341" s="2" t="s">
        <v>3596</v>
      </c>
      <c r="C2341" s="2" t="s">
        <v>3597</v>
      </c>
      <c r="D2341" s="13" t="n">
        <v>45427.8513888889</v>
      </c>
      <c r="E2341" s="2" t="s">
        <v>41</v>
      </c>
      <c r="F2341" s="2" t="s">
        <v>31</v>
      </c>
      <c r="G2341" s="2" t="n">
        <v>28804.53</v>
      </c>
      <c r="H2341" s="2" t="n">
        <v>327.02</v>
      </c>
      <c r="I2341" s="2" t="s">
        <v>26</v>
      </c>
      <c r="J2341" s="2" t="s">
        <v>6842</v>
      </c>
      <c r="K2341" s="2" t="s">
        <v>95</v>
      </c>
      <c r="L2341" s="2" t="s">
        <v>1152</v>
      </c>
      <c r="M2341" s="2"/>
    </row>
    <row r="2342" customFormat="false" ht="15" hidden="false" customHeight="false" outlineLevel="0" collapsed="false">
      <c r="A2342" s="2" t="s">
        <v>6843</v>
      </c>
      <c r="B2342" s="2" t="s">
        <v>5992</v>
      </c>
      <c r="C2342" s="2" t="s">
        <v>5993</v>
      </c>
      <c r="D2342" s="13" t="n">
        <v>45773.3951388889</v>
      </c>
      <c r="E2342" s="2" t="s">
        <v>39</v>
      </c>
      <c r="F2342" s="2" t="s">
        <v>32</v>
      </c>
      <c r="G2342" s="2" t="n">
        <v>2618.62</v>
      </c>
      <c r="H2342" s="2" t="n">
        <v>22.19</v>
      </c>
      <c r="I2342" s="2" t="s">
        <v>26</v>
      </c>
      <c r="J2342" s="2" t="s">
        <v>6844</v>
      </c>
      <c r="K2342" s="2" t="s">
        <v>95</v>
      </c>
      <c r="L2342" s="2" t="s">
        <v>1726</v>
      </c>
      <c r="M2342" s="2"/>
    </row>
    <row r="2343" customFormat="false" ht="15" hidden="false" customHeight="false" outlineLevel="0" collapsed="false">
      <c r="A2343" s="2" t="s">
        <v>6845</v>
      </c>
      <c r="B2343" s="2" t="s">
        <v>4110</v>
      </c>
      <c r="C2343" s="2" t="s">
        <v>4111</v>
      </c>
      <c r="D2343" s="13" t="n">
        <v>45686.6319444445</v>
      </c>
      <c r="E2343" s="2" t="s">
        <v>43</v>
      </c>
      <c r="F2343" s="2" t="s">
        <v>32</v>
      </c>
      <c r="G2343" s="2" t="n">
        <v>19136.46</v>
      </c>
      <c r="H2343" s="2" t="n">
        <v>136.85</v>
      </c>
      <c r="I2343" s="2" t="s">
        <v>26</v>
      </c>
      <c r="J2343" s="2" t="s">
        <v>6846</v>
      </c>
      <c r="K2343" s="2" t="s">
        <v>95</v>
      </c>
      <c r="L2343" s="2"/>
      <c r="M2343" s="2" t="s">
        <v>288</v>
      </c>
    </row>
    <row r="2344" customFormat="false" ht="15" hidden="false" customHeight="false" outlineLevel="0" collapsed="false">
      <c r="A2344" s="2" t="s">
        <v>6847</v>
      </c>
      <c r="B2344" s="2" t="s">
        <v>290</v>
      </c>
      <c r="C2344" s="2" t="s">
        <v>291</v>
      </c>
      <c r="D2344" s="13" t="n">
        <v>45931.7604166667</v>
      </c>
      <c r="E2344" s="2" t="s">
        <v>37</v>
      </c>
      <c r="F2344" s="2" t="s">
        <v>31</v>
      </c>
      <c r="G2344" s="2" t="n">
        <v>4901.6</v>
      </c>
      <c r="H2344" s="2" t="n">
        <v>44.03</v>
      </c>
      <c r="I2344" s="2" t="s">
        <v>28</v>
      </c>
      <c r="J2344" s="2" t="s">
        <v>6848</v>
      </c>
      <c r="K2344" s="2" t="s">
        <v>101</v>
      </c>
      <c r="L2344" s="2" t="s">
        <v>541</v>
      </c>
      <c r="M2344" s="2"/>
    </row>
    <row r="2345" customFormat="false" ht="15" hidden="false" customHeight="false" outlineLevel="0" collapsed="false">
      <c r="A2345" s="2" t="s">
        <v>6849</v>
      </c>
      <c r="B2345" s="2" t="s">
        <v>903</v>
      </c>
      <c r="C2345" s="2" t="s">
        <v>904</v>
      </c>
      <c r="D2345" s="13" t="n">
        <v>45477.9138888889</v>
      </c>
      <c r="E2345" s="2" t="s">
        <v>39</v>
      </c>
      <c r="F2345" s="2" t="s">
        <v>29</v>
      </c>
      <c r="G2345" s="2" t="n">
        <v>871.32</v>
      </c>
      <c r="H2345" s="2" t="n">
        <v>5</v>
      </c>
      <c r="I2345" s="2" t="s">
        <v>28</v>
      </c>
      <c r="J2345" s="2" t="s">
        <v>6850</v>
      </c>
      <c r="K2345" s="2" t="s">
        <v>122</v>
      </c>
      <c r="L2345" s="2" t="s">
        <v>1169</v>
      </c>
      <c r="M2345" s="2"/>
    </row>
    <row r="2346" customFormat="false" ht="15" hidden="false" customHeight="false" outlineLevel="0" collapsed="false">
      <c r="A2346" s="2" t="s">
        <v>6851</v>
      </c>
      <c r="B2346" s="2" t="s">
        <v>3074</v>
      </c>
      <c r="C2346" s="2" t="s">
        <v>3075</v>
      </c>
      <c r="D2346" s="13" t="n">
        <v>45603.8895833333</v>
      </c>
      <c r="E2346" s="2" t="s">
        <v>37</v>
      </c>
      <c r="F2346" s="2" t="s">
        <v>27</v>
      </c>
      <c r="G2346" s="2" t="n">
        <v>1872.48</v>
      </c>
      <c r="H2346" s="2" t="n">
        <v>16.33</v>
      </c>
      <c r="I2346" s="2" t="s">
        <v>26</v>
      </c>
      <c r="J2346" s="2" t="s">
        <v>6852</v>
      </c>
      <c r="K2346" s="2" t="s">
        <v>101</v>
      </c>
      <c r="L2346" s="2"/>
      <c r="M2346" s="2" t="s">
        <v>1174</v>
      </c>
    </row>
    <row r="2347" customFormat="false" ht="15" hidden="false" customHeight="false" outlineLevel="0" collapsed="false">
      <c r="A2347" s="2" t="s">
        <v>6853</v>
      </c>
      <c r="B2347" s="2" t="s">
        <v>2928</v>
      </c>
      <c r="C2347" s="2" t="s">
        <v>2929</v>
      </c>
      <c r="D2347" s="13" t="n">
        <v>45894.3583333333</v>
      </c>
      <c r="E2347" s="2" t="s">
        <v>35</v>
      </c>
      <c r="F2347" s="2" t="s">
        <v>29</v>
      </c>
      <c r="G2347" s="2" t="n">
        <v>18599.33</v>
      </c>
      <c r="H2347" s="2" t="n">
        <v>49.82</v>
      </c>
      <c r="I2347" s="2" t="s">
        <v>26</v>
      </c>
      <c r="J2347" s="2" t="s">
        <v>6854</v>
      </c>
      <c r="K2347" s="2" t="s">
        <v>101</v>
      </c>
      <c r="L2347" s="2" t="s">
        <v>556</v>
      </c>
      <c r="M2347" s="2"/>
    </row>
    <row r="2348" customFormat="false" ht="15" hidden="false" customHeight="false" outlineLevel="0" collapsed="false">
      <c r="A2348" s="2" t="s">
        <v>6855</v>
      </c>
      <c r="B2348" s="2" t="s">
        <v>1885</v>
      </c>
      <c r="C2348" s="2" t="s">
        <v>1886</v>
      </c>
      <c r="D2348" s="13" t="n">
        <v>45782.8847222222</v>
      </c>
      <c r="E2348" s="2" t="s">
        <v>41</v>
      </c>
      <c r="F2348" s="2" t="s">
        <v>29</v>
      </c>
      <c r="G2348" s="2" t="n">
        <v>4952.01</v>
      </c>
      <c r="H2348" s="2" t="n">
        <v>55.93</v>
      </c>
      <c r="I2348" s="2" t="s">
        <v>26</v>
      </c>
      <c r="J2348" s="2" t="s">
        <v>6856</v>
      </c>
      <c r="K2348" s="2" t="s">
        <v>101</v>
      </c>
      <c r="L2348" s="2" t="s">
        <v>1183</v>
      </c>
      <c r="M2348" s="2"/>
    </row>
    <row r="2349" customFormat="false" ht="15" hidden="false" customHeight="false" outlineLevel="0" collapsed="false">
      <c r="A2349" s="2" t="s">
        <v>6857</v>
      </c>
      <c r="B2349" s="2" t="s">
        <v>3066</v>
      </c>
      <c r="C2349" s="2" t="s">
        <v>3067</v>
      </c>
      <c r="D2349" s="13" t="n">
        <v>45502.8152777778</v>
      </c>
      <c r="E2349" s="2" t="s">
        <v>35</v>
      </c>
      <c r="F2349" s="2" t="s">
        <v>27</v>
      </c>
      <c r="G2349" s="2" t="n">
        <v>24575.66</v>
      </c>
      <c r="H2349" s="2" t="n">
        <v>171.27</v>
      </c>
      <c r="I2349" s="2" t="s">
        <v>28</v>
      </c>
      <c r="J2349" s="2" t="s">
        <v>6858</v>
      </c>
      <c r="K2349" s="2" t="s">
        <v>101</v>
      </c>
      <c r="L2349" s="2"/>
      <c r="M2349" s="2" t="s">
        <v>784</v>
      </c>
    </row>
    <row r="2350" customFormat="false" ht="15" hidden="false" customHeight="false" outlineLevel="0" collapsed="false">
      <c r="A2350" s="2" t="s">
        <v>6859</v>
      </c>
      <c r="B2350" s="2" t="s">
        <v>465</v>
      </c>
      <c r="C2350" s="2" t="s">
        <v>466</v>
      </c>
      <c r="D2350" s="13" t="n">
        <v>45511.3541666667</v>
      </c>
      <c r="E2350" s="2" t="s">
        <v>37</v>
      </c>
      <c r="F2350" s="2" t="s">
        <v>31</v>
      </c>
      <c r="G2350" s="2" t="n">
        <v>4120.38</v>
      </c>
      <c r="H2350" s="2" t="n">
        <v>27.04</v>
      </c>
      <c r="I2350" s="2" t="s">
        <v>30</v>
      </c>
      <c r="J2350" s="2" t="s">
        <v>6860</v>
      </c>
      <c r="K2350" s="2" t="s">
        <v>122</v>
      </c>
      <c r="L2350" s="2" t="s">
        <v>1190</v>
      </c>
      <c r="M2350" s="2"/>
    </row>
    <row r="2351" customFormat="false" ht="15" hidden="false" customHeight="false" outlineLevel="0" collapsed="false">
      <c r="A2351" s="2" t="s">
        <v>6861</v>
      </c>
      <c r="B2351" s="2" t="s">
        <v>285</v>
      </c>
      <c r="C2351" s="2" t="s">
        <v>286</v>
      </c>
      <c r="D2351" s="13" t="n">
        <v>45882.4333333333</v>
      </c>
      <c r="E2351" s="2" t="s">
        <v>41</v>
      </c>
      <c r="F2351" s="2" t="s">
        <v>29</v>
      </c>
      <c r="G2351" s="2" t="n">
        <v>2267.14</v>
      </c>
      <c r="H2351" s="2" t="n">
        <v>9.78</v>
      </c>
      <c r="I2351" s="2" t="s">
        <v>26</v>
      </c>
      <c r="J2351" s="2" t="s">
        <v>6862</v>
      </c>
      <c r="K2351" s="2" t="s">
        <v>89</v>
      </c>
      <c r="L2351" s="2" t="s">
        <v>1759</v>
      </c>
      <c r="M2351" s="2"/>
    </row>
    <row r="2352" customFormat="false" ht="15" hidden="false" customHeight="false" outlineLevel="0" collapsed="false">
      <c r="A2352" s="2" t="s">
        <v>6863</v>
      </c>
      <c r="B2352" s="2" t="s">
        <v>1763</v>
      </c>
      <c r="C2352" s="2" t="s">
        <v>1764</v>
      </c>
      <c r="D2352" s="13" t="n">
        <v>45562.7277777778</v>
      </c>
      <c r="E2352" s="2" t="s">
        <v>41</v>
      </c>
      <c r="F2352" s="2" t="s">
        <v>27</v>
      </c>
      <c r="G2352" s="2" t="n">
        <v>512.58</v>
      </c>
      <c r="H2352" s="2" t="n">
        <v>5</v>
      </c>
      <c r="I2352" s="2" t="s">
        <v>26</v>
      </c>
      <c r="J2352" s="2" t="s">
        <v>6864</v>
      </c>
      <c r="K2352" s="2" t="s">
        <v>122</v>
      </c>
      <c r="L2352" s="2"/>
      <c r="M2352" s="2" t="s">
        <v>795</v>
      </c>
    </row>
    <row r="2353" customFormat="false" ht="15" hidden="false" customHeight="false" outlineLevel="0" collapsed="false">
      <c r="A2353" s="2" t="s">
        <v>6865</v>
      </c>
      <c r="B2353" s="2" t="s">
        <v>3318</v>
      </c>
      <c r="C2353" s="2" t="s">
        <v>3319</v>
      </c>
      <c r="D2353" s="13" t="n">
        <v>45455.3993055556</v>
      </c>
      <c r="E2353" s="2" t="s">
        <v>43</v>
      </c>
      <c r="F2353" s="2" t="s">
        <v>29</v>
      </c>
      <c r="G2353" s="2" t="n">
        <v>4764.07</v>
      </c>
      <c r="H2353" s="2" t="n">
        <v>50</v>
      </c>
      <c r="I2353" s="2" t="s">
        <v>30</v>
      </c>
      <c r="J2353" s="2" t="s">
        <v>6866</v>
      </c>
      <c r="K2353" s="2" t="s">
        <v>95</v>
      </c>
      <c r="L2353" s="2"/>
      <c r="M2353" s="2" t="s">
        <v>3207</v>
      </c>
    </row>
    <row r="2354" customFormat="false" ht="15" hidden="false" customHeight="false" outlineLevel="0" collapsed="false">
      <c r="A2354" s="2" t="s">
        <v>6867</v>
      </c>
      <c r="B2354" s="2" t="s">
        <v>1674</v>
      </c>
      <c r="C2354" s="2" t="s">
        <v>1675</v>
      </c>
      <c r="D2354" s="13" t="n">
        <v>45883.4020833333</v>
      </c>
      <c r="E2354" s="2" t="s">
        <v>43</v>
      </c>
      <c r="F2354" s="2" t="s">
        <v>29</v>
      </c>
      <c r="G2354" s="2" t="n">
        <v>4259.26</v>
      </c>
      <c r="H2354" s="2" t="n">
        <v>38.15</v>
      </c>
      <c r="I2354" s="2" t="s">
        <v>26</v>
      </c>
      <c r="J2354" s="2" t="s">
        <v>6868</v>
      </c>
      <c r="K2354" s="2" t="s">
        <v>95</v>
      </c>
      <c r="L2354" s="2"/>
      <c r="M2354" s="2" t="s">
        <v>1588</v>
      </c>
    </row>
    <row r="2355" customFormat="false" ht="15" hidden="false" customHeight="false" outlineLevel="0" collapsed="false">
      <c r="A2355" s="2" t="s">
        <v>6869</v>
      </c>
      <c r="B2355" s="2" t="s">
        <v>2282</v>
      </c>
      <c r="C2355" s="2" t="s">
        <v>2283</v>
      </c>
      <c r="D2355" s="13" t="n">
        <v>45524.3645833333</v>
      </c>
      <c r="E2355" s="2" t="s">
        <v>41</v>
      </c>
      <c r="F2355" s="2" t="s">
        <v>31</v>
      </c>
      <c r="G2355" s="2" t="n">
        <v>7660.61</v>
      </c>
      <c r="H2355" s="2" t="n">
        <v>84.21</v>
      </c>
      <c r="I2355" s="2" t="s">
        <v>28</v>
      </c>
      <c r="J2355" s="2" t="s">
        <v>6870</v>
      </c>
      <c r="K2355" s="2" t="s">
        <v>101</v>
      </c>
      <c r="L2355" s="2" t="s">
        <v>1212</v>
      </c>
      <c r="M2355" s="2"/>
    </row>
    <row r="2356" customFormat="false" ht="15" hidden="false" customHeight="false" outlineLevel="0" collapsed="false">
      <c r="A2356" s="2" t="s">
        <v>6871</v>
      </c>
      <c r="B2356" s="2" t="s">
        <v>1136</v>
      </c>
      <c r="C2356" s="2" t="s">
        <v>1137</v>
      </c>
      <c r="D2356" s="13" t="n">
        <v>45871.8131944445</v>
      </c>
      <c r="E2356" s="2" t="s">
        <v>43</v>
      </c>
      <c r="F2356" s="2" t="s">
        <v>31</v>
      </c>
      <c r="G2356" s="2" t="n">
        <v>2998.13</v>
      </c>
      <c r="H2356" s="2" t="n">
        <v>13.66</v>
      </c>
      <c r="I2356" s="2" t="s">
        <v>26</v>
      </c>
      <c r="J2356" s="2" t="s">
        <v>6872</v>
      </c>
      <c r="K2356" s="2" t="s">
        <v>101</v>
      </c>
      <c r="L2356" s="2"/>
      <c r="M2356" s="2" t="s">
        <v>1217</v>
      </c>
    </row>
    <row r="2357" customFormat="false" ht="15" hidden="false" customHeight="false" outlineLevel="0" collapsed="false">
      <c r="A2357" s="2" t="s">
        <v>6873</v>
      </c>
      <c r="B2357" s="2" t="s">
        <v>98</v>
      </c>
      <c r="C2357" s="2" t="s">
        <v>99</v>
      </c>
      <c r="D2357" s="13" t="n">
        <v>45296.3659722222</v>
      </c>
      <c r="E2357" s="2" t="s">
        <v>39</v>
      </c>
      <c r="F2357" s="2" t="s">
        <v>31</v>
      </c>
      <c r="G2357" s="2" t="n">
        <v>3424.55</v>
      </c>
      <c r="H2357" s="2" t="n">
        <v>11.95</v>
      </c>
      <c r="I2357" s="2" t="s">
        <v>30</v>
      </c>
      <c r="J2357" s="2" t="s">
        <v>6874</v>
      </c>
      <c r="K2357" s="2" t="s">
        <v>122</v>
      </c>
      <c r="L2357" s="2" t="s">
        <v>604</v>
      </c>
      <c r="M2357" s="2"/>
    </row>
    <row r="2358" customFormat="false" ht="15" hidden="false" customHeight="false" outlineLevel="0" collapsed="false">
      <c r="A2358" s="2" t="s">
        <v>6875</v>
      </c>
      <c r="B2358" s="2" t="s">
        <v>1705</v>
      </c>
      <c r="C2358" s="2" t="s">
        <v>1706</v>
      </c>
      <c r="D2358" s="13" t="n">
        <v>45333.9090277778</v>
      </c>
      <c r="E2358" s="2" t="s">
        <v>43</v>
      </c>
      <c r="F2358" s="2" t="s">
        <v>29</v>
      </c>
      <c r="G2358" s="2" t="n">
        <v>5452.89</v>
      </c>
      <c r="H2358" s="2" t="n">
        <v>19.7</v>
      </c>
      <c r="I2358" s="2" t="s">
        <v>30</v>
      </c>
      <c r="J2358" s="2" t="s">
        <v>6876</v>
      </c>
      <c r="K2358" s="2" t="s">
        <v>101</v>
      </c>
      <c r="L2358" s="2"/>
      <c r="M2358" s="2" t="s">
        <v>363</v>
      </c>
    </row>
    <row r="2359" customFormat="false" ht="15" hidden="false" customHeight="false" outlineLevel="0" collapsed="false">
      <c r="A2359" s="2" t="s">
        <v>6877</v>
      </c>
      <c r="B2359" s="2" t="s">
        <v>788</v>
      </c>
      <c r="C2359" s="2" t="s">
        <v>789</v>
      </c>
      <c r="D2359" s="13" t="n">
        <v>45756.5743055556</v>
      </c>
      <c r="E2359" s="2" t="s">
        <v>41</v>
      </c>
      <c r="F2359" s="2" t="s">
        <v>29</v>
      </c>
      <c r="G2359" s="2" t="n">
        <v>9451.19</v>
      </c>
      <c r="H2359" s="2" t="n">
        <v>88.92</v>
      </c>
      <c r="I2359" s="2" t="s">
        <v>26</v>
      </c>
      <c r="J2359" s="2" t="s">
        <v>6878</v>
      </c>
      <c r="K2359" s="2" t="s">
        <v>122</v>
      </c>
      <c r="L2359" s="2" t="s">
        <v>612</v>
      </c>
      <c r="M2359" s="2"/>
    </row>
    <row r="2360" customFormat="false" ht="15" hidden="false" customHeight="false" outlineLevel="0" collapsed="false">
      <c r="A2360" s="2" t="s">
        <v>6879</v>
      </c>
      <c r="B2360" s="2" t="s">
        <v>445</v>
      </c>
      <c r="C2360" s="2" t="s">
        <v>446</v>
      </c>
      <c r="D2360" s="13" t="n">
        <v>45491.8513888889</v>
      </c>
      <c r="E2360" s="2" t="s">
        <v>37</v>
      </c>
      <c r="F2360" s="2" t="s">
        <v>29</v>
      </c>
      <c r="G2360" s="2" t="n">
        <v>25051.35</v>
      </c>
      <c r="H2360" s="2" t="n">
        <v>298.56</v>
      </c>
      <c r="I2360" s="2" t="s">
        <v>28</v>
      </c>
      <c r="J2360" s="2" t="s">
        <v>6880</v>
      </c>
      <c r="K2360" s="2" t="s">
        <v>122</v>
      </c>
      <c r="L2360" s="2" t="s">
        <v>1232</v>
      </c>
      <c r="M2360" s="2"/>
    </row>
    <row r="2361" customFormat="false" ht="15" hidden="false" customHeight="false" outlineLevel="0" collapsed="false">
      <c r="A2361" s="2" t="s">
        <v>6881</v>
      </c>
      <c r="B2361" s="2" t="s">
        <v>1577</v>
      </c>
      <c r="C2361" s="2" t="s">
        <v>1578</v>
      </c>
      <c r="D2361" s="13" t="n">
        <v>45865.6125</v>
      </c>
      <c r="E2361" s="2" t="s">
        <v>35</v>
      </c>
      <c r="F2361" s="2" t="s">
        <v>32</v>
      </c>
      <c r="G2361" s="2" t="n">
        <v>3909.49</v>
      </c>
      <c r="H2361" s="2" t="n">
        <v>10.16</v>
      </c>
      <c r="I2361" s="2" t="s">
        <v>28</v>
      </c>
      <c r="J2361" s="2" t="s">
        <v>6882</v>
      </c>
      <c r="K2361" s="2" t="s">
        <v>95</v>
      </c>
      <c r="L2361" s="2" t="s">
        <v>622</v>
      </c>
      <c r="M2361" s="2"/>
    </row>
    <row r="2362" customFormat="false" ht="15" hidden="false" customHeight="false" outlineLevel="0" collapsed="false">
      <c r="A2362" s="2" t="s">
        <v>6883</v>
      </c>
      <c r="B2362" s="2" t="s">
        <v>3188</v>
      </c>
      <c r="C2362" s="2" t="s">
        <v>3189</v>
      </c>
      <c r="D2362" s="13" t="n">
        <v>45955.3680555556</v>
      </c>
      <c r="E2362" s="2" t="s">
        <v>43</v>
      </c>
      <c r="F2362" s="2" t="s">
        <v>29</v>
      </c>
      <c r="G2362" s="2" t="n">
        <v>2165.88</v>
      </c>
      <c r="H2362" s="2" t="n">
        <v>14.29</v>
      </c>
      <c r="I2362" s="2" t="s">
        <v>26</v>
      </c>
      <c r="J2362" s="2" t="s">
        <v>6884</v>
      </c>
      <c r="K2362" s="2" t="s">
        <v>122</v>
      </c>
      <c r="L2362" s="2"/>
      <c r="M2362" s="2" t="s">
        <v>383</v>
      </c>
    </row>
    <row r="2363" customFormat="false" ht="15" hidden="false" customHeight="false" outlineLevel="0" collapsed="false">
      <c r="A2363" s="2" t="s">
        <v>6885</v>
      </c>
      <c r="B2363" s="2" t="s">
        <v>98</v>
      </c>
      <c r="C2363" s="2" t="s">
        <v>99</v>
      </c>
      <c r="D2363" s="13" t="n">
        <v>45942.4375</v>
      </c>
      <c r="E2363" s="2" t="s">
        <v>39</v>
      </c>
      <c r="F2363" s="2" t="s">
        <v>32</v>
      </c>
      <c r="G2363" s="2" t="n">
        <v>2525.89</v>
      </c>
      <c r="H2363" s="2" t="n">
        <v>5.56</v>
      </c>
      <c r="I2363" s="2" t="s">
        <v>26</v>
      </c>
      <c r="J2363" s="2" t="s">
        <v>6886</v>
      </c>
      <c r="K2363" s="2" t="s">
        <v>122</v>
      </c>
      <c r="L2363" s="2" t="s">
        <v>632</v>
      </c>
      <c r="M2363" s="2"/>
    </row>
    <row r="2364" customFormat="false" ht="15" hidden="false" customHeight="false" outlineLevel="0" collapsed="false">
      <c r="A2364" s="2" t="s">
        <v>6887</v>
      </c>
      <c r="B2364" s="2" t="s">
        <v>759</v>
      </c>
      <c r="C2364" s="2" t="s">
        <v>760</v>
      </c>
      <c r="D2364" s="13" t="n">
        <v>45352.3458333333</v>
      </c>
      <c r="E2364" s="2" t="s">
        <v>35</v>
      </c>
      <c r="F2364" s="2" t="s">
        <v>32</v>
      </c>
      <c r="G2364" s="2" t="n">
        <v>3106.33</v>
      </c>
      <c r="H2364" s="2" t="n">
        <v>21.56</v>
      </c>
      <c r="I2364" s="2" t="s">
        <v>26</v>
      </c>
      <c r="J2364" s="2" t="s">
        <v>6888</v>
      </c>
      <c r="K2364" s="2" t="s">
        <v>89</v>
      </c>
      <c r="L2364" s="2" t="s">
        <v>637</v>
      </c>
      <c r="M2364" s="2"/>
    </row>
    <row r="2365" customFormat="false" ht="15" hidden="false" customHeight="false" outlineLevel="0" collapsed="false">
      <c r="A2365" s="2" t="s">
        <v>6889</v>
      </c>
      <c r="B2365" s="2" t="s">
        <v>5120</v>
      </c>
      <c r="C2365" s="2" t="s">
        <v>5121</v>
      </c>
      <c r="D2365" s="13" t="n">
        <v>45405.4972222222</v>
      </c>
      <c r="E2365" s="2" t="s">
        <v>41</v>
      </c>
      <c r="F2365" s="2" t="s">
        <v>29</v>
      </c>
      <c r="G2365" s="2" t="n">
        <v>8593.47</v>
      </c>
      <c r="H2365" s="2" t="n">
        <v>54.92</v>
      </c>
      <c r="I2365" s="2" t="s">
        <v>26</v>
      </c>
      <c r="J2365" s="2" t="s">
        <v>6890</v>
      </c>
      <c r="K2365" s="2" t="s">
        <v>122</v>
      </c>
      <c r="L2365" s="2" t="s">
        <v>640</v>
      </c>
      <c r="M2365" s="2"/>
    </row>
    <row r="2366" customFormat="false" ht="15" hidden="false" customHeight="false" outlineLevel="0" collapsed="false">
      <c r="A2366" s="2" t="s">
        <v>6891</v>
      </c>
      <c r="B2366" s="2" t="s">
        <v>6892</v>
      </c>
      <c r="C2366" s="2" t="s">
        <v>6893</v>
      </c>
      <c r="D2366" s="13" t="n">
        <v>45594.5305555556</v>
      </c>
      <c r="E2366" s="2" t="s">
        <v>39</v>
      </c>
      <c r="F2366" s="2" t="s">
        <v>29</v>
      </c>
      <c r="G2366" s="2" t="n">
        <v>3410.83</v>
      </c>
      <c r="H2366" s="2" t="n">
        <v>27.54</v>
      </c>
      <c r="I2366" s="2" t="s">
        <v>26</v>
      </c>
      <c r="J2366" s="2" t="s">
        <v>6894</v>
      </c>
      <c r="K2366" s="2" t="s">
        <v>89</v>
      </c>
      <c r="L2366" s="2" t="s">
        <v>645</v>
      </c>
      <c r="M2366" s="2"/>
    </row>
    <row r="2367" customFormat="false" ht="15" hidden="false" customHeight="false" outlineLevel="0" collapsed="false">
      <c r="A2367" s="2" t="s">
        <v>6895</v>
      </c>
      <c r="B2367" s="2" t="s">
        <v>280</v>
      </c>
      <c r="C2367" s="2" t="s">
        <v>281</v>
      </c>
      <c r="D2367" s="13" t="n">
        <v>45708.8923611111</v>
      </c>
      <c r="E2367" s="2" t="s">
        <v>35</v>
      </c>
      <c r="F2367" s="2" t="s">
        <v>29</v>
      </c>
      <c r="G2367" s="2" t="n">
        <v>11656.45</v>
      </c>
      <c r="H2367" s="2" t="n">
        <v>40.08</v>
      </c>
      <c r="I2367" s="2" t="s">
        <v>26</v>
      </c>
      <c r="J2367" s="2" t="s">
        <v>6896</v>
      </c>
      <c r="K2367" s="2" t="s">
        <v>89</v>
      </c>
      <c r="L2367" s="2" t="s">
        <v>648</v>
      </c>
      <c r="M2367" s="2"/>
    </row>
    <row r="2368" customFormat="false" ht="15" hidden="false" customHeight="false" outlineLevel="0" collapsed="false">
      <c r="A2368" s="2" t="s">
        <v>6897</v>
      </c>
      <c r="B2368" s="2" t="s">
        <v>2659</v>
      </c>
      <c r="C2368" s="2" t="s">
        <v>2660</v>
      </c>
      <c r="D2368" s="13" t="n">
        <v>45947.6083333333</v>
      </c>
      <c r="E2368" s="2" t="s">
        <v>35</v>
      </c>
      <c r="F2368" s="2" t="s">
        <v>27</v>
      </c>
      <c r="G2368" s="2" t="n">
        <v>882.09</v>
      </c>
      <c r="H2368" s="2" t="n">
        <v>10.55</v>
      </c>
      <c r="I2368" s="2" t="s">
        <v>26</v>
      </c>
      <c r="J2368" s="2" t="s">
        <v>6898</v>
      </c>
      <c r="K2368" s="2" t="s">
        <v>101</v>
      </c>
      <c r="L2368" s="2"/>
      <c r="M2368" s="2" t="s">
        <v>862</v>
      </c>
    </row>
    <row r="2369" customFormat="false" ht="15" hidden="false" customHeight="false" outlineLevel="0" collapsed="false">
      <c r="A2369" s="2" t="s">
        <v>6899</v>
      </c>
      <c r="B2369" s="2" t="s">
        <v>1642</v>
      </c>
      <c r="C2369" s="2" t="s">
        <v>1643</v>
      </c>
      <c r="D2369" s="13" t="n">
        <v>45347.6833333333</v>
      </c>
      <c r="E2369" s="2" t="s">
        <v>41</v>
      </c>
      <c r="F2369" s="2" t="s">
        <v>27</v>
      </c>
      <c r="G2369" s="2" t="n">
        <v>12357.79</v>
      </c>
      <c r="H2369" s="2" t="n">
        <v>30.25</v>
      </c>
      <c r="I2369" s="2" t="s">
        <v>28</v>
      </c>
      <c r="J2369" s="2" t="s">
        <v>6900</v>
      </c>
      <c r="K2369" s="2" t="s">
        <v>89</v>
      </c>
      <c r="L2369" s="2"/>
      <c r="M2369" s="2" t="s">
        <v>2325</v>
      </c>
    </row>
    <row r="2370" customFormat="false" ht="15" hidden="false" customHeight="false" outlineLevel="0" collapsed="false">
      <c r="A2370" s="2" t="s">
        <v>6901</v>
      </c>
      <c r="B2370" s="2" t="s">
        <v>3088</v>
      </c>
      <c r="C2370" s="2" t="s">
        <v>3089</v>
      </c>
      <c r="D2370" s="13" t="n">
        <v>46002.4305555556</v>
      </c>
      <c r="E2370" s="2" t="s">
        <v>41</v>
      </c>
      <c r="F2370" s="2" t="s">
        <v>27</v>
      </c>
      <c r="G2370" s="2" t="n">
        <v>13533.31</v>
      </c>
      <c r="H2370" s="2" t="n">
        <v>31.51</v>
      </c>
      <c r="I2370" s="2" t="s">
        <v>26</v>
      </c>
      <c r="J2370" s="2" t="s">
        <v>6902</v>
      </c>
      <c r="K2370" s="2" t="s">
        <v>95</v>
      </c>
      <c r="L2370" s="2"/>
      <c r="M2370" s="2" t="s">
        <v>1645</v>
      </c>
    </row>
    <row r="2371" customFormat="false" ht="15" hidden="false" customHeight="false" outlineLevel="0" collapsed="false">
      <c r="A2371" s="2" t="s">
        <v>6903</v>
      </c>
      <c r="B2371" s="2" t="s">
        <v>3404</v>
      </c>
      <c r="C2371" s="2" t="s">
        <v>3405</v>
      </c>
      <c r="D2371" s="13" t="n">
        <v>45322.9263888889</v>
      </c>
      <c r="E2371" s="2" t="s">
        <v>37</v>
      </c>
      <c r="F2371" s="2" t="s">
        <v>27</v>
      </c>
      <c r="G2371" s="2" t="n">
        <v>18626.58</v>
      </c>
      <c r="H2371" s="2" t="n">
        <v>189.16</v>
      </c>
      <c r="I2371" s="2" t="s">
        <v>26</v>
      </c>
      <c r="J2371" s="2" t="s">
        <v>6904</v>
      </c>
      <c r="K2371" s="2" t="s">
        <v>122</v>
      </c>
      <c r="L2371" s="2"/>
      <c r="M2371" s="2" t="s">
        <v>871</v>
      </c>
    </row>
    <row r="2372" customFormat="false" ht="15" hidden="false" customHeight="false" outlineLevel="0" collapsed="false">
      <c r="A2372" s="2" t="s">
        <v>6905</v>
      </c>
      <c r="B2372" s="2" t="s">
        <v>792</v>
      </c>
      <c r="C2372" s="2" t="s">
        <v>793</v>
      </c>
      <c r="D2372" s="13" t="n">
        <v>45622.6951388889</v>
      </c>
      <c r="E2372" s="2" t="s">
        <v>39</v>
      </c>
      <c r="F2372" s="2" t="s">
        <v>27</v>
      </c>
      <c r="G2372" s="2" t="n">
        <v>5543.97</v>
      </c>
      <c r="H2372" s="2" t="n">
        <v>45.86</v>
      </c>
      <c r="I2372" s="2" t="s">
        <v>28</v>
      </c>
      <c r="J2372" s="2" t="s">
        <v>6906</v>
      </c>
      <c r="K2372" s="2" t="s">
        <v>101</v>
      </c>
      <c r="L2372" s="2"/>
      <c r="M2372" s="2" t="s">
        <v>1282</v>
      </c>
    </row>
    <row r="2373" customFormat="false" ht="15" hidden="false" customHeight="false" outlineLevel="0" collapsed="false">
      <c r="A2373" s="2" t="s">
        <v>6907</v>
      </c>
      <c r="B2373" s="2" t="s">
        <v>2268</v>
      </c>
      <c r="C2373" s="2" t="s">
        <v>2269</v>
      </c>
      <c r="D2373" s="13" t="n">
        <v>45634.6138888889</v>
      </c>
      <c r="E2373" s="2" t="s">
        <v>39</v>
      </c>
      <c r="F2373" s="2" t="s">
        <v>32</v>
      </c>
      <c r="G2373" s="2" t="n">
        <v>3386.21</v>
      </c>
      <c r="H2373" s="2" t="n">
        <v>19.16</v>
      </c>
      <c r="I2373" s="2" t="s">
        <v>28</v>
      </c>
      <c r="J2373" s="2" t="s">
        <v>6908</v>
      </c>
      <c r="K2373" s="2" t="s">
        <v>89</v>
      </c>
      <c r="L2373" s="2" t="s">
        <v>676</v>
      </c>
      <c r="M2373" s="2"/>
    </row>
    <row r="2374" customFormat="false" ht="15" hidden="false" customHeight="false" outlineLevel="0" collapsed="false">
      <c r="A2374" s="2" t="s">
        <v>6909</v>
      </c>
      <c r="B2374" s="2" t="s">
        <v>759</v>
      </c>
      <c r="C2374" s="2" t="s">
        <v>760</v>
      </c>
      <c r="D2374" s="13" t="n">
        <v>45632.8847222222</v>
      </c>
      <c r="E2374" s="2" t="s">
        <v>37</v>
      </c>
      <c r="F2374" s="2" t="s">
        <v>27</v>
      </c>
      <c r="G2374" s="2" t="n">
        <v>2014.16</v>
      </c>
      <c r="H2374" s="2" t="n">
        <v>19.65</v>
      </c>
      <c r="I2374" s="2" t="s">
        <v>26</v>
      </c>
      <c r="J2374" s="2" t="s">
        <v>6910</v>
      </c>
      <c r="K2374" s="2" t="s">
        <v>101</v>
      </c>
      <c r="L2374" s="2"/>
      <c r="M2374" s="2" t="s">
        <v>1658</v>
      </c>
    </row>
    <row r="2375" customFormat="false" ht="15" hidden="false" customHeight="false" outlineLevel="0" collapsed="false">
      <c r="A2375" s="2" t="s">
        <v>6911</v>
      </c>
      <c r="B2375" s="2" t="s">
        <v>6912</v>
      </c>
      <c r="C2375" s="2" t="s">
        <v>6913</v>
      </c>
      <c r="D2375" s="13" t="n">
        <v>45673.4763888889</v>
      </c>
      <c r="E2375" s="2" t="s">
        <v>35</v>
      </c>
      <c r="F2375" s="2" t="s">
        <v>32</v>
      </c>
      <c r="G2375" s="2" t="n">
        <v>2666.45</v>
      </c>
      <c r="H2375" s="2" t="n">
        <v>18.6</v>
      </c>
      <c r="I2375" s="2" t="s">
        <v>28</v>
      </c>
      <c r="J2375" s="2" t="s">
        <v>6914</v>
      </c>
      <c r="K2375" s="2" t="s">
        <v>101</v>
      </c>
      <c r="L2375" s="2" t="s">
        <v>1294</v>
      </c>
      <c r="M2375" s="2"/>
    </row>
    <row r="2376" customFormat="false" ht="15" hidden="false" customHeight="false" outlineLevel="0" collapsed="false">
      <c r="A2376" s="2" t="s">
        <v>6915</v>
      </c>
      <c r="B2376" s="2" t="s">
        <v>5834</v>
      </c>
      <c r="C2376" s="2" t="s">
        <v>5835</v>
      </c>
      <c r="D2376" s="13" t="n">
        <v>45867.8152777778</v>
      </c>
      <c r="E2376" s="2" t="s">
        <v>41</v>
      </c>
      <c r="F2376" s="2" t="s">
        <v>32</v>
      </c>
      <c r="G2376" s="2" t="n">
        <v>3782.55</v>
      </c>
      <c r="H2376" s="2" t="n">
        <v>18.51</v>
      </c>
      <c r="I2376" s="2" t="s">
        <v>26</v>
      </c>
      <c r="J2376" s="2" t="s">
        <v>6916</v>
      </c>
      <c r="K2376" s="2" t="s">
        <v>122</v>
      </c>
      <c r="L2376" s="2" t="s">
        <v>1299</v>
      </c>
      <c r="M2376" s="2"/>
    </row>
    <row r="2377" customFormat="false" ht="15" hidden="false" customHeight="false" outlineLevel="0" collapsed="false">
      <c r="A2377" s="2" t="s">
        <v>6917</v>
      </c>
      <c r="B2377" s="2" t="s">
        <v>2171</v>
      </c>
      <c r="C2377" s="2" t="s">
        <v>2172</v>
      </c>
      <c r="D2377" s="13" t="n">
        <v>45469.7326388889</v>
      </c>
      <c r="E2377" s="2" t="s">
        <v>35</v>
      </c>
      <c r="F2377" s="2" t="s">
        <v>27</v>
      </c>
      <c r="G2377" s="2" t="n">
        <v>3269.19</v>
      </c>
      <c r="H2377" s="2" t="n">
        <v>19.59</v>
      </c>
      <c r="I2377" s="2" t="s">
        <v>26</v>
      </c>
      <c r="J2377" s="2" t="s">
        <v>6918</v>
      </c>
      <c r="K2377" s="2" t="s">
        <v>89</v>
      </c>
      <c r="L2377" s="2"/>
      <c r="M2377" s="2" t="s">
        <v>1304</v>
      </c>
    </row>
    <row r="2378" customFormat="false" ht="15" hidden="false" customHeight="false" outlineLevel="0" collapsed="false">
      <c r="A2378" s="2" t="s">
        <v>6919</v>
      </c>
      <c r="B2378" s="2" t="s">
        <v>2056</v>
      </c>
      <c r="C2378" s="2" t="s">
        <v>2057</v>
      </c>
      <c r="D2378" s="13" t="n">
        <v>45955.5145833333</v>
      </c>
      <c r="E2378" s="2" t="s">
        <v>43</v>
      </c>
      <c r="F2378" s="2" t="s">
        <v>27</v>
      </c>
      <c r="G2378" s="2" t="n">
        <v>5447.99</v>
      </c>
      <c r="H2378" s="2" t="n">
        <v>15.66</v>
      </c>
      <c r="I2378" s="2" t="s">
        <v>30</v>
      </c>
      <c r="J2378" s="2" t="s">
        <v>6920</v>
      </c>
      <c r="K2378" s="2" t="s">
        <v>101</v>
      </c>
      <c r="L2378" s="2"/>
      <c r="M2378" s="2" t="s">
        <v>463</v>
      </c>
    </row>
    <row r="2379" customFormat="false" ht="15" hidden="false" customHeight="false" outlineLevel="0" collapsed="false">
      <c r="A2379" s="2" t="s">
        <v>6921</v>
      </c>
      <c r="B2379" s="2" t="s">
        <v>2371</v>
      </c>
      <c r="C2379" s="2" t="s">
        <v>2372</v>
      </c>
      <c r="D2379" s="13" t="n">
        <v>45891.5625</v>
      </c>
      <c r="E2379" s="2" t="s">
        <v>39</v>
      </c>
      <c r="F2379" s="2" t="s">
        <v>32</v>
      </c>
      <c r="G2379" s="2" t="n">
        <v>9547.21</v>
      </c>
      <c r="H2379" s="2" t="n">
        <v>51.04</v>
      </c>
      <c r="I2379" s="2" t="s">
        <v>26</v>
      </c>
      <c r="J2379" s="2" t="s">
        <v>6922</v>
      </c>
      <c r="K2379" s="2" t="s">
        <v>95</v>
      </c>
      <c r="L2379" s="2" t="s">
        <v>1311</v>
      </c>
      <c r="M2379" s="2"/>
    </row>
    <row r="2380" customFormat="false" ht="15" hidden="false" customHeight="false" outlineLevel="0" collapsed="false">
      <c r="A2380" s="2" t="s">
        <v>6923</v>
      </c>
      <c r="B2380" s="2" t="s">
        <v>1780</v>
      </c>
      <c r="C2380" s="2" t="s">
        <v>1781</v>
      </c>
      <c r="D2380" s="13" t="n">
        <v>45549.73125</v>
      </c>
      <c r="E2380" s="2" t="s">
        <v>37</v>
      </c>
      <c r="F2380" s="2" t="s">
        <v>27</v>
      </c>
      <c r="G2380" s="2" t="n">
        <v>8592.8</v>
      </c>
      <c r="H2380" s="2" t="n">
        <v>70.84</v>
      </c>
      <c r="I2380" s="2" t="s">
        <v>30</v>
      </c>
      <c r="J2380" s="2" t="s">
        <v>6924</v>
      </c>
      <c r="K2380" s="2" t="s">
        <v>95</v>
      </c>
      <c r="L2380" s="2"/>
      <c r="M2380" s="2" t="s">
        <v>906</v>
      </c>
    </row>
    <row r="2381" customFormat="false" ht="15" hidden="false" customHeight="false" outlineLevel="0" collapsed="false">
      <c r="A2381" s="2" t="s">
        <v>6925</v>
      </c>
      <c r="B2381" s="2" t="s">
        <v>1767</v>
      </c>
      <c r="C2381" s="2" t="s">
        <v>1768</v>
      </c>
      <c r="D2381" s="13" t="n">
        <v>45494.6430555556</v>
      </c>
      <c r="E2381" s="2" t="s">
        <v>39</v>
      </c>
      <c r="F2381" s="2" t="s">
        <v>29</v>
      </c>
      <c r="G2381" s="2" t="n">
        <v>8507.56</v>
      </c>
      <c r="H2381" s="2" t="n">
        <v>75.14</v>
      </c>
      <c r="I2381" s="2" t="s">
        <v>26</v>
      </c>
      <c r="J2381" s="2" t="s">
        <v>6926</v>
      </c>
      <c r="K2381" s="2" t="s">
        <v>122</v>
      </c>
      <c r="L2381" s="2" t="s">
        <v>1320</v>
      </c>
      <c r="M2381" s="2"/>
    </row>
    <row r="2382" customFormat="false" ht="15" hidden="false" customHeight="false" outlineLevel="0" collapsed="false">
      <c r="A2382" s="2" t="s">
        <v>6927</v>
      </c>
      <c r="B2382" s="2" t="s">
        <v>5316</v>
      </c>
      <c r="C2382" s="2" t="s">
        <v>5317</v>
      </c>
      <c r="D2382" s="13" t="n">
        <v>45635.5895833333</v>
      </c>
      <c r="E2382" s="2" t="s">
        <v>35</v>
      </c>
      <c r="F2382" s="2" t="s">
        <v>27</v>
      </c>
      <c r="G2382" s="2" t="n">
        <v>7437.33</v>
      </c>
      <c r="H2382" s="2" t="n">
        <v>65.09</v>
      </c>
      <c r="I2382" s="2" t="s">
        <v>26</v>
      </c>
      <c r="J2382" s="2" t="s">
        <v>6928</v>
      </c>
      <c r="K2382" s="2" t="s">
        <v>89</v>
      </c>
      <c r="L2382" s="2"/>
      <c r="M2382" s="2" t="s">
        <v>2044</v>
      </c>
    </row>
    <row r="2383" customFormat="false" ht="15" hidden="false" customHeight="false" outlineLevel="0" collapsed="false">
      <c r="A2383" s="2" t="s">
        <v>6929</v>
      </c>
      <c r="B2383" s="2" t="s">
        <v>98</v>
      </c>
      <c r="C2383" s="2" t="s">
        <v>99</v>
      </c>
      <c r="D2383" s="13" t="n">
        <v>45401.6479166667</v>
      </c>
      <c r="E2383" s="2" t="s">
        <v>39</v>
      </c>
      <c r="F2383" s="2" t="s">
        <v>29</v>
      </c>
      <c r="G2383" s="2" t="n">
        <v>5965.34</v>
      </c>
      <c r="H2383" s="2" t="n">
        <v>54.91</v>
      </c>
      <c r="I2383" s="2" t="s">
        <v>26</v>
      </c>
      <c r="J2383" s="2" t="s">
        <v>6930</v>
      </c>
      <c r="K2383" s="2" t="s">
        <v>101</v>
      </c>
      <c r="L2383" s="2" t="s">
        <v>1330</v>
      </c>
      <c r="M2383" s="2"/>
    </row>
    <row r="2384" customFormat="false" ht="15" hidden="false" customHeight="false" outlineLevel="0" collapsed="false">
      <c r="A2384" s="2" t="s">
        <v>6931</v>
      </c>
      <c r="B2384" s="2" t="s">
        <v>4878</v>
      </c>
      <c r="C2384" s="2" t="s">
        <v>4879</v>
      </c>
      <c r="D2384" s="13" t="n">
        <v>45750.6909722222</v>
      </c>
      <c r="E2384" s="2" t="s">
        <v>41</v>
      </c>
      <c r="F2384" s="2" t="s">
        <v>27</v>
      </c>
      <c r="G2384" s="2" t="n">
        <v>16311.44</v>
      </c>
      <c r="H2384" s="2" t="n">
        <v>176.44</v>
      </c>
      <c r="I2384" s="2" t="s">
        <v>28</v>
      </c>
      <c r="J2384" s="2" t="s">
        <v>6932</v>
      </c>
      <c r="K2384" s="2" t="s">
        <v>89</v>
      </c>
      <c r="L2384" s="2"/>
      <c r="M2384" s="2" t="s">
        <v>493</v>
      </c>
    </row>
    <row r="2385" customFormat="false" ht="15" hidden="false" customHeight="false" outlineLevel="0" collapsed="false">
      <c r="A2385" s="2" t="s">
        <v>6933</v>
      </c>
      <c r="B2385" s="2" t="s">
        <v>4110</v>
      </c>
      <c r="C2385" s="2" t="s">
        <v>4111</v>
      </c>
      <c r="D2385" s="13" t="n">
        <v>45907.5833333333</v>
      </c>
      <c r="E2385" s="2" t="s">
        <v>43</v>
      </c>
      <c r="F2385" s="2" t="s">
        <v>31</v>
      </c>
      <c r="G2385" s="2" t="n">
        <v>9102.41</v>
      </c>
      <c r="H2385" s="2" t="n">
        <v>19.85</v>
      </c>
      <c r="I2385" s="2" t="s">
        <v>26</v>
      </c>
      <c r="J2385" s="2" t="s">
        <v>6934</v>
      </c>
      <c r="K2385" s="2" t="s">
        <v>89</v>
      </c>
      <c r="L2385" s="2"/>
      <c r="M2385" s="2" t="s">
        <v>498</v>
      </c>
    </row>
    <row r="2386" customFormat="false" ht="15" hidden="false" customHeight="false" outlineLevel="0" collapsed="false">
      <c r="A2386" s="2" t="s">
        <v>6935</v>
      </c>
      <c r="B2386" s="2" t="s">
        <v>5040</v>
      </c>
      <c r="C2386" s="2" t="s">
        <v>5041</v>
      </c>
      <c r="D2386" s="13" t="n">
        <v>45415.6256944445</v>
      </c>
      <c r="E2386" s="2" t="s">
        <v>35</v>
      </c>
      <c r="F2386" s="2" t="s">
        <v>31</v>
      </c>
      <c r="G2386" s="2" t="n">
        <v>1929.21</v>
      </c>
      <c r="H2386" s="2" t="n">
        <v>20.05</v>
      </c>
      <c r="I2386" s="2" t="s">
        <v>28</v>
      </c>
      <c r="J2386" s="2" t="s">
        <v>6936</v>
      </c>
      <c r="K2386" s="2" t="s">
        <v>89</v>
      </c>
      <c r="L2386" s="2" t="s">
        <v>1344</v>
      </c>
      <c r="M2386" s="2"/>
    </row>
    <row r="2387" customFormat="false" ht="15" hidden="false" customHeight="false" outlineLevel="0" collapsed="false">
      <c r="A2387" s="2" t="s">
        <v>6937</v>
      </c>
      <c r="B2387" s="2" t="s">
        <v>200</v>
      </c>
      <c r="C2387" s="2" t="s">
        <v>201</v>
      </c>
      <c r="D2387" s="13" t="n">
        <v>45341.725</v>
      </c>
      <c r="E2387" s="2" t="s">
        <v>37</v>
      </c>
      <c r="F2387" s="2" t="s">
        <v>31</v>
      </c>
      <c r="G2387" s="2" t="n">
        <v>1882.39</v>
      </c>
      <c r="H2387" s="2" t="n">
        <v>17.33</v>
      </c>
      <c r="I2387" s="2" t="s">
        <v>30</v>
      </c>
      <c r="J2387" s="2" t="s">
        <v>6938</v>
      </c>
      <c r="K2387" s="2" t="s">
        <v>95</v>
      </c>
      <c r="L2387" s="2" t="s">
        <v>731</v>
      </c>
      <c r="M2387" s="2"/>
    </row>
    <row r="2388" customFormat="false" ht="15" hidden="false" customHeight="false" outlineLevel="0" collapsed="false">
      <c r="A2388" s="2" t="s">
        <v>6939</v>
      </c>
      <c r="B2388" s="2" t="s">
        <v>180</v>
      </c>
      <c r="C2388" s="2" t="s">
        <v>181</v>
      </c>
      <c r="D2388" s="13" t="n">
        <v>45400.5861111111</v>
      </c>
      <c r="E2388" s="2" t="s">
        <v>39</v>
      </c>
      <c r="F2388" s="2" t="s">
        <v>32</v>
      </c>
      <c r="G2388" s="2" t="n">
        <v>4922.7</v>
      </c>
      <c r="H2388" s="2" t="n">
        <v>53.64</v>
      </c>
      <c r="I2388" s="2" t="s">
        <v>26</v>
      </c>
      <c r="J2388" s="2" t="s">
        <v>6940</v>
      </c>
      <c r="K2388" s="2" t="s">
        <v>122</v>
      </c>
      <c r="L2388" s="2" t="s">
        <v>1888</v>
      </c>
      <c r="M2388" s="2"/>
    </row>
    <row r="2389" customFormat="false" ht="15" hidden="false" customHeight="false" outlineLevel="0" collapsed="false">
      <c r="A2389" s="2" t="s">
        <v>6941</v>
      </c>
      <c r="B2389" s="2" t="s">
        <v>715</v>
      </c>
      <c r="C2389" s="2" t="s">
        <v>716</v>
      </c>
      <c r="D2389" s="13" t="n">
        <v>45750.8673611111</v>
      </c>
      <c r="E2389" s="2" t="s">
        <v>35</v>
      </c>
      <c r="F2389" s="2" t="s">
        <v>32</v>
      </c>
      <c r="G2389" s="2" t="n">
        <v>1738.96</v>
      </c>
      <c r="H2389" s="2" t="n">
        <v>6.07</v>
      </c>
      <c r="I2389" s="2" t="s">
        <v>26</v>
      </c>
      <c r="J2389" s="2" t="s">
        <v>6942</v>
      </c>
      <c r="K2389" s="2" t="s">
        <v>95</v>
      </c>
      <c r="L2389" s="2" t="s">
        <v>738</v>
      </c>
      <c r="M2389" s="2"/>
    </row>
    <row r="2390" customFormat="false" ht="15" hidden="false" customHeight="false" outlineLevel="0" collapsed="false">
      <c r="A2390" s="2" t="s">
        <v>6943</v>
      </c>
      <c r="B2390" s="2" t="s">
        <v>629</v>
      </c>
      <c r="C2390" s="2" t="s">
        <v>630</v>
      </c>
      <c r="D2390" s="13" t="n">
        <v>45760.6520833333</v>
      </c>
      <c r="E2390" s="2" t="s">
        <v>43</v>
      </c>
      <c r="F2390" s="2" t="s">
        <v>29</v>
      </c>
      <c r="G2390" s="2" t="n">
        <v>4171.61</v>
      </c>
      <c r="H2390" s="2" t="n">
        <v>43.35</v>
      </c>
      <c r="I2390" s="2" t="s">
        <v>28</v>
      </c>
      <c r="J2390" s="2" t="s">
        <v>6944</v>
      </c>
      <c r="K2390" s="2" t="s">
        <v>89</v>
      </c>
      <c r="L2390" s="2"/>
      <c r="M2390" s="2" t="s">
        <v>950</v>
      </c>
    </row>
    <row r="2391" customFormat="false" ht="15" hidden="false" customHeight="false" outlineLevel="0" collapsed="false">
      <c r="A2391" s="2" t="s">
        <v>6945</v>
      </c>
      <c r="B2391" s="2" t="s">
        <v>2861</v>
      </c>
      <c r="C2391" s="2" t="s">
        <v>2862</v>
      </c>
      <c r="D2391" s="13" t="n">
        <v>45468.7916666667</v>
      </c>
      <c r="E2391" s="2" t="s">
        <v>39</v>
      </c>
      <c r="F2391" s="2" t="s">
        <v>29</v>
      </c>
      <c r="G2391" s="2" t="n">
        <v>8344.86</v>
      </c>
      <c r="H2391" s="2" t="n">
        <v>37.11</v>
      </c>
      <c r="I2391" s="2" t="s">
        <v>30</v>
      </c>
      <c r="J2391" s="2" t="s">
        <v>6946</v>
      </c>
      <c r="K2391" s="2" t="s">
        <v>122</v>
      </c>
      <c r="L2391" s="2" t="s">
        <v>1901</v>
      </c>
      <c r="M2391" s="2"/>
    </row>
    <row r="2392" customFormat="false" ht="15" hidden="false" customHeight="false" outlineLevel="0" collapsed="false">
      <c r="A2392" s="2" t="s">
        <v>6947</v>
      </c>
      <c r="B2392" s="2" t="s">
        <v>1398</v>
      </c>
      <c r="C2392" s="2" t="s">
        <v>1399</v>
      </c>
      <c r="D2392" s="13" t="n">
        <v>45719.7715277778</v>
      </c>
      <c r="E2392" s="2" t="s">
        <v>43</v>
      </c>
      <c r="F2392" s="2" t="s">
        <v>31</v>
      </c>
      <c r="G2392" s="2" t="n">
        <v>8344.18</v>
      </c>
      <c r="H2392" s="2" t="n">
        <v>57.66</v>
      </c>
      <c r="I2392" s="2" t="s">
        <v>26</v>
      </c>
      <c r="J2392" s="2" t="s">
        <v>6948</v>
      </c>
      <c r="K2392" s="2" t="s">
        <v>89</v>
      </c>
      <c r="L2392" s="2"/>
      <c r="M2392" s="2" t="s">
        <v>531</v>
      </c>
    </row>
    <row r="2393" customFormat="false" ht="15" hidden="false" customHeight="false" outlineLevel="0" collapsed="false">
      <c r="A2393" s="2" t="s">
        <v>6949</v>
      </c>
      <c r="B2393" s="2" t="s">
        <v>3602</v>
      </c>
      <c r="C2393" s="2" t="s">
        <v>3603</v>
      </c>
      <c r="D2393" s="13" t="n">
        <v>45880.7875</v>
      </c>
      <c r="E2393" s="2" t="s">
        <v>37</v>
      </c>
      <c r="F2393" s="2" t="s">
        <v>29</v>
      </c>
      <c r="G2393" s="2" t="n">
        <v>1490.95</v>
      </c>
      <c r="H2393" s="2" t="n">
        <v>10.46</v>
      </c>
      <c r="I2393" s="2" t="s">
        <v>30</v>
      </c>
      <c r="J2393" s="2" t="s">
        <v>6950</v>
      </c>
      <c r="K2393" s="2" t="s">
        <v>89</v>
      </c>
      <c r="L2393" s="2" t="s">
        <v>757</v>
      </c>
      <c r="M2393" s="2"/>
    </row>
    <row r="2394" customFormat="false" ht="15" hidden="false" customHeight="false" outlineLevel="0" collapsed="false">
      <c r="A2394" s="2" t="s">
        <v>6951</v>
      </c>
      <c r="B2394" s="2" t="s">
        <v>5564</v>
      </c>
      <c r="C2394" s="2" t="s">
        <v>5565</v>
      </c>
      <c r="D2394" s="13" t="n">
        <v>45569.7513888889</v>
      </c>
      <c r="E2394" s="2" t="s">
        <v>43</v>
      </c>
      <c r="F2394" s="2" t="s">
        <v>29</v>
      </c>
      <c r="G2394" s="2" t="n">
        <v>4259.28</v>
      </c>
      <c r="H2394" s="2" t="n">
        <v>39.36</v>
      </c>
      <c r="I2394" s="2" t="s">
        <v>26</v>
      </c>
      <c r="J2394" s="2" t="s">
        <v>6952</v>
      </c>
      <c r="K2394" s="2" t="s">
        <v>95</v>
      </c>
      <c r="L2394" s="2"/>
      <c r="M2394" s="2" t="s">
        <v>1371</v>
      </c>
    </row>
    <row r="2395" customFormat="false" ht="15" hidden="false" customHeight="false" outlineLevel="0" collapsed="false">
      <c r="A2395" s="2" t="s">
        <v>6953</v>
      </c>
      <c r="B2395" s="2" t="s">
        <v>1291</v>
      </c>
      <c r="C2395" s="2" t="s">
        <v>1292</v>
      </c>
      <c r="D2395" s="13" t="n">
        <v>45422.5840277778</v>
      </c>
      <c r="E2395" s="2" t="s">
        <v>43</v>
      </c>
      <c r="F2395" s="2" t="s">
        <v>27</v>
      </c>
      <c r="G2395" s="2" t="n">
        <v>3801.54</v>
      </c>
      <c r="H2395" s="2" t="n">
        <v>17.91</v>
      </c>
      <c r="I2395" s="2" t="s">
        <v>26</v>
      </c>
      <c r="J2395" s="2" t="s">
        <v>6954</v>
      </c>
      <c r="K2395" s="2" t="s">
        <v>101</v>
      </c>
      <c r="L2395" s="2"/>
      <c r="M2395" s="2" t="s">
        <v>546</v>
      </c>
    </row>
    <row r="2396" customFormat="false" ht="15" hidden="false" customHeight="false" outlineLevel="0" collapsed="false">
      <c r="A2396" s="2" t="s">
        <v>6955</v>
      </c>
      <c r="B2396" s="2" t="s">
        <v>937</v>
      </c>
      <c r="C2396" s="2" t="s">
        <v>938</v>
      </c>
      <c r="D2396" s="13" t="n">
        <v>45482.8375</v>
      </c>
      <c r="E2396" s="2" t="s">
        <v>35</v>
      </c>
      <c r="F2396" s="2" t="s">
        <v>27</v>
      </c>
      <c r="G2396" s="2" t="n">
        <v>30880.51</v>
      </c>
      <c r="H2396" s="2" t="n">
        <v>237.32</v>
      </c>
      <c r="I2396" s="2" t="s">
        <v>26</v>
      </c>
      <c r="J2396" s="2" t="s">
        <v>6956</v>
      </c>
      <c r="K2396" s="2" t="s">
        <v>101</v>
      </c>
      <c r="L2396" s="2"/>
      <c r="M2396" s="2" t="s">
        <v>551</v>
      </c>
    </row>
    <row r="2397" customFormat="false" ht="15" hidden="false" customHeight="false" outlineLevel="0" collapsed="false">
      <c r="A2397" s="2" t="s">
        <v>6957</v>
      </c>
      <c r="B2397" s="2" t="s">
        <v>6958</v>
      </c>
      <c r="C2397" s="2" t="s">
        <v>6959</v>
      </c>
      <c r="D2397" s="13" t="n">
        <v>45698.4388888889</v>
      </c>
      <c r="E2397" s="2" t="s">
        <v>41</v>
      </c>
      <c r="F2397" s="2" t="s">
        <v>32</v>
      </c>
      <c r="G2397" s="2" t="n">
        <v>15540.05</v>
      </c>
      <c r="H2397" s="2" t="n">
        <v>163.98</v>
      </c>
      <c r="I2397" s="2" t="s">
        <v>26</v>
      </c>
      <c r="J2397" s="2" t="s">
        <v>6960</v>
      </c>
      <c r="K2397" s="2" t="s">
        <v>89</v>
      </c>
      <c r="L2397" s="2" t="s">
        <v>2892</v>
      </c>
      <c r="M2397" s="2"/>
    </row>
    <row r="2398" customFormat="false" ht="15" hidden="false" customHeight="false" outlineLevel="0" collapsed="false">
      <c r="A2398" s="2" t="s">
        <v>6961</v>
      </c>
      <c r="B2398" s="2" t="s">
        <v>3160</v>
      </c>
      <c r="C2398" s="2" t="s">
        <v>3161</v>
      </c>
      <c r="D2398" s="13" t="n">
        <v>45516.7618055556</v>
      </c>
      <c r="E2398" s="2" t="s">
        <v>37</v>
      </c>
      <c r="F2398" s="2" t="s">
        <v>29</v>
      </c>
      <c r="G2398" s="2" t="n">
        <v>87051.58</v>
      </c>
      <c r="H2398" s="2" t="n">
        <v>905.68</v>
      </c>
      <c r="I2398" s="2" t="s">
        <v>28</v>
      </c>
      <c r="J2398" s="2" t="s">
        <v>6962</v>
      </c>
      <c r="K2398" s="2" t="s">
        <v>89</v>
      </c>
      <c r="L2398" s="2" t="s">
        <v>779</v>
      </c>
      <c r="M2398" s="2"/>
    </row>
    <row r="2399" customFormat="false" ht="15" hidden="false" customHeight="false" outlineLevel="0" collapsed="false">
      <c r="A2399" s="2" t="s">
        <v>6963</v>
      </c>
      <c r="B2399" s="2" t="s">
        <v>3956</v>
      </c>
      <c r="C2399" s="2" t="s">
        <v>3957</v>
      </c>
      <c r="D2399" s="13" t="n">
        <v>45468.3104166667</v>
      </c>
      <c r="E2399" s="2" t="s">
        <v>41</v>
      </c>
      <c r="F2399" s="2" t="s">
        <v>29</v>
      </c>
      <c r="G2399" s="2" t="n">
        <v>5465.16</v>
      </c>
      <c r="H2399" s="2" t="n">
        <v>44.44</v>
      </c>
      <c r="I2399" s="2" t="s">
        <v>30</v>
      </c>
      <c r="J2399" s="2" t="s">
        <v>6964</v>
      </c>
      <c r="K2399" s="2" t="s">
        <v>122</v>
      </c>
      <c r="L2399" s="2" t="s">
        <v>1389</v>
      </c>
      <c r="M2399" s="2"/>
    </row>
    <row r="2400" customFormat="false" ht="15" hidden="false" customHeight="false" outlineLevel="0" collapsed="false">
      <c r="A2400" s="2" t="s">
        <v>6965</v>
      </c>
      <c r="B2400" s="2" t="s">
        <v>1894</v>
      </c>
      <c r="C2400" s="2" t="s">
        <v>1895</v>
      </c>
      <c r="D2400" s="13" t="n">
        <v>45437.89375</v>
      </c>
      <c r="E2400" s="2" t="s">
        <v>41</v>
      </c>
      <c r="F2400" s="2" t="s">
        <v>31</v>
      </c>
      <c r="G2400" s="2" t="n">
        <v>5855.87</v>
      </c>
      <c r="H2400" s="2" t="n">
        <v>35.97</v>
      </c>
      <c r="I2400" s="2" t="s">
        <v>26</v>
      </c>
      <c r="J2400" s="2" t="s">
        <v>6966</v>
      </c>
      <c r="K2400" s="2" t="s">
        <v>122</v>
      </c>
      <c r="L2400" s="2" t="s">
        <v>1935</v>
      </c>
      <c r="M2400" s="2"/>
    </row>
    <row r="2401" customFormat="false" ht="15" hidden="false" customHeight="false" outlineLevel="0" collapsed="false">
      <c r="A2401" s="2" t="s">
        <v>6967</v>
      </c>
      <c r="B2401" s="2" t="s">
        <v>3520</v>
      </c>
      <c r="C2401" s="2" t="s">
        <v>3521</v>
      </c>
      <c r="D2401" s="13" t="n">
        <v>45528.6298611111</v>
      </c>
      <c r="E2401" s="2" t="s">
        <v>35</v>
      </c>
      <c r="F2401" s="2" t="s">
        <v>29</v>
      </c>
      <c r="G2401" s="2" t="n">
        <v>4645.89</v>
      </c>
      <c r="H2401" s="2" t="n">
        <v>37.51</v>
      </c>
      <c r="I2401" s="2" t="s">
        <v>30</v>
      </c>
      <c r="J2401" s="2" t="s">
        <v>6968</v>
      </c>
      <c r="K2401" s="2" t="s">
        <v>122</v>
      </c>
      <c r="L2401" s="2" t="s">
        <v>1396</v>
      </c>
      <c r="M2401" s="2"/>
    </row>
    <row r="2402" customFormat="false" ht="15" hidden="false" customHeight="false" outlineLevel="0" collapsed="false">
      <c r="A2402" s="2" t="s">
        <v>6969</v>
      </c>
      <c r="B2402" s="2" t="s">
        <v>3074</v>
      </c>
      <c r="C2402" s="2" t="s">
        <v>3075</v>
      </c>
      <c r="D2402" s="13" t="n">
        <v>45866.3402777778</v>
      </c>
      <c r="E2402" s="2" t="s">
        <v>39</v>
      </c>
      <c r="F2402" s="2" t="s">
        <v>27</v>
      </c>
      <c r="G2402" s="2" t="n">
        <v>13782.95</v>
      </c>
      <c r="H2402" s="2" t="n">
        <v>121.01</v>
      </c>
      <c r="I2402" s="2" t="s">
        <v>26</v>
      </c>
      <c r="J2402" s="2" t="s">
        <v>6970</v>
      </c>
      <c r="K2402" s="2" t="s">
        <v>101</v>
      </c>
      <c r="L2402" s="2"/>
      <c r="M2402" s="2" t="s">
        <v>581</v>
      </c>
    </row>
    <row r="2403" customFormat="false" ht="15" hidden="false" customHeight="false" outlineLevel="0" collapsed="false">
      <c r="A2403" s="2" t="s">
        <v>6971</v>
      </c>
      <c r="B2403" s="2" t="s">
        <v>155</v>
      </c>
      <c r="C2403" s="2" t="s">
        <v>156</v>
      </c>
      <c r="D2403" s="13" t="n">
        <v>45310.4909722222</v>
      </c>
      <c r="E2403" s="2" t="s">
        <v>37</v>
      </c>
      <c r="F2403" s="2" t="s">
        <v>32</v>
      </c>
      <c r="G2403" s="2" t="n">
        <v>1798.3</v>
      </c>
      <c r="H2403" s="2" t="n">
        <v>8.74</v>
      </c>
      <c r="I2403" s="2" t="s">
        <v>26</v>
      </c>
      <c r="J2403" s="2" t="s">
        <v>6972</v>
      </c>
      <c r="K2403" s="2" t="s">
        <v>95</v>
      </c>
      <c r="L2403" s="2" t="s">
        <v>96</v>
      </c>
      <c r="M2403" s="2"/>
    </row>
    <row r="2404" customFormat="false" ht="15" hidden="false" customHeight="false" outlineLevel="0" collapsed="false">
      <c r="A2404" s="2" t="s">
        <v>6973</v>
      </c>
      <c r="B2404" s="2" t="s">
        <v>1559</v>
      </c>
      <c r="C2404" s="2" t="s">
        <v>1560</v>
      </c>
      <c r="D2404" s="13" t="n">
        <v>45389.6972222222</v>
      </c>
      <c r="E2404" s="2" t="s">
        <v>41</v>
      </c>
      <c r="F2404" s="2" t="s">
        <v>32</v>
      </c>
      <c r="G2404" s="2" t="n">
        <v>2517.8</v>
      </c>
      <c r="H2404" s="2" t="n">
        <v>23.74</v>
      </c>
      <c r="I2404" s="2" t="s">
        <v>30</v>
      </c>
      <c r="J2404" s="2" t="s">
        <v>6974</v>
      </c>
      <c r="K2404" s="2" t="s">
        <v>89</v>
      </c>
      <c r="L2404" s="2" t="s">
        <v>102</v>
      </c>
      <c r="M2404" s="2"/>
    </row>
    <row r="2405" customFormat="false" ht="15" hidden="false" customHeight="false" outlineLevel="0" collapsed="false">
      <c r="A2405" s="2" t="s">
        <v>6975</v>
      </c>
      <c r="B2405" s="2" t="s">
        <v>6976</v>
      </c>
      <c r="C2405" s="2" t="s">
        <v>6977</v>
      </c>
      <c r="D2405" s="13" t="n">
        <v>45833.8701388889</v>
      </c>
      <c r="E2405" s="2" t="s">
        <v>43</v>
      </c>
      <c r="F2405" s="2" t="s">
        <v>31</v>
      </c>
      <c r="G2405" s="2" t="n">
        <v>6554.52</v>
      </c>
      <c r="H2405" s="2" t="n">
        <v>43.83</v>
      </c>
      <c r="I2405" s="2" t="s">
        <v>26</v>
      </c>
      <c r="J2405" s="2" t="s">
        <v>6978</v>
      </c>
      <c r="K2405" s="2" t="s">
        <v>122</v>
      </c>
      <c r="L2405" s="2"/>
      <c r="M2405" s="2" t="s">
        <v>594</v>
      </c>
    </row>
    <row r="2406" customFormat="false" ht="15" hidden="false" customHeight="false" outlineLevel="0" collapsed="false">
      <c r="A2406" s="2" t="s">
        <v>6979</v>
      </c>
      <c r="B2406" s="2" t="s">
        <v>2147</v>
      </c>
      <c r="C2406" s="2" t="s">
        <v>2148</v>
      </c>
      <c r="D2406" s="13" t="n">
        <v>45790.6458333333</v>
      </c>
      <c r="E2406" s="2" t="s">
        <v>39</v>
      </c>
      <c r="F2406" s="2" t="s">
        <v>31</v>
      </c>
      <c r="G2406" s="2" t="n">
        <v>3698.89</v>
      </c>
      <c r="H2406" s="2" t="n">
        <v>35.18</v>
      </c>
      <c r="I2406" s="2" t="s">
        <v>30</v>
      </c>
      <c r="J2406" s="2" t="s">
        <v>6980</v>
      </c>
      <c r="K2406" s="2" t="s">
        <v>89</v>
      </c>
      <c r="L2406" s="2" t="s">
        <v>812</v>
      </c>
      <c r="M2406" s="2"/>
    </row>
    <row r="2407" customFormat="false" ht="15" hidden="false" customHeight="false" outlineLevel="0" collapsed="false">
      <c r="A2407" s="2" t="s">
        <v>6981</v>
      </c>
      <c r="B2407" s="2" t="s">
        <v>3764</v>
      </c>
      <c r="C2407" s="2" t="s">
        <v>3765</v>
      </c>
      <c r="D2407" s="13" t="n">
        <v>45293.6055555556</v>
      </c>
      <c r="E2407" s="2" t="s">
        <v>41</v>
      </c>
      <c r="F2407" s="2" t="s">
        <v>27</v>
      </c>
      <c r="G2407" s="2" t="n">
        <v>766.53</v>
      </c>
      <c r="H2407" s="2" t="n">
        <v>8.02</v>
      </c>
      <c r="I2407" s="2" t="s">
        <v>26</v>
      </c>
      <c r="J2407" s="2" t="s">
        <v>6982</v>
      </c>
      <c r="K2407" s="2" t="s">
        <v>89</v>
      </c>
      <c r="L2407" s="2"/>
      <c r="M2407" s="2" t="s">
        <v>1778</v>
      </c>
    </row>
    <row r="2408" customFormat="false" ht="15" hidden="false" customHeight="false" outlineLevel="0" collapsed="false">
      <c r="A2408" s="2" t="s">
        <v>6983</v>
      </c>
      <c r="B2408" s="2" t="s">
        <v>3626</v>
      </c>
      <c r="C2408" s="2" t="s">
        <v>3627</v>
      </c>
      <c r="D2408" s="13" t="n">
        <v>45851.8958333333</v>
      </c>
      <c r="E2408" s="2" t="s">
        <v>41</v>
      </c>
      <c r="F2408" s="2" t="s">
        <v>32</v>
      </c>
      <c r="G2408" s="2" t="n">
        <v>21913.21</v>
      </c>
      <c r="H2408" s="2" t="n">
        <v>208.82</v>
      </c>
      <c r="I2408" s="2" t="s">
        <v>30</v>
      </c>
      <c r="J2408" s="2" t="s">
        <v>6984</v>
      </c>
      <c r="K2408" s="2" t="s">
        <v>101</v>
      </c>
      <c r="L2408" s="2" t="s">
        <v>123</v>
      </c>
      <c r="M2408" s="2"/>
    </row>
    <row r="2409" customFormat="false" ht="15" hidden="false" customHeight="false" outlineLevel="0" collapsed="false">
      <c r="A2409" s="2" t="s">
        <v>6985</v>
      </c>
      <c r="B2409" s="2" t="s">
        <v>689</v>
      </c>
      <c r="C2409" s="2" t="s">
        <v>690</v>
      </c>
      <c r="D2409" s="13" t="n">
        <v>45428.7173611111</v>
      </c>
      <c r="E2409" s="2" t="s">
        <v>35</v>
      </c>
      <c r="F2409" s="2" t="s">
        <v>32</v>
      </c>
      <c r="G2409" s="2" t="n">
        <v>57970</v>
      </c>
      <c r="H2409" s="2" t="n">
        <v>191.11</v>
      </c>
      <c r="I2409" s="2" t="s">
        <v>26</v>
      </c>
      <c r="J2409" s="2" t="s">
        <v>6986</v>
      </c>
      <c r="K2409" s="2" t="s">
        <v>122</v>
      </c>
      <c r="L2409" s="2" t="s">
        <v>128</v>
      </c>
      <c r="M2409" s="2"/>
    </row>
    <row r="2410" customFormat="false" ht="15" hidden="false" customHeight="false" outlineLevel="0" collapsed="false">
      <c r="A2410" s="2" t="s">
        <v>6987</v>
      </c>
      <c r="B2410" s="2" t="s">
        <v>1209</v>
      </c>
      <c r="C2410" s="2" t="s">
        <v>1210</v>
      </c>
      <c r="D2410" s="13" t="n">
        <v>45753.5201388889</v>
      </c>
      <c r="E2410" s="2" t="s">
        <v>39</v>
      </c>
      <c r="F2410" s="2" t="s">
        <v>32</v>
      </c>
      <c r="G2410" s="2" t="n">
        <v>3576.61</v>
      </c>
      <c r="H2410" s="2" t="n">
        <v>31.28</v>
      </c>
      <c r="I2410" s="2" t="s">
        <v>26</v>
      </c>
      <c r="J2410" s="2" t="s">
        <v>6988</v>
      </c>
      <c r="K2410" s="2" t="s">
        <v>101</v>
      </c>
      <c r="L2410" s="2" t="s">
        <v>133</v>
      </c>
      <c r="M2410" s="2"/>
    </row>
    <row r="2411" customFormat="false" ht="15" hidden="false" customHeight="false" outlineLevel="0" collapsed="false">
      <c r="A2411" s="2" t="s">
        <v>6989</v>
      </c>
      <c r="B2411" s="2" t="s">
        <v>5714</v>
      </c>
      <c r="C2411" s="2" t="s">
        <v>5715</v>
      </c>
      <c r="D2411" s="13" t="n">
        <v>45387.4576388889</v>
      </c>
      <c r="E2411" s="2" t="s">
        <v>39</v>
      </c>
      <c r="F2411" s="2" t="s">
        <v>32</v>
      </c>
      <c r="G2411" s="2" t="n">
        <v>18794.69</v>
      </c>
      <c r="H2411" s="2" t="n">
        <v>118.78</v>
      </c>
      <c r="I2411" s="2" t="s">
        <v>30</v>
      </c>
      <c r="J2411" s="2" t="s">
        <v>6990</v>
      </c>
      <c r="K2411" s="2" t="s">
        <v>122</v>
      </c>
      <c r="L2411" s="2" t="s">
        <v>138</v>
      </c>
      <c r="M2411" s="2"/>
    </row>
    <row r="2412" customFormat="false" ht="15" hidden="false" customHeight="false" outlineLevel="0" collapsed="false">
      <c r="A2412" s="2" t="s">
        <v>6991</v>
      </c>
      <c r="B2412" s="2" t="s">
        <v>2353</v>
      </c>
      <c r="C2412" s="2" t="s">
        <v>2354</v>
      </c>
      <c r="D2412" s="13" t="n">
        <v>45835.6090277778</v>
      </c>
      <c r="E2412" s="2" t="s">
        <v>43</v>
      </c>
      <c r="F2412" s="2" t="s">
        <v>29</v>
      </c>
      <c r="G2412" s="2" t="n">
        <v>28144.65</v>
      </c>
      <c r="H2412" s="2" t="n">
        <v>206.65</v>
      </c>
      <c r="I2412" s="2" t="s">
        <v>26</v>
      </c>
      <c r="J2412" s="2" t="s">
        <v>6992</v>
      </c>
      <c r="K2412" s="2" t="s">
        <v>89</v>
      </c>
      <c r="L2412" s="2"/>
      <c r="M2412" s="2" t="s">
        <v>627</v>
      </c>
    </row>
    <row r="2413" customFormat="false" ht="15" hidden="false" customHeight="false" outlineLevel="0" collapsed="false">
      <c r="A2413" s="2" t="s">
        <v>6993</v>
      </c>
      <c r="B2413" s="2" t="s">
        <v>2322</v>
      </c>
      <c r="C2413" s="2" t="s">
        <v>2323</v>
      </c>
      <c r="D2413" s="13" t="n">
        <v>45975.6868055556</v>
      </c>
      <c r="E2413" s="2" t="s">
        <v>43</v>
      </c>
      <c r="F2413" s="2" t="s">
        <v>32</v>
      </c>
      <c r="G2413" s="2" t="n">
        <v>1590.52</v>
      </c>
      <c r="H2413" s="2" t="n">
        <v>14.19</v>
      </c>
      <c r="I2413" s="2" t="s">
        <v>26</v>
      </c>
      <c r="J2413" s="2" t="s">
        <v>6994</v>
      </c>
      <c r="K2413" s="2" t="s">
        <v>101</v>
      </c>
      <c r="L2413" s="2"/>
      <c r="M2413" s="2" t="s">
        <v>144</v>
      </c>
    </row>
    <row r="2414" customFormat="false" ht="15" hidden="false" customHeight="false" outlineLevel="0" collapsed="false">
      <c r="A2414" s="2" t="s">
        <v>6995</v>
      </c>
      <c r="B2414" s="2" t="s">
        <v>6996</v>
      </c>
      <c r="C2414" s="2" t="s">
        <v>6997</v>
      </c>
      <c r="D2414" s="13" t="n">
        <v>45778.3722222222</v>
      </c>
      <c r="E2414" s="2" t="s">
        <v>41</v>
      </c>
      <c r="F2414" s="2" t="s">
        <v>32</v>
      </c>
      <c r="G2414" s="2" t="n">
        <v>2057.55</v>
      </c>
      <c r="H2414" s="2" t="n">
        <v>18.98</v>
      </c>
      <c r="I2414" s="2" t="s">
        <v>28</v>
      </c>
      <c r="J2414" s="2" t="s">
        <v>6998</v>
      </c>
      <c r="K2414" s="2" t="s">
        <v>101</v>
      </c>
      <c r="L2414" s="2" t="s">
        <v>147</v>
      </c>
      <c r="M2414" s="2"/>
    </row>
    <row r="2415" customFormat="false" ht="15" hidden="false" customHeight="false" outlineLevel="0" collapsed="false">
      <c r="A2415" s="2" t="s">
        <v>6999</v>
      </c>
      <c r="B2415" s="2" t="s">
        <v>3354</v>
      </c>
      <c r="C2415" s="2" t="s">
        <v>3355</v>
      </c>
      <c r="D2415" s="13" t="n">
        <v>45425.3395833333</v>
      </c>
      <c r="E2415" s="2" t="s">
        <v>37</v>
      </c>
      <c r="F2415" s="2" t="s">
        <v>29</v>
      </c>
      <c r="G2415" s="2" t="n">
        <v>2824.67</v>
      </c>
      <c r="H2415" s="2" t="n">
        <v>17.5</v>
      </c>
      <c r="I2415" s="2" t="s">
        <v>26</v>
      </c>
      <c r="J2415" s="2" t="s">
        <v>7000</v>
      </c>
      <c r="K2415" s="2" t="s">
        <v>122</v>
      </c>
      <c r="L2415" s="2" t="s">
        <v>150</v>
      </c>
      <c r="M2415" s="2"/>
    </row>
    <row r="2416" customFormat="false" ht="15" hidden="false" customHeight="false" outlineLevel="0" collapsed="false">
      <c r="A2416" s="2" t="s">
        <v>7001</v>
      </c>
      <c r="B2416" s="2" t="s">
        <v>370</v>
      </c>
      <c r="C2416" s="2" t="s">
        <v>371</v>
      </c>
      <c r="D2416" s="13" t="n">
        <v>45755.3979166667</v>
      </c>
      <c r="E2416" s="2" t="s">
        <v>39</v>
      </c>
      <c r="F2416" s="2" t="s">
        <v>32</v>
      </c>
      <c r="G2416" s="2" t="n">
        <v>7542.22</v>
      </c>
      <c r="H2416" s="2" t="n">
        <v>46.33</v>
      </c>
      <c r="I2416" s="2" t="s">
        <v>28</v>
      </c>
      <c r="J2416" s="2" t="s">
        <v>7002</v>
      </c>
      <c r="K2416" s="2" t="s">
        <v>101</v>
      </c>
      <c r="L2416" s="2" t="s">
        <v>153</v>
      </c>
      <c r="M2416" s="2"/>
    </row>
    <row r="2417" customFormat="false" ht="15" hidden="false" customHeight="false" outlineLevel="0" collapsed="false">
      <c r="A2417" s="2" t="s">
        <v>7003</v>
      </c>
      <c r="B2417" s="2" t="s">
        <v>3794</v>
      </c>
      <c r="C2417" s="2" t="s">
        <v>3795</v>
      </c>
      <c r="D2417" s="13" t="n">
        <v>45589.7430555556</v>
      </c>
      <c r="E2417" s="2" t="s">
        <v>43</v>
      </c>
      <c r="F2417" s="2" t="s">
        <v>29</v>
      </c>
      <c r="G2417" s="2" t="n">
        <v>6618.14</v>
      </c>
      <c r="H2417" s="2" t="n">
        <v>17.51</v>
      </c>
      <c r="I2417" s="2" t="s">
        <v>30</v>
      </c>
      <c r="J2417" s="2" t="s">
        <v>7004</v>
      </c>
      <c r="K2417" s="2" t="s">
        <v>122</v>
      </c>
      <c r="L2417" s="2"/>
      <c r="M2417" s="2" t="s">
        <v>1453</v>
      </c>
    </row>
    <row r="2418" customFormat="false" ht="15" hidden="false" customHeight="false" outlineLevel="0" collapsed="false">
      <c r="A2418" s="2" t="s">
        <v>7005</v>
      </c>
      <c r="B2418" s="2" t="s">
        <v>2302</v>
      </c>
      <c r="C2418" s="2" t="s">
        <v>2303</v>
      </c>
      <c r="D2418" s="13" t="n">
        <v>45527.7361111111</v>
      </c>
      <c r="E2418" s="2" t="s">
        <v>41</v>
      </c>
      <c r="F2418" s="2" t="s">
        <v>27</v>
      </c>
      <c r="G2418" s="2" t="n">
        <v>3520.72</v>
      </c>
      <c r="H2418" s="2" t="n">
        <v>27.14</v>
      </c>
      <c r="I2418" s="2" t="s">
        <v>30</v>
      </c>
      <c r="J2418" s="2" t="s">
        <v>7006</v>
      </c>
      <c r="K2418" s="2" t="s">
        <v>95</v>
      </c>
      <c r="L2418" s="2"/>
      <c r="M2418" s="2" t="s">
        <v>163</v>
      </c>
    </row>
    <row r="2419" customFormat="false" ht="15" hidden="false" customHeight="false" outlineLevel="0" collapsed="false">
      <c r="A2419" s="2" t="s">
        <v>7007</v>
      </c>
      <c r="B2419" s="2" t="s">
        <v>3094</v>
      </c>
      <c r="C2419" s="2" t="s">
        <v>3095</v>
      </c>
      <c r="D2419" s="13" t="n">
        <v>45889.8305555556</v>
      </c>
      <c r="E2419" s="2" t="s">
        <v>43</v>
      </c>
      <c r="F2419" s="2" t="s">
        <v>27</v>
      </c>
      <c r="G2419" s="2" t="n">
        <v>8966.13</v>
      </c>
      <c r="H2419" s="2" t="n">
        <v>104</v>
      </c>
      <c r="I2419" s="2" t="s">
        <v>30</v>
      </c>
      <c r="J2419" s="2" t="s">
        <v>7008</v>
      </c>
      <c r="K2419" s="2" t="s">
        <v>122</v>
      </c>
      <c r="L2419" s="2"/>
      <c r="M2419" s="2" t="s">
        <v>657</v>
      </c>
    </row>
    <row r="2420" customFormat="false" ht="15" hidden="false" customHeight="false" outlineLevel="0" collapsed="false">
      <c r="A2420" s="2" t="s">
        <v>7009</v>
      </c>
      <c r="B2420" s="2" t="s">
        <v>2387</v>
      </c>
      <c r="C2420" s="2" t="s">
        <v>2388</v>
      </c>
      <c r="D2420" s="13" t="n">
        <v>45379.9409722222</v>
      </c>
      <c r="E2420" s="2" t="s">
        <v>41</v>
      </c>
      <c r="F2420" s="2" t="s">
        <v>31</v>
      </c>
      <c r="G2420" s="2" t="n">
        <v>5205.81</v>
      </c>
      <c r="H2420" s="2" t="n">
        <v>55.45</v>
      </c>
      <c r="I2420" s="2" t="s">
        <v>26</v>
      </c>
      <c r="J2420" s="2" t="s">
        <v>7010</v>
      </c>
      <c r="K2420" s="2" t="s">
        <v>89</v>
      </c>
      <c r="L2420" s="2" t="s">
        <v>173</v>
      </c>
      <c r="M2420" s="2"/>
    </row>
    <row r="2421" customFormat="false" ht="15" hidden="false" customHeight="false" outlineLevel="0" collapsed="false">
      <c r="A2421" s="2" t="s">
        <v>7011</v>
      </c>
      <c r="B2421" s="2" t="s">
        <v>659</v>
      </c>
      <c r="C2421" s="2" t="s">
        <v>660</v>
      </c>
      <c r="D2421" s="13" t="n">
        <v>45322.4493055556</v>
      </c>
      <c r="E2421" s="2" t="s">
        <v>37</v>
      </c>
      <c r="F2421" s="2" t="s">
        <v>31</v>
      </c>
      <c r="G2421" s="2" t="n">
        <v>1725.68</v>
      </c>
      <c r="H2421" s="2" t="n">
        <v>10.49</v>
      </c>
      <c r="I2421" s="2" t="s">
        <v>26</v>
      </c>
      <c r="J2421" s="2" t="s">
        <v>7012</v>
      </c>
      <c r="K2421" s="2" t="s">
        <v>95</v>
      </c>
      <c r="L2421" s="2" t="s">
        <v>178</v>
      </c>
      <c r="M2421" s="2"/>
    </row>
    <row r="2422" customFormat="false" ht="15" hidden="false" customHeight="false" outlineLevel="0" collapsed="false">
      <c r="A2422" s="2" t="s">
        <v>7013</v>
      </c>
      <c r="B2422" s="2" t="s">
        <v>563</v>
      </c>
      <c r="C2422" s="2" t="s">
        <v>564</v>
      </c>
      <c r="D2422" s="13" t="n">
        <v>45379.7298611111</v>
      </c>
      <c r="E2422" s="2" t="s">
        <v>43</v>
      </c>
      <c r="F2422" s="2" t="s">
        <v>31</v>
      </c>
      <c r="G2422" s="2" t="n">
        <v>2542.07</v>
      </c>
      <c r="H2422" s="2" t="n">
        <v>11.52</v>
      </c>
      <c r="I2422" s="2" t="s">
        <v>28</v>
      </c>
      <c r="J2422" s="2" t="s">
        <v>7014</v>
      </c>
      <c r="K2422" s="2" t="s">
        <v>122</v>
      </c>
      <c r="L2422" s="2"/>
      <c r="M2422" s="2" t="s">
        <v>183</v>
      </c>
    </row>
    <row r="2423" customFormat="false" ht="15" hidden="false" customHeight="false" outlineLevel="0" collapsed="false">
      <c r="A2423" s="2" t="s">
        <v>7015</v>
      </c>
      <c r="B2423" s="2" t="s">
        <v>2449</v>
      </c>
      <c r="C2423" s="2" t="s">
        <v>2450</v>
      </c>
      <c r="D2423" s="13" t="n">
        <v>45392.3208333333</v>
      </c>
      <c r="E2423" s="2" t="s">
        <v>35</v>
      </c>
      <c r="F2423" s="2" t="s">
        <v>27</v>
      </c>
      <c r="G2423" s="2" t="n">
        <v>4102.43</v>
      </c>
      <c r="H2423" s="2" t="n">
        <v>19.08</v>
      </c>
      <c r="I2423" s="2" t="s">
        <v>26</v>
      </c>
      <c r="J2423" s="2" t="s">
        <v>7016</v>
      </c>
      <c r="K2423" s="2" t="s">
        <v>101</v>
      </c>
      <c r="L2423" s="2"/>
      <c r="M2423" s="2" t="s">
        <v>1084</v>
      </c>
    </row>
    <row r="2424" customFormat="false" ht="15" hidden="false" customHeight="false" outlineLevel="0" collapsed="false">
      <c r="A2424" s="2" t="s">
        <v>7017</v>
      </c>
      <c r="B2424" s="2" t="s">
        <v>6812</v>
      </c>
      <c r="C2424" s="2" t="s">
        <v>6813</v>
      </c>
      <c r="D2424" s="13" t="n">
        <v>45966.5208333333</v>
      </c>
      <c r="E2424" s="2" t="s">
        <v>35</v>
      </c>
      <c r="F2424" s="2" t="s">
        <v>32</v>
      </c>
      <c r="G2424" s="2" t="n">
        <v>2584.27</v>
      </c>
      <c r="H2424" s="2" t="n">
        <v>8.49</v>
      </c>
      <c r="I2424" s="2" t="s">
        <v>26</v>
      </c>
      <c r="J2424" s="2" t="s">
        <v>7018</v>
      </c>
      <c r="K2424" s="2" t="s">
        <v>101</v>
      </c>
      <c r="L2424" s="2" t="s">
        <v>193</v>
      </c>
      <c r="M2424" s="2"/>
    </row>
    <row r="2425" customFormat="false" ht="15" hidden="false" customHeight="false" outlineLevel="0" collapsed="false">
      <c r="A2425" s="2" t="s">
        <v>7019</v>
      </c>
      <c r="B2425" s="2" t="s">
        <v>1999</v>
      </c>
      <c r="C2425" s="2" t="s">
        <v>2000</v>
      </c>
      <c r="D2425" s="13" t="n">
        <v>45759.4423611111</v>
      </c>
      <c r="E2425" s="2" t="s">
        <v>41</v>
      </c>
      <c r="F2425" s="2" t="s">
        <v>29</v>
      </c>
      <c r="G2425" s="2" t="n">
        <v>3180.34</v>
      </c>
      <c r="H2425" s="2" t="n">
        <v>8.39</v>
      </c>
      <c r="I2425" s="2" t="s">
        <v>26</v>
      </c>
      <c r="J2425" s="2" t="s">
        <v>7020</v>
      </c>
      <c r="K2425" s="2" t="s">
        <v>95</v>
      </c>
      <c r="L2425" s="2" t="s">
        <v>1482</v>
      </c>
      <c r="M2425" s="2"/>
    </row>
    <row r="2426" customFormat="false" ht="15" hidden="false" customHeight="false" outlineLevel="0" collapsed="false">
      <c r="A2426" s="2" t="s">
        <v>7021</v>
      </c>
      <c r="B2426" s="2" t="s">
        <v>2599</v>
      </c>
      <c r="C2426" s="2" t="s">
        <v>2600</v>
      </c>
      <c r="D2426" s="13" t="n">
        <v>45529.8534722222</v>
      </c>
      <c r="E2426" s="2" t="s">
        <v>37</v>
      </c>
      <c r="F2426" s="2" t="s">
        <v>32</v>
      </c>
      <c r="G2426" s="2" t="n">
        <v>2713.77</v>
      </c>
      <c r="H2426" s="2" t="n">
        <v>18.56</v>
      </c>
      <c r="I2426" s="2" t="s">
        <v>26</v>
      </c>
      <c r="J2426" s="2" t="s">
        <v>7022</v>
      </c>
      <c r="K2426" s="2" t="s">
        <v>95</v>
      </c>
      <c r="L2426" s="2" t="s">
        <v>891</v>
      </c>
      <c r="M2426" s="2"/>
    </row>
    <row r="2427" customFormat="false" ht="15" hidden="false" customHeight="false" outlineLevel="0" collapsed="false">
      <c r="A2427" s="2" t="s">
        <v>7023</v>
      </c>
      <c r="B2427" s="2" t="s">
        <v>3754</v>
      </c>
      <c r="C2427" s="2" t="s">
        <v>3755</v>
      </c>
      <c r="D2427" s="13" t="n">
        <v>45634.9305555556</v>
      </c>
      <c r="E2427" s="2" t="s">
        <v>37</v>
      </c>
      <c r="F2427" s="2" t="s">
        <v>27</v>
      </c>
      <c r="G2427" s="2" t="n">
        <v>5922.56</v>
      </c>
      <c r="H2427" s="2" t="n">
        <v>27.05</v>
      </c>
      <c r="I2427" s="2" t="s">
        <v>26</v>
      </c>
      <c r="J2427" s="2" t="s">
        <v>7024</v>
      </c>
      <c r="K2427" s="2" t="s">
        <v>95</v>
      </c>
      <c r="L2427" s="2"/>
      <c r="M2427" s="2" t="s">
        <v>692</v>
      </c>
    </row>
    <row r="2428" customFormat="false" ht="15" hidden="false" customHeight="false" outlineLevel="0" collapsed="false">
      <c r="A2428" s="2" t="s">
        <v>7025</v>
      </c>
      <c r="B2428" s="2" t="s">
        <v>4684</v>
      </c>
      <c r="C2428" s="2" t="s">
        <v>4685</v>
      </c>
      <c r="D2428" s="13" t="n">
        <v>45814.3263888889</v>
      </c>
      <c r="E2428" s="2" t="s">
        <v>43</v>
      </c>
      <c r="F2428" s="2" t="s">
        <v>31</v>
      </c>
      <c r="G2428" s="2" t="n">
        <v>328.71</v>
      </c>
      <c r="H2428" s="2" t="n">
        <v>5</v>
      </c>
      <c r="I2428" s="2" t="s">
        <v>26</v>
      </c>
      <c r="J2428" s="2" t="s">
        <v>7026</v>
      </c>
      <c r="K2428" s="2" t="s">
        <v>101</v>
      </c>
      <c r="L2428" s="2"/>
      <c r="M2428" s="2" t="s">
        <v>1495</v>
      </c>
    </row>
    <row r="2429" customFormat="false" ht="15" hidden="false" customHeight="false" outlineLevel="0" collapsed="false">
      <c r="A2429" s="2" t="s">
        <v>7027</v>
      </c>
      <c r="B2429" s="2" t="s">
        <v>705</v>
      </c>
      <c r="C2429" s="2" t="s">
        <v>706</v>
      </c>
      <c r="D2429" s="13" t="n">
        <v>45694.8597222222</v>
      </c>
      <c r="E2429" s="2" t="s">
        <v>39</v>
      </c>
      <c r="F2429" s="2" t="s">
        <v>27</v>
      </c>
      <c r="G2429" s="2" t="n">
        <v>2542.51</v>
      </c>
      <c r="H2429" s="2" t="n">
        <v>26.56</v>
      </c>
      <c r="I2429" s="2" t="s">
        <v>26</v>
      </c>
      <c r="J2429" s="2" t="s">
        <v>7028</v>
      </c>
      <c r="K2429" s="2" t="s">
        <v>95</v>
      </c>
      <c r="L2429" s="2"/>
      <c r="M2429" s="2" t="s">
        <v>700</v>
      </c>
    </row>
    <row r="2430" customFormat="false" ht="15" hidden="false" customHeight="false" outlineLevel="0" collapsed="false">
      <c r="A2430" s="2" t="s">
        <v>7029</v>
      </c>
      <c r="B2430" s="2" t="s">
        <v>2525</v>
      </c>
      <c r="C2430" s="2" t="s">
        <v>2526</v>
      </c>
      <c r="D2430" s="13" t="n">
        <v>45527.7666666667</v>
      </c>
      <c r="E2430" s="2" t="s">
        <v>39</v>
      </c>
      <c r="F2430" s="2" t="s">
        <v>32</v>
      </c>
      <c r="G2430" s="2" t="n">
        <v>2742.14</v>
      </c>
      <c r="H2430" s="2" t="n">
        <v>12.2</v>
      </c>
      <c r="I2430" s="2" t="s">
        <v>26</v>
      </c>
      <c r="J2430" s="2" t="s">
        <v>7030</v>
      </c>
      <c r="K2430" s="2" t="s">
        <v>101</v>
      </c>
      <c r="L2430" s="2" t="s">
        <v>1504</v>
      </c>
      <c r="M2430" s="2"/>
    </row>
    <row r="2431" customFormat="false" ht="15" hidden="false" customHeight="false" outlineLevel="0" collapsed="false">
      <c r="A2431" s="2" t="s">
        <v>7031</v>
      </c>
      <c r="B2431" s="2" t="s">
        <v>2603</v>
      </c>
      <c r="C2431" s="2" t="s">
        <v>2604</v>
      </c>
      <c r="D2431" s="13" t="n">
        <v>45493.8326388889</v>
      </c>
      <c r="E2431" s="2" t="s">
        <v>43</v>
      </c>
      <c r="F2431" s="2" t="s">
        <v>27</v>
      </c>
      <c r="G2431" s="2" t="n">
        <v>3111.25</v>
      </c>
      <c r="H2431" s="2" t="n">
        <v>17.5</v>
      </c>
      <c r="I2431" s="2" t="s">
        <v>30</v>
      </c>
      <c r="J2431" s="2" t="s">
        <v>7032</v>
      </c>
      <c r="K2431" s="2" t="s">
        <v>122</v>
      </c>
      <c r="L2431" s="2"/>
      <c r="M2431" s="2" t="s">
        <v>228</v>
      </c>
    </row>
    <row r="2432" customFormat="false" ht="15" hidden="false" customHeight="false" outlineLevel="0" collapsed="false">
      <c r="A2432" s="2" t="s">
        <v>7033</v>
      </c>
      <c r="B2432" s="2" t="s">
        <v>5700</v>
      </c>
      <c r="C2432" s="2" t="s">
        <v>5701</v>
      </c>
      <c r="D2432" s="13" t="n">
        <v>45503.7402777778</v>
      </c>
      <c r="E2432" s="2" t="s">
        <v>41</v>
      </c>
      <c r="F2432" s="2" t="s">
        <v>32</v>
      </c>
      <c r="G2432" s="2" t="n">
        <v>23200.66</v>
      </c>
      <c r="H2432" s="2" t="n">
        <v>199.8</v>
      </c>
      <c r="I2432" s="2" t="s">
        <v>30</v>
      </c>
      <c r="J2432" s="2" t="s">
        <v>7034</v>
      </c>
      <c r="K2432" s="2" t="s">
        <v>101</v>
      </c>
      <c r="L2432" s="2" t="s">
        <v>916</v>
      </c>
      <c r="M2432" s="2"/>
    </row>
    <row r="2433" customFormat="false" ht="15" hidden="false" customHeight="false" outlineLevel="0" collapsed="false">
      <c r="A2433" s="2" t="s">
        <v>7035</v>
      </c>
      <c r="B2433" s="2" t="s">
        <v>624</v>
      </c>
      <c r="C2433" s="2" t="s">
        <v>625</v>
      </c>
      <c r="D2433" s="13" t="n">
        <v>45764.8034722222</v>
      </c>
      <c r="E2433" s="2" t="s">
        <v>39</v>
      </c>
      <c r="F2433" s="2" t="s">
        <v>32</v>
      </c>
      <c r="G2433" s="2" t="n">
        <v>14944.94</v>
      </c>
      <c r="H2433" s="2" t="n">
        <v>131.28</v>
      </c>
      <c r="I2433" s="2" t="s">
        <v>30</v>
      </c>
      <c r="J2433" s="2" t="s">
        <v>7036</v>
      </c>
      <c r="K2433" s="2" t="s">
        <v>122</v>
      </c>
      <c r="L2433" s="2" t="s">
        <v>1513</v>
      </c>
      <c r="M2433" s="2"/>
    </row>
    <row r="2434" customFormat="false" ht="15" hidden="false" customHeight="false" outlineLevel="0" collapsed="false">
      <c r="A2434" s="2" t="s">
        <v>7037</v>
      </c>
      <c r="B2434" s="2" t="s">
        <v>4300</v>
      </c>
      <c r="C2434" s="2" t="s">
        <v>4301</v>
      </c>
      <c r="D2434" s="13" t="n">
        <v>45558.5708333333</v>
      </c>
      <c r="E2434" s="2" t="s">
        <v>43</v>
      </c>
      <c r="F2434" s="2" t="s">
        <v>27</v>
      </c>
      <c r="G2434" s="2" t="n">
        <v>364.72</v>
      </c>
      <c r="H2434" s="2" t="n">
        <v>5</v>
      </c>
      <c r="I2434" s="2" t="s">
        <v>26</v>
      </c>
      <c r="J2434" s="2" t="s">
        <v>7038</v>
      </c>
      <c r="K2434" s="2" t="s">
        <v>122</v>
      </c>
      <c r="L2434" s="2"/>
      <c r="M2434" s="2" t="s">
        <v>718</v>
      </c>
    </row>
    <row r="2435" customFormat="false" ht="15" hidden="false" customHeight="false" outlineLevel="0" collapsed="false">
      <c r="A2435" s="2" t="s">
        <v>7039</v>
      </c>
      <c r="B2435" s="2" t="s">
        <v>1166</v>
      </c>
      <c r="C2435" s="2" t="s">
        <v>1167</v>
      </c>
      <c r="D2435" s="13" t="n">
        <v>45695.6777777778</v>
      </c>
      <c r="E2435" s="2" t="s">
        <v>35</v>
      </c>
      <c r="F2435" s="2" t="s">
        <v>27</v>
      </c>
      <c r="G2435" s="2" t="n">
        <v>1258.75</v>
      </c>
      <c r="H2435" s="2" t="n">
        <v>10.44</v>
      </c>
      <c r="I2435" s="2" t="s">
        <v>26</v>
      </c>
      <c r="J2435" s="2" t="s">
        <v>7040</v>
      </c>
      <c r="K2435" s="2" t="s">
        <v>95</v>
      </c>
      <c r="L2435" s="2"/>
      <c r="M2435" s="2" t="s">
        <v>723</v>
      </c>
    </row>
    <row r="2436" customFormat="false" ht="15" hidden="false" customHeight="false" outlineLevel="0" collapsed="false">
      <c r="A2436" s="2" t="s">
        <v>7041</v>
      </c>
      <c r="B2436" s="2" t="s">
        <v>490</v>
      </c>
      <c r="C2436" s="2" t="s">
        <v>491</v>
      </c>
      <c r="D2436" s="13" t="n">
        <v>45355.8</v>
      </c>
      <c r="E2436" s="2" t="s">
        <v>39</v>
      </c>
      <c r="F2436" s="2" t="s">
        <v>29</v>
      </c>
      <c r="G2436" s="2" t="n">
        <v>2095.24</v>
      </c>
      <c r="H2436" s="2" t="n">
        <v>6.67</v>
      </c>
      <c r="I2436" s="2" t="s">
        <v>30</v>
      </c>
      <c r="J2436" s="2" t="s">
        <v>7042</v>
      </c>
      <c r="K2436" s="2" t="s">
        <v>89</v>
      </c>
      <c r="L2436" s="2" t="s">
        <v>253</v>
      </c>
      <c r="M2436" s="2"/>
    </row>
    <row r="2437" customFormat="false" ht="15" hidden="false" customHeight="false" outlineLevel="0" collapsed="false">
      <c r="A2437" s="2" t="s">
        <v>7043</v>
      </c>
      <c r="B2437" s="2" t="s">
        <v>4148</v>
      </c>
      <c r="C2437" s="2" t="s">
        <v>4149</v>
      </c>
      <c r="D2437" s="13" t="n">
        <v>45557.3527777778</v>
      </c>
      <c r="E2437" s="2" t="s">
        <v>39</v>
      </c>
      <c r="F2437" s="2" t="s">
        <v>29</v>
      </c>
      <c r="G2437" s="2" t="n">
        <v>4617.5</v>
      </c>
      <c r="H2437" s="2" t="n">
        <v>53.8</v>
      </c>
      <c r="I2437" s="2" t="s">
        <v>28</v>
      </c>
      <c r="J2437" s="2" t="s">
        <v>7044</v>
      </c>
      <c r="K2437" s="2" t="s">
        <v>89</v>
      </c>
      <c r="L2437" s="2" t="s">
        <v>258</v>
      </c>
      <c r="M2437" s="2"/>
    </row>
    <row r="2438" customFormat="false" ht="15" hidden="false" customHeight="false" outlineLevel="0" collapsed="false">
      <c r="A2438" s="2" t="s">
        <v>7045</v>
      </c>
      <c r="B2438" s="2" t="s">
        <v>7046</v>
      </c>
      <c r="C2438" s="2" t="s">
        <v>7047</v>
      </c>
      <c r="D2438" s="13" t="n">
        <v>45501.7833333333</v>
      </c>
      <c r="E2438" s="2" t="s">
        <v>41</v>
      </c>
      <c r="F2438" s="2" t="s">
        <v>27</v>
      </c>
      <c r="G2438" s="2" t="n">
        <v>31361.62</v>
      </c>
      <c r="H2438" s="2" t="n">
        <v>212.14</v>
      </c>
      <c r="I2438" s="2" t="s">
        <v>26</v>
      </c>
      <c r="J2438" s="2" t="s">
        <v>7048</v>
      </c>
      <c r="K2438" s="2" t="s">
        <v>95</v>
      </c>
      <c r="L2438" s="2"/>
      <c r="M2438" s="2" t="s">
        <v>263</v>
      </c>
    </row>
    <row r="2439" customFormat="false" ht="15" hidden="false" customHeight="false" outlineLevel="0" collapsed="false">
      <c r="A2439" s="2" t="s">
        <v>7049</v>
      </c>
      <c r="B2439" s="2" t="s">
        <v>2539</v>
      </c>
      <c r="C2439" s="2" t="s">
        <v>2540</v>
      </c>
      <c r="D2439" s="13" t="n">
        <v>45935.5333333333</v>
      </c>
      <c r="E2439" s="2" t="s">
        <v>37</v>
      </c>
      <c r="F2439" s="2" t="s">
        <v>27</v>
      </c>
      <c r="G2439" s="2" t="n">
        <v>8586.72</v>
      </c>
      <c r="H2439" s="2" t="n">
        <v>81.51</v>
      </c>
      <c r="I2439" s="2" t="s">
        <v>26</v>
      </c>
      <c r="J2439" s="2" t="s">
        <v>7050</v>
      </c>
      <c r="K2439" s="2" t="s">
        <v>122</v>
      </c>
      <c r="L2439" s="2"/>
      <c r="M2439" s="2" t="s">
        <v>268</v>
      </c>
    </row>
    <row r="2440" customFormat="false" ht="15" hidden="false" customHeight="false" outlineLevel="0" collapsed="false">
      <c r="A2440" s="2" t="s">
        <v>7051</v>
      </c>
      <c r="B2440" s="2" t="s">
        <v>2865</v>
      </c>
      <c r="C2440" s="2" t="s">
        <v>2866</v>
      </c>
      <c r="D2440" s="13" t="n">
        <v>45354.7243055556</v>
      </c>
      <c r="E2440" s="2" t="s">
        <v>39</v>
      </c>
      <c r="F2440" s="2" t="s">
        <v>27</v>
      </c>
      <c r="G2440" s="2" t="n">
        <v>1719.82</v>
      </c>
      <c r="H2440" s="2" t="n">
        <v>15.72</v>
      </c>
      <c r="I2440" s="2" t="s">
        <v>26</v>
      </c>
      <c r="J2440" s="2" t="s">
        <v>7052</v>
      </c>
      <c r="K2440" s="2" t="s">
        <v>95</v>
      </c>
      <c r="L2440" s="2"/>
      <c r="M2440" s="2" t="s">
        <v>273</v>
      </c>
    </row>
    <row r="2441" customFormat="false" ht="15" hidden="false" customHeight="false" outlineLevel="0" collapsed="false">
      <c r="A2441" s="2" t="s">
        <v>7053</v>
      </c>
      <c r="B2441" s="2" t="s">
        <v>3318</v>
      </c>
      <c r="C2441" s="2" t="s">
        <v>3319</v>
      </c>
      <c r="D2441" s="13" t="n">
        <v>45893.8180555556</v>
      </c>
      <c r="E2441" s="2" t="s">
        <v>37</v>
      </c>
      <c r="F2441" s="2" t="s">
        <v>31</v>
      </c>
      <c r="G2441" s="2" t="n">
        <v>1465.92</v>
      </c>
      <c r="H2441" s="2" t="n">
        <v>5.62</v>
      </c>
      <c r="I2441" s="2" t="s">
        <v>26</v>
      </c>
      <c r="J2441" s="2" t="s">
        <v>7054</v>
      </c>
      <c r="K2441" s="2" t="s">
        <v>95</v>
      </c>
      <c r="L2441" s="2" t="s">
        <v>1543</v>
      </c>
      <c r="M2441" s="2"/>
    </row>
    <row r="2442" customFormat="false" ht="15" hidden="false" customHeight="false" outlineLevel="0" collapsed="false">
      <c r="A2442" s="2" t="s">
        <v>7055</v>
      </c>
      <c r="B2442" s="2" t="s">
        <v>1219</v>
      </c>
      <c r="C2442" s="2" t="s">
        <v>1220</v>
      </c>
      <c r="D2442" s="13" t="n">
        <v>45545.5756944444</v>
      </c>
      <c r="E2442" s="2" t="s">
        <v>37</v>
      </c>
      <c r="F2442" s="2" t="s">
        <v>32</v>
      </c>
      <c r="G2442" s="2" t="n">
        <v>5851.85</v>
      </c>
      <c r="H2442" s="2" t="n">
        <v>69.09</v>
      </c>
      <c r="I2442" s="2" t="s">
        <v>26</v>
      </c>
      <c r="J2442" s="2" t="s">
        <v>7056</v>
      </c>
      <c r="K2442" s="2" t="s">
        <v>101</v>
      </c>
      <c r="L2442" s="2" t="s">
        <v>283</v>
      </c>
      <c r="M2442" s="2"/>
    </row>
    <row r="2443" customFormat="false" ht="15" hidden="false" customHeight="false" outlineLevel="0" collapsed="false">
      <c r="A2443" s="2" t="s">
        <v>7057</v>
      </c>
      <c r="B2443" s="2" t="s">
        <v>3392</v>
      </c>
      <c r="C2443" s="2" t="s">
        <v>3393</v>
      </c>
      <c r="D2443" s="13" t="n">
        <v>45312.5027777778</v>
      </c>
      <c r="E2443" s="2" t="s">
        <v>35</v>
      </c>
      <c r="F2443" s="2" t="s">
        <v>31</v>
      </c>
      <c r="G2443" s="2" t="n">
        <v>683.26</v>
      </c>
      <c r="H2443" s="2" t="n">
        <v>7.14</v>
      </c>
      <c r="I2443" s="2" t="s">
        <v>26</v>
      </c>
      <c r="J2443" s="2" t="s">
        <v>7058</v>
      </c>
      <c r="K2443" s="2" t="s">
        <v>122</v>
      </c>
      <c r="L2443" s="2" t="s">
        <v>963</v>
      </c>
      <c r="M2443" s="2"/>
    </row>
    <row r="2444" customFormat="false" ht="15" hidden="false" customHeight="false" outlineLevel="0" collapsed="false">
      <c r="A2444" s="2" t="s">
        <v>7059</v>
      </c>
      <c r="B2444" s="2" t="s">
        <v>6206</v>
      </c>
      <c r="C2444" s="2" t="s">
        <v>6207</v>
      </c>
      <c r="D2444" s="13" t="n">
        <v>45377.4909722222</v>
      </c>
      <c r="E2444" s="2" t="s">
        <v>35</v>
      </c>
      <c r="F2444" s="2" t="s">
        <v>31</v>
      </c>
      <c r="G2444" s="2" t="n">
        <v>4903.96</v>
      </c>
      <c r="H2444" s="2" t="n">
        <v>22.85</v>
      </c>
      <c r="I2444" s="2" t="s">
        <v>30</v>
      </c>
      <c r="J2444" s="2" t="s">
        <v>7060</v>
      </c>
      <c r="K2444" s="2" t="s">
        <v>101</v>
      </c>
      <c r="L2444" s="2" t="s">
        <v>293</v>
      </c>
      <c r="M2444" s="2"/>
    </row>
    <row r="2445" customFormat="false" ht="15" hidden="false" customHeight="false" outlineLevel="0" collapsed="false">
      <c r="A2445" s="2" t="s">
        <v>7061</v>
      </c>
      <c r="B2445" s="2" t="s">
        <v>6490</v>
      </c>
      <c r="C2445" s="2" t="s">
        <v>6491</v>
      </c>
      <c r="D2445" s="13" t="n">
        <v>45715.3958333333</v>
      </c>
      <c r="E2445" s="2" t="s">
        <v>41</v>
      </c>
      <c r="F2445" s="2" t="s">
        <v>29</v>
      </c>
      <c r="G2445" s="2" t="n">
        <v>2379.05</v>
      </c>
      <c r="H2445" s="2" t="n">
        <v>8.48</v>
      </c>
      <c r="I2445" s="2" t="s">
        <v>26</v>
      </c>
      <c r="J2445" s="2" t="s">
        <v>7062</v>
      </c>
      <c r="K2445" s="2" t="s">
        <v>95</v>
      </c>
      <c r="L2445" s="2" t="s">
        <v>972</v>
      </c>
      <c r="M2445" s="2"/>
    </row>
    <row r="2446" customFormat="false" ht="15" hidden="false" customHeight="false" outlineLevel="0" collapsed="false">
      <c r="A2446" s="2" t="s">
        <v>7063</v>
      </c>
      <c r="B2446" s="2" t="s">
        <v>2250</v>
      </c>
      <c r="C2446" s="2" t="s">
        <v>2251</v>
      </c>
      <c r="D2446" s="13" t="n">
        <v>45851.7326388889</v>
      </c>
      <c r="E2446" s="2" t="s">
        <v>37</v>
      </c>
      <c r="F2446" s="2" t="s">
        <v>32</v>
      </c>
      <c r="G2446" s="2" t="n">
        <v>3955.35</v>
      </c>
      <c r="H2446" s="2" t="n">
        <v>47</v>
      </c>
      <c r="I2446" s="2" t="s">
        <v>26</v>
      </c>
      <c r="J2446" s="2" t="s">
        <v>7064</v>
      </c>
      <c r="K2446" s="2" t="s">
        <v>95</v>
      </c>
      <c r="L2446" s="2" t="s">
        <v>303</v>
      </c>
      <c r="M2446" s="2"/>
    </row>
    <row r="2447" customFormat="false" ht="15" hidden="false" customHeight="false" outlineLevel="0" collapsed="false">
      <c r="A2447" s="2" t="s">
        <v>7065</v>
      </c>
      <c r="B2447" s="2" t="s">
        <v>4502</v>
      </c>
      <c r="C2447" s="2" t="s">
        <v>4503</v>
      </c>
      <c r="D2447" s="13" t="n">
        <v>45443.5263888889</v>
      </c>
      <c r="E2447" s="2" t="s">
        <v>43</v>
      </c>
      <c r="F2447" s="2" t="s">
        <v>27</v>
      </c>
      <c r="G2447" s="2" t="n">
        <v>3020.36</v>
      </c>
      <c r="H2447" s="2" t="n">
        <v>31.83</v>
      </c>
      <c r="I2447" s="2" t="s">
        <v>26</v>
      </c>
      <c r="J2447" s="2" t="s">
        <v>7066</v>
      </c>
      <c r="K2447" s="2" t="s">
        <v>101</v>
      </c>
      <c r="L2447" s="2"/>
      <c r="M2447" s="2" t="s">
        <v>774</v>
      </c>
    </row>
    <row r="2448" customFormat="false" ht="15" hidden="false" customHeight="false" outlineLevel="0" collapsed="false">
      <c r="A2448" s="2" t="s">
        <v>7067</v>
      </c>
      <c r="B2448" s="2" t="s">
        <v>2573</v>
      </c>
      <c r="C2448" s="2" t="s">
        <v>2574</v>
      </c>
      <c r="D2448" s="13" t="n">
        <v>45490.7854166667</v>
      </c>
      <c r="E2448" s="2" t="s">
        <v>41</v>
      </c>
      <c r="F2448" s="2" t="s">
        <v>27</v>
      </c>
      <c r="G2448" s="2" t="n">
        <v>29178.71</v>
      </c>
      <c r="H2448" s="2" t="n">
        <v>145.99</v>
      </c>
      <c r="I2448" s="2" t="s">
        <v>28</v>
      </c>
      <c r="J2448" s="2" t="s">
        <v>7068</v>
      </c>
      <c r="K2448" s="2" t="s">
        <v>101</v>
      </c>
      <c r="L2448" s="2"/>
      <c r="M2448" s="2" t="s">
        <v>313</v>
      </c>
    </row>
    <row r="2449" customFormat="false" ht="15" hidden="false" customHeight="false" outlineLevel="0" collapsed="false">
      <c r="A2449" s="2" t="s">
        <v>7069</v>
      </c>
      <c r="B2449" s="2" t="s">
        <v>3237</v>
      </c>
      <c r="C2449" s="2" t="s">
        <v>3238</v>
      </c>
      <c r="D2449" s="13" t="n">
        <v>45802.6430555556</v>
      </c>
      <c r="E2449" s="2" t="s">
        <v>41</v>
      </c>
      <c r="F2449" s="2" t="s">
        <v>32</v>
      </c>
      <c r="G2449" s="2" t="n">
        <v>2213.33</v>
      </c>
      <c r="H2449" s="2" t="n">
        <v>5.18</v>
      </c>
      <c r="I2449" s="2" t="s">
        <v>26</v>
      </c>
      <c r="J2449" s="2" t="s">
        <v>7070</v>
      </c>
      <c r="K2449" s="2" t="s">
        <v>89</v>
      </c>
      <c r="L2449" s="2" t="s">
        <v>318</v>
      </c>
      <c r="M2449" s="2"/>
    </row>
    <row r="2450" customFormat="false" ht="15" hidden="false" customHeight="false" outlineLevel="0" collapsed="false">
      <c r="A2450" s="2" t="s">
        <v>7071</v>
      </c>
      <c r="B2450" s="2" t="s">
        <v>864</v>
      </c>
      <c r="C2450" s="2" t="s">
        <v>865</v>
      </c>
      <c r="D2450" s="13" t="n">
        <v>45417.7819444445</v>
      </c>
      <c r="E2450" s="2" t="s">
        <v>43</v>
      </c>
      <c r="F2450" s="2" t="s">
        <v>27</v>
      </c>
      <c r="G2450" s="2" t="n">
        <v>7843.82</v>
      </c>
      <c r="H2450" s="2" t="n">
        <v>19.54</v>
      </c>
      <c r="I2450" s="2" t="s">
        <v>26</v>
      </c>
      <c r="J2450" s="2" t="s">
        <v>7072</v>
      </c>
      <c r="K2450" s="2" t="s">
        <v>122</v>
      </c>
      <c r="L2450" s="2"/>
      <c r="M2450" s="2" t="s">
        <v>323</v>
      </c>
    </row>
    <row r="2451" customFormat="false" ht="15" hidden="false" customHeight="false" outlineLevel="0" collapsed="false">
      <c r="A2451" s="2" t="s">
        <v>7073</v>
      </c>
      <c r="B2451" s="2" t="s">
        <v>2072</v>
      </c>
      <c r="C2451" s="2" t="s">
        <v>2073</v>
      </c>
      <c r="D2451" s="13" t="n">
        <v>45609.7833333333</v>
      </c>
      <c r="E2451" s="2" t="s">
        <v>39</v>
      </c>
      <c r="F2451" s="2" t="s">
        <v>31</v>
      </c>
      <c r="G2451" s="2" t="n">
        <v>4967.94</v>
      </c>
      <c r="H2451" s="2" t="n">
        <v>25.84</v>
      </c>
      <c r="I2451" s="2" t="s">
        <v>26</v>
      </c>
      <c r="J2451" s="2" t="s">
        <v>7074</v>
      </c>
      <c r="K2451" s="2" t="s">
        <v>122</v>
      </c>
      <c r="L2451" s="2" t="s">
        <v>1000</v>
      </c>
      <c r="M2451" s="2"/>
    </row>
    <row r="2452" customFormat="false" ht="15" hidden="false" customHeight="false" outlineLevel="0" collapsed="false">
      <c r="A2452" s="2" t="s">
        <v>7075</v>
      </c>
      <c r="B2452" s="2" t="s">
        <v>280</v>
      </c>
      <c r="C2452" s="2" t="s">
        <v>281</v>
      </c>
      <c r="D2452" s="13" t="n">
        <v>45900.9520833333</v>
      </c>
      <c r="E2452" s="2" t="s">
        <v>43</v>
      </c>
      <c r="F2452" s="2" t="s">
        <v>32</v>
      </c>
      <c r="G2452" s="2" t="n">
        <v>11749.54</v>
      </c>
      <c r="H2452" s="2" t="n">
        <v>74.64</v>
      </c>
      <c r="I2452" s="2" t="s">
        <v>26</v>
      </c>
      <c r="J2452" s="2" t="s">
        <v>7076</v>
      </c>
      <c r="K2452" s="2" t="s">
        <v>122</v>
      </c>
      <c r="L2452" s="2"/>
      <c r="M2452" s="2" t="s">
        <v>795</v>
      </c>
    </row>
    <row r="2453" customFormat="false" ht="15" hidden="false" customHeight="false" outlineLevel="0" collapsed="false">
      <c r="A2453" s="2" t="s">
        <v>7077</v>
      </c>
      <c r="B2453" s="2" t="s">
        <v>2341</v>
      </c>
      <c r="C2453" s="2" t="s">
        <v>2342</v>
      </c>
      <c r="D2453" s="13" t="n">
        <v>45490.8263888889</v>
      </c>
      <c r="E2453" s="2" t="s">
        <v>41</v>
      </c>
      <c r="F2453" s="2" t="s">
        <v>32</v>
      </c>
      <c r="G2453" s="2" t="n">
        <v>5860.72</v>
      </c>
      <c r="H2453" s="2" t="n">
        <v>31.09</v>
      </c>
      <c r="I2453" s="2" t="s">
        <v>26</v>
      </c>
      <c r="J2453" s="2" t="s">
        <v>7078</v>
      </c>
      <c r="K2453" s="2" t="s">
        <v>122</v>
      </c>
      <c r="L2453" s="2" t="s">
        <v>338</v>
      </c>
      <c r="M2453" s="2"/>
    </row>
    <row r="2454" customFormat="false" ht="15" hidden="false" customHeight="false" outlineLevel="0" collapsed="false">
      <c r="A2454" s="2" t="s">
        <v>7079</v>
      </c>
      <c r="B2454" s="2" t="s">
        <v>4568</v>
      </c>
      <c r="C2454" s="2" t="s">
        <v>4569</v>
      </c>
      <c r="D2454" s="13" t="n">
        <v>45575.8430555556</v>
      </c>
      <c r="E2454" s="2" t="s">
        <v>41</v>
      </c>
      <c r="F2454" s="2" t="s">
        <v>32</v>
      </c>
      <c r="G2454" s="2" t="n">
        <v>1490.24</v>
      </c>
      <c r="H2454" s="2" t="n">
        <v>16.31</v>
      </c>
      <c r="I2454" s="2" t="s">
        <v>30</v>
      </c>
      <c r="J2454" s="2" t="s">
        <v>7080</v>
      </c>
      <c r="K2454" s="2" t="s">
        <v>122</v>
      </c>
      <c r="L2454" s="2" t="s">
        <v>343</v>
      </c>
      <c r="M2454" s="2"/>
    </row>
    <row r="2455" customFormat="false" ht="15" hidden="false" customHeight="false" outlineLevel="0" collapsed="false">
      <c r="A2455" s="2" t="s">
        <v>7081</v>
      </c>
      <c r="B2455" s="2" t="s">
        <v>591</v>
      </c>
      <c r="C2455" s="2" t="s">
        <v>592</v>
      </c>
      <c r="D2455" s="13" t="n">
        <v>45466.44375</v>
      </c>
      <c r="E2455" s="2" t="s">
        <v>37</v>
      </c>
      <c r="F2455" s="2" t="s">
        <v>29</v>
      </c>
      <c r="G2455" s="2" t="n">
        <v>12242.46</v>
      </c>
      <c r="H2455" s="2" t="n">
        <v>46.68</v>
      </c>
      <c r="I2455" s="2" t="s">
        <v>26</v>
      </c>
      <c r="J2455" s="2" t="s">
        <v>7082</v>
      </c>
      <c r="K2455" s="2" t="s">
        <v>122</v>
      </c>
      <c r="L2455" s="2" t="s">
        <v>1012</v>
      </c>
      <c r="M2455" s="2"/>
    </row>
    <row r="2456" customFormat="false" ht="15" hidden="false" customHeight="false" outlineLevel="0" collapsed="false">
      <c r="A2456" s="2" t="s">
        <v>7083</v>
      </c>
      <c r="B2456" s="2" t="s">
        <v>4230</v>
      </c>
      <c r="C2456" s="2" t="s">
        <v>4231</v>
      </c>
      <c r="D2456" s="13" t="n">
        <v>45587.7104166667</v>
      </c>
      <c r="E2456" s="2" t="s">
        <v>39</v>
      </c>
      <c r="F2456" s="2" t="s">
        <v>29</v>
      </c>
      <c r="G2456" s="2" t="n">
        <v>2798.39</v>
      </c>
      <c r="H2456" s="2" t="n">
        <v>22.4</v>
      </c>
      <c r="I2456" s="2" t="s">
        <v>30</v>
      </c>
      <c r="J2456" s="2" t="s">
        <v>7084</v>
      </c>
      <c r="K2456" s="2" t="s">
        <v>89</v>
      </c>
      <c r="L2456" s="2" t="s">
        <v>353</v>
      </c>
      <c r="M2456" s="2"/>
    </row>
    <row r="2457" customFormat="false" ht="15" hidden="false" customHeight="false" outlineLevel="0" collapsed="false">
      <c r="A2457" s="2" t="s">
        <v>7085</v>
      </c>
      <c r="B2457" s="2" t="s">
        <v>7086</v>
      </c>
      <c r="C2457" s="2" t="s">
        <v>7087</v>
      </c>
      <c r="D2457" s="13" t="n">
        <v>45776.4916666667</v>
      </c>
      <c r="E2457" s="2" t="s">
        <v>43</v>
      </c>
      <c r="F2457" s="2" t="s">
        <v>27</v>
      </c>
      <c r="G2457" s="2" t="n">
        <v>2750.84</v>
      </c>
      <c r="H2457" s="2" t="n">
        <v>29.28</v>
      </c>
      <c r="I2457" s="2" t="s">
        <v>26</v>
      </c>
      <c r="J2457" s="2" t="s">
        <v>7088</v>
      </c>
      <c r="K2457" s="2" t="s">
        <v>89</v>
      </c>
      <c r="L2457" s="2"/>
      <c r="M2457" s="2" t="s">
        <v>817</v>
      </c>
    </row>
    <row r="2458" customFormat="false" ht="15" hidden="false" customHeight="false" outlineLevel="0" collapsed="false">
      <c r="A2458" s="2" t="s">
        <v>7089</v>
      </c>
      <c r="B2458" s="2" t="s">
        <v>4050</v>
      </c>
      <c r="C2458" s="2" t="s">
        <v>4051</v>
      </c>
      <c r="D2458" s="13" t="n">
        <v>45655.9361111111</v>
      </c>
      <c r="E2458" s="2" t="s">
        <v>35</v>
      </c>
      <c r="F2458" s="2" t="s">
        <v>31</v>
      </c>
      <c r="G2458" s="2" t="n">
        <v>2463.72</v>
      </c>
      <c r="H2458" s="2" t="n">
        <v>23.43</v>
      </c>
      <c r="I2458" s="2" t="s">
        <v>28</v>
      </c>
      <c r="J2458" s="2" t="s">
        <v>7090</v>
      </c>
      <c r="K2458" s="2" t="s">
        <v>89</v>
      </c>
      <c r="L2458" s="2" t="s">
        <v>1601</v>
      </c>
      <c r="M2458" s="2"/>
    </row>
    <row r="2459" customFormat="false" ht="15" hidden="false" customHeight="false" outlineLevel="0" collapsed="false">
      <c r="A2459" s="2" t="s">
        <v>7091</v>
      </c>
      <c r="B2459" s="2" t="s">
        <v>4290</v>
      </c>
      <c r="C2459" s="2" t="s">
        <v>4291</v>
      </c>
      <c r="D2459" s="13" t="n">
        <v>45597.9486111111</v>
      </c>
      <c r="E2459" s="2" t="s">
        <v>37</v>
      </c>
      <c r="F2459" s="2" t="s">
        <v>29</v>
      </c>
      <c r="G2459" s="2" t="n">
        <v>1780.39</v>
      </c>
      <c r="H2459" s="2" t="n">
        <v>7.21</v>
      </c>
      <c r="I2459" s="2" t="s">
        <v>28</v>
      </c>
      <c r="J2459" s="2" t="s">
        <v>7092</v>
      </c>
      <c r="K2459" s="2" t="s">
        <v>122</v>
      </c>
      <c r="L2459" s="2" t="s">
        <v>368</v>
      </c>
      <c r="M2459" s="2"/>
    </row>
    <row r="2460" customFormat="false" ht="15" hidden="false" customHeight="false" outlineLevel="0" collapsed="false">
      <c r="A2460" s="2" t="s">
        <v>7093</v>
      </c>
      <c r="B2460" s="2" t="s">
        <v>2645</v>
      </c>
      <c r="C2460" s="2" t="s">
        <v>2646</v>
      </c>
      <c r="D2460" s="13" t="n">
        <v>45598.7895833333</v>
      </c>
      <c r="E2460" s="2" t="s">
        <v>39</v>
      </c>
      <c r="F2460" s="2" t="s">
        <v>29</v>
      </c>
      <c r="G2460" s="2" t="n">
        <v>6098.42</v>
      </c>
      <c r="H2460" s="2" t="n">
        <v>19.3</v>
      </c>
      <c r="I2460" s="2" t="s">
        <v>26</v>
      </c>
      <c r="J2460" s="2" t="s">
        <v>7094</v>
      </c>
      <c r="K2460" s="2" t="s">
        <v>101</v>
      </c>
      <c r="L2460" s="2" t="s">
        <v>373</v>
      </c>
      <c r="M2460" s="2"/>
    </row>
    <row r="2461" customFormat="false" ht="15" hidden="false" customHeight="false" outlineLevel="0" collapsed="false">
      <c r="A2461" s="2" t="s">
        <v>7095</v>
      </c>
      <c r="B2461" s="2" t="s">
        <v>2591</v>
      </c>
      <c r="C2461" s="2" t="s">
        <v>2592</v>
      </c>
      <c r="D2461" s="13" t="n">
        <v>45907.7944444444</v>
      </c>
      <c r="E2461" s="2" t="s">
        <v>41</v>
      </c>
      <c r="F2461" s="2" t="s">
        <v>29</v>
      </c>
      <c r="G2461" s="2" t="n">
        <v>10397.64</v>
      </c>
      <c r="H2461" s="2" t="n">
        <v>79.49</v>
      </c>
      <c r="I2461" s="2" t="s">
        <v>26</v>
      </c>
      <c r="J2461" s="2" t="s">
        <v>7096</v>
      </c>
      <c r="K2461" s="2" t="s">
        <v>101</v>
      </c>
      <c r="L2461" s="2" t="s">
        <v>1034</v>
      </c>
      <c r="M2461" s="2"/>
    </row>
    <row r="2462" customFormat="false" ht="15" hidden="false" customHeight="false" outlineLevel="0" collapsed="false">
      <c r="A2462" s="2" t="s">
        <v>7097</v>
      </c>
      <c r="B2462" s="2" t="s">
        <v>1209</v>
      </c>
      <c r="C2462" s="2" t="s">
        <v>1210</v>
      </c>
      <c r="D2462" s="13" t="n">
        <v>45780.9284722222</v>
      </c>
      <c r="E2462" s="2" t="s">
        <v>41</v>
      </c>
      <c r="F2462" s="2" t="s">
        <v>29</v>
      </c>
      <c r="G2462" s="2" t="n">
        <v>1148.25</v>
      </c>
      <c r="H2462" s="2" t="n">
        <v>5</v>
      </c>
      <c r="I2462" s="2" t="s">
        <v>28</v>
      </c>
      <c r="J2462" s="2" t="s">
        <v>7098</v>
      </c>
      <c r="K2462" s="2" t="s">
        <v>122</v>
      </c>
      <c r="L2462" s="2" t="s">
        <v>1039</v>
      </c>
      <c r="M2462" s="2"/>
    </row>
    <row r="2463" customFormat="false" ht="15" hidden="false" customHeight="false" outlineLevel="0" collapsed="false">
      <c r="A2463" s="2" t="s">
        <v>7099</v>
      </c>
      <c r="B2463" s="2" t="s">
        <v>2449</v>
      </c>
      <c r="C2463" s="2" t="s">
        <v>2450</v>
      </c>
      <c r="D2463" s="13" t="n">
        <v>45670.83125</v>
      </c>
      <c r="E2463" s="2" t="s">
        <v>35</v>
      </c>
      <c r="F2463" s="2" t="s">
        <v>29</v>
      </c>
      <c r="G2463" s="2" t="n">
        <v>4863.23</v>
      </c>
      <c r="H2463" s="2" t="n">
        <v>34.97</v>
      </c>
      <c r="I2463" s="2" t="s">
        <v>26</v>
      </c>
      <c r="J2463" s="2" t="s">
        <v>7100</v>
      </c>
      <c r="K2463" s="2" t="s">
        <v>95</v>
      </c>
      <c r="L2463" s="2" t="s">
        <v>1044</v>
      </c>
      <c r="M2463" s="2"/>
    </row>
    <row r="2464" customFormat="false" ht="15" hidden="false" customHeight="false" outlineLevel="0" collapsed="false">
      <c r="A2464" s="2" t="s">
        <v>7101</v>
      </c>
      <c r="B2464" s="2" t="s">
        <v>720</v>
      </c>
      <c r="C2464" s="2" t="s">
        <v>721</v>
      </c>
      <c r="D2464" s="13" t="n">
        <v>45483.3611111111</v>
      </c>
      <c r="E2464" s="2" t="s">
        <v>37</v>
      </c>
      <c r="F2464" s="2" t="s">
        <v>29</v>
      </c>
      <c r="G2464" s="2" t="n">
        <v>987.65</v>
      </c>
      <c r="H2464" s="2" t="n">
        <v>6.3</v>
      </c>
      <c r="I2464" s="2" t="s">
        <v>28</v>
      </c>
      <c r="J2464" s="2" t="s">
        <v>7102</v>
      </c>
      <c r="K2464" s="2" t="s">
        <v>101</v>
      </c>
      <c r="L2464" s="2" t="s">
        <v>393</v>
      </c>
      <c r="M2464" s="2"/>
    </row>
    <row r="2465" customFormat="false" ht="15" hidden="false" customHeight="false" outlineLevel="0" collapsed="false">
      <c r="A2465" s="2" t="s">
        <v>7103</v>
      </c>
      <c r="B2465" s="2" t="s">
        <v>3806</v>
      </c>
      <c r="C2465" s="2" t="s">
        <v>3807</v>
      </c>
      <c r="D2465" s="13" t="n">
        <v>45325.7402777778</v>
      </c>
      <c r="E2465" s="2" t="s">
        <v>41</v>
      </c>
      <c r="F2465" s="2" t="s">
        <v>29</v>
      </c>
      <c r="G2465" s="2" t="n">
        <v>5268.16</v>
      </c>
      <c r="H2465" s="2" t="n">
        <v>25.14</v>
      </c>
      <c r="I2465" s="2" t="s">
        <v>26</v>
      </c>
      <c r="J2465" s="2" t="s">
        <v>7104</v>
      </c>
      <c r="K2465" s="2" t="s">
        <v>95</v>
      </c>
      <c r="L2465" s="2" t="s">
        <v>1628</v>
      </c>
      <c r="M2465" s="2"/>
    </row>
    <row r="2466" customFormat="false" ht="15" hidden="false" customHeight="false" outlineLevel="0" collapsed="false">
      <c r="A2466" s="2" t="s">
        <v>7105</v>
      </c>
      <c r="B2466" s="2" t="s">
        <v>3000</v>
      </c>
      <c r="C2466" s="2" t="s">
        <v>3001</v>
      </c>
      <c r="D2466" s="13" t="n">
        <v>45965.9208333333</v>
      </c>
      <c r="E2466" s="2" t="s">
        <v>41</v>
      </c>
      <c r="F2466" s="2" t="s">
        <v>29</v>
      </c>
      <c r="G2466" s="2" t="n">
        <v>7940.57</v>
      </c>
      <c r="H2466" s="2" t="n">
        <v>31.94</v>
      </c>
      <c r="I2466" s="2" t="s">
        <v>28</v>
      </c>
      <c r="J2466" s="2" t="s">
        <v>7106</v>
      </c>
      <c r="K2466" s="2" t="s">
        <v>122</v>
      </c>
      <c r="L2466" s="2" t="s">
        <v>403</v>
      </c>
      <c r="M2466" s="2"/>
    </row>
    <row r="2467" customFormat="false" ht="15" hidden="false" customHeight="false" outlineLevel="0" collapsed="false">
      <c r="A2467" s="2" t="s">
        <v>7107</v>
      </c>
      <c r="B2467" s="2" t="s">
        <v>1713</v>
      </c>
      <c r="C2467" s="2" t="s">
        <v>1714</v>
      </c>
      <c r="D2467" s="13" t="n">
        <v>45891.3166666667</v>
      </c>
      <c r="E2467" s="2" t="s">
        <v>39</v>
      </c>
      <c r="F2467" s="2" t="s">
        <v>27</v>
      </c>
      <c r="G2467" s="2" t="n">
        <v>1568.38</v>
      </c>
      <c r="H2467" s="2" t="n">
        <v>11.04</v>
      </c>
      <c r="I2467" s="2" t="s">
        <v>26</v>
      </c>
      <c r="J2467" s="2" t="s">
        <v>7108</v>
      </c>
      <c r="K2467" s="2" t="s">
        <v>122</v>
      </c>
      <c r="L2467" s="2"/>
      <c r="M2467" s="2" t="s">
        <v>857</v>
      </c>
    </row>
    <row r="2468" customFormat="false" ht="15" hidden="false" customHeight="false" outlineLevel="0" collapsed="false">
      <c r="A2468" s="2" t="s">
        <v>7109</v>
      </c>
      <c r="B2468" s="2" t="s">
        <v>5824</v>
      </c>
      <c r="C2468" s="2" t="s">
        <v>5825</v>
      </c>
      <c r="D2468" s="13" t="n">
        <v>45792.7361111111</v>
      </c>
      <c r="E2468" s="2" t="s">
        <v>37</v>
      </c>
      <c r="F2468" s="2" t="s">
        <v>32</v>
      </c>
      <c r="G2468" s="2" t="n">
        <v>3483.03</v>
      </c>
      <c r="H2468" s="2" t="n">
        <v>26.19</v>
      </c>
      <c r="I2468" s="2" t="s">
        <v>26</v>
      </c>
      <c r="J2468" s="2" t="s">
        <v>7110</v>
      </c>
      <c r="K2468" s="2" t="s">
        <v>122</v>
      </c>
      <c r="L2468" s="2" t="s">
        <v>413</v>
      </c>
      <c r="M2468" s="2"/>
    </row>
    <row r="2469" customFormat="false" ht="15" hidden="false" customHeight="false" outlineLevel="0" collapsed="false">
      <c r="A2469" s="2" t="s">
        <v>7111</v>
      </c>
      <c r="B2469" s="2" t="s">
        <v>2050</v>
      </c>
      <c r="C2469" s="2" t="s">
        <v>2051</v>
      </c>
      <c r="D2469" s="13" t="n">
        <v>45340.9368055556</v>
      </c>
      <c r="E2469" s="2" t="s">
        <v>41</v>
      </c>
      <c r="F2469" s="2" t="s">
        <v>27</v>
      </c>
      <c r="G2469" s="2" t="n">
        <v>1052.28</v>
      </c>
      <c r="H2469" s="2" t="n">
        <v>7.53</v>
      </c>
      <c r="I2469" s="2" t="s">
        <v>26</v>
      </c>
      <c r="J2469" s="2" t="s">
        <v>7112</v>
      </c>
      <c r="K2469" s="2" t="s">
        <v>122</v>
      </c>
      <c r="L2469" s="2"/>
      <c r="M2469" s="2" t="s">
        <v>2325</v>
      </c>
    </row>
    <row r="2470" customFormat="false" ht="15" hidden="false" customHeight="false" outlineLevel="0" collapsed="false">
      <c r="A2470" s="2" t="s">
        <v>7113</v>
      </c>
      <c r="B2470" s="2" t="s">
        <v>4874</v>
      </c>
      <c r="C2470" s="2" t="s">
        <v>4875</v>
      </c>
      <c r="D2470" s="13" t="n">
        <v>45874.9458333333</v>
      </c>
      <c r="E2470" s="2" t="s">
        <v>35</v>
      </c>
      <c r="F2470" s="2" t="s">
        <v>31</v>
      </c>
      <c r="G2470" s="2" t="n">
        <v>5101.99</v>
      </c>
      <c r="H2470" s="2" t="n">
        <v>51.55</v>
      </c>
      <c r="I2470" s="2" t="s">
        <v>26</v>
      </c>
      <c r="J2470" s="2" t="s">
        <v>7114</v>
      </c>
      <c r="K2470" s="2" t="s">
        <v>101</v>
      </c>
      <c r="L2470" s="2" t="s">
        <v>423</v>
      </c>
      <c r="M2470" s="2"/>
    </row>
    <row r="2471" customFormat="false" ht="15" hidden="false" customHeight="false" outlineLevel="0" collapsed="false">
      <c r="A2471" s="2" t="s">
        <v>7115</v>
      </c>
      <c r="B2471" s="2" t="s">
        <v>1559</v>
      </c>
      <c r="C2471" s="2" t="s">
        <v>1560</v>
      </c>
      <c r="D2471" s="13" t="n">
        <v>45664.3527777778</v>
      </c>
      <c r="E2471" s="2" t="s">
        <v>43</v>
      </c>
      <c r="F2471" s="2" t="s">
        <v>31</v>
      </c>
      <c r="G2471" s="2" t="n">
        <v>9675.36</v>
      </c>
      <c r="H2471" s="2" t="n">
        <v>34.55</v>
      </c>
      <c r="I2471" s="2" t="s">
        <v>30</v>
      </c>
      <c r="J2471" s="2" t="s">
        <v>7116</v>
      </c>
      <c r="K2471" s="2" t="s">
        <v>89</v>
      </c>
      <c r="L2471" s="2"/>
      <c r="M2471" s="2" t="s">
        <v>871</v>
      </c>
    </row>
    <row r="2472" customFormat="false" ht="15" hidden="false" customHeight="false" outlineLevel="0" collapsed="false">
      <c r="A2472" s="2" t="s">
        <v>7117</v>
      </c>
      <c r="B2472" s="2" t="s">
        <v>1515</v>
      </c>
      <c r="C2472" s="2" t="s">
        <v>1516</v>
      </c>
      <c r="D2472" s="13" t="n">
        <v>45744.6145833333</v>
      </c>
      <c r="E2472" s="2" t="s">
        <v>35</v>
      </c>
      <c r="F2472" s="2" t="s">
        <v>29</v>
      </c>
      <c r="G2472" s="2" t="n">
        <v>3321.92</v>
      </c>
      <c r="H2472" s="2" t="n">
        <v>23.81</v>
      </c>
      <c r="I2472" s="2" t="s">
        <v>26</v>
      </c>
      <c r="J2472" s="2" t="s">
        <v>7118</v>
      </c>
      <c r="K2472" s="2" t="s">
        <v>95</v>
      </c>
      <c r="L2472" s="2" t="s">
        <v>433</v>
      </c>
      <c r="M2472" s="2"/>
    </row>
    <row r="2473" customFormat="false" ht="15" hidden="false" customHeight="false" outlineLevel="0" collapsed="false">
      <c r="A2473" s="2" t="s">
        <v>7119</v>
      </c>
      <c r="B2473" s="2" t="s">
        <v>490</v>
      </c>
      <c r="C2473" s="2" t="s">
        <v>491</v>
      </c>
      <c r="D2473" s="13" t="n">
        <v>45632.6958333333</v>
      </c>
      <c r="E2473" s="2" t="s">
        <v>39</v>
      </c>
      <c r="F2473" s="2" t="s">
        <v>27</v>
      </c>
      <c r="G2473" s="2" t="n">
        <v>1319.75</v>
      </c>
      <c r="H2473" s="2" t="n">
        <v>9.24</v>
      </c>
      <c r="I2473" s="2" t="s">
        <v>26</v>
      </c>
      <c r="J2473" s="2" t="s">
        <v>7120</v>
      </c>
      <c r="K2473" s="2" t="s">
        <v>101</v>
      </c>
      <c r="L2473" s="2"/>
      <c r="M2473" s="2" t="s">
        <v>1287</v>
      </c>
    </row>
    <row r="2474" customFormat="false" ht="15" hidden="false" customHeight="false" outlineLevel="0" collapsed="false">
      <c r="A2474" s="2" t="s">
        <v>7121</v>
      </c>
      <c r="B2474" s="2" t="s">
        <v>1957</v>
      </c>
      <c r="C2474" s="2" t="s">
        <v>1958</v>
      </c>
      <c r="D2474" s="13" t="n">
        <v>45890.8819444445</v>
      </c>
      <c r="E2474" s="2" t="s">
        <v>43</v>
      </c>
      <c r="F2474" s="2" t="s">
        <v>27</v>
      </c>
      <c r="G2474" s="2" t="n">
        <v>1406.94</v>
      </c>
      <c r="H2474" s="2" t="n">
        <v>10.6</v>
      </c>
      <c r="I2474" s="2" t="s">
        <v>30</v>
      </c>
      <c r="J2474" s="2" t="s">
        <v>7122</v>
      </c>
      <c r="K2474" s="2" t="s">
        <v>89</v>
      </c>
      <c r="L2474" s="2"/>
      <c r="M2474" s="2" t="s">
        <v>1658</v>
      </c>
    </row>
    <row r="2475" customFormat="false" ht="15" hidden="false" customHeight="false" outlineLevel="0" collapsed="false">
      <c r="A2475" s="2" t="s">
        <v>7123</v>
      </c>
      <c r="B2475" s="2" t="s">
        <v>5006</v>
      </c>
      <c r="C2475" s="2" t="s">
        <v>5007</v>
      </c>
      <c r="D2475" s="13" t="n">
        <v>45979.6666666667</v>
      </c>
      <c r="E2475" s="2" t="s">
        <v>43</v>
      </c>
      <c r="F2475" s="2" t="s">
        <v>31</v>
      </c>
      <c r="G2475" s="2" t="n">
        <v>3902.24</v>
      </c>
      <c r="H2475" s="2" t="n">
        <v>37.65</v>
      </c>
      <c r="I2475" s="2" t="s">
        <v>26</v>
      </c>
      <c r="J2475" s="2" t="s">
        <v>7124</v>
      </c>
      <c r="K2475" s="2" t="s">
        <v>95</v>
      </c>
      <c r="L2475" s="2"/>
      <c r="M2475" s="2" t="s">
        <v>448</v>
      </c>
    </row>
    <row r="2476" customFormat="false" ht="15" hidden="false" customHeight="false" outlineLevel="0" collapsed="false">
      <c r="A2476" s="2" t="s">
        <v>7125</v>
      </c>
      <c r="B2476" s="2" t="s">
        <v>3122</v>
      </c>
      <c r="C2476" s="2" t="s">
        <v>3123</v>
      </c>
      <c r="D2476" s="13" t="n">
        <v>45693.7354166667</v>
      </c>
      <c r="E2476" s="2" t="s">
        <v>43</v>
      </c>
      <c r="F2476" s="2" t="s">
        <v>29</v>
      </c>
      <c r="G2476" s="2" t="n">
        <v>5183.43</v>
      </c>
      <c r="H2476" s="2" t="n">
        <v>37.4</v>
      </c>
      <c r="I2476" s="2" t="s">
        <v>26</v>
      </c>
      <c r="J2476" s="2" t="s">
        <v>7126</v>
      </c>
      <c r="K2476" s="2" t="s">
        <v>122</v>
      </c>
      <c r="L2476" s="2"/>
      <c r="M2476" s="2" t="s">
        <v>3272</v>
      </c>
    </row>
    <row r="2477" customFormat="false" ht="15" hidden="false" customHeight="false" outlineLevel="0" collapsed="false">
      <c r="A2477" s="2" t="s">
        <v>7127</v>
      </c>
      <c r="B2477" s="2" t="s">
        <v>4330</v>
      </c>
      <c r="C2477" s="2" t="s">
        <v>4331</v>
      </c>
      <c r="D2477" s="13" t="n">
        <v>46006.3069444444</v>
      </c>
      <c r="E2477" s="2" t="s">
        <v>43</v>
      </c>
      <c r="F2477" s="2" t="s">
        <v>27</v>
      </c>
      <c r="G2477" s="2" t="n">
        <v>1660.68</v>
      </c>
      <c r="H2477" s="2" t="n">
        <v>5</v>
      </c>
      <c r="I2477" s="2" t="s">
        <v>26</v>
      </c>
      <c r="J2477" s="2" t="s">
        <v>7128</v>
      </c>
      <c r="K2477" s="2" t="s">
        <v>95</v>
      </c>
      <c r="L2477" s="2"/>
      <c r="M2477" s="2" t="s">
        <v>1304</v>
      </c>
    </row>
    <row r="2478" customFormat="false" ht="15" hidden="false" customHeight="false" outlineLevel="0" collapsed="false">
      <c r="A2478" s="2" t="s">
        <v>7129</v>
      </c>
      <c r="B2478" s="2" t="s">
        <v>3968</v>
      </c>
      <c r="C2478" s="2" t="s">
        <v>3969</v>
      </c>
      <c r="D2478" s="13" t="n">
        <v>45423.4305555556</v>
      </c>
      <c r="E2478" s="2" t="s">
        <v>39</v>
      </c>
      <c r="F2478" s="2" t="s">
        <v>32</v>
      </c>
      <c r="G2478" s="2" t="n">
        <v>3123.45</v>
      </c>
      <c r="H2478" s="2" t="n">
        <v>20.3</v>
      </c>
      <c r="I2478" s="2" t="s">
        <v>26</v>
      </c>
      <c r="J2478" s="2" t="s">
        <v>7130</v>
      </c>
      <c r="K2478" s="2" t="s">
        <v>101</v>
      </c>
      <c r="L2478" s="2" t="s">
        <v>1105</v>
      </c>
      <c r="M2478" s="2"/>
    </row>
    <row r="2479" customFormat="false" ht="15" hidden="false" customHeight="false" outlineLevel="0" collapsed="false">
      <c r="A2479" s="2" t="s">
        <v>7131</v>
      </c>
      <c r="B2479" s="2" t="s">
        <v>4836</v>
      </c>
      <c r="C2479" s="2" t="s">
        <v>4837</v>
      </c>
      <c r="D2479" s="13" t="n">
        <v>45752.4631944444</v>
      </c>
      <c r="E2479" s="2" t="s">
        <v>39</v>
      </c>
      <c r="F2479" s="2" t="s">
        <v>27</v>
      </c>
      <c r="G2479" s="2" t="n">
        <v>4830.96</v>
      </c>
      <c r="H2479" s="2" t="n">
        <v>20.42</v>
      </c>
      <c r="I2479" s="2" t="s">
        <v>26</v>
      </c>
      <c r="J2479" s="2" t="s">
        <v>7132</v>
      </c>
      <c r="K2479" s="2" t="s">
        <v>89</v>
      </c>
      <c r="L2479" s="2"/>
      <c r="M2479" s="2" t="s">
        <v>1677</v>
      </c>
    </row>
    <row r="2480" customFormat="false" ht="15" hidden="false" customHeight="false" outlineLevel="0" collapsed="false">
      <c r="A2480" s="2" t="s">
        <v>7133</v>
      </c>
      <c r="B2480" s="2" t="s">
        <v>3050</v>
      </c>
      <c r="C2480" s="2" t="s">
        <v>3051</v>
      </c>
      <c r="D2480" s="13" t="n">
        <v>45728.5666666667</v>
      </c>
      <c r="E2480" s="2" t="s">
        <v>35</v>
      </c>
      <c r="F2480" s="2" t="s">
        <v>32</v>
      </c>
      <c r="G2480" s="2" t="n">
        <v>3041.05</v>
      </c>
      <c r="H2480" s="2" t="n">
        <v>18.49</v>
      </c>
      <c r="I2480" s="2" t="s">
        <v>26</v>
      </c>
      <c r="J2480" s="2" t="s">
        <v>7134</v>
      </c>
      <c r="K2480" s="2" t="s">
        <v>89</v>
      </c>
      <c r="L2480" s="2" t="s">
        <v>473</v>
      </c>
      <c r="M2480" s="2"/>
    </row>
    <row r="2481" customFormat="false" ht="15" hidden="false" customHeight="false" outlineLevel="0" collapsed="false">
      <c r="A2481" s="2" t="s">
        <v>7135</v>
      </c>
      <c r="B2481" s="2" t="s">
        <v>4754</v>
      </c>
      <c r="C2481" s="2" t="s">
        <v>4755</v>
      </c>
      <c r="D2481" s="13" t="n">
        <v>45745.5083333333</v>
      </c>
      <c r="E2481" s="2" t="s">
        <v>39</v>
      </c>
      <c r="F2481" s="2" t="s">
        <v>27</v>
      </c>
      <c r="G2481" s="2" t="n">
        <v>4476.99</v>
      </c>
      <c r="H2481" s="2" t="n">
        <v>38.8</v>
      </c>
      <c r="I2481" s="2" t="s">
        <v>26</v>
      </c>
      <c r="J2481" s="2" t="s">
        <v>7136</v>
      </c>
      <c r="K2481" s="2" t="s">
        <v>122</v>
      </c>
      <c r="L2481" s="2"/>
      <c r="M2481" s="2" t="s">
        <v>1686</v>
      </c>
    </row>
    <row r="2482" customFormat="false" ht="15" hidden="false" customHeight="false" outlineLevel="0" collapsed="false">
      <c r="A2482" s="2" t="s">
        <v>7137</v>
      </c>
      <c r="B2482" s="2" t="s">
        <v>2665</v>
      </c>
      <c r="C2482" s="2" t="s">
        <v>2666</v>
      </c>
      <c r="D2482" s="13" t="n">
        <v>45650.7694444444</v>
      </c>
      <c r="E2482" s="2" t="s">
        <v>35</v>
      </c>
      <c r="F2482" s="2" t="s">
        <v>29</v>
      </c>
      <c r="G2482" s="2" t="n">
        <v>25410.18</v>
      </c>
      <c r="H2482" s="2" t="n">
        <v>242.26</v>
      </c>
      <c r="I2482" s="2" t="s">
        <v>26</v>
      </c>
      <c r="J2482" s="2" t="s">
        <v>7138</v>
      </c>
      <c r="K2482" s="2" t="s">
        <v>89</v>
      </c>
      <c r="L2482" s="2" t="s">
        <v>483</v>
      </c>
      <c r="M2482" s="2"/>
    </row>
    <row r="2483" customFormat="false" ht="15" hidden="false" customHeight="false" outlineLevel="0" collapsed="false">
      <c r="A2483" s="2" t="s">
        <v>7139</v>
      </c>
      <c r="B2483" s="2" t="s">
        <v>250</v>
      </c>
      <c r="C2483" s="2" t="s">
        <v>251</v>
      </c>
      <c r="D2483" s="13" t="n">
        <v>45946.8958333333</v>
      </c>
      <c r="E2483" s="2" t="s">
        <v>43</v>
      </c>
      <c r="F2483" s="2" t="s">
        <v>31</v>
      </c>
      <c r="G2483" s="2" t="n">
        <v>12823.82</v>
      </c>
      <c r="H2483" s="2" t="n">
        <v>48.58</v>
      </c>
      <c r="I2483" s="2" t="s">
        <v>26</v>
      </c>
      <c r="J2483" s="2" t="s">
        <v>7140</v>
      </c>
      <c r="K2483" s="2" t="s">
        <v>101</v>
      </c>
      <c r="L2483" s="2"/>
      <c r="M2483" s="2" t="s">
        <v>921</v>
      </c>
    </row>
    <row r="2484" customFormat="false" ht="15" hidden="false" customHeight="false" outlineLevel="0" collapsed="false">
      <c r="A2484" s="2" t="s">
        <v>7141</v>
      </c>
      <c r="B2484" s="2" t="s">
        <v>2645</v>
      </c>
      <c r="C2484" s="2" t="s">
        <v>2646</v>
      </c>
      <c r="D2484" s="13" t="n">
        <v>45625.88125</v>
      </c>
      <c r="E2484" s="2" t="s">
        <v>35</v>
      </c>
      <c r="F2484" s="2" t="s">
        <v>27</v>
      </c>
      <c r="G2484" s="2" t="n">
        <v>1539.38</v>
      </c>
      <c r="H2484" s="2" t="n">
        <v>7.57</v>
      </c>
      <c r="I2484" s="2" t="s">
        <v>30</v>
      </c>
      <c r="J2484" s="2" t="s">
        <v>7142</v>
      </c>
      <c r="K2484" s="2" t="s">
        <v>95</v>
      </c>
      <c r="L2484" s="2"/>
      <c r="M2484" s="2" t="s">
        <v>493</v>
      </c>
    </row>
    <row r="2485" customFormat="false" ht="15" hidden="false" customHeight="false" outlineLevel="0" collapsed="false">
      <c r="A2485" s="2" t="s">
        <v>7143</v>
      </c>
      <c r="B2485" s="2" t="s">
        <v>4572</v>
      </c>
      <c r="C2485" s="2" t="s">
        <v>4573</v>
      </c>
      <c r="D2485" s="13" t="n">
        <v>45831.2979166667</v>
      </c>
      <c r="E2485" s="2" t="s">
        <v>39</v>
      </c>
      <c r="F2485" s="2" t="s">
        <v>29</v>
      </c>
      <c r="G2485" s="2" t="n">
        <v>2669.64</v>
      </c>
      <c r="H2485" s="2" t="n">
        <v>26.51</v>
      </c>
      <c r="I2485" s="2" t="s">
        <v>26</v>
      </c>
      <c r="J2485" s="2" t="s">
        <v>7144</v>
      </c>
      <c r="K2485" s="2" t="s">
        <v>122</v>
      </c>
      <c r="L2485" s="2" t="s">
        <v>1127</v>
      </c>
      <c r="M2485" s="2"/>
    </row>
    <row r="2486" customFormat="false" ht="15" hidden="false" customHeight="false" outlineLevel="0" collapsed="false">
      <c r="A2486" s="2" t="s">
        <v>7145</v>
      </c>
      <c r="B2486" s="2" t="s">
        <v>3582</v>
      </c>
      <c r="C2486" s="2" t="s">
        <v>3583</v>
      </c>
      <c r="D2486" s="13" t="n">
        <v>45602.5881944444</v>
      </c>
      <c r="E2486" s="2" t="s">
        <v>37</v>
      </c>
      <c r="F2486" s="2" t="s">
        <v>31</v>
      </c>
      <c r="G2486" s="2" t="n">
        <v>3417.3</v>
      </c>
      <c r="H2486" s="2" t="n">
        <v>29.77</v>
      </c>
      <c r="I2486" s="2" t="s">
        <v>26</v>
      </c>
      <c r="J2486" s="2" t="s">
        <v>7146</v>
      </c>
      <c r="K2486" s="2" t="s">
        <v>101</v>
      </c>
      <c r="L2486" s="2" t="s">
        <v>503</v>
      </c>
      <c r="M2486" s="2"/>
    </row>
    <row r="2487" customFormat="false" ht="15" hidden="false" customHeight="false" outlineLevel="0" collapsed="false">
      <c r="A2487" s="2" t="s">
        <v>7147</v>
      </c>
      <c r="B2487" s="2" t="s">
        <v>5208</v>
      </c>
      <c r="C2487" s="2" t="s">
        <v>5209</v>
      </c>
      <c r="D2487" s="13" t="n">
        <v>45667.8104166667</v>
      </c>
      <c r="E2487" s="2" t="s">
        <v>35</v>
      </c>
      <c r="F2487" s="2" t="s">
        <v>27</v>
      </c>
      <c r="G2487" s="2" t="n">
        <v>544.08</v>
      </c>
      <c r="H2487" s="2" t="n">
        <v>5</v>
      </c>
      <c r="I2487" s="2" t="s">
        <v>30</v>
      </c>
      <c r="J2487" s="2" t="s">
        <v>7148</v>
      </c>
      <c r="K2487" s="2" t="s">
        <v>101</v>
      </c>
      <c r="L2487" s="2"/>
      <c r="M2487" s="2" t="s">
        <v>2706</v>
      </c>
    </row>
    <row r="2488" customFormat="false" ht="15" hidden="false" customHeight="false" outlineLevel="0" collapsed="false">
      <c r="A2488" s="2" t="s">
        <v>7149</v>
      </c>
      <c r="B2488" s="2" t="s">
        <v>5598</v>
      </c>
      <c r="C2488" s="2" t="s">
        <v>5599</v>
      </c>
      <c r="D2488" s="13" t="n">
        <v>45335.3715277778</v>
      </c>
      <c r="E2488" s="2" t="s">
        <v>43</v>
      </c>
      <c r="F2488" s="2" t="s">
        <v>32</v>
      </c>
      <c r="G2488" s="2" t="n">
        <v>9417.45</v>
      </c>
      <c r="H2488" s="2" t="n">
        <v>47.17</v>
      </c>
      <c r="I2488" s="2" t="s">
        <v>26</v>
      </c>
      <c r="J2488" s="2" t="s">
        <v>7150</v>
      </c>
      <c r="K2488" s="2" t="s">
        <v>122</v>
      </c>
      <c r="L2488" s="2"/>
      <c r="M2488" s="2" t="s">
        <v>513</v>
      </c>
    </row>
    <row r="2489" customFormat="false" ht="15" hidden="false" customHeight="false" outlineLevel="0" collapsed="false">
      <c r="A2489" s="2" t="s">
        <v>7151</v>
      </c>
      <c r="B2489" s="2" t="s">
        <v>659</v>
      </c>
      <c r="C2489" s="2" t="s">
        <v>660</v>
      </c>
      <c r="D2489" s="13" t="n">
        <v>45707.3743055556</v>
      </c>
      <c r="E2489" s="2" t="s">
        <v>43</v>
      </c>
      <c r="F2489" s="2" t="s">
        <v>32</v>
      </c>
      <c r="G2489" s="2" t="n">
        <v>5855.08</v>
      </c>
      <c r="H2489" s="2" t="n">
        <v>57.94</v>
      </c>
      <c r="I2489" s="2" t="s">
        <v>26</v>
      </c>
      <c r="J2489" s="2" t="s">
        <v>7152</v>
      </c>
      <c r="K2489" s="2" t="s">
        <v>122</v>
      </c>
      <c r="L2489" s="2"/>
      <c r="M2489" s="2" t="s">
        <v>2390</v>
      </c>
    </row>
    <row r="2490" customFormat="false" ht="15" hidden="false" customHeight="false" outlineLevel="0" collapsed="false">
      <c r="A2490" s="2" t="s">
        <v>7153</v>
      </c>
      <c r="B2490" s="2" t="s">
        <v>190</v>
      </c>
      <c r="C2490" s="2" t="s">
        <v>191</v>
      </c>
      <c r="D2490" s="13" t="n">
        <v>45648.3736111111</v>
      </c>
      <c r="E2490" s="2" t="s">
        <v>43</v>
      </c>
      <c r="F2490" s="2" t="s">
        <v>32</v>
      </c>
      <c r="G2490" s="2" t="n">
        <v>17014.35</v>
      </c>
      <c r="H2490" s="2" t="n">
        <v>101.02</v>
      </c>
      <c r="I2490" s="2" t="s">
        <v>26</v>
      </c>
      <c r="J2490" s="2" t="s">
        <v>7154</v>
      </c>
      <c r="K2490" s="2" t="s">
        <v>101</v>
      </c>
      <c r="L2490" s="2"/>
      <c r="M2490" s="2" t="s">
        <v>950</v>
      </c>
    </row>
    <row r="2491" customFormat="false" ht="15" hidden="false" customHeight="false" outlineLevel="0" collapsed="false">
      <c r="A2491" s="2" t="s">
        <v>7155</v>
      </c>
      <c r="B2491" s="2" t="s">
        <v>280</v>
      </c>
      <c r="C2491" s="2" t="s">
        <v>281</v>
      </c>
      <c r="D2491" s="13" t="n">
        <v>45435.5131944444</v>
      </c>
      <c r="E2491" s="2" t="s">
        <v>39</v>
      </c>
      <c r="F2491" s="2" t="s">
        <v>27</v>
      </c>
      <c r="G2491" s="2" t="n">
        <v>1438.51</v>
      </c>
      <c r="H2491" s="2" t="n">
        <v>16.06</v>
      </c>
      <c r="I2491" s="2" t="s">
        <v>26</v>
      </c>
      <c r="J2491" s="2" t="s">
        <v>7156</v>
      </c>
      <c r="K2491" s="2" t="s">
        <v>95</v>
      </c>
      <c r="L2491" s="2"/>
      <c r="M2491" s="2" t="s">
        <v>528</v>
      </c>
    </row>
    <row r="2492" customFormat="false" ht="15" hidden="false" customHeight="false" outlineLevel="0" collapsed="false">
      <c r="A2492" s="2" t="s">
        <v>7157</v>
      </c>
      <c r="B2492" s="2" t="s">
        <v>6784</v>
      </c>
      <c r="C2492" s="2" t="s">
        <v>6785</v>
      </c>
      <c r="D2492" s="13" t="n">
        <v>45649.4097222222</v>
      </c>
      <c r="E2492" s="2" t="s">
        <v>41</v>
      </c>
      <c r="F2492" s="2" t="s">
        <v>29</v>
      </c>
      <c r="G2492" s="2" t="n">
        <v>7646.75</v>
      </c>
      <c r="H2492" s="2" t="n">
        <v>64.45</v>
      </c>
      <c r="I2492" s="2" t="s">
        <v>26</v>
      </c>
      <c r="J2492" s="2" t="s">
        <v>7158</v>
      </c>
      <c r="K2492" s="2" t="s">
        <v>122</v>
      </c>
      <c r="L2492" s="2" t="s">
        <v>1726</v>
      </c>
      <c r="M2492" s="2"/>
    </row>
    <row r="2493" customFormat="false" ht="15" hidden="false" customHeight="false" outlineLevel="0" collapsed="false">
      <c r="A2493" s="2" t="s">
        <v>7159</v>
      </c>
      <c r="B2493" s="2" t="s">
        <v>2086</v>
      </c>
      <c r="C2493" s="2" t="s">
        <v>2087</v>
      </c>
      <c r="D2493" s="13" t="n">
        <v>46011.6125</v>
      </c>
      <c r="E2493" s="2" t="s">
        <v>35</v>
      </c>
      <c r="F2493" s="2" t="s">
        <v>29</v>
      </c>
      <c r="G2493" s="2" t="n">
        <v>8982.51</v>
      </c>
      <c r="H2493" s="2" t="n">
        <v>83.5</v>
      </c>
      <c r="I2493" s="2" t="s">
        <v>26</v>
      </c>
      <c r="J2493" s="2" t="s">
        <v>7160</v>
      </c>
      <c r="K2493" s="2" t="s">
        <v>89</v>
      </c>
      <c r="L2493" s="2" t="s">
        <v>1160</v>
      </c>
      <c r="M2493" s="2"/>
    </row>
    <row r="2494" customFormat="false" ht="15" hidden="false" customHeight="false" outlineLevel="0" collapsed="false">
      <c r="A2494" s="2" t="s">
        <v>7161</v>
      </c>
      <c r="B2494" s="2" t="s">
        <v>4912</v>
      </c>
      <c r="C2494" s="2" t="s">
        <v>4913</v>
      </c>
      <c r="D2494" s="13" t="n">
        <v>46010.8548611111</v>
      </c>
      <c r="E2494" s="2" t="s">
        <v>39</v>
      </c>
      <c r="F2494" s="2" t="s">
        <v>27</v>
      </c>
      <c r="G2494" s="2" t="n">
        <v>16888.58</v>
      </c>
      <c r="H2494" s="2" t="n">
        <v>51.42</v>
      </c>
      <c r="I2494" s="2" t="s">
        <v>26</v>
      </c>
      <c r="J2494" s="2" t="s">
        <v>7162</v>
      </c>
      <c r="K2494" s="2" t="s">
        <v>122</v>
      </c>
      <c r="L2494" s="2"/>
      <c r="M2494" s="2" t="s">
        <v>1371</v>
      </c>
    </row>
    <row r="2495" customFormat="false" ht="15" hidden="false" customHeight="false" outlineLevel="0" collapsed="false">
      <c r="A2495" s="2" t="s">
        <v>7163</v>
      </c>
      <c r="B2495" s="2" t="s">
        <v>629</v>
      </c>
      <c r="C2495" s="2" t="s">
        <v>630</v>
      </c>
      <c r="D2495" s="13" t="n">
        <v>45870.8840277778</v>
      </c>
      <c r="E2495" s="2" t="s">
        <v>37</v>
      </c>
      <c r="F2495" s="2" t="s">
        <v>27</v>
      </c>
      <c r="G2495" s="2" t="n">
        <v>19065.09</v>
      </c>
      <c r="H2495" s="2" t="n">
        <v>60.19</v>
      </c>
      <c r="I2495" s="2" t="s">
        <v>28</v>
      </c>
      <c r="J2495" s="2" t="s">
        <v>7164</v>
      </c>
      <c r="K2495" s="2" t="s">
        <v>89</v>
      </c>
      <c r="L2495" s="2"/>
      <c r="M2495" s="2" t="s">
        <v>546</v>
      </c>
    </row>
    <row r="2496" customFormat="false" ht="15" hidden="false" customHeight="false" outlineLevel="0" collapsed="false">
      <c r="A2496" s="2" t="s">
        <v>7165</v>
      </c>
      <c r="B2496" s="2" t="s">
        <v>2375</v>
      </c>
      <c r="C2496" s="2" t="s">
        <v>2376</v>
      </c>
      <c r="D2496" s="13" t="n">
        <v>45310.6208333333</v>
      </c>
      <c r="E2496" s="2" t="s">
        <v>41</v>
      </c>
      <c r="F2496" s="2" t="s">
        <v>31</v>
      </c>
      <c r="G2496" s="2" t="n">
        <v>5474.81</v>
      </c>
      <c r="H2496" s="2" t="n">
        <v>43.95</v>
      </c>
      <c r="I2496" s="2" t="s">
        <v>26</v>
      </c>
      <c r="J2496" s="2" t="s">
        <v>7166</v>
      </c>
      <c r="K2496" s="2" t="s">
        <v>89</v>
      </c>
      <c r="L2496" s="2" t="s">
        <v>2735</v>
      </c>
      <c r="M2496" s="2"/>
    </row>
    <row r="2497" customFormat="false" ht="15" hidden="false" customHeight="false" outlineLevel="0" collapsed="false">
      <c r="A2497" s="2" t="s">
        <v>7167</v>
      </c>
      <c r="B2497" s="2" t="s">
        <v>7168</v>
      </c>
      <c r="C2497" s="2" t="s">
        <v>7169</v>
      </c>
      <c r="D2497" s="13" t="n">
        <v>45682.6388888889</v>
      </c>
      <c r="E2497" s="2" t="s">
        <v>35</v>
      </c>
      <c r="F2497" s="2" t="s">
        <v>27</v>
      </c>
      <c r="G2497" s="2" t="n">
        <v>2011.69</v>
      </c>
      <c r="H2497" s="2" t="n">
        <v>24.05</v>
      </c>
      <c r="I2497" s="2" t="s">
        <v>26</v>
      </c>
      <c r="J2497" s="2" t="s">
        <v>7170</v>
      </c>
      <c r="K2497" s="2" t="s">
        <v>89</v>
      </c>
      <c r="L2497" s="2"/>
      <c r="M2497" s="2" t="s">
        <v>981</v>
      </c>
    </row>
    <row r="2498" customFormat="false" ht="15" hidden="false" customHeight="false" outlineLevel="0" collapsed="false">
      <c r="A2498" s="2" t="s">
        <v>7171</v>
      </c>
      <c r="B2498" s="2" t="s">
        <v>7172</v>
      </c>
      <c r="C2498" s="2" t="s">
        <v>7173</v>
      </c>
      <c r="D2498" s="13" t="n">
        <v>45649.6013888889</v>
      </c>
      <c r="E2498" s="2" t="s">
        <v>37</v>
      </c>
      <c r="F2498" s="2" t="s">
        <v>27</v>
      </c>
      <c r="G2498" s="2" t="n">
        <v>1207.36</v>
      </c>
      <c r="H2498" s="2" t="n">
        <v>9.58</v>
      </c>
      <c r="I2498" s="2" t="s">
        <v>26</v>
      </c>
      <c r="J2498" s="2" t="s">
        <v>7174</v>
      </c>
      <c r="K2498" s="2" t="s">
        <v>95</v>
      </c>
      <c r="L2498" s="2"/>
      <c r="M2498" s="2" t="s">
        <v>561</v>
      </c>
    </row>
    <row r="2499" customFormat="false" ht="15" hidden="false" customHeight="false" outlineLevel="0" collapsed="false">
      <c r="A2499" s="2" t="s">
        <v>7175</v>
      </c>
      <c r="B2499" s="2" t="s">
        <v>913</v>
      </c>
      <c r="C2499" s="2" t="s">
        <v>914</v>
      </c>
      <c r="D2499" s="13" t="n">
        <v>45890.7909722222</v>
      </c>
      <c r="E2499" s="2" t="s">
        <v>35</v>
      </c>
      <c r="F2499" s="2" t="s">
        <v>27</v>
      </c>
      <c r="G2499" s="2" t="n">
        <v>3974.56</v>
      </c>
      <c r="H2499" s="2" t="n">
        <v>31.17</v>
      </c>
      <c r="I2499" s="2" t="s">
        <v>26</v>
      </c>
      <c r="J2499" s="2" t="s">
        <v>7176</v>
      </c>
      <c r="K2499" s="2" t="s">
        <v>101</v>
      </c>
      <c r="L2499" s="2"/>
      <c r="M2499" s="2" t="s">
        <v>2097</v>
      </c>
    </row>
    <row r="2500" customFormat="false" ht="15" hidden="false" customHeight="false" outlineLevel="0" collapsed="false">
      <c r="A2500" s="2" t="s">
        <v>7177</v>
      </c>
      <c r="B2500" s="2" t="s">
        <v>1141</v>
      </c>
      <c r="C2500" s="2" t="s">
        <v>1142</v>
      </c>
      <c r="D2500" s="13" t="n">
        <v>45860.3611111111</v>
      </c>
      <c r="E2500" s="2" t="s">
        <v>39</v>
      </c>
      <c r="F2500" s="2" t="s">
        <v>27</v>
      </c>
      <c r="G2500" s="2" t="n">
        <v>5025.7</v>
      </c>
      <c r="H2500" s="2" t="n">
        <v>49.43</v>
      </c>
      <c r="I2500" s="2" t="s">
        <v>26</v>
      </c>
      <c r="J2500" s="2" t="s">
        <v>7178</v>
      </c>
      <c r="K2500" s="2" t="s">
        <v>95</v>
      </c>
      <c r="L2500" s="2"/>
      <c r="M2500" s="2" t="s">
        <v>571</v>
      </c>
    </row>
    <row r="2501" customFormat="false" ht="15" hidden="false" customHeight="false" outlineLevel="0" collapsed="false">
      <c r="A2501" s="2" t="s">
        <v>7179</v>
      </c>
      <c r="B2501" s="2" t="s">
        <v>2583</v>
      </c>
      <c r="C2501" s="2" t="s">
        <v>2584</v>
      </c>
      <c r="D2501" s="13" t="n">
        <v>45636.9208333333</v>
      </c>
      <c r="E2501" s="2" t="s">
        <v>39</v>
      </c>
      <c r="F2501" s="2" t="s">
        <v>29</v>
      </c>
      <c r="G2501" s="2" t="n">
        <v>2169.78</v>
      </c>
      <c r="H2501" s="2" t="n">
        <v>24.82</v>
      </c>
      <c r="I2501" s="2" t="s">
        <v>26</v>
      </c>
      <c r="J2501" s="2" t="s">
        <v>7180</v>
      </c>
      <c r="K2501" s="2" t="s">
        <v>122</v>
      </c>
      <c r="L2501" s="2" t="s">
        <v>1759</v>
      </c>
      <c r="M2501" s="2"/>
    </row>
    <row r="2502" customFormat="false" ht="15" hidden="false" customHeight="false" outlineLevel="0" collapsed="false">
      <c r="A2502" s="2" t="s">
        <v>7181</v>
      </c>
      <c r="B2502" s="2" t="s">
        <v>1993</v>
      </c>
      <c r="C2502" s="2" t="s">
        <v>1994</v>
      </c>
      <c r="D2502" s="13" t="n">
        <v>45719.7097222222</v>
      </c>
      <c r="E2502" s="2" t="s">
        <v>41</v>
      </c>
      <c r="F2502" s="2" t="s">
        <v>27</v>
      </c>
      <c r="G2502" s="2" t="n">
        <v>9044.12</v>
      </c>
      <c r="H2502" s="2" t="n">
        <v>27.57</v>
      </c>
      <c r="I2502" s="2" t="s">
        <v>26</v>
      </c>
      <c r="J2502" s="2" t="s">
        <v>7182</v>
      </c>
      <c r="K2502" s="2" t="s">
        <v>101</v>
      </c>
      <c r="L2502" s="2"/>
      <c r="M2502" s="2" t="s">
        <v>581</v>
      </c>
    </row>
    <row r="2503" customFormat="false" ht="15" hidden="false" customHeight="false" outlineLevel="0" collapsed="false">
      <c r="A2503" s="2" t="s">
        <v>7183</v>
      </c>
      <c r="B2503" s="2" t="s">
        <v>5178</v>
      </c>
      <c r="C2503" s="2" t="s">
        <v>5179</v>
      </c>
      <c r="D2503" s="13" t="n">
        <v>45645.4847222222</v>
      </c>
      <c r="E2503" s="2" t="s">
        <v>35</v>
      </c>
      <c r="F2503" s="2" t="s">
        <v>29</v>
      </c>
      <c r="G2503" s="2" t="n">
        <v>13091.92</v>
      </c>
      <c r="H2503" s="2" t="n">
        <v>104.22</v>
      </c>
      <c r="I2503" s="2" t="s">
        <v>26</v>
      </c>
      <c r="J2503" s="2" t="s">
        <v>7184</v>
      </c>
      <c r="K2503" s="2" t="s">
        <v>89</v>
      </c>
      <c r="L2503" s="2" t="s">
        <v>584</v>
      </c>
      <c r="M2503" s="2"/>
    </row>
    <row r="2504" customFormat="false" ht="15" hidden="false" customHeight="false" outlineLevel="0" collapsed="false">
      <c r="A2504" s="2" t="s">
        <v>7185</v>
      </c>
      <c r="B2504" s="2" t="s">
        <v>3074</v>
      </c>
      <c r="C2504" s="2" t="s">
        <v>3075</v>
      </c>
      <c r="D2504" s="13" t="n">
        <v>45516.8993055556</v>
      </c>
      <c r="E2504" s="2" t="s">
        <v>41</v>
      </c>
      <c r="F2504" s="2" t="s">
        <v>32</v>
      </c>
      <c r="G2504" s="2" t="n">
        <v>3847.91</v>
      </c>
      <c r="H2504" s="2" t="n">
        <v>8.5</v>
      </c>
      <c r="I2504" s="2" t="s">
        <v>26</v>
      </c>
      <c r="J2504" s="2" t="s">
        <v>7186</v>
      </c>
      <c r="K2504" s="2" t="s">
        <v>95</v>
      </c>
      <c r="L2504" s="2" t="s">
        <v>589</v>
      </c>
      <c r="M2504" s="2"/>
    </row>
    <row r="2505" customFormat="false" ht="15" hidden="false" customHeight="false" outlineLevel="0" collapsed="false">
      <c r="A2505" s="2" t="s">
        <v>7187</v>
      </c>
      <c r="B2505" s="2" t="s">
        <v>4720</v>
      </c>
      <c r="C2505" s="2" t="s">
        <v>4721</v>
      </c>
      <c r="D2505" s="13" t="n">
        <v>45693.7409722222</v>
      </c>
      <c r="E2505" s="2" t="s">
        <v>37</v>
      </c>
      <c r="F2505" s="2" t="s">
        <v>29</v>
      </c>
      <c r="G2505" s="2" t="n">
        <v>20894.56</v>
      </c>
      <c r="H2505" s="2" t="n">
        <v>42.3</v>
      </c>
      <c r="I2505" s="2" t="s">
        <v>30</v>
      </c>
      <c r="J2505" s="2" t="s">
        <v>7188</v>
      </c>
      <c r="K2505" s="2" t="s">
        <v>89</v>
      </c>
      <c r="L2505" s="2" t="s">
        <v>1212</v>
      </c>
      <c r="M2505" s="2"/>
    </row>
    <row r="2506" customFormat="false" ht="15" hidden="false" customHeight="false" outlineLevel="0" collapsed="false">
      <c r="A2506" s="2" t="s">
        <v>7189</v>
      </c>
      <c r="B2506" s="2" t="s">
        <v>1742</v>
      </c>
      <c r="C2506" s="2" t="s">
        <v>1743</v>
      </c>
      <c r="D2506" s="13" t="n">
        <v>45739.6625</v>
      </c>
      <c r="E2506" s="2" t="s">
        <v>37</v>
      </c>
      <c r="F2506" s="2" t="s">
        <v>31</v>
      </c>
      <c r="G2506" s="2" t="n">
        <v>7465.48</v>
      </c>
      <c r="H2506" s="2" t="n">
        <v>74.41</v>
      </c>
      <c r="I2506" s="2" t="s">
        <v>26</v>
      </c>
      <c r="J2506" s="2" t="s">
        <v>7190</v>
      </c>
      <c r="K2506" s="2" t="s">
        <v>101</v>
      </c>
      <c r="L2506" s="2" t="s">
        <v>599</v>
      </c>
      <c r="M2506" s="2"/>
    </row>
    <row r="2507" customFormat="false" ht="15" hidden="false" customHeight="false" outlineLevel="0" collapsed="false">
      <c r="A2507" s="2" t="s">
        <v>7191</v>
      </c>
      <c r="B2507" s="2" t="s">
        <v>4758</v>
      </c>
      <c r="C2507" s="2" t="s">
        <v>4759</v>
      </c>
      <c r="D2507" s="13" t="n">
        <v>45581.4722222222</v>
      </c>
      <c r="E2507" s="2" t="s">
        <v>41</v>
      </c>
      <c r="F2507" s="2" t="s">
        <v>27</v>
      </c>
      <c r="G2507" s="2" t="n">
        <v>2671.27</v>
      </c>
      <c r="H2507" s="2" t="n">
        <v>20.22</v>
      </c>
      <c r="I2507" s="2" t="s">
        <v>30</v>
      </c>
      <c r="J2507" s="2" t="s">
        <v>7192</v>
      </c>
      <c r="K2507" s="2" t="s">
        <v>95</v>
      </c>
      <c r="L2507" s="2"/>
      <c r="M2507" s="2" t="s">
        <v>1778</v>
      </c>
    </row>
    <row r="2508" customFormat="false" ht="15" hidden="false" customHeight="false" outlineLevel="0" collapsed="false">
      <c r="A2508" s="2" t="s">
        <v>7193</v>
      </c>
      <c r="B2508" s="2" t="s">
        <v>2641</v>
      </c>
      <c r="C2508" s="2" t="s">
        <v>2642</v>
      </c>
      <c r="D2508" s="13" t="n">
        <v>45382.5652777778</v>
      </c>
      <c r="E2508" s="2" t="s">
        <v>35</v>
      </c>
      <c r="F2508" s="2" t="s">
        <v>31</v>
      </c>
      <c r="G2508" s="2" t="n">
        <v>2495.98</v>
      </c>
      <c r="H2508" s="2" t="n">
        <v>22.16</v>
      </c>
      <c r="I2508" s="2" t="s">
        <v>26</v>
      </c>
      <c r="J2508" s="2" t="s">
        <v>7194</v>
      </c>
      <c r="K2508" s="2" t="s">
        <v>101</v>
      </c>
      <c r="L2508" s="2" t="s">
        <v>607</v>
      </c>
      <c r="M2508" s="2"/>
    </row>
    <row r="2509" customFormat="false" ht="15" hidden="false" customHeight="false" outlineLevel="0" collapsed="false">
      <c r="A2509" s="2" t="s">
        <v>7195</v>
      </c>
      <c r="B2509" s="2" t="s">
        <v>4912</v>
      </c>
      <c r="C2509" s="2" t="s">
        <v>4913</v>
      </c>
      <c r="D2509" s="13" t="n">
        <v>45427.7840277778</v>
      </c>
      <c r="E2509" s="2" t="s">
        <v>37</v>
      </c>
      <c r="F2509" s="2" t="s">
        <v>31</v>
      </c>
      <c r="G2509" s="2" t="n">
        <v>1229.04</v>
      </c>
      <c r="H2509" s="2" t="n">
        <v>5</v>
      </c>
      <c r="I2509" s="2" t="s">
        <v>28</v>
      </c>
      <c r="J2509" s="2" t="s">
        <v>7196</v>
      </c>
      <c r="K2509" s="2" t="s">
        <v>101</v>
      </c>
      <c r="L2509" s="2" t="s">
        <v>612</v>
      </c>
      <c r="M2509" s="2"/>
    </row>
    <row r="2510" customFormat="false" ht="15" hidden="false" customHeight="false" outlineLevel="0" collapsed="false">
      <c r="A2510" s="2" t="s">
        <v>7197</v>
      </c>
      <c r="B2510" s="2" t="s">
        <v>7198</v>
      </c>
      <c r="C2510" s="2" t="s">
        <v>7199</v>
      </c>
      <c r="D2510" s="13" t="n">
        <v>45830.5305555556</v>
      </c>
      <c r="E2510" s="2" t="s">
        <v>39</v>
      </c>
      <c r="F2510" s="2" t="s">
        <v>32</v>
      </c>
      <c r="G2510" s="2" t="n">
        <v>1203.83</v>
      </c>
      <c r="H2510" s="2" t="n">
        <v>5</v>
      </c>
      <c r="I2510" s="2" t="s">
        <v>30</v>
      </c>
      <c r="J2510" s="2" t="s">
        <v>7200</v>
      </c>
      <c r="K2510" s="2" t="s">
        <v>95</v>
      </c>
      <c r="L2510" s="2" t="s">
        <v>1232</v>
      </c>
      <c r="M2510" s="2"/>
    </row>
    <row r="2511" customFormat="false" ht="15" hidden="false" customHeight="false" outlineLevel="0" collapsed="false">
      <c r="A2511" s="2" t="s">
        <v>7201</v>
      </c>
      <c r="B2511" s="2" t="s">
        <v>4528</v>
      </c>
      <c r="C2511" s="2" t="s">
        <v>4529</v>
      </c>
      <c r="D2511" s="13" t="n">
        <v>45834.4486111111</v>
      </c>
      <c r="E2511" s="2" t="s">
        <v>37</v>
      </c>
      <c r="F2511" s="2" t="s">
        <v>32</v>
      </c>
      <c r="G2511" s="2" t="n">
        <v>7130.77</v>
      </c>
      <c r="H2511" s="2" t="n">
        <v>47.77</v>
      </c>
      <c r="I2511" s="2" t="s">
        <v>26</v>
      </c>
      <c r="J2511" s="2" t="s">
        <v>7202</v>
      </c>
      <c r="K2511" s="2" t="s">
        <v>95</v>
      </c>
      <c r="L2511" s="2" t="s">
        <v>622</v>
      </c>
      <c r="M2511" s="2"/>
    </row>
    <row r="2512" customFormat="false" ht="15" hidden="false" customHeight="false" outlineLevel="0" collapsed="false">
      <c r="A2512" s="2" t="s">
        <v>7203</v>
      </c>
      <c r="B2512" s="2" t="s">
        <v>5024</v>
      </c>
      <c r="C2512" s="2" t="s">
        <v>5025</v>
      </c>
      <c r="D2512" s="13" t="n">
        <v>45711.4777777778</v>
      </c>
      <c r="E2512" s="2" t="s">
        <v>37</v>
      </c>
      <c r="F2512" s="2" t="s">
        <v>29</v>
      </c>
      <c r="G2512" s="2" t="n">
        <v>2907.57</v>
      </c>
      <c r="H2512" s="2" t="n">
        <v>18.58</v>
      </c>
      <c r="I2512" s="2" t="s">
        <v>28</v>
      </c>
      <c r="J2512" s="2" t="s">
        <v>7204</v>
      </c>
      <c r="K2512" s="2" t="s">
        <v>89</v>
      </c>
      <c r="L2512" s="2" t="s">
        <v>1241</v>
      </c>
      <c r="M2512" s="2"/>
    </row>
    <row r="2513" customFormat="false" ht="15" hidden="false" customHeight="false" outlineLevel="0" collapsed="false">
      <c r="A2513" s="2" t="s">
        <v>7205</v>
      </c>
      <c r="B2513" s="2" t="s">
        <v>3994</v>
      </c>
      <c r="C2513" s="2" t="s">
        <v>3995</v>
      </c>
      <c r="D2513" s="13" t="n">
        <v>45941.7</v>
      </c>
      <c r="E2513" s="2" t="s">
        <v>41</v>
      </c>
      <c r="F2513" s="2" t="s">
        <v>29</v>
      </c>
      <c r="G2513" s="2" t="n">
        <v>6269.73</v>
      </c>
      <c r="H2513" s="2" t="n">
        <v>30.99</v>
      </c>
      <c r="I2513" s="2" t="s">
        <v>26</v>
      </c>
      <c r="J2513" s="2" t="s">
        <v>7206</v>
      </c>
      <c r="K2513" s="2" t="s">
        <v>95</v>
      </c>
      <c r="L2513" s="2" t="s">
        <v>632</v>
      </c>
      <c r="M2513" s="2"/>
    </row>
    <row r="2514" customFormat="false" ht="15" hidden="false" customHeight="false" outlineLevel="0" collapsed="false">
      <c r="A2514" s="2" t="s">
        <v>7207</v>
      </c>
      <c r="B2514" s="2" t="s">
        <v>4158</v>
      </c>
      <c r="C2514" s="2" t="s">
        <v>4159</v>
      </c>
      <c r="D2514" s="13" t="n">
        <v>45366.5597222222</v>
      </c>
      <c r="E2514" s="2" t="s">
        <v>37</v>
      </c>
      <c r="F2514" s="2" t="s">
        <v>27</v>
      </c>
      <c r="G2514" s="2" t="n">
        <v>3819.63</v>
      </c>
      <c r="H2514" s="2" t="n">
        <v>26.54</v>
      </c>
      <c r="I2514" s="2" t="s">
        <v>28</v>
      </c>
      <c r="J2514" s="2" t="s">
        <v>7208</v>
      </c>
      <c r="K2514" s="2" t="s">
        <v>101</v>
      </c>
      <c r="L2514" s="2"/>
      <c r="M2514" s="2" t="s">
        <v>1806</v>
      </c>
    </row>
    <row r="2515" customFormat="false" ht="15" hidden="false" customHeight="false" outlineLevel="0" collapsed="false">
      <c r="A2515" s="2" t="s">
        <v>7209</v>
      </c>
      <c r="B2515" s="2" t="s">
        <v>3274</v>
      </c>
      <c r="C2515" s="2" t="s">
        <v>3275</v>
      </c>
      <c r="D2515" s="13" t="n">
        <v>45910.3319444444</v>
      </c>
      <c r="E2515" s="2" t="s">
        <v>37</v>
      </c>
      <c r="F2515" s="2" t="s">
        <v>32</v>
      </c>
      <c r="G2515" s="2" t="n">
        <v>6099.8</v>
      </c>
      <c r="H2515" s="2" t="n">
        <v>51.8</v>
      </c>
      <c r="I2515" s="2" t="s">
        <v>26</v>
      </c>
      <c r="J2515" s="2" t="s">
        <v>7210</v>
      </c>
      <c r="K2515" s="2" t="s">
        <v>89</v>
      </c>
      <c r="L2515" s="2" t="s">
        <v>640</v>
      </c>
      <c r="M2515" s="2"/>
    </row>
    <row r="2516" customFormat="false" ht="15" hidden="false" customHeight="false" outlineLevel="0" collapsed="false">
      <c r="A2516" s="2" t="s">
        <v>7211</v>
      </c>
      <c r="B2516" s="2" t="s">
        <v>4758</v>
      </c>
      <c r="C2516" s="2" t="s">
        <v>4759</v>
      </c>
      <c r="D2516" s="13" t="n">
        <v>45369.7965277778</v>
      </c>
      <c r="E2516" s="2" t="s">
        <v>39</v>
      </c>
      <c r="F2516" s="2" t="s">
        <v>29</v>
      </c>
      <c r="G2516" s="2" t="n">
        <v>2288.76</v>
      </c>
      <c r="H2516" s="2" t="n">
        <v>14.88</v>
      </c>
      <c r="I2516" s="2" t="s">
        <v>26</v>
      </c>
      <c r="J2516" s="2" t="s">
        <v>7212</v>
      </c>
      <c r="K2516" s="2" t="s">
        <v>101</v>
      </c>
      <c r="L2516" s="2" t="s">
        <v>645</v>
      </c>
      <c r="M2516" s="2"/>
    </row>
    <row r="2517" customFormat="false" ht="15" hidden="false" customHeight="false" outlineLevel="0" collapsed="false">
      <c r="A2517" s="2" t="s">
        <v>7213</v>
      </c>
      <c r="B2517" s="2" t="s">
        <v>2035</v>
      </c>
      <c r="C2517" s="2" t="s">
        <v>2036</v>
      </c>
      <c r="D2517" s="13" t="n">
        <v>45504.5916666667</v>
      </c>
      <c r="E2517" s="2" t="s">
        <v>39</v>
      </c>
      <c r="F2517" s="2" t="s">
        <v>31</v>
      </c>
      <c r="G2517" s="2" t="n">
        <v>907.14</v>
      </c>
      <c r="H2517" s="2" t="n">
        <v>9.03</v>
      </c>
      <c r="I2517" s="2" t="s">
        <v>26</v>
      </c>
      <c r="J2517" s="2" t="s">
        <v>7214</v>
      </c>
      <c r="K2517" s="2" t="s">
        <v>122</v>
      </c>
      <c r="L2517" s="2" t="s">
        <v>648</v>
      </c>
      <c r="M2517" s="2"/>
    </row>
    <row r="2518" customFormat="false" ht="15" hidden="false" customHeight="false" outlineLevel="0" collapsed="false">
      <c r="A2518" s="2" t="s">
        <v>7215</v>
      </c>
      <c r="B2518" s="2" t="s">
        <v>1336</v>
      </c>
      <c r="C2518" s="2" t="s">
        <v>1337</v>
      </c>
      <c r="D2518" s="13" t="n">
        <v>45578.2986111111</v>
      </c>
      <c r="E2518" s="2" t="s">
        <v>39</v>
      </c>
      <c r="F2518" s="2" t="s">
        <v>32</v>
      </c>
      <c r="G2518" s="2" t="n">
        <v>2448.31</v>
      </c>
      <c r="H2518" s="2" t="n">
        <v>6.32</v>
      </c>
      <c r="I2518" s="2" t="s">
        <v>28</v>
      </c>
      <c r="J2518" s="2" t="s">
        <v>7216</v>
      </c>
      <c r="K2518" s="2" t="s">
        <v>101</v>
      </c>
      <c r="L2518" s="2" t="s">
        <v>1262</v>
      </c>
      <c r="M2518" s="2"/>
    </row>
    <row r="2519" customFormat="false" ht="15" hidden="false" customHeight="false" outlineLevel="0" collapsed="false">
      <c r="A2519" s="2" t="s">
        <v>7217</v>
      </c>
      <c r="B2519" s="2" t="s">
        <v>375</v>
      </c>
      <c r="C2519" s="2" t="s">
        <v>376</v>
      </c>
      <c r="D2519" s="13" t="n">
        <v>45490.3798611111</v>
      </c>
      <c r="E2519" s="2" t="s">
        <v>41</v>
      </c>
      <c r="F2519" s="2" t="s">
        <v>27</v>
      </c>
      <c r="G2519" s="2" t="n">
        <v>1318.67</v>
      </c>
      <c r="H2519" s="2" t="n">
        <v>11.45</v>
      </c>
      <c r="I2519" s="2" t="s">
        <v>28</v>
      </c>
      <c r="J2519" s="2" t="s">
        <v>7218</v>
      </c>
      <c r="K2519" s="2" t="s">
        <v>89</v>
      </c>
      <c r="L2519" s="2"/>
      <c r="M2519" s="2" t="s">
        <v>657</v>
      </c>
    </row>
    <row r="2520" customFormat="false" ht="15" hidden="false" customHeight="false" outlineLevel="0" collapsed="false">
      <c r="A2520" s="2" t="s">
        <v>7219</v>
      </c>
      <c r="B2520" s="2" t="s">
        <v>6512</v>
      </c>
      <c r="C2520" s="2" t="s">
        <v>6513</v>
      </c>
      <c r="D2520" s="13" t="n">
        <v>45788.5944444445</v>
      </c>
      <c r="E2520" s="2" t="s">
        <v>37</v>
      </c>
      <c r="F2520" s="2" t="s">
        <v>31</v>
      </c>
      <c r="G2520" s="2" t="n">
        <v>4672.89</v>
      </c>
      <c r="H2520" s="2" t="n">
        <v>40.83</v>
      </c>
      <c r="I2520" s="2" t="s">
        <v>28</v>
      </c>
      <c r="J2520" s="2" t="s">
        <v>7220</v>
      </c>
      <c r="K2520" s="2" t="s">
        <v>122</v>
      </c>
      <c r="L2520" s="2" t="s">
        <v>1272</v>
      </c>
      <c r="M2520" s="2"/>
    </row>
    <row r="2521" customFormat="false" ht="15" hidden="false" customHeight="false" outlineLevel="0" collapsed="false">
      <c r="A2521" s="2" t="s">
        <v>7221</v>
      </c>
      <c r="B2521" s="2" t="s">
        <v>3550</v>
      </c>
      <c r="C2521" s="2" t="s">
        <v>3551</v>
      </c>
      <c r="D2521" s="13" t="n">
        <v>45479.6145833333</v>
      </c>
      <c r="E2521" s="2" t="s">
        <v>41</v>
      </c>
      <c r="F2521" s="2" t="s">
        <v>27</v>
      </c>
      <c r="G2521" s="2" t="n">
        <v>3233.08</v>
      </c>
      <c r="H2521" s="2" t="n">
        <v>19.31</v>
      </c>
      <c r="I2521" s="2" t="s">
        <v>30</v>
      </c>
      <c r="J2521" s="2" t="s">
        <v>7222</v>
      </c>
      <c r="K2521" s="2" t="s">
        <v>95</v>
      </c>
      <c r="L2521" s="2"/>
      <c r="M2521" s="2" t="s">
        <v>667</v>
      </c>
    </row>
    <row r="2522" customFormat="false" ht="15" hidden="false" customHeight="false" outlineLevel="0" collapsed="false">
      <c r="A2522" s="2" t="s">
        <v>7223</v>
      </c>
      <c r="B2522" s="2" t="s">
        <v>1894</v>
      </c>
      <c r="C2522" s="2" t="s">
        <v>1895</v>
      </c>
      <c r="D2522" s="13" t="n">
        <v>45438.7048611111</v>
      </c>
      <c r="E2522" s="2" t="s">
        <v>41</v>
      </c>
      <c r="F2522" s="2" t="s">
        <v>29</v>
      </c>
      <c r="G2522" s="2" t="n">
        <v>22725.5</v>
      </c>
      <c r="H2522" s="2" t="n">
        <v>182.97</v>
      </c>
      <c r="I2522" s="2" t="s">
        <v>26</v>
      </c>
      <c r="J2522" s="2" t="s">
        <v>7224</v>
      </c>
      <c r="K2522" s="2" t="s">
        <v>95</v>
      </c>
      <c r="L2522" s="2" t="s">
        <v>1837</v>
      </c>
      <c r="M2522" s="2"/>
    </row>
    <row r="2523" customFormat="false" ht="15" hidden="false" customHeight="false" outlineLevel="0" collapsed="false">
      <c r="A2523" s="2" t="s">
        <v>7225</v>
      </c>
      <c r="B2523" s="2" t="s">
        <v>974</v>
      </c>
      <c r="C2523" s="2" t="s">
        <v>975</v>
      </c>
      <c r="D2523" s="13" t="n">
        <v>45728.4513888889</v>
      </c>
      <c r="E2523" s="2" t="s">
        <v>41</v>
      </c>
      <c r="F2523" s="2" t="s">
        <v>31</v>
      </c>
      <c r="G2523" s="2" t="n">
        <v>8229.16</v>
      </c>
      <c r="H2523" s="2" t="n">
        <v>95.09</v>
      </c>
      <c r="I2523" s="2" t="s">
        <v>26</v>
      </c>
      <c r="J2523" s="2" t="s">
        <v>7226</v>
      </c>
      <c r="K2523" s="2" t="s">
        <v>101</v>
      </c>
      <c r="L2523" s="2" t="s">
        <v>676</v>
      </c>
      <c r="M2523" s="2"/>
    </row>
    <row r="2524" customFormat="false" ht="15" hidden="false" customHeight="false" outlineLevel="0" collapsed="false">
      <c r="A2524" s="2" t="s">
        <v>7227</v>
      </c>
      <c r="B2524" s="2" t="s">
        <v>2222</v>
      </c>
      <c r="C2524" s="2" t="s">
        <v>2223</v>
      </c>
      <c r="D2524" s="13" t="n">
        <v>45371.7465277778</v>
      </c>
      <c r="E2524" s="2" t="s">
        <v>39</v>
      </c>
      <c r="F2524" s="2" t="s">
        <v>27</v>
      </c>
      <c r="G2524" s="2" t="n">
        <v>3683.12</v>
      </c>
      <c r="H2524" s="2" t="n">
        <v>28.8</v>
      </c>
      <c r="I2524" s="2" t="s">
        <v>26</v>
      </c>
      <c r="J2524" s="2" t="s">
        <v>7228</v>
      </c>
      <c r="K2524" s="2" t="s">
        <v>89</v>
      </c>
      <c r="L2524" s="2"/>
      <c r="M2524" s="2" t="s">
        <v>1477</v>
      </c>
    </row>
    <row r="2525" customFormat="false" ht="15" hidden="false" customHeight="false" outlineLevel="0" collapsed="false">
      <c r="A2525" s="2" t="s">
        <v>7229</v>
      </c>
      <c r="B2525" s="2" t="s">
        <v>1141</v>
      </c>
      <c r="C2525" s="2" t="s">
        <v>1142</v>
      </c>
      <c r="D2525" s="13" t="n">
        <v>45869.9451388889</v>
      </c>
      <c r="E2525" s="2" t="s">
        <v>37</v>
      </c>
      <c r="F2525" s="2" t="s">
        <v>27</v>
      </c>
      <c r="G2525" s="2" t="n">
        <v>608.36</v>
      </c>
      <c r="H2525" s="2" t="n">
        <v>5</v>
      </c>
      <c r="I2525" s="2" t="s">
        <v>26</v>
      </c>
      <c r="J2525" s="2" t="s">
        <v>7230</v>
      </c>
      <c r="K2525" s="2" t="s">
        <v>89</v>
      </c>
      <c r="L2525" s="2"/>
      <c r="M2525" s="2" t="s">
        <v>198</v>
      </c>
    </row>
    <row r="2526" customFormat="false" ht="15" hidden="false" customHeight="false" outlineLevel="0" collapsed="false">
      <c r="A2526" s="2" t="s">
        <v>7231</v>
      </c>
      <c r="B2526" s="2" t="s">
        <v>3269</v>
      </c>
      <c r="C2526" s="2" t="s">
        <v>3270</v>
      </c>
      <c r="D2526" s="13" t="n">
        <v>45511.8576388889</v>
      </c>
      <c r="E2526" s="2" t="s">
        <v>41</v>
      </c>
      <c r="F2526" s="2" t="s">
        <v>31</v>
      </c>
      <c r="G2526" s="2" t="n">
        <v>1277.56</v>
      </c>
      <c r="H2526" s="2" t="n">
        <v>14.44</v>
      </c>
      <c r="I2526" s="2" t="s">
        <v>26</v>
      </c>
      <c r="J2526" s="2" t="s">
        <v>7232</v>
      </c>
      <c r="K2526" s="2" t="s">
        <v>89</v>
      </c>
      <c r="L2526" s="2" t="s">
        <v>1299</v>
      </c>
      <c r="M2526" s="2"/>
    </row>
    <row r="2527" customFormat="false" ht="15" hidden="false" customHeight="false" outlineLevel="0" collapsed="false">
      <c r="A2527" s="2" t="s">
        <v>7233</v>
      </c>
      <c r="B2527" s="2" t="s">
        <v>4568</v>
      </c>
      <c r="C2527" s="2" t="s">
        <v>4569</v>
      </c>
      <c r="D2527" s="13" t="n">
        <v>45523.925</v>
      </c>
      <c r="E2527" s="2" t="s">
        <v>43</v>
      </c>
      <c r="F2527" s="2" t="s">
        <v>31</v>
      </c>
      <c r="G2527" s="2" t="n">
        <v>1413.83</v>
      </c>
      <c r="H2527" s="2" t="n">
        <v>13.49</v>
      </c>
      <c r="I2527" s="2" t="s">
        <v>26</v>
      </c>
      <c r="J2527" s="2" t="s">
        <v>7234</v>
      </c>
      <c r="K2527" s="2" t="s">
        <v>89</v>
      </c>
      <c r="L2527" s="2"/>
      <c r="M2527" s="2" t="s">
        <v>692</v>
      </c>
    </row>
    <row r="2528" customFormat="false" ht="15" hidden="false" customHeight="false" outlineLevel="0" collapsed="false">
      <c r="A2528" s="2" t="s">
        <v>7235</v>
      </c>
      <c r="B2528" s="2" t="s">
        <v>7236</v>
      </c>
      <c r="C2528" s="2" t="s">
        <v>7237</v>
      </c>
      <c r="D2528" s="13" t="n">
        <v>45450.3319444444</v>
      </c>
      <c r="E2528" s="2" t="s">
        <v>39</v>
      </c>
      <c r="F2528" s="2" t="s">
        <v>27</v>
      </c>
      <c r="G2528" s="2" t="n">
        <v>7889.03</v>
      </c>
      <c r="H2528" s="2" t="n">
        <v>47.16</v>
      </c>
      <c r="I2528" s="2" t="s">
        <v>26</v>
      </c>
      <c r="J2528" s="2" t="s">
        <v>7238</v>
      </c>
      <c r="K2528" s="2" t="s">
        <v>95</v>
      </c>
      <c r="L2528" s="2"/>
      <c r="M2528" s="2" t="s">
        <v>1495</v>
      </c>
    </row>
    <row r="2529" customFormat="false" ht="15" hidden="false" customHeight="false" outlineLevel="0" collapsed="false">
      <c r="A2529" s="2" t="s">
        <v>7239</v>
      </c>
      <c r="B2529" s="2" t="s">
        <v>969</v>
      </c>
      <c r="C2529" s="2" t="s">
        <v>970</v>
      </c>
      <c r="D2529" s="13" t="n">
        <v>45583.9291666667</v>
      </c>
      <c r="E2529" s="2" t="s">
        <v>43</v>
      </c>
      <c r="F2529" s="2" t="s">
        <v>32</v>
      </c>
      <c r="G2529" s="2" t="n">
        <v>4166.38</v>
      </c>
      <c r="H2529" s="2" t="n">
        <v>35.55</v>
      </c>
      <c r="I2529" s="2" t="s">
        <v>26</v>
      </c>
      <c r="J2529" s="2" t="s">
        <v>7240</v>
      </c>
      <c r="K2529" s="2" t="s">
        <v>95</v>
      </c>
      <c r="L2529" s="2"/>
      <c r="M2529" s="2" t="s">
        <v>700</v>
      </c>
    </row>
    <row r="2530" customFormat="false" ht="15" hidden="false" customHeight="false" outlineLevel="0" collapsed="false">
      <c r="A2530" s="2" t="s">
        <v>7241</v>
      </c>
      <c r="B2530" s="2" t="s">
        <v>942</v>
      </c>
      <c r="C2530" s="2" t="s">
        <v>943</v>
      </c>
      <c r="D2530" s="13" t="n">
        <v>45764.6069444444</v>
      </c>
      <c r="E2530" s="2" t="s">
        <v>43</v>
      </c>
      <c r="F2530" s="2" t="s">
        <v>32</v>
      </c>
      <c r="G2530" s="2" t="n">
        <v>1509.6</v>
      </c>
      <c r="H2530" s="2" t="n">
        <v>5.65</v>
      </c>
      <c r="I2530" s="2" t="s">
        <v>26</v>
      </c>
      <c r="J2530" s="2" t="s">
        <v>7242</v>
      </c>
      <c r="K2530" s="2" t="s">
        <v>95</v>
      </c>
      <c r="L2530" s="2"/>
      <c r="M2530" s="2" t="s">
        <v>223</v>
      </c>
    </row>
    <row r="2531" customFormat="false" ht="15" hidden="false" customHeight="false" outlineLevel="0" collapsed="false">
      <c r="A2531" s="2" t="s">
        <v>7243</v>
      </c>
      <c r="B2531" s="2" t="s">
        <v>1885</v>
      </c>
      <c r="C2531" s="2" t="s">
        <v>1886</v>
      </c>
      <c r="D2531" s="13" t="n">
        <v>45756.5340277778</v>
      </c>
      <c r="E2531" s="2" t="s">
        <v>41</v>
      </c>
      <c r="F2531" s="2" t="s">
        <v>29</v>
      </c>
      <c r="G2531" s="2" t="n">
        <v>2961.62</v>
      </c>
      <c r="H2531" s="2" t="n">
        <v>14.71</v>
      </c>
      <c r="I2531" s="2" t="s">
        <v>26</v>
      </c>
      <c r="J2531" s="2" t="s">
        <v>7244</v>
      </c>
      <c r="K2531" s="2" t="s">
        <v>101</v>
      </c>
      <c r="L2531" s="2" t="s">
        <v>1320</v>
      </c>
      <c r="M2531" s="2"/>
    </row>
    <row r="2532" customFormat="false" ht="15" hidden="false" customHeight="false" outlineLevel="0" collapsed="false">
      <c r="A2532" s="2" t="s">
        <v>7245</v>
      </c>
      <c r="B2532" s="2" t="s">
        <v>3432</v>
      </c>
      <c r="C2532" s="2" t="s">
        <v>3433</v>
      </c>
      <c r="D2532" s="13" t="n">
        <v>45532.3972222222</v>
      </c>
      <c r="E2532" s="2" t="s">
        <v>35</v>
      </c>
      <c r="F2532" s="2" t="s">
        <v>27</v>
      </c>
      <c r="G2532" s="2" t="n">
        <v>5424.17</v>
      </c>
      <c r="H2532" s="2" t="n">
        <v>30.43</v>
      </c>
      <c r="I2532" s="2" t="s">
        <v>28</v>
      </c>
      <c r="J2532" s="2" t="s">
        <v>7246</v>
      </c>
      <c r="K2532" s="2" t="s">
        <v>89</v>
      </c>
      <c r="L2532" s="2"/>
      <c r="M2532" s="2" t="s">
        <v>233</v>
      </c>
    </row>
    <row r="2533" customFormat="false" ht="15" hidden="false" customHeight="false" outlineLevel="0" collapsed="false">
      <c r="A2533" s="2" t="s">
        <v>7247</v>
      </c>
      <c r="B2533" s="2" t="s">
        <v>1521</v>
      </c>
      <c r="C2533" s="2" t="s">
        <v>1522</v>
      </c>
      <c r="D2533" s="13" t="n">
        <v>45778.5326388889</v>
      </c>
      <c r="E2533" s="2" t="s">
        <v>43</v>
      </c>
      <c r="F2533" s="2" t="s">
        <v>32</v>
      </c>
      <c r="G2533" s="2" t="n">
        <v>1762.85</v>
      </c>
      <c r="H2533" s="2" t="n">
        <v>14.08</v>
      </c>
      <c r="I2533" s="2" t="s">
        <v>26</v>
      </c>
      <c r="J2533" s="2" t="s">
        <v>7248</v>
      </c>
      <c r="K2533" s="2" t="s">
        <v>101</v>
      </c>
      <c r="L2533" s="2"/>
      <c r="M2533" s="2" t="s">
        <v>238</v>
      </c>
    </row>
    <row r="2534" customFormat="false" ht="15" hidden="false" customHeight="false" outlineLevel="0" collapsed="false">
      <c r="A2534" s="2" t="s">
        <v>7249</v>
      </c>
      <c r="B2534" s="2" t="s">
        <v>6512</v>
      </c>
      <c r="C2534" s="2" t="s">
        <v>6513</v>
      </c>
      <c r="D2534" s="13" t="n">
        <v>45945.7784722222</v>
      </c>
      <c r="E2534" s="2" t="s">
        <v>39</v>
      </c>
      <c r="F2534" s="2" t="s">
        <v>31</v>
      </c>
      <c r="G2534" s="2" t="n">
        <v>2774.59</v>
      </c>
      <c r="H2534" s="2" t="n">
        <v>19.22</v>
      </c>
      <c r="I2534" s="2" t="s">
        <v>30</v>
      </c>
      <c r="J2534" s="2" t="s">
        <v>7250</v>
      </c>
      <c r="K2534" s="2" t="s">
        <v>122</v>
      </c>
      <c r="L2534" s="2" t="s">
        <v>1877</v>
      </c>
      <c r="M2534" s="2"/>
    </row>
    <row r="2535" customFormat="false" ht="15" hidden="false" customHeight="false" outlineLevel="0" collapsed="false">
      <c r="A2535" s="2" t="s">
        <v>7251</v>
      </c>
      <c r="B2535" s="2" t="s">
        <v>3686</v>
      </c>
      <c r="C2535" s="2" t="s">
        <v>3687</v>
      </c>
      <c r="D2535" s="13" t="n">
        <v>45767.3604166667</v>
      </c>
      <c r="E2535" s="2" t="s">
        <v>41</v>
      </c>
      <c r="F2535" s="2" t="s">
        <v>31</v>
      </c>
      <c r="G2535" s="2" t="n">
        <v>6757.26</v>
      </c>
      <c r="H2535" s="2" t="n">
        <v>21.32</v>
      </c>
      <c r="I2535" s="2" t="s">
        <v>30</v>
      </c>
      <c r="J2535" s="2" t="s">
        <v>7252</v>
      </c>
      <c r="K2535" s="2" t="s">
        <v>89</v>
      </c>
      <c r="L2535" s="2" t="s">
        <v>1339</v>
      </c>
      <c r="M2535" s="2"/>
    </row>
    <row r="2536" customFormat="false" ht="15" hidden="false" customHeight="false" outlineLevel="0" collapsed="false">
      <c r="A2536" s="2" t="s">
        <v>7253</v>
      </c>
      <c r="B2536" s="2" t="s">
        <v>3802</v>
      </c>
      <c r="C2536" s="2" t="s">
        <v>3803</v>
      </c>
      <c r="D2536" s="13" t="n">
        <v>45524.7756944444</v>
      </c>
      <c r="E2536" s="2" t="s">
        <v>35</v>
      </c>
      <c r="F2536" s="2" t="s">
        <v>27</v>
      </c>
      <c r="G2536" s="2" t="n">
        <v>2018.47</v>
      </c>
      <c r="H2536" s="2" t="n">
        <v>20.31</v>
      </c>
      <c r="I2536" s="2" t="s">
        <v>28</v>
      </c>
      <c r="J2536" s="2" t="s">
        <v>7254</v>
      </c>
      <c r="K2536" s="2" t="s">
        <v>122</v>
      </c>
      <c r="L2536" s="2"/>
      <c r="M2536" s="2" t="s">
        <v>728</v>
      </c>
    </row>
    <row r="2537" customFormat="false" ht="15" hidden="false" customHeight="false" outlineLevel="0" collapsed="false">
      <c r="A2537" s="2" t="s">
        <v>7255</v>
      </c>
      <c r="B2537" s="2" t="s">
        <v>3348</v>
      </c>
      <c r="C2537" s="2" t="s">
        <v>3349</v>
      </c>
      <c r="D2537" s="13" t="n">
        <v>45310.41875</v>
      </c>
      <c r="E2537" s="2" t="s">
        <v>43</v>
      </c>
      <c r="F2537" s="2" t="s">
        <v>32</v>
      </c>
      <c r="G2537" s="2" t="n">
        <v>1208.83</v>
      </c>
      <c r="H2537" s="2" t="n">
        <v>5</v>
      </c>
      <c r="I2537" s="2" t="s">
        <v>26</v>
      </c>
      <c r="J2537" s="2" t="s">
        <v>7256</v>
      </c>
      <c r="K2537" s="2" t="s">
        <v>101</v>
      </c>
      <c r="L2537" s="2"/>
      <c r="M2537" s="2" t="s">
        <v>1134</v>
      </c>
    </row>
    <row r="2538" customFormat="false" ht="15" hidden="false" customHeight="false" outlineLevel="0" collapsed="false">
      <c r="A2538" s="2" t="s">
        <v>7257</v>
      </c>
      <c r="B2538" s="2" t="s">
        <v>220</v>
      </c>
      <c r="C2538" s="2" t="s">
        <v>221</v>
      </c>
      <c r="D2538" s="13" t="n">
        <v>45299.8402777778</v>
      </c>
      <c r="E2538" s="2" t="s">
        <v>37</v>
      </c>
      <c r="F2538" s="2" t="s">
        <v>29</v>
      </c>
      <c r="G2538" s="2" t="n">
        <v>2123.43</v>
      </c>
      <c r="H2538" s="2" t="n">
        <v>8.64</v>
      </c>
      <c r="I2538" s="2" t="s">
        <v>26</v>
      </c>
      <c r="J2538" s="2" t="s">
        <v>7258</v>
      </c>
      <c r="K2538" s="2" t="s">
        <v>122</v>
      </c>
      <c r="L2538" s="2" t="s">
        <v>1888</v>
      </c>
      <c r="M2538" s="2"/>
    </row>
    <row r="2539" customFormat="false" ht="15" hidden="false" customHeight="false" outlineLevel="0" collapsed="false">
      <c r="A2539" s="2" t="s">
        <v>7259</v>
      </c>
      <c r="B2539" s="2" t="s">
        <v>1257</v>
      </c>
      <c r="C2539" s="2" t="s">
        <v>1258</v>
      </c>
      <c r="D2539" s="13" t="n">
        <v>45524.5881944444</v>
      </c>
      <c r="E2539" s="2" t="s">
        <v>41</v>
      </c>
      <c r="F2539" s="2" t="s">
        <v>32</v>
      </c>
      <c r="G2539" s="2" t="n">
        <v>3001.31</v>
      </c>
      <c r="H2539" s="2" t="n">
        <v>33.14</v>
      </c>
      <c r="I2539" s="2" t="s">
        <v>26</v>
      </c>
      <c r="J2539" s="2" t="s">
        <v>7260</v>
      </c>
      <c r="K2539" s="2" t="s">
        <v>89</v>
      </c>
      <c r="L2539" s="2" t="s">
        <v>738</v>
      </c>
      <c r="M2539" s="2"/>
    </row>
    <row r="2540" customFormat="false" ht="15" hidden="false" customHeight="false" outlineLevel="0" collapsed="false">
      <c r="A2540" s="2" t="s">
        <v>7261</v>
      </c>
      <c r="B2540" s="2" t="s">
        <v>1961</v>
      </c>
      <c r="C2540" s="2" t="s">
        <v>1962</v>
      </c>
      <c r="D2540" s="13" t="n">
        <v>45778.4055555556</v>
      </c>
      <c r="E2540" s="2" t="s">
        <v>35</v>
      </c>
      <c r="F2540" s="2" t="s">
        <v>27</v>
      </c>
      <c r="G2540" s="2" t="n">
        <v>3227.97</v>
      </c>
      <c r="H2540" s="2" t="n">
        <v>25.25</v>
      </c>
      <c r="I2540" s="2" t="s">
        <v>30</v>
      </c>
      <c r="J2540" s="2" t="s">
        <v>7262</v>
      </c>
      <c r="K2540" s="2" t="s">
        <v>101</v>
      </c>
      <c r="L2540" s="2"/>
      <c r="M2540" s="2" t="s">
        <v>273</v>
      </c>
    </row>
    <row r="2541" customFormat="false" ht="15" hidden="false" customHeight="false" outlineLevel="0" collapsed="false">
      <c r="A2541" s="2" t="s">
        <v>7263</v>
      </c>
      <c r="B2541" s="2" t="s">
        <v>4572</v>
      </c>
      <c r="C2541" s="2" t="s">
        <v>4573</v>
      </c>
      <c r="D2541" s="13" t="n">
        <v>45634.4430555556</v>
      </c>
      <c r="E2541" s="2" t="s">
        <v>39</v>
      </c>
      <c r="F2541" s="2" t="s">
        <v>31</v>
      </c>
      <c r="G2541" s="2" t="n">
        <v>7831.43</v>
      </c>
      <c r="H2541" s="2" t="n">
        <v>17.92</v>
      </c>
      <c r="I2541" s="2" t="s">
        <v>26</v>
      </c>
      <c r="J2541" s="2" t="s">
        <v>7264</v>
      </c>
      <c r="K2541" s="2" t="s">
        <v>101</v>
      </c>
      <c r="L2541" s="2" t="s">
        <v>1901</v>
      </c>
      <c r="M2541" s="2"/>
    </row>
    <row r="2542" customFormat="false" ht="15" hidden="false" customHeight="false" outlineLevel="0" collapsed="false">
      <c r="A2542" s="2" t="s">
        <v>7265</v>
      </c>
      <c r="B2542" s="2" t="s">
        <v>1563</v>
      </c>
      <c r="C2542" s="2" t="s">
        <v>1564</v>
      </c>
      <c r="D2542" s="13" t="n">
        <v>45743.6111111111</v>
      </c>
      <c r="E2542" s="2" t="s">
        <v>35</v>
      </c>
      <c r="F2542" s="2" t="s">
        <v>29</v>
      </c>
      <c r="G2542" s="2" t="n">
        <v>1172.73</v>
      </c>
      <c r="H2542" s="2" t="n">
        <v>14.05</v>
      </c>
      <c r="I2542" s="2" t="s">
        <v>26</v>
      </c>
      <c r="J2542" s="2" t="s">
        <v>7266</v>
      </c>
      <c r="K2542" s="2" t="s">
        <v>122</v>
      </c>
      <c r="L2542" s="2" t="s">
        <v>752</v>
      </c>
      <c r="M2542" s="2"/>
    </row>
    <row r="2543" customFormat="false" ht="15" hidden="false" customHeight="false" outlineLevel="0" collapsed="false">
      <c r="A2543" s="2" t="s">
        <v>7267</v>
      </c>
      <c r="B2543" s="2" t="s">
        <v>5074</v>
      </c>
      <c r="C2543" s="2" t="s">
        <v>5075</v>
      </c>
      <c r="D2543" s="13" t="n">
        <v>45734.5993055556</v>
      </c>
      <c r="E2543" s="2" t="s">
        <v>39</v>
      </c>
      <c r="F2543" s="2" t="s">
        <v>32</v>
      </c>
      <c r="G2543" s="2" t="n">
        <v>2181.26</v>
      </c>
      <c r="H2543" s="2" t="n">
        <v>18.59</v>
      </c>
      <c r="I2543" s="2" t="s">
        <v>30</v>
      </c>
      <c r="J2543" s="2" t="s">
        <v>7268</v>
      </c>
      <c r="K2543" s="2" t="s">
        <v>95</v>
      </c>
      <c r="L2543" s="2" t="s">
        <v>757</v>
      </c>
      <c r="M2543" s="2"/>
    </row>
    <row r="2544" customFormat="false" ht="15" hidden="false" customHeight="false" outlineLevel="0" collapsed="false">
      <c r="A2544" s="2" t="s">
        <v>7269</v>
      </c>
      <c r="B2544" s="2" t="s">
        <v>2645</v>
      </c>
      <c r="C2544" s="2" t="s">
        <v>2646</v>
      </c>
      <c r="D2544" s="13" t="n">
        <v>45831.8125</v>
      </c>
      <c r="E2544" s="2" t="s">
        <v>35</v>
      </c>
      <c r="F2544" s="2" t="s">
        <v>32</v>
      </c>
      <c r="G2544" s="2" t="n">
        <v>2272.16</v>
      </c>
      <c r="H2544" s="2" t="n">
        <v>5.04</v>
      </c>
      <c r="I2544" s="2" t="s">
        <v>26</v>
      </c>
      <c r="J2544" s="2" t="s">
        <v>7270</v>
      </c>
      <c r="K2544" s="2" t="s">
        <v>101</v>
      </c>
      <c r="L2544" s="2" t="s">
        <v>1912</v>
      </c>
      <c r="M2544" s="2"/>
    </row>
    <row r="2545" customFormat="false" ht="15" hidden="false" customHeight="false" outlineLevel="0" collapsed="false">
      <c r="A2545" s="2" t="s">
        <v>7271</v>
      </c>
      <c r="B2545" s="2" t="s">
        <v>355</v>
      </c>
      <c r="C2545" s="2" t="s">
        <v>356</v>
      </c>
      <c r="D2545" s="13" t="n">
        <v>45748.8944444444</v>
      </c>
      <c r="E2545" s="2" t="s">
        <v>35</v>
      </c>
      <c r="F2545" s="2" t="s">
        <v>27</v>
      </c>
      <c r="G2545" s="2" t="n">
        <v>1358.77</v>
      </c>
      <c r="H2545" s="2" t="n">
        <v>10.6</v>
      </c>
      <c r="I2545" s="2" t="s">
        <v>26</v>
      </c>
      <c r="J2545" s="2" t="s">
        <v>7272</v>
      </c>
      <c r="K2545" s="2" t="s">
        <v>122</v>
      </c>
      <c r="L2545" s="2"/>
      <c r="M2545" s="2" t="s">
        <v>298</v>
      </c>
    </row>
    <row r="2546" customFormat="false" ht="15" hidden="false" customHeight="false" outlineLevel="0" collapsed="false">
      <c r="A2546" s="2" t="s">
        <v>7273</v>
      </c>
      <c r="B2546" s="2" t="s">
        <v>275</v>
      </c>
      <c r="C2546" s="2" t="s">
        <v>276</v>
      </c>
      <c r="D2546" s="13" t="n">
        <v>45488.4638888889</v>
      </c>
      <c r="E2546" s="2" t="s">
        <v>43</v>
      </c>
      <c r="F2546" s="2" t="s">
        <v>27</v>
      </c>
      <c r="G2546" s="2" t="n">
        <v>59054.6</v>
      </c>
      <c r="H2546" s="2" t="n">
        <v>486.64</v>
      </c>
      <c r="I2546" s="2" t="s">
        <v>30</v>
      </c>
      <c r="J2546" s="2" t="s">
        <v>7274</v>
      </c>
      <c r="K2546" s="2" t="s">
        <v>101</v>
      </c>
      <c r="L2546" s="2"/>
      <c r="M2546" s="2" t="s">
        <v>1174</v>
      </c>
    </row>
    <row r="2547" customFormat="false" ht="15" hidden="false" customHeight="false" outlineLevel="0" collapsed="false">
      <c r="A2547" s="2" t="s">
        <v>7275</v>
      </c>
      <c r="B2547" s="2" t="s">
        <v>2551</v>
      </c>
      <c r="C2547" s="2" t="s">
        <v>2552</v>
      </c>
      <c r="D2547" s="13" t="n">
        <v>45695.4305555556</v>
      </c>
      <c r="E2547" s="2" t="s">
        <v>43</v>
      </c>
      <c r="F2547" s="2" t="s">
        <v>31</v>
      </c>
      <c r="G2547" s="2" t="n">
        <v>9163.58</v>
      </c>
      <c r="H2547" s="2" t="n">
        <v>66.22</v>
      </c>
      <c r="I2547" s="2" t="s">
        <v>26</v>
      </c>
      <c r="J2547" s="2" t="s">
        <v>7276</v>
      </c>
      <c r="K2547" s="2" t="s">
        <v>95</v>
      </c>
      <c r="L2547" s="2"/>
      <c r="M2547" s="2" t="s">
        <v>774</v>
      </c>
    </row>
    <row r="2548" customFormat="false" ht="15" hidden="false" customHeight="false" outlineLevel="0" collapsed="false">
      <c r="A2548" s="2" t="s">
        <v>7277</v>
      </c>
      <c r="B2548" s="2" t="s">
        <v>2003</v>
      </c>
      <c r="C2548" s="2" t="s">
        <v>2004</v>
      </c>
      <c r="D2548" s="13" t="n">
        <v>45780.4305555556</v>
      </c>
      <c r="E2548" s="2" t="s">
        <v>43</v>
      </c>
      <c r="F2548" s="2" t="s">
        <v>29</v>
      </c>
      <c r="G2548" s="2" t="n">
        <v>2484.35</v>
      </c>
      <c r="H2548" s="2" t="n">
        <v>22.4</v>
      </c>
      <c r="I2548" s="2" t="s">
        <v>26</v>
      </c>
      <c r="J2548" s="2" t="s">
        <v>7278</v>
      </c>
      <c r="K2548" s="2" t="s">
        <v>101</v>
      </c>
      <c r="L2548" s="2"/>
      <c r="M2548" s="2" t="s">
        <v>313</v>
      </c>
    </row>
    <row r="2549" customFormat="false" ht="15" hidden="false" customHeight="false" outlineLevel="0" collapsed="false">
      <c r="A2549" s="2" t="s">
        <v>7279</v>
      </c>
      <c r="B2549" s="2" t="s">
        <v>2143</v>
      </c>
      <c r="C2549" s="2" t="s">
        <v>2144</v>
      </c>
      <c r="D2549" s="13" t="n">
        <v>45718.8840277778</v>
      </c>
      <c r="E2549" s="2" t="s">
        <v>35</v>
      </c>
      <c r="F2549" s="2" t="s">
        <v>31</v>
      </c>
      <c r="G2549" s="2" t="n">
        <v>2324.39</v>
      </c>
      <c r="H2549" s="2" t="n">
        <v>21.87</v>
      </c>
      <c r="I2549" s="2" t="s">
        <v>28</v>
      </c>
      <c r="J2549" s="2" t="s">
        <v>7280</v>
      </c>
      <c r="K2549" s="2" t="s">
        <v>89</v>
      </c>
      <c r="L2549" s="2" t="s">
        <v>1389</v>
      </c>
      <c r="M2549" s="2"/>
    </row>
    <row r="2550" customFormat="false" ht="15" hidden="false" customHeight="false" outlineLevel="0" collapsed="false">
      <c r="A2550" s="2" t="s">
        <v>7281</v>
      </c>
      <c r="B2550" s="2" t="s">
        <v>5732</v>
      </c>
      <c r="C2550" s="2" t="s">
        <v>5733</v>
      </c>
      <c r="D2550" s="13" t="n">
        <v>45711.8180555556</v>
      </c>
      <c r="E2550" s="2" t="s">
        <v>39</v>
      </c>
      <c r="F2550" s="2" t="s">
        <v>32</v>
      </c>
      <c r="G2550" s="2" t="n">
        <v>2890.49</v>
      </c>
      <c r="H2550" s="2" t="n">
        <v>15.95</v>
      </c>
      <c r="I2550" s="2" t="s">
        <v>26</v>
      </c>
      <c r="J2550" s="2" t="s">
        <v>7282</v>
      </c>
      <c r="K2550" s="2" t="s">
        <v>89</v>
      </c>
      <c r="L2550" s="2" t="s">
        <v>1935</v>
      </c>
      <c r="M2550" s="2"/>
    </row>
    <row r="2551" customFormat="false" ht="15" hidden="false" customHeight="false" outlineLevel="0" collapsed="false">
      <c r="A2551" s="2" t="s">
        <v>7283</v>
      </c>
      <c r="B2551" s="2" t="s">
        <v>805</v>
      </c>
      <c r="C2551" s="2" t="s">
        <v>806</v>
      </c>
      <c r="D2551" s="13" t="n">
        <v>45417.4159722222</v>
      </c>
      <c r="E2551" s="2" t="s">
        <v>39</v>
      </c>
      <c r="F2551" s="2" t="s">
        <v>27</v>
      </c>
      <c r="G2551" s="2" t="n">
        <v>3627.34</v>
      </c>
      <c r="H2551" s="2" t="n">
        <v>10.5</v>
      </c>
      <c r="I2551" s="2" t="s">
        <v>26</v>
      </c>
      <c r="J2551" s="2" t="s">
        <v>7284</v>
      </c>
      <c r="K2551" s="2" t="s">
        <v>95</v>
      </c>
      <c r="L2551" s="2"/>
      <c r="M2551" s="2" t="s">
        <v>328</v>
      </c>
    </row>
    <row r="2552" customFormat="false" ht="15" hidden="false" customHeight="false" outlineLevel="0" collapsed="false">
      <c r="A2552" s="2" t="s">
        <v>7285</v>
      </c>
      <c r="B2552" s="2" t="s">
        <v>1243</v>
      </c>
      <c r="C2552" s="2" t="s">
        <v>1244</v>
      </c>
      <c r="D2552" s="13" t="n">
        <v>45329.4208333333</v>
      </c>
      <c r="E2552" s="2" t="s">
        <v>39</v>
      </c>
      <c r="F2552" s="2" t="s">
        <v>31</v>
      </c>
      <c r="G2552" s="2" t="n">
        <v>6896.09</v>
      </c>
      <c r="H2552" s="2" t="n">
        <v>50.5</v>
      </c>
      <c r="I2552" s="2" t="s">
        <v>26</v>
      </c>
      <c r="J2552" s="2" t="s">
        <v>7286</v>
      </c>
      <c r="K2552" s="2" t="s">
        <v>95</v>
      </c>
      <c r="L2552" s="2" t="s">
        <v>90</v>
      </c>
      <c r="M2552" s="2"/>
    </row>
    <row r="2553" customFormat="false" ht="15" hidden="false" customHeight="false" outlineLevel="0" collapsed="false">
      <c r="A2553" s="2" t="s">
        <v>7287</v>
      </c>
      <c r="B2553" s="2" t="s">
        <v>7288</v>
      </c>
      <c r="C2553" s="2" t="s">
        <v>7289</v>
      </c>
      <c r="D2553" s="13" t="n">
        <v>45542.7291666667</v>
      </c>
      <c r="E2553" s="2" t="s">
        <v>35</v>
      </c>
      <c r="F2553" s="2" t="s">
        <v>31</v>
      </c>
      <c r="G2553" s="2" t="n">
        <v>5078.16</v>
      </c>
      <c r="H2553" s="2" t="n">
        <v>52.74</v>
      </c>
      <c r="I2553" s="2" t="s">
        <v>26</v>
      </c>
      <c r="J2553" s="2" t="s">
        <v>7290</v>
      </c>
      <c r="K2553" s="2" t="s">
        <v>89</v>
      </c>
      <c r="L2553" s="2" t="s">
        <v>96</v>
      </c>
      <c r="M2553" s="2"/>
    </row>
    <row r="2554" customFormat="false" ht="15" hidden="false" customHeight="false" outlineLevel="0" collapsed="false">
      <c r="A2554" s="2" t="s">
        <v>7291</v>
      </c>
      <c r="B2554" s="2" t="s">
        <v>2387</v>
      </c>
      <c r="C2554" s="2" t="s">
        <v>2388</v>
      </c>
      <c r="D2554" s="13" t="n">
        <v>45357.7208333333</v>
      </c>
      <c r="E2554" s="2" t="s">
        <v>43</v>
      </c>
      <c r="F2554" s="2" t="s">
        <v>32</v>
      </c>
      <c r="G2554" s="2" t="n">
        <v>15006.04</v>
      </c>
      <c r="H2554" s="2" t="n">
        <v>161.04</v>
      </c>
      <c r="I2554" s="2" t="s">
        <v>26</v>
      </c>
      <c r="J2554" s="2" t="s">
        <v>7292</v>
      </c>
      <c r="K2554" s="2" t="s">
        <v>89</v>
      </c>
      <c r="L2554" s="2"/>
      <c r="M2554" s="2" t="s">
        <v>1588</v>
      </c>
    </row>
    <row r="2555" customFormat="false" ht="15" hidden="false" customHeight="false" outlineLevel="0" collapsed="false">
      <c r="A2555" s="2" t="s">
        <v>7293</v>
      </c>
      <c r="B2555" s="2" t="s">
        <v>5520</v>
      </c>
      <c r="C2555" s="2" t="s">
        <v>5521</v>
      </c>
      <c r="D2555" s="13" t="n">
        <v>45723.6340277778</v>
      </c>
      <c r="E2555" s="2" t="s">
        <v>39</v>
      </c>
      <c r="F2555" s="2" t="s">
        <v>31</v>
      </c>
      <c r="G2555" s="2" t="n">
        <v>1141.52</v>
      </c>
      <c r="H2555" s="2" t="n">
        <v>5.74</v>
      </c>
      <c r="I2555" s="2" t="s">
        <v>26</v>
      </c>
      <c r="J2555" s="2" t="s">
        <v>7294</v>
      </c>
      <c r="K2555" s="2" t="s">
        <v>122</v>
      </c>
      <c r="L2555" s="2" t="s">
        <v>107</v>
      </c>
      <c r="M2555" s="2"/>
    </row>
    <row r="2556" customFormat="false" ht="15" hidden="false" customHeight="false" outlineLevel="0" collapsed="false">
      <c r="A2556" s="2" t="s">
        <v>7295</v>
      </c>
      <c r="B2556" s="2" t="s">
        <v>4000</v>
      </c>
      <c r="C2556" s="2" t="s">
        <v>4001</v>
      </c>
      <c r="D2556" s="13" t="n">
        <v>45590.8104166667</v>
      </c>
      <c r="E2556" s="2" t="s">
        <v>39</v>
      </c>
      <c r="F2556" s="2" t="s">
        <v>27</v>
      </c>
      <c r="G2556" s="2" t="n">
        <v>4252.88</v>
      </c>
      <c r="H2556" s="2" t="n">
        <v>49.01</v>
      </c>
      <c r="I2556" s="2" t="s">
        <v>26</v>
      </c>
      <c r="J2556" s="2" t="s">
        <v>7296</v>
      </c>
      <c r="K2556" s="2" t="s">
        <v>95</v>
      </c>
      <c r="L2556" s="2"/>
      <c r="M2556" s="2" t="s">
        <v>1217</v>
      </c>
    </row>
    <row r="2557" customFormat="false" ht="15" hidden="false" customHeight="false" outlineLevel="0" collapsed="false">
      <c r="A2557" s="2" t="s">
        <v>7297</v>
      </c>
      <c r="B2557" s="2" t="s">
        <v>255</v>
      </c>
      <c r="C2557" s="2" t="s">
        <v>256</v>
      </c>
      <c r="D2557" s="13" t="n">
        <v>45367.39375</v>
      </c>
      <c r="E2557" s="2" t="s">
        <v>43</v>
      </c>
      <c r="F2557" s="2" t="s">
        <v>29</v>
      </c>
      <c r="G2557" s="2" t="n">
        <v>10691.97</v>
      </c>
      <c r="H2557" s="2" t="n">
        <v>27.24</v>
      </c>
      <c r="I2557" s="2" t="s">
        <v>26</v>
      </c>
      <c r="J2557" s="2" t="s">
        <v>7298</v>
      </c>
      <c r="K2557" s="2" t="s">
        <v>101</v>
      </c>
      <c r="L2557" s="2"/>
      <c r="M2557" s="2" t="s">
        <v>817</v>
      </c>
    </row>
    <row r="2558" customFormat="false" ht="15" hidden="false" customHeight="false" outlineLevel="0" collapsed="false">
      <c r="A2558" s="2" t="s">
        <v>7299</v>
      </c>
      <c r="B2558" s="2" t="s">
        <v>1709</v>
      </c>
      <c r="C2558" s="2" t="s">
        <v>1710</v>
      </c>
      <c r="D2558" s="13" t="n">
        <v>45444.5951388889</v>
      </c>
      <c r="E2558" s="2" t="s">
        <v>39</v>
      </c>
      <c r="F2558" s="2" t="s">
        <v>27</v>
      </c>
      <c r="G2558" s="2" t="n">
        <v>13986.88</v>
      </c>
      <c r="H2558" s="2" t="n">
        <v>72.54</v>
      </c>
      <c r="I2558" s="2" t="s">
        <v>26</v>
      </c>
      <c r="J2558" s="2" t="s">
        <v>7300</v>
      </c>
      <c r="K2558" s="2" t="s">
        <v>122</v>
      </c>
      <c r="L2558" s="2"/>
      <c r="M2558" s="2" t="s">
        <v>363</v>
      </c>
    </row>
    <row r="2559" customFormat="false" ht="15" hidden="false" customHeight="false" outlineLevel="0" collapsed="false">
      <c r="A2559" s="2" t="s">
        <v>7301</v>
      </c>
      <c r="B2559" s="2" t="s">
        <v>3404</v>
      </c>
      <c r="C2559" s="2" t="s">
        <v>3405</v>
      </c>
      <c r="D2559" s="13" t="n">
        <v>45624.575</v>
      </c>
      <c r="E2559" s="2" t="s">
        <v>35</v>
      </c>
      <c r="F2559" s="2" t="s">
        <v>31</v>
      </c>
      <c r="G2559" s="2" t="n">
        <v>1707.82</v>
      </c>
      <c r="H2559" s="2" t="n">
        <v>13.33</v>
      </c>
      <c r="I2559" s="2" t="s">
        <v>26</v>
      </c>
      <c r="J2559" s="2" t="s">
        <v>7302</v>
      </c>
      <c r="K2559" s="2" t="s">
        <v>89</v>
      </c>
      <c r="L2559" s="2" t="s">
        <v>128</v>
      </c>
      <c r="M2559" s="2"/>
    </row>
    <row r="2560" customFormat="false" ht="15" hidden="false" customHeight="false" outlineLevel="0" collapsed="false">
      <c r="A2560" s="2" t="s">
        <v>7303</v>
      </c>
      <c r="B2560" s="2" t="s">
        <v>884</v>
      </c>
      <c r="C2560" s="2" t="s">
        <v>885</v>
      </c>
      <c r="D2560" s="13" t="n">
        <v>45623.6708333333</v>
      </c>
      <c r="E2560" s="2" t="s">
        <v>41</v>
      </c>
      <c r="F2560" s="2" t="s">
        <v>31</v>
      </c>
      <c r="G2560" s="2" t="n">
        <v>5670.65</v>
      </c>
      <c r="H2560" s="2" t="n">
        <v>35.46</v>
      </c>
      <c r="I2560" s="2" t="s">
        <v>30</v>
      </c>
      <c r="J2560" s="2" t="s">
        <v>7304</v>
      </c>
      <c r="K2560" s="2" t="s">
        <v>89</v>
      </c>
      <c r="L2560" s="2" t="s">
        <v>133</v>
      </c>
      <c r="M2560" s="2"/>
    </row>
    <row r="2561" customFormat="false" ht="15" hidden="false" customHeight="false" outlineLevel="0" collapsed="false">
      <c r="A2561" s="2" t="s">
        <v>7305</v>
      </c>
      <c r="B2561" s="2" t="s">
        <v>2503</v>
      </c>
      <c r="C2561" s="2" t="s">
        <v>2504</v>
      </c>
      <c r="D2561" s="13" t="n">
        <v>45800.3611111111</v>
      </c>
      <c r="E2561" s="2" t="s">
        <v>35</v>
      </c>
      <c r="F2561" s="2" t="s">
        <v>27</v>
      </c>
      <c r="G2561" s="2" t="n">
        <v>3829.87</v>
      </c>
      <c r="H2561" s="2" t="n">
        <v>39.66</v>
      </c>
      <c r="I2561" s="2" t="s">
        <v>30</v>
      </c>
      <c r="J2561" s="2" t="s">
        <v>7306</v>
      </c>
      <c r="K2561" s="2" t="s">
        <v>122</v>
      </c>
      <c r="L2561" s="2"/>
      <c r="M2561" s="2" t="s">
        <v>378</v>
      </c>
    </row>
    <row r="2562" customFormat="false" ht="15" hidden="false" customHeight="false" outlineLevel="0" collapsed="false">
      <c r="A2562" s="2" t="s">
        <v>7307</v>
      </c>
      <c r="B2562" s="2" t="s">
        <v>2831</v>
      </c>
      <c r="C2562" s="2" t="s">
        <v>2832</v>
      </c>
      <c r="D2562" s="13" t="n">
        <v>45406.5833333333</v>
      </c>
      <c r="E2562" s="2" t="s">
        <v>35</v>
      </c>
      <c r="F2562" s="2" t="s">
        <v>29</v>
      </c>
      <c r="G2562" s="2" t="n">
        <v>1128.19</v>
      </c>
      <c r="H2562" s="2" t="n">
        <v>5.9</v>
      </c>
      <c r="I2562" s="2" t="s">
        <v>26</v>
      </c>
      <c r="J2562" s="2" t="s">
        <v>7308</v>
      </c>
      <c r="K2562" s="2" t="s">
        <v>101</v>
      </c>
      <c r="L2562" s="2" t="s">
        <v>141</v>
      </c>
      <c r="M2562" s="2"/>
    </row>
    <row r="2563" customFormat="false" ht="15" hidden="false" customHeight="false" outlineLevel="0" collapsed="false">
      <c r="A2563" s="2" t="s">
        <v>7309</v>
      </c>
      <c r="B2563" s="2" t="s">
        <v>1368</v>
      </c>
      <c r="C2563" s="2" t="s">
        <v>1369</v>
      </c>
      <c r="D2563" s="13" t="n">
        <v>45802.59375</v>
      </c>
      <c r="E2563" s="2" t="s">
        <v>43</v>
      </c>
      <c r="F2563" s="2" t="s">
        <v>27</v>
      </c>
      <c r="G2563" s="2" t="n">
        <v>2408.25</v>
      </c>
      <c r="H2563" s="2" t="n">
        <v>28.56</v>
      </c>
      <c r="I2563" s="2" t="s">
        <v>26</v>
      </c>
      <c r="J2563" s="2" t="s">
        <v>7310</v>
      </c>
      <c r="K2563" s="2" t="s">
        <v>122</v>
      </c>
      <c r="L2563" s="2"/>
      <c r="M2563" s="2" t="s">
        <v>388</v>
      </c>
    </row>
    <row r="2564" customFormat="false" ht="15" hidden="false" customHeight="false" outlineLevel="0" collapsed="false">
      <c r="A2564" s="2" t="s">
        <v>7311</v>
      </c>
      <c r="B2564" s="2" t="s">
        <v>1501</v>
      </c>
      <c r="C2564" s="2" t="s">
        <v>1502</v>
      </c>
      <c r="D2564" s="13" t="n">
        <v>45909.9180555556</v>
      </c>
      <c r="E2564" s="2" t="s">
        <v>41</v>
      </c>
      <c r="F2564" s="2" t="s">
        <v>29</v>
      </c>
      <c r="G2564" s="2" t="n">
        <v>1193.58</v>
      </c>
      <c r="H2564" s="2" t="n">
        <v>11.6</v>
      </c>
      <c r="I2564" s="2" t="s">
        <v>26</v>
      </c>
      <c r="J2564" s="2" t="s">
        <v>7312</v>
      </c>
      <c r="K2564" s="2" t="s">
        <v>89</v>
      </c>
      <c r="L2564" s="2" t="s">
        <v>147</v>
      </c>
      <c r="M2564" s="2"/>
    </row>
    <row r="2565" customFormat="false" ht="15" hidden="false" customHeight="false" outlineLevel="0" collapsed="false">
      <c r="A2565" s="2" t="s">
        <v>7313</v>
      </c>
      <c r="B2565" s="2" t="s">
        <v>4418</v>
      </c>
      <c r="C2565" s="2" t="s">
        <v>4419</v>
      </c>
      <c r="D2565" s="13" t="n">
        <v>46011.9520833333</v>
      </c>
      <c r="E2565" s="2" t="s">
        <v>37</v>
      </c>
      <c r="F2565" s="2" t="s">
        <v>29</v>
      </c>
      <c r="G2565" s="2" t="n">
        <v>2461.41</v>
      </c>
      <c r="H2565" s="2" t="n">
        <v>19.01</v>
      </c>
      <c r="I2565" s="2" t="s">
        <v>30</v>
      </c>
      <c r="J2565" s="2" t="s">
        <v>7314</v>
      </c>
      <c r="K2565" s="2" t="s">
        <v>89</v>
      </c>
      <c r="L2565" s="2" t="s">
        <v>150</v>
      </c>
      <c r="M2565" s="2"/>
    </row>
    <row r="2566" customFormat="false" ht="15" hidden="false" customHeight="false" outlineLevel="0" collapsed="false">
      <c r="A2566" s="2" t="s">
        <v>7315</v>
      </c>
      <c r="B2566" s="2" t="s">
        <v>5346</v>
      </c>
      <c r="C2566" s="2" t="s">
        <v>5347</v>
      </c>
      <c r="D2566" s="13" t="n">
        <v>45927.7569444445</v>
      </c>
      <c r="E2566" s="2" t="s">
        <v>35</v>
      </c>
      <c r="F2566" s="2" t="s">
        <v>31</v>
      </c>
      <c r="G2566" s="2" t="n">
        <v>4745.52</v>
      </c>
      <c r="H2566" s="2" t="n">
        <v>46.88</v>
      </c>
      <c r="I2566" s="2" t="s">
        <v>28</v>
      </c>
      <c r="J2566" s="2" t="s">
        <v>7316</v>
      </c>
      <c r="K2566" s="2" t="s">
        <v>101</v>
      </c>
      <c r="L2566" s="2" t="s">
        <v>153</v>
      </c>
      <c r="M2566" s="2"/>
    </row>
    <row r="2567" customFormat="false" ht="15" hidden="false" customHeight="false" outlineLevel="0" collapsed="false">
      <c r="A2567" s="2" t="s">
        <v>7317</v>
      </c>
      <c r="B2567" s="2" t="s">
        <v>2539</v>
      </c>
      <c r="C2567" s="2" t="s">
        <v>2540</v>
      </c>
      <c r="D2567" s="13" t="n">
        <v>45876.4805555556</v>
      </c>
      <c r="E2567" s="2" t="s">
        <v>37</v>
      </c>
      <c r="F2567" s="2" t="s">
        <v>27</v>
      </c>
      <c r="G2567" s="2" t="n">
        <v>1462.23</v>
      </c>
      <c r="H2567" s="2" t="n">
        <v>13.6</v>
      </c>
      <c r="I2567" s="2" t="s">
        <v>28</v>
      </c>
      <c r="J2567" s="2" t="s">
        <v>7318</v>
      </c>
      <c r="K2567" s="2" t="s">
        <v>89</v>
      </c>
      <c r="L2567" s="2"/>
      <c r="M2567" s="2" t="s">
        <v>857</v>
      </c>
    </row>
    <row r="2568" customFormat="false" ht="15" hidden="false" customHeight="false" outlineLevel="0" collapsed="false">
      <c r="A2568" s="2" t="s">
        <v>7319</v>
      </c>
      <c r="B2568" s="2" t="s">
        <v>2155</v>
      </c>
      <c r="C2568" s="2" t="s">
        <v>2156</v>
      </c>
      <c r="D2568" s="13" t="n">
        <v>45502.5125</v>
      </c>
      <c r="E2568" s="2" t="s">
        <v>39</v>
      </c>
      <c r="F2568" s="2" t="s">
        <v>27</v>
      </c>
      <c r="G2568" s="2" t="n">
        <v>717.7</v>
      </c>
      <c r="H2568" s="2" t="n">
        <v>7.62</v>
      </c>
      <c r="I2568" s="2" t="s">
        <v>26</v>
      </c>
      <c r="J2568" s="2" t="s">
        <v>7320</v>
      </c>
      <c r="K2568" s="2" t="s">
        <v>122</v>
      </c>
      <c r="L2568" s="2"/>
      <c r="M2568" s="2" t="s">
        <v>862</v>
      </c>
    </row>
    <row r="2569" customFormat="false" ht="15" hidden="false" customHeight="false" outlineLevel="0" collapsed="false">
      <c r="A2569" s="2" t="s">
        <v>7321</v>
      </c>
      <c r="B2569" s="2" t="s">
        <v>2767</v>
      </c>
      <c r="C2569" s="2" t="s">
        <v>2768</v>
      </c>
      <c r="D2569" s="13" t="n">
        <v>45953.3138888889</v>
      </c>
      <c r="E2569" s="2" t="s">
        <v>41</v>
      </c>
      <c r="F2569" s="2" t="s">
        <v>31</v>
      </c>
      <c r="G2569" s="2" t="n">
        <v>6276.03</v>
      </c>
      <c r="H2569" s="2" t="n">
        <v>44.08</v>
      </c>
      <c r="I2569" s="2" t="s">
        <v>26</v>
      </c>
      <c r="J2569" s="2" t="s">
        <v>7322</v>
      </c>
      <c r="K2569" s="2" t="s">
        <v>95</v>
      </c>
      <c r="L2569" s="2" t="s">
        <v>168</v>
      </c>
      <c r="M2569" s="2"/>
    </row>
    <row r="2570" customFormat="false" ht="15" hidden="false" customHeight="false" outlineLevel="0" collapsed="false">
      <c r="A2570" s="2" t="s">
        <v>7323</v>
      </c>
      <c r="B2570" s="2" t="s">
        <v>673</v>
      </c>
      <c r="C2570" s="2" t="s">
        <v>674</v>
      </c>
      <c r="D2570" s="13" t="n">
        <v>45975.4368055556</v>
      </c>
      <c r="E2570" s="2" t="s">
        <v>43</v>
      </c>
      <c r="F2570" s="2" t="s">
        <v>32</v>
      </c>
      <c r="G2570" s="2" t="n">
        <v>12351.45</v>
      </c>
      <c r="H2570" s="2" t="n">
        <v>41.94</v>
      </c>
      <c r="I2570" s="2" t="s">
        <v>26</v>
      </c>
      <c r="J2570" s="2" t="s">
        <v>7324</v>
      </c>
      <c r="K2570" s="2" t="s">
        <v>95</v>
      </c>
      <c r="L2570" s="2"/>
      <c r="M2570" s="2" t="s">
        <v>1645</v>
      </c>
    </row>
    <row r="2571" customFormat="false" ht="15" hidden="false" customHeight="false" outlineLevel="0" collapsed="false">
      <c r="A2571" s="2" t="s">
        <v>7325</v>
      </c>
      <c r="B2571" s="2" t="s">
        <v>3354</v>
      </c>
      <c r="C2571" s="2" t="s">
        <v>3355</v>
      </c>
      <c r="D2571" s="13" t="n">
        <v>45375.5145833333</v>
      </c>
      <c r="E2571" s="2" t="s">
        <v>41</v>
      </c>
      <c r="F2571" s="2" t="s">
        <v>29</v>
      </c>
      <c r="G2571" s="2" t="n">
        <v>2763.93</v>
      </c>
      <c r="H2571" s="2" t="n">
        <v>15.1</v>
      </c>
      <c r="I2571" s="2" t="s">
        <v>26</v>
      </c>
      <c r="J2571" s="2" t="s">
        <v>7326</v>
      </c>
      <c r="K2571" s="2" t="s">
        <v>89</v>
      </c>
      <c r="L2571" s="2" t="s">
        <v>178</v>
      </c>
      <c r="M2571" s="2"/>
    </row>
    <row r="2572" customFormat="false" ht="15" hidden="false" customHeight="false" outlineLevel="0" collapsed="false">
      <c r="A2572" s="2" t="s">
        <v>7327</v>
      </c>
      <c r="B2572" s="2" t="s">
        <v>4246</v>
      </c>
      <c r="C2572" s="2" t="s">
        <v>4247</v>
      </c>
      <c r="D2572" s="13" t="n">
        <v>45471.9055555556</v>
      </c>
      <c r="E2572" s="2" t="s">
        <v>37</v>
      </c>
      <c r="F2572" s="2" t="s">
        <v>32</v>
      </c>
      <c r="G2572" s="2" t="n">
        <v>1523.38</v>
      </c>
      <c r="H2572" s="2" t="n">
        <v>5.7</v>
      </c>
      <c r="I2572" s="2" t="s">
        <v>26</v>
      </c>
      <c r="J2572" s="2" t="s">
        <v>7328</v>
      </c>
      <c r="K2572" s="2" t="s">
        <v>95</v>
      </c>
      <c r="L2572" s="2" t="s">
        <v>874</v>
      </c>
      <c r="M2572" s="2"/>
    </row>
    <row r="2573" customFormat="false" ht="15" hidden="false" customHeight="false" outlineLevel="0" collapsed="false">
      <c r="A2573" s="2" t="s">
        <v>7329</v>
      </c>
      <c r="B2573" s="2" t="s">
        <v>7330</v>
      </c>
      <c r="C2573" s="2" t="s">
        <v>7331</v>
      </c>
      <c r="D2573" s="13" t="n">
        <v>45958.9263888889</v>
      </c>
      <c r="E2573" s="2" t="s">
        <v>39</v>
      </c>
      <c r="F2573" s="2" t="s">
        <v>29</v>
      </c>
      <c r="G2573" s="2" t="n">
        <v>48880.46</v>
      </c>
      <c r="H2573" s="2" t="n">
        <v>185.7</v>
      </c>
      <c r="I2573" s="2" t="s">
        <v>30</v>
      </c>
      <c r="J2573" s="2" t="s">
        <v>7332</v>
      </c>
      <c r="K2573" s="2" t="s">
        <v>95</v>
      </c>
      <c r="L2573" s="2" t="s">
        <v>188</v>
      </c>
      <c r="M2573" s="2"/>
    </row>
    <row r="2574" customFormat="false" ht="15" hidden="false" customHeight="false" outlineLevel="0" collapsed="false">
      <c r="A2574" s="2" t="s">
        <v>7333</v>
      </c>
      <c r="B2574" s="2" t="s">
        <v>2679</v>
      </c>
      <c r="C2574" s="2" t="s">
        <v>2680</v>
      </c>
      <c r="D2574" s="13" t="n">
        <v>45915.6326388889</v>
      </c>
      <c r="E2574" s="2" t="s">
        <v>43</v>
      </c>
      <c r="F2574" s="2" t="s">
        <v>27</v>
      </c>
      <c r="G2574" s="2" t="n">
        <v>10097.58</v>
      </c>
      <c r="H2574" s="2" t="n">
        <v>57.52</v>
      </c>
      <c r="I2574" s="2" t="s">
        <v>26</v>
      </c>
      <c r="J2574" s="2" t="s">
        <v>7334</v>
      </c>
      <c r="K2574" s="2" t="s">
        <v>101</v>
      </c>
      <c r="L2574" s="2"/>
      <c r="M2574" s="2" t="s">
        <v>1658</v>
      </c>
    </row>
    <row r="2575" customFormat="false" ht="15" hidden="false" customHeight="false" outlineLevel="0" collapsed="false">
      <c r="A2575" s="2" t="s">
        <v>7335</v>
      </c>
      <c r="B2575" s="2" t="s">
        <v>2629</v>
      </c>
      <c r="C2575" s="2" t="s">
        <v>2630</v>
      </c>
      <c r="D2575" s="13" t="n">
        <v>45642.3715277778</v>
      </c>
      <c r="E2575" s="2" t="s">
        <v>39</v>
      </c>
      <c r="F2575" s="2" t="s">
        <v>29</v>
      </c>
      <c r="G2575" s="2" t="n">
        <v>7714.91</v>
      </c>
      <c r="H2575" s="2" t="n">
        <v>82.54</v>
      </c>
      <c r="I2575" s="2" t="s">
        <v>26</v>
      </c>
      <c r="J2575" s="2" t="s">
        <v>7336</v>
      </c>
      <c r="K2575" s="2" t="s">
        <v>122</v>
      </c>
      <c r="L2575" s="2" t="s">
        <v>1482</v>
      </c>
      <c r="M2575" s="2"/>
    </row>
    <row r="2576" customFormat="false" ht="15" hidden="false" customHeight="false" outlineLevel="0" collapsed="false">
      <c r="A2576" s="2" t="s">
        <v>7337</v>
      </c>
      <c r="B2576" s="2" t="s">
        <v>1364</v>
      </c>
      <c r="C2576" s="2" t="s">
        <v>1365</v>
      </c>
      <c r="D2576" s="13" t="n">
        <v>45914.6006944445</v>
      </c>
      <c r="E2576" s="2" t="s">
        <v>37</v>
      </c>
      <c r="F2576" s="2" t="s">
        <v>29</v>
      </c>
      <c r="G2576" s="2" t="n">
        <v>794.03</v>
      </c>
      <c r="H2576" s="2" t="n">
        <v>5.47</v>
      </c>
      <c r="I2576" s="2" t="s">
        <v>26</v>
      </c>
      <c r="J2576" s="2" t="s">
        <v>7338</v>
      </c>
      <c r="K2576" s="2" t="s">
        <v>95</v>
      </c>
      <c r="L2576" s="2" t="s">
        <v>891</v>
      </c>
      <c r="M2576" s="2"/>
    </row>
    <row r="2577" customFormat="false" ht="15" hidden="false" customHeight="false" outlineLevel="0" collapsed="false">
      <c r="A2577" s="2" t="s">
        <v>7339</v>
      </c>
      <c r="B2577" s="2" t="s">
        <v>2121</v>
      </c>
      <c r="C2577" s="2" t="s">
        <v>2122</v>
      </c>
      <c r="D2577" s="13" t="n">
        <v>45825.4354166667</v>
      </c>
      <c r="E2577" s="2" t="s">
        <v>35</v>
      </c>
      <c r="F2577" s="2" t="s">
        <v>31</v>
      </c>
      <c r="G2577" s="2" t="n">
        <v>690.17</v>
      </c>
      <c r="H2577" s="2" t="n">
        <v>5</v>
      </c>
      <c r="I2577" s="2" t="s">
        <v>26</v>
      </c>
      <c r="J2577" s="2" t="s">
        <v>7340</v>
      </c>
      <c r="K2577" s="2" t="s">
        <v>89</v>
      </c>
      <c r="L2577" s="2" t="s">
        <v>208</v>
      </c>
      <c r="M2577" s="2"/>
    </row>
    <row r="2578" customFormat="false" ht="15" hidden="false" customHeight="false" outlineLevel="0" collapsed="false">
      <c r="A2578" s="2" t="s">
        <v>7341</v>
      </c>
      <c r="B2578" s="2" t="s">
        <v>4124</v>
      </c>
      <c r="C2578" s="2" t="s">
        <v>4125</v>
      </c>
      <c r="D2578" s="13" t="n">
        <v>45963.54375</v>
      </c>
      <c r="E2578" s="2" t="s">
        <v>39</v>
      </c>
      <c r="F2578" s="2" t="s">
        <v>32</v>
      </c>
      <c r="G2578" s="2" t="n">
        <v>1112.6</v>
      </c>
      <c r="H2578" s="2" t="n">
        <v>5</v>
      </c>
      <c r="I2578" s="2" t="s">
        <v>26</v>
      </c>
      <c r="J2578" s="2" t="s">
        <v>7342</v>
      </c>
      <c r="K2578" s="2" t="s">
        <v>122</v>
      </c>
      <c r="L2578" s="2" t="s">
        <v>213</v>
      </c>
      <c r="M2578" s="2"/>
    </row>
    <row r="2579" customFormat="false" ht="15" hidden="false" customHeight="false" outlineLevel="0" collapsed="false">
      <c r="A2579" s="2" t="s">
        <v>7343</v>
      </c>
      <c r="B2579" s="2" t="s">
        <v>2027</v>
      </c>
      <c r="C2579" s="2" t="s">
        <v>2028</v>
      </c>
      <c r="D2579" s="13" t="n">
        <v>45882.6479166667</v>
      </c>
      <c r="E2579" s="2" t="s">
        <v>41</v>
      </c>
      <c r="F2579" s="2" t="s">
        <v>32</v>
      </c>
      <c r="G2579" s="2" t="n">
        <v>2086.42</v>
      </c>
      <c r="H2579" s="2" t="n">
        <v>19.39</v>
      </c>
      <c r="I2579" s="2" t="s">
        <v>26</v>
      </c>
      <c r="J2579" s="2" t="s">
        <v>7344</v>
      </c>
      <c r="K2579" s="2" t="s">
        <v>89</v>
      </c>
      <c r="L2579" s="2" t="s">
        <v>218</v>
      </c>
      <c r="M2579" s="2"/>
    </row>
    <row r="2580" customFormat="false" ht="15" hidden="false" customHeight="false" outlineLevel="0" collapsed="false">
      <c r="A2580" s="2" t="s">
        <v>7345</v>
      </c>
      <c r="B2580" s="2" t="s">
        <v>3980</v>
      </c>
      <c r="C2580" s="2" t="s">
        <v>3981</v>
      </c>
      <c r="D2580" s="13" t="n">
        <v>45787.60625</v>
      </c>
      <c r="E2580" s="2" t="s">
        <v>43</v>
      </c>
      <c r="F2580" s="2" t="s">
        <v>29</v>
      </c>
      <c r="G2580" s="2" t="n">
        <v>13037.91</v>
      </c>
      <c r="H2580" s="2" t="n">
        <v>148.78</v>
      </c>
      <c r="I2580" s="2" t="s">
        <v>26</v>
      </c>
      <c r="J2580" s="2" t="s">
        <v>7346</v>
      </c>
      <c r="K2580" s="2" t="s">
        <v>89</v>
      </c>
      <c r="L2580" s="2"/>
      <c r="M2580" s="2" t="s">
        <v>906</v>
      </c>
    </row>
    <row r="2581" customFormat="false" ht="15" hidden="false" customHeight="false" outlineLevel="0" collapsed="false">
      <c r="A2581" s="2" t="s">
        <v>7347</v>
      </c>
      <c r="B2581" s="2" t="s">
        <v>4762</v>
      </c>
      <c r="C2581" s="2" t="s">
        <v>4763</v>
      </c>
      <c r="D2581" s="13" t="n">
        <v>45783.3145833333</v>
      </c>
      <c r="E2581" s="2" t="s">
        <v>41</v>
      </c>
      <c r="F2581" s="2" t="s">
        <v>31</v>
      </c>
      <c r="G2581" s="2" t="n">
        <v>3243.87</v>
      </c>
      <c r="H2581" s="2" t="n">
        <v>22.05</v>
      </c>
      <c r="I2581" s="2" t="s">
        <v>26</v>
      </c>
      <c r="J2581" s="2" t="s">
        <v>7348</v>
      </c>
      <c r="K2581" s="2" t="s">
        <v>89</v>
      </c>
      <c r="L2581" s="2" t="s">
        <v>911</v>
      </c>
      <c r="M2581" s="2"/>
    </row>
    <row r="2582" customFormat="false" ht="15" hidden="false" customHeight="false" outlineLevel="0" collapsed="false">
      <c r="A2582" s="2" t="s">
        <v>7349</v>
      </c>
      <c r="B2582" s="2" t="s">
        <v>4246</v>
      </c>
      <c r="C2582" s="2" t="s">
        <v>4247</v>
      </c>
      <c r="D2582" s="13" t="n">
        <v>45859.5055555556</v>
      </c>
      <c r="E2582" s="2" t="s">
        <v>43</v>
      </c>
      <c r="F2582" s="2" t="s">
        <v>32</v>
      </c>
      <c r="G2582" s="2" t="n">
        <v>3212.23</v>
      </c>
      <c r="H2582" s="2" t="n">
        <v>6.63</v>
      </c>
      <c r="I2582" s="2" t="s">
        <v>26</v>
      </c>
      <c r="J2582" s="2" t="s">
        <v>7350</v>
      </c>
      <c r="K2582" s="2" t="s">
        <v>89</v>
      </c>
      <c r="L2582" s="2"/>
      <c r="M2582" s="2" t="s">
        <v>2044</v>
      </c>
    </row>
    <row r="2583" customFormat="false" ht="15" hidden="false" customHeight="false" outlineLevel="0" collapsed="false">
      <c r="A2583" s="2" t="s">
        <v>7351</v>
      </c>
      <c r="B2583" s="2" t="s">
        <v>1872</v>
      </c>
      <c r="C2583" s="2" t="s">
        <v>1873</v>
      </c>
      <c r="D2583" s="13" t="n">
        <v>45401.5861111111</v>
      </c>
      <c r="E2583" s="2" t="s">
        <v>41</v>
      </c>
      <c r="F2583" s="2" t="s">
        <v>31</v>
      </c>
      <c r="G2583" s="2" t="n">
        <v>1222.15</v>
      </c>
      <c r="H2583" s="2" t="n">
        <v>9.1</v>
      </c>
      <c r="I2583" s="2" t="s">
        <v>26</v>
      </c>
      <c r="J2583" s="2" t="s">
        <v>7352</v>
      </c>
      <c r="K2583" s="2" t="s">
        <v>122</v>
      </c>
      <c r="L2583" s="2" t="s">
        <v>1513</v>
      </c>
      <c r="M2583" s="2"/>
    </row>
    <row r="2584" customFormat="false" ht="15" hidden="false" customHeight="false" outlineLevel="0" collapsed="false">
      <c r="A2584" s="2" t="s">
        <v>7353</v>
      </c>
      <c r="B2584" s="2" t="s">
        <v>2392</v>
      </c>
      <c r="C2584" s="2" t="s">
        <v>2393</v>
      </c>
      <c r="D2584" s="13" t="n">
        <v>45576.9138888889</v>
      </c>
      <c r="E2584" s="2" t="s">
        <v>41</v>
      </c>
      <c r="F2584" s="2" t="s">
        <v>32</v>
      </c>
      <c r="G2584" s="2" t="n">
        <v>6881.41</v>
      </c>
      <c r="H2584" s="2" t="n">
        <v>22.25</v>
      </c>
      <c r="I2584" s="2" t="s">
        <v>26</v>
      </c>
      <c r="J2584" s="2" t="s">
        <v>7354</v>
      </c>
      <c r="K2584" s="2" t="s">
        <v>89</v>
      </c>
      <c r="L2584" s="2" t="s">
        <v>243</v>
      </c>
      <c r="M2584" s="2"/>
    </row>
    <row r="2585" customFormat="false" ht="15" hidden="false" customHeight="false" outlineLevel="0" collapsed="false">
      <c r="A2585" s="2" t="s">
        <v>7355</v>
      </c>
      <c r="B2585" s="2" t="s">
        <v>4286</v>
      </c>
      <c r="C2585" s="2" t="s">
        <v>4287</v>
      </c>
      <c r="D2585" s="13" t="n">
        <v>45548.6423611111</v>
      </c>
      <c r="E2585" s="2" t="s">
        <v>39</v>
      </c>
      <c r="F2585" s="2" t="s">
        <v>31</v>
      </c>
      <c r="G2585" s="2" t="n">
        <v>2890.42</v>
      </c>
      <c r="H2585" s="2" t="n">
        <v>30.53</v>
      </c>
      <c r="I2585" s="2" t="s">
        <v>26</v>
      </c>
      <c r="J2585" s="2" t="s">
        <v>7356</v>
      </c>
      <c r="K2585" s="2" t="s">
        <v>95</v>
      </c>
      <c r="L2585" s="2" t="s">
        <v>248</v>
      </c>
      <c r="M2585" s="2"/>
    </row>
    <row r="2586" customFormat="false" ht="15" hidden="false" customHeight="false" outlineLevel="0" collapsed="false">
      <c r="A2586" s="2" t="s">
        <v>7357</v>
      </c>
      <c r="B2586" s="2" t="s">
        <v>2437</v>
      </c>
      <c r="C2586" s="2" t="s">
        <v>2438</v>
      </c>
      <c r="D2586" s="13" t="n">
        <v>45656.7368055556</v>
      </c>
      <c r="E2586" s="2" t="s">
        <v>35</v>
      </c>
      <c r="F2586" s="2" t="s">
        <v>31</v>
      </c>
      <c r="G2586" s="2" t="n">
        <v>19544.55</v>
      </c>
      <c r="H2586" s="2" t="n">
        <v>206.01</v>
      </c>
      <c r="I2586" s="2" t="s">
        <v>30</v>
      </c>
      <c r="J2586" s="2" t="s">
        <v>7358</v>
      </c>
      <c r="K2586" s="2" t="s">
        <v>89</v>
      </c>
      <c r="L2586" s="2" t="s">
        <v>253</v>
      </c>
      <c r="M2586" s="2"/>
    </row>
    <row r="2587" customFormat="false" ht="15" hidden="false" customHeight="false" outlineLevel="0" collapsed="false">
      <c r="A2587" s="2" t="s">
        <v>7359</v>
      </c>
      <c r="B2587" s="2" t="s">
        <v>884</v>
      </c>
      <c r="C2587" s="2" t="s">
        <v>885</v>
      </c>
      <c r="D2587" s="13" t="n">
        <v>45815.3208333333</v>
      </c>
      <c r="E2587" s="2" t="s">
        <v>41</v>
      </c>
      <c r="F2587" s="2" t="s">
        <v>29</v>
      </c>
      <c r="G2587" s="2" t="n">
        <v>4517.9</v>
      </c>
      <c r="H2587" s="2" t="n">
        <v>38.49</v>
      </c>
      <c r="I2587" s="2" t="s">
        <v>26</v>
      </c>
      <c r="J2587" s="2" t="s">
        <v>7360</v>
      </c>
      <c r="K2587" s="2" t="s">
        <v>95</v>
      </c>
      <c r="L2587" s="2" t="s">
        <v>258</v>
      </c>
      <c r="M2587" s="2"/>
    </row>
    <row r="2588" customFormat="false" ht="15" hidden="false" customHeight="false" outlineLevel="0" collapsed="false">
      <c r="A2588" s="2" t="s">
        <v>7361</v>
      </c>
      <c r="B2588" s="2" t="s">
        <v>1930</v>
      </c>
      <c r="C2588" s="2" t="s">
        <v>1931</v>
      </c>
      <c r="D2588" s="13" t="n">
        <v>45839.6465277778</v>
      </c>
      <c r="E2588" s="2" t="s">
        <v>35</v>
      </c>
      <c r="F2588" s="2" t="s">
        <v>27</v>
      </c>
      <c r="G2588" s="2" t="n">
        <v>1094.53</v>
      </c>
      <c r="H2588" s="2" t="n">
        <v>10.55</v>
      </c>
      <c r="I2588" s="2" t="s">
        <v>30</v>
      </c>
      <c r="J2588" s="2" t="s">
        <v>7362</v>
      </c>
      <c r="K2588" s="2" t="s">
        <v>101</v>
      </c>
      <c r="L2588" s="2"/>
      <c r="M2588" s="2" t="s">
        <v>513</v>
      </c>
    </row>
    <row r="2589" customFormat="false" ht="15" hidden="false" customHeight="false" outlineLevel="0" collapsed="false">
      <c r="A2589" s="2" t="s">
        <v>7363</v>
      </c>
      <c r="B2589" s="2" t="s">
        <v>2031</v>
      </c>
      <c r="C2589" s="2" t="s">
        <v>2032</v>
      </c>
      <c r="D2589" s="13" t="n">
        <v>45767.3909722222</v>
      </c>
      <c r="E2589" s="2" t="s">
        <v>41</v>
      </c>
      <c r="F2589" s="2" t="s">
        <v>32</v>
      </c>
      <c r="G2589" s="2" t="n">
        <v>3362.35</v>
      </c>
      <c r="H2589" s="2" t="n">
        <v>17.52</v>
      </c>
      <c r="I2589" s="2" t="s">
        <v>30</v>
      </c>
      <c r="J2589" s="2" t="s">
        <v>7364</v>
      </c>
      <c r="K2589" s="2" t="s">
        <v>89</v>
      </c>
      <c r="L2589" s="2" t="s">
        <v>945</v>
      </c>
      <c r="M2589" s="2"/>
    </row>
    <row r="2590" customFormat="false" ht="15" hidden="false" customHeight="false" outlineLevel="0" collapsed="false">
      <c r="A2590" s="2" t="s">
        <v>7365</v>
      </c>
      <c r="B2590" s="2" t="s">
        <v>654</v>
      </c>
      <c r="C2590" s="2" t="s">
        <v>655</v>
      </c>
      <c r="D2590" s="13" t="n">
        <v>45308.8097222222</v>
      </c>
      <c r="E2590" s="2" t="s">
        <v>37</v>
      </c>
      <c r="F2590" s="2" t="s">
        <v>32</v>
      </c>
      <c r="G2590" s="2" t="n">
        <v>1065.12</v>
      </c>
      <c r="H2590" s="2" t="n">
        <v>5</v>
      </c>
      <c r="I2590" s="2" t="s">
        <v>26</v>
      </c>
      <c r="J2590" s="2" t="s">
        <v>7366</v>
      </c>
      <c r="K2590" s="2" t="s">
        <v>89</v>
      </c>
      <c r="L2590" s="2" t="s">
        <v>1538</v>
      </c>
      <c r="M2590" s="2"/>
    </row>
    <row r="2591" customFormat="false" ht="15" hidden="false" customHeight="false" outlineLevel="0" collapsed="false">
      <c r="A2591" s="2" t="s">
        <v>7367</v>
      </c>
      <c r="B2591" s="2" t="s">
        <v>933</v>
      </c>
      <c r="C2591" s="2" t="s">
        <v>934</v>
      </c>
      <c r="D2591" s="13" t="n">
        <v>45878.40625</v>
      </c>
      <c r="E2591" s="2" t="s">
        <v>43</v>
      </c>
      <c r="F2591" s="2" t="s">
        <v>29</v>
      </c>
      <c r="G2591" s="2" t="n">
        <v>3529.72</v>
      </c>
      <c r="H2591" s="2" t="n">
        <v>10.74</v>
      </c>
      <c r="I2591" s="2" t="s">
        <v>26</v>
      </c>
      <c r="J2591" s="2" t="s">
        <v>7368</v>
      </c>
      <c r="K2591" s="2" t="s">
        <v>95</v>
      </c>
      <c r="L2591" s="2"/>
      <c r="M2591" s="2" t="s">
        <v>528</v>
      </c>
    </row>
    <row r="2592" customFormat="false" ht="15" hidden="false" customHeight="false" outlineLevel="0" collapsed="false">
      <c r="A2592" s="2" t="s">
        <v>7369</v>
      </c>
      <c r="B2592" s="2" t="s">
        <v>2689</v>
      </c>
      <c r="C2592" s="2" t="s">
        <v>2690</v>
      </c>
      <c r="D2592" s="13" t="n">
        <v>45901.6048611111</v>
      </c>
      <c r="E2592" s="2" t="s">
        <v>39</v>
      </c>
      <c r="F2592" s="2" t="s">
        <v>32</v>
      </c>
      <c r="G2592" s="2" t="n">
        <v>2275.22</v>
      </c>
      <c r="H2592" s="2" t="n">
        <v>8.88</v>
      </c>
      <c r="I2592" s="2" t="s">
        <v>26</v>
      </c>
      <c r="J2592" s="2" t="s">
        <v>7370</v>
      </c>
      <c r="K2592" s="2" t="s">
        <v>122</v>
      </c>
      <c r="L2592" s="2" t="s">
        <v>283</v>
      </c>
      <c r="M2592" s="2"/>
    </row>
    <row r="2593" customFormat="false" ht="15" hidden="false" customHeight="false" outlineLevel="0" collapsed="false">
      <c r="A2593" s="2" t="s">
        <v>7371</v>
      </c>
      <c r="B2593" s="2" t="s">
        <v>2655</v>
      </c>
      <c r="C2593" s="2" t="s">
        <v>2656</v>
      </c>
      <c r="D2593" s="13" t="n">
        <v>45371.875</v>
      </c>
      <c r="E2593" s="2" t="s">
        <v>41</v>
      </c>
      <c r="F2593" s="2" t="s">
        <v>31</v>
      </c>
      <c r="G2593" s="2" t="n">
        <v>7321.95</v>
      </c>
      <c r="H2593" s="2" t="n">
        <v>56.54</v>
      </c>
      <c r="I2593" s="2" t="s">
        <v>26</v>
      </c>
      <c r="J2593" s="2" t="s">
        <v>7372</v>
      </c>
      <c r="K2593" s="2" t="s">
        <v>89</v>
      </c>
      <c r="L2593" s="2" t="s">
        <v>963</v>
      </c>
      <c r="M2593" s="2"/>
    </row>
    <row r="2594" customFormat="false" ht="15" hidden="false" customHeight="false" outlineLevel="0" collapsed="false">
      <c r="A2594" s="2" t="s">
        <v>7373</v>
      </c>
      <c r="B2594" s="2" t="s">
        <v>1162</v>
      </c>
      <c r="C2594" s="2" t="s">
        <v>1163</v>
      </c>
      <c r="D2594" s="13" t="n">
        <v>45843.4972222222</v>
      </c>
      <c r="E2594" s="2" t="s">
        <v>37</v>
      </c>
      <c r="F2594" s="2" t="s">
        <v>32</v>
      </c>
      <c r="G2594" s="2" t="n">
        <v>15105.8</v>
      </c>
      <c r="H2594" s="2" t="n">
        <v>49.79</v>
      </c>
      <c r="I2594" s="2" t="s">
        <v>26</v>
      </c>
      <c r="J2594" s="2" t="s">
        <v>7374</v>
      </c>
      <c r="K2594" s="2" t="s">
        <v>122</v>
      </c>
      <c r="L2594" s="2" t="s">
        <v>293</v>
      </c>
      <c r="M2594" s="2"/>
    </row>
    <row r="2595" customFormat="false" ht="15" hidden="false" customHeight="false" outlineLevel="0" collapsed="false">
      <c r="A2595" s="2" t="s">
        <v>7375</v>
      </c>
      <c r="B2595" s="2" t="s">
        <v>1660</v>
      </c>
      <c r="C2595" s="2" t="s">
        <v>1661</v>
      </c>
      <c r="D2595" s="13" t="n">
        <v>45568.9055555556</v>
      </c>
      <c r="E2595" s="2" t="s">
        <v>37</v>
      </c>
      <c r="F2595" s="2" t="s">
        <v>32</v>
      </c>
      <c r="G2595" s="2" t="n">
        <v>2458.63</v>
      </c>
      <c r="H2595" s="2" t="n">
        <v>18.66</v>
      </c>
      <c r="I2595" s="2" t="s">
        <v>26</v>
      </c>
      <c r="J2595" s="2" t="s">
        <v>7376</v>
      </c>
      <c r="K2595" s="2" t="s">
        <v>101</v>
      </c>
      <c r="L2595" s="2" t="s">
        <v>972</v>
      </c>
      <c r="M2595" s="2"/>
    </row>
    <row r="2596" customFormat="false" ht="15" hidden="false" customHeight="false" outlineLevel="0" collapsed="false">
      <c r="A2596" s="2" t="s">
        <v>7377</v>
      </c>
      <c r="B2596" s="2" t="s">
        <v>3960</v>
      </c>
      <c r="C2596" s="2" t="s">
        <v>3961</v>
      </c>
      <c r="D2596" s="13" t="n">
        <v>45620.3673611111</v>
      </c>
      <c r="E2596" s="2" t="s">
        <v>43</v>
      </c>
      <c r="F2596" s="2" t="s">
        <v>31</v>
      </c>
      <c r="G2596" s="2" t="n">
        <v>3318.86</v>
      </c>
      <c r="H2596" s="2" t="n">
        <v>11.1</v>
      </c>
      <c r="I2596" s="2" t="s">
        <v>26</v>
      </c>
      <c r="J2596" s="2" t="s">
        <v>7378</v>
      </c>
      <c r="K2596" s="2" t="s">
        <v>95</v>
      </c>
      <c r="L2596" s="2"/>
      <c r="M2596" s="2" t="s">
        <v>551</v>
      </c>
    </row>
    <row r="2597" customFormat="false" ht="15" hidden="false" customHeight="false" outlineLevel="0" collapsed="false">
      <c r="A2597" s="2" t="s">
        <v>7379</v>
      </c>
      <c r="B2597" s="2" t="s">
        <v>997</v>
      </c>
      <c r="C2597" s="2" t="s">
        <v>998</v>
      </c>
      <c r="D2597" s="13" t="n">
        <v>45743.4222222222</v>
      </c>
      <c r="E2597" s="2" t="s">
        <v>39</v>
      </c>
      <c r="F2597" s="2" t="s">
        <v>29</v>
      </c>
      <c r="G2597" s="2" t="n">
        <v>911.6</v>
      </c>
      <c r="H2597" s="2" t="n">
        <v>5</v>
      </c>
      <c r="I2597" s="2" t="s">
        <v>26</v>
      </c>
      <c r="J2597" s="2" t="s">
        <v>7380</v>
      </c>
      <c r="K2597" s="2" t="s">
        <v>89</v>
      </c>
      <c r="L2597" s="2" t="s">
        <v>308</v>
      </c>
      <c r="M2597" s="2"/>
    </row>
    <row r="2598" customFormat="false" ht="15" hidden="false" customHeight="false" outlineLevel="0" collapsed="false">
      <c r="A2598" s="2" t="s">
        <v>7381</v>
      </c>
      <c r="B2598" s="2" t="s">
        <v>2861</v>
      </c>
      <c r="C2598" s="2" t="s">
        <v>2862</v>
      </c>
      <c r="D2598" s="13" t="n">
        <v>45531.7388888889</v>
      </c>
      <c r="E2598" s="2" t="s">
        <v>43</v>
      </c>
      <c r="F2598" s="2" t="s">
        <v>31</v>
      </c>
      <c r="G2598" s="2" t="n">
        <v>13367.25</v>
      </c>
      <c r="H2598" s="2" t="n">
        <v>149.77</v>
      </c>
      <c r="I2598" s="2" t="s">
        <v>28</v>
      </c>
      <c r="J2598" s="2" t="s">
        <v>7382</v>
      </c>
      <c r="K2598" s="2" t="s">
        <v>122</v>
      </c>
      <c r="L2598" s="2"/>
      <c r="M2598" s="2" t="s">
        <v>561</v>
      </c>
    </row>
    <row r="2599" customFormat="false" ht="15" hidden="false" customHeight="false" outlineLevel="0" collapsed="false">
      <c r="A2599" s="2" t="s">
        <v>7383</v>
      </c>
      <c r="B2599" s="2" t="s">
        <v>2948</v>
      </c>
      <c r="C2599" s="2" t="s">
        <v>2949</v>
      </c>
      <c r="D2599" s="13" t="n">
        <v>45561.6388888889</v>
      </c>
      <c r="E2599" s="2" t="s">
        <v>43</v>
      </c>
      <c r="F2599" s="2" t="s">
        <v>31</v>
      </c>
      <c r="G2599" s="2" t="n">
        <v>410.77</v>
      </c>
      <c r="H2599" s="2" t="n">
        <v>5</v>
      </c>
      <c r="I2599" s="2" t="s">
        <v>30</v>
      </c>
      <c r="J2599" s="2" t="s">
        <v>7384</v>
      </c>
      <c r="K2599" s="2" t="s">
        <v>122</v>
      </c>
      <c r="L2599" s="2"/>
      <c r="M2599" s="2" t="s">
        <v>2097</v>
      </c>
    </row>
    <row r="2600" customFormat="false" ht="15" hidden="false" customHeight="false" outlineLevel="0" collapsed="false">
      <c r="A2600" s="2" t="s">
        <v>7385</v>
      </c>
      <c r="B2600" s="2" t="s">
        <v>7386</v>
      </c>
      <c r="C2600" s="2" t="s">
        <v>7387</v>
      </c>
      <c r="D2600" s="13" t="n">
        <v>45593.5013888889</v>
      </c>
      <c r="E2600" s="2" t="s">
        <v>35</v>
      </c>
      <c r="F2600" s="2" t="s">
        <v>31</v>
      </c>
      <c r="G2600" s="2" t="n">
        <v>11961.09</v>
      </c>
      <c r="H2600" s="2" t="n">
        <v>134.75</v>
      </c>
      <c r="I2600" s="2" t="s">
        <v>26</v>
      </c>
      <c r="J2600" s="2" t="s">
        <v>7388</v>
      </c>
      <c r="K2600" s="2" t="s">
        <v>101</v>
      </c>
      <c r="L2600" s="2" t="s">
        <v>995</v>
      </c>
      <c r="M2600" s="2"/>
    </row>
    <row r="2601" customFormat="false" ht="15" hidden="false" customHeight="false" outlineLevel="0" collapsed="false">
      <c r="A2601" s="2" t="s">
        <v>7389</v>
      </c>
      <c r="B2601" s="2" t="s">
        <v>7390</v>
      </c>
      <c r="C2601" s="2" t="s">
        <v>7391</v>
      </c>
      <c r="D2601" s="13" t="n">
        <v>45787.625</v>
      </c>
      <c r="E2601" s="2" t="s">
        <v>37</v>
      </c>
      <c r="F2601" s="2" t="s">
        <v>27</v>
      </c>
      <c r="G2601" s="2" t="n">
        <v>4595.9</v>
      </c>
      <c r="H2601" s="2" t="n">
        <v>14.57</v>
      </c>
      <c r="I2601" s="2" t="s">
        <v>26</v>
      </c>
      <c r="J2601" s="2" t="s">
        <v>7392</v>
      </c>
      <c r="K2601" s="2" t="s">
        <v>95</v>
      </c>
      <c r="L2601" s="2"/>
      <c r="M2601" s="2" t="s">
        <v>576</v>
      </c>
    </row>
    <row r="2602" customFormat="false" ht="15" hidden="false" customHeight="false" outlineLevel="0" collapsed="false">
      <c r="A2602" s="2" t="s">
        <v>7393</v>
      </c>
      <c r="B2602" s="2" t="s">
        <v>5834</v>
      </c>
      <c r="C2602" s="2" t="s">
        <v>5835</v>
      </c>
      <c r="D2602" s="13" t="n">
        <v>45316.3847222222</v>
      </c>
      <c r="E2602" s="2" t="s">
        <v>37</v>
      </c>
      <c r="F2602" s="2" t="s">
        <v>31</v>
      </c>
      <c r="G2602" s="2" t="n">
        <v>2002.24</v>
      </c>
      <c r="H2602" s="2" t="n">
        <v>5.05</v>
      </c>
      <c r="I2602" s="2" t="s">
        <v>28</v>
      </c>
      <c r="J2602" s="2" t="s">
        <v>7394</v>
      </c>
      <c r="K2602" s="2" t="s">
        <v>89</v>
      </c>
      <c r="L2602" s="2" t="s">
        <v>333</v>
      </c>
      <c r="M2602" s="2"/>
    </row>
    <row r="2603" customFormat="false" ht="15" hidden="false" customHeight="false" outlineLevel="0" collapsed="false">
      <c r="A2603" s="2" t="s">
        <v>7395</v>
      </c>
      <c r="B2603" s="2" t="s">
        <v>908</v>
      </c>
      <c r="C2603" s="2" t="s">
        <v>909</v>
      </c>
      <c r="D2603" s="13" t="n">
        <v>45552.64375</v>
      </c>
      <c r="E2603" s="2" t="s">
        <v>39</v>
      </c>
      <c r="F2603" s="2" t="s">
        <v>31</v>
      </c>
      <c r="G2603" s="2" t="n">
        <v>2436.23</v>
      </c>
      <c r="H2603" s="2" t="n">
        <v>5.01</v>
      </c>
      <c r="I2603" s="2" t="s">
        <v>26</v>
      </c>
      <c r="J2603" s="2" t="s">
        <v>7396</v>
      </c>
      <c r="K2603" s="2" t="s">
        <v>101</v>
      </c>
      <c r="L2603" s="2" t="s">
        <v>338</v>
      </c>
      <c r="M2603" s="2"/>
    </row>
    <row r="2604" customFormat="false" ht="15" hidden="false" customHeight="false" outlineLevel="0" collapsed="false">
      <c r="A2604" s="2" t="s">
        <v>7397</v>
      </c>
      <c r="B2604" s="2" t="s">
        <v>1141</v>
      </c>
      <c r="C2604" s="2" t="s">
        <v>1142</v>
      </c>
      <c r="D2604" s="13" t="n">
        <v>45315.6979166667</v>
      </c>
      <c r="E2604" s="2" t="s">
        <v>37</v>
      </c>
      <c r="F2604" s="2" t="s">
        <v>27</v>
      </c>
      <c r="G2604" s="2" t="n">
        <v>1483.92</v>
      </c>
      <c r="H2604" s="2" t="n">
        <v>6.71</v>
      </c>
      <c r="I2604" s="2" t="s">
        <v>28</v>
      </c>
      <c r="J2604" s="2" t="s">
        <v>7398</v>
      </c>
      <c r="K2604" s="2" t="s">
        <v>95</v>
      </c>
      <c r="L2604" s="2"/>
      <c r="M2604" s="2" t="s">
        <v>2435</v>
      </c>
    </row>
    <row r="2605" customFormat="false" ht="15" hidden="false" customHeight="false" outlineLevel="0" collapsed="false">
      <c r="A2605" s="2" t="s">
        <v>7399</v>
      </c>
      <c r="B2605" s="2" t="s">
        <v>3764</v>
      </c>
      <c r="C2605" s="2" t="s">
        <v>3765</v>
      </c>
      <c r="D2605" s="13" t="n">
        <v>45840.8902777778</v>
      </c>
      <c r="E2605" s="2" t="s">
        <v>43</v>
      </c>
      <c r="F2605" s="2" t="s">
        <v>32</v>
      </c>
      <c r="G2605" s="2" t="n">
        <v>1552.48</v>
      </c>
      <c r="H2605" s="2" t="n">
        <v>7.48</v>
      </c>
      <c r="I2605" s="2" t="s">
        <v>26</v>
      </c>
      <c r="J2605" s="2" t="s">
        <v>7400</v>
      </c>
      <c r="K2605" s="2" t="s">
        <v>122</v>
      </c>
      <c r="L2605" s="2"/>
      <c r="M2605" s="2" t="s">
        <v>594</v>
      </c>
    </row>
    <row r="2606" customFormat="false" ht="15" hidden="false" customHeight="false" outlineLevel="0" collapsed="false">
      <c r="A2606" s="2" t="s">
        <v>7401</v>
      </c>
      <c r="B2606" s="2" t="s">
        <v>2507</v>
      </c>
      <c r="C2606" s="2" t="s">
        <v>2508</v>
      </c>
      <c r="D2606" s="13" t="n">
        <v>45429.7277777778</v>
      </c>
      <c r="E2606" s="2" t="s">
        <v>39</v>
      </c>
      <c r="F2606" s="2" t="s">
        <v>27</v>
      </c>
      <c r="G2606" s="2" t="n">
        <v>3477.78</v>
      </c>
      <c r="H2606" s="2" t="n">
        <v>13.65</v>
      </c>
      <c r="I2606" s="2" t="s">
        <v>28</v>
      </c>
      <c r="J2606" s="2" t="s">
        <v>7402</v>
      </c>
      <c r="K2606" s="2" t="s">
        <v>101</v>
      </c>
      <c r="L2606" s="2"/>
      <c r="M2606" s="2" t="s">
        <v>112</v>
      </c>
    </row>
    <row r="2607" customFormat="false" ht="15" hidden="false" customHeight="false" outlineLevel="0" collapsed="false">
      <c r="A2607" s="2" t="s">
        <v>7403</v>
      </c>
      <c r="B2607" s="2" t="s">
        <v>7404</v>
      </c>
      <c r="C2607" s="2" t="s">
        <v>7405</v>
      </c>
      <c r="D2607" s="13" t="n">
        <v>45373.3972222222</v>
      </c>
      <c r="E2607" s="2" t="s">
        <v>37</v>
      </c>
      <c r="F2607" s="2" t="s">
        <v>29</v>
      </c>
      <c r="G2607" s="2" t="n">
        <v>543.56</v>
      </c>
      <c r="H2607" s="2" t="n">
        <v>5</v>
      </c>
      <c r="I2607" s="2" t="s">
        <v>26</v>
      </c>
      <c r="J2607" s="2" t="s">
        <v>7406</v>
      </c>
      <c r="K2607" s="2" t="s">
        <v>101</v>
      </c>
      <c r="L2607" s="2" t="s">
        <v>358</v>
      </c>
      <c r="M2607" s="2"/>
    </row>
    <row r="2608" customFormat="false" ht="15" hidden="false" customHeight="false" outlineLevel="0" collapsed="false">
      <c r="A2608" s="2" t="s">
        <v>7407</v>
      </c>
      <c r="B2608" s="2" t="s">
        <v>3606</v>
      </c>
      <c r="C2608" s="2" t="s">
        <v>3607</v>
      </c>
      <c r="D2608" s="13" t="n">
        <v>45862.4326388889</v>
      </c>
      <c r="E2608" s="2" t="s">
        <v>39</v>
      </c>
      <c r="F2608" s="2" t="s">
        <v>29</v>
      </c>
      <c r="G2608" s="2" t="n">
        <v>5350.07</v>
      </c>
      <c r="H2608" s="2" t="n">
        <v>27.19</v>
      </c>
      <c r="I2608" s="2" t="s">
        <v>26</v>
      </c>
      <c r="J2608" s="2" t="s">
        <v>7408</v>
      </c>
      <c r="K2608" s="2" t="s">
        <v>122</v>
      </c>
      <c r="L2608" s="2" t="s">
        <v>1601</v>
      </c>
      <c r="M2608" s="2"/>
    </row>
    <row r="2609" customFormat="false" ht="15" hidden="false" customHeight="false" outlineLevel="0" collapsed="false">
      <c r="A2609" s="2" t="s">
        <v>7409</v>
      </c>
      <c r="B2609" s="2" t="s">
        <v>4684</v>
      </c>
      <c r="C2609" s="2" t="s">
        <v>4685</v>
      </c>
      <c r="D2609" s="13" t="n">
        <v>45364.9277777778</v>
      </c>
      <c r="E2609" s="2" t="s">
        <v>37</v>
      </c>
      <c r="F2609" s="2" t="s">
        <v>27</v>
      </c>
      <c r="G2609" s="2" t="n">
        <v>1099.77</v>
      </c>
      <c r="H2609" s="2" t="n">
        <v>5.22</v>
      </c>
      <c r="I2609" s="2" t="s">
        <v>26</v>
      </c>
      <c r="J2609" s="2" t="s">
        <v>7410</v>
      </c>
      <c r="K2609" s="2" t="s">
        <v>89</v>
      </c>
      <c r="L2609" s="2"/>
      <c r="M2609" s="2" t="s">
        <v>1425</v>
      </c>
    </row>
    <row r="2610" customFormat="false" ht="15" hidden="false" customHeight="false" outlineLevel="0" collapsed="false">
      <c r="A2610" s="2" t="s">
        <v>7411</v>
      </c>
      <c r="B2610" s="2" t="s">
        <v>5212</v>
      </c>
      <c r="C2610" s="2" t="s">
        <v>5213</v>
      </c>
      <c r="D2610" s="13" t="n">
        <v>45332.6173611111</v>
      </c>
      <c r="E2610" s="2" t="s">
        <v>37</v>
      </c>
      <c r="F2610" s="2" t="s">
        <v>27</v>
      </c>
      <c r="G2610" s="2" t="n">
        <v>25607.03</v>
      </c>
      <c r="H2610" s="2" t="n">
        <v>82.36</v>
      </c>
      <c r="I2610" s="2" t="s">
        <v>26</v>
      </c>
      <c r="J2610" s="2" t="s">
        <v>7412</v>
      </c>
      <c r="K2610" s="2" t="s">
        <v>89</v>
      </c>
      <c r="L2610" s="2"/>
      <c r="M2610" s="2" t="s">
        <v>617</v>
      </c>
    </row>
    <row r="2611" customFormat="false" ht="15" hidden="false" customHeight="false" outlineLevel="0" collapsed="false">
      <c r="A2611" s="2" t="s">
        <v>7413</v>
      </c>
      <c r="B2611" s="2" t="s">
        <v>7414</v>
      </c>
      <c r="C2611" s="2" t="s">
        <v>7415</v>
      </c>
      <c r="D2611" s="13" t="n">
        <v>45662.6833333333</v>
      </c>
      <c r="E2611" s="2" t="s">
        <v>35</v>
      </c>
      <c r="F2611" s="2" t="s">
        <v>27</v>
      </c>
      <c r="G2611" s="2" t="n">
        <v>990.89</v>
      </c>
      <c r="H2611" s="2" t="n">
        <v>11.1</v>
      </c>
      <c r="I2611" s="2" t="s">
        <v>28</v>
      </c>
      <c r="J2611" s="2" t="s">
        <v>7416</v>
      </c>
      <c r="K2611" s="2" t="s">
        <v>122</v>
      </c>
      <c r="L2611" s="2"/>
      <c r="M2611" s="2" t="s">
        <v>1795</v>
      </c>
    </row>
    <row r="2612" customFormat="false" ht="15" hidden="false" customHeight="false" outlineLevel="0" collapsed="false">
      <c r="A2612" s="2" t="s">
        <v>7417</v>
      </c>
      <c r="B2612" s="2" t="s">
        <v>5060</v>
      </c>
      <c r="C2612" s="2" t="s">
        <v>5061</v>
      </c>
      <c r="D2612" s="13" t="n">
        <v>45666.5111111111</v>
      </c>
      <c r="E2612" s="2" t="s">
        <v>41</v>
      </c>
      <c r="F2612" s="2" t="s">
        <v>32</v>
      </c>
      <c r="G2612" s="2" t="n">
        <v>5670.74</v>
      </c>
      <c r="H2612" s="2" t="n">
        <v>49.01</v>
      </c>
      <c r="I2612" s="2" t="s">
        <v>28</v>
      </c>
      <c r="J2612" s="2" t="s">
        <v>7418</v>
      </c>
      <c r="K2612" s="2" t="s">
        <v>89</v>
      </c>
      <c r="L2612" s="2" t="s">
        <v>1039</v>
      </c>
      <c r="M2612" s="2"/>
    </row>
    <row r="2613" customFormat="false" ht="15" hidden="false" customHeight="false" outlineLevel="0" collapsed="false">
      <c r="A2613" s="2" t="s">
        <v>7419</v>
      </c>
      <c r="B2613" s="2" t="s">
        <v>1386</v>
      </c>
      <c r="C2613" s="2" t="s">
        <v>1387</v>
      </c>
      <c r="D2613" s="13" t="n">
        <v>45382.6215277778</v>
      </c>
      <c r="E2613" s="2" t="s">
        <v>35</v>
      </c>
      <c r="F2613" s="2" t="s">
        <v>27</v>
      </c>
      <c r="G2613" s="2" t="n">
        <v>3604.08</v>
      </c>
      <c r="H2613" s="2" t="n">
        <v>41.15</v>
      </c>
      <c r="I2613" s="2" t="s">
        <v>30</v>
      </c>
      <c r="J2613" s="2" t="s">
        <v>7420</v>
      </c>
      <c r="K2613" s="2" t="s">
        <v>95</v>
      </c>
      <c r="L2613" s="2"/>
      <c r="M2613" s="2" t="s">
        <v>144</v>
      </c>
    </row>
    <row r="2614" customFormat="false" ht="15" hidden="false" customHeight="false" outlineLevel="0" collapsed="false">
      <c r="A2614" s="2" t="s">
        <v>7421</v>
      </c>
      <c r="B2614" s="2" t="s">
        <v>578</v>
      </c>
      <c r="C2614" s="2" t="s">
        <v>579</v>
      </c>
      <c r="D2614" s="13" t="n">
        <v>45884.9076388889</v>
      </c>
      <c r="E2614" s="2" t="s">
        <v>43</v>
      </c>
      <c r="F2614" s="2" t="s">
        <v>29</v>
      </c>
      <c r="G2614" s="2" t="n">
        <v>11127.77</v>
      </c>
      <c r="H2614" s="2" t="n">
        <v>81.26</v>
      </c>
      <c r="I2614" s="2" t="s">
        <v>26</v>
      </c>
      <c r="J2614" s="2" t="s">
        <v>7422</v>
      </c>
      <c r="K2614" s="2" t="s">
        <v>89</v>
      </c>
      <c r="L2614" s="2"/>
      <c r="M2614" s="2" t="s">
        <v>1806</v>
      </c>
    </row>
    <row r="2615" customFormat="false" ht="15" hidden="false" customHeight="false" outlineLevel="0" collapsed="false">
      <c r="A2615" s="2" t="s">
        <v>7423</v>
      </c>
      <c r="B2615" s="2" t="s">
        <v>1885</v>
      </c>
      <c r="C2615" s="2" t="s">
        <v>1886</v>
      </c>
      <c r="D2615" s="13" t="n">
        <v>45968.6833333333</v>
      </c>
      <c r="E2615" s="2" t="s">
        <v>37</v>
      </c>
      <c r="F2615" s="2" t="s">
        <v>32</v>
      </c>
      <c r="G2615" s="2" t="n">
        <v>1275.42</v>
      </c>
      <c r="H2615" s="2" t="n">
        <v>9.49</v>
      </c>
      <c r="I2615" s="2" t="s">
        <v>28</v>
      </c>
      <c r="J2615" s="2" t="s">
        <v>7424</v>
      </c>
      <c r="K2615" s="2" t="s">
        <v>95</v>
      </c>
      <c r="L2615" s="2" t="s">
        <v>1628</v>
      </c>
      <c r="M2615" s="2"/>
    </row>
    <row r="2616" customFormat="false" ht="15" hidden="false" customHeight="false" outlineLevel="0" collapsed="false">
      <c r="A2616" s="2" t="s">
        <v>7425</v>
      </c>
      <c r="B2616" s="2" t="s">
        <v>1154</v>
      </c>
      <c r="C2616" s="2" t="s">
        <v>1155</v>
      </c>
      <c r="D2616" s="13" t="n">
        <v>45588.9409722222</v>
      </c>
      <c r="E2616" s="2" t="s">
        <v>37</v>
      </c>
      <c r="F2616" s="2" t="s">
        <v>27</v>
      </c>
      <c r="G2616" s="2" t="n">
        <v>9215.72</v>
      </c>
      <c r="H2616" s="2" t="n">
        <v>79.82</v>
      </c>
      <c r="I2616" s="2" t="s">
        <v>26</v>
      </c>
      <c r="J2616" s="2" t="s">
        <v>7426</v>
      </c>
      <c r="K2616" s="2" t="s">
        <v>122</v>
      </c>
      <c r="L2616" s="2"/>
      <c r="M2616" s="2" t="s">
        <v>1448</v>
      </c>
    </row>
    <row r="2617" customFormat="false" ht="15" hidden="false" customHeight="false" outlineLevel="0" collapsed="false">
      <c r="A2617" s="2" t="s">
        <v>7427</v>
      </c>
      <c r="B2617" s="2" t="s">
        <v>1535</v>
      </c>
      <c r="C2617" s="2" t="s">
        <v>1536</v>
      </c>
      <c r="D2617" s="13" t="n">
        <v>45502.8979166667</v>
      </c>
      <c r="E2617" s="2" t="s">
        <v>35</v>
      </c>
      <c r="F2617" s="2" t="s">
        <v>31</v>
      </c>
      <c r="G2617" s="2" t="n">
        <v>1425.6</v>
      </c>
      <c r="H2617" s="2" t="n">
        <v>15.06</v>
      </c>
      <c r="I2617" s="2" t="s">
        <v>28</v>
      </c>
      <c r="J2617" s="2" t="s">
        <v>7428</v>
      </c>
      <c r="K2617" s="2" t="s">
        <v>89</v>
      </c>
      <c r="L2617" s="2" t="s">
        <v>408</v>
      </c>
      <c r="M2617" s="2"/>
    </row>
    <row r="2618" customFormat="false" ht="15" hidden="false" customHeight="false" outlineLevel="0" collapsed="false">
      <c r="A2618" s="2" t="s">
        <v>7429</v>
      </c>
      <c r="B2618" s="2" t="s">
        <v>4030</v>
      </c>
      <c r="C2618" s="2" t="s">
        <v>4031</v>
      </c>
      <c r="D2618" s="13" t="n">
        <v>45842.8798611111</v>
      </c>
      <c r="E2618" s="2" t="s">
        <v>35</v>
      </c>
      <c r="F2618" s="2" t="s">
        <v>27</v>
      </c>
      <c r="G2618" s="2" t="n">
        <v>1708.75</v>
      </c>
      <c r="H2618" s="2" t="n">
        <v>13.19</v>
      </c>
      <c r="I2618" s="2" t="s">
        <v>26</v>
      </c>
      <c r="J2618" s="2" t="s">
        <v>7430</v>
      </c>
      <c r="K2618" s="2" t="s">
        <v>122</v>
      </c>
      <c r="L2618" s="2"/>
      <c r="M2618" s="2" t="s">
        <v>163</v>
      </c>
    </row>
    <row r="2619" customFormat="false" ht="15" hidden="false" customHeight="false" outlineLevel="0" collapsed="false">
      <c r="A2619" s="2" t="s">
        <v>7431</v>
      </c>
      <c r="B2619" s="2" t="s">
        <v>4774</v>
      </c>
      <c r="C2619" s="2" t="s">
        <v>4775</v>
      </c>
      <c r="D2619" s="13" t="n">
        <v>45727.825</v>
      </c>
      <c r="E2619" s="2" t="s">
        <v>41</v>
      </c>
      <c r="F2619" s="2" t="s">
        <v>27</v>
      </c>
      <c r="G2619" s="2" t="n">
        <v>5884.87</v>
      </c>
      <c r="H2619" s="2" t="n">
        <v>64.39</v>
      </c>
      <c r="I2619" s="2" t="s">
        <v>26</v>
      </c>
      <c r="J2619" s="2" t="s">
        <v>7432</v>
      </c>
      <c r="K2619" s="2" t="s">
        <v>95</v>
      </c>
      <c r="L2619" s="2"/>
      <c r="M2619" s="2" t="s">
        <v>657</v>
      </c>
    </row>
    <row r="2620" customFormat="false" ht="15" hidden="false" customHeight="false" outlineLevel="0" collapsed="false">
      <c r="A2620" s="2" t="s">
        <v>7433</v>
      </c>
      <c r="B2620" s="2" t="s">
        <v>7434</v>
      </c>
      <c r="C2620" s="2" t="s">
        <v>7435</v>
      </c>
      <c r="D2620" s="13" t="n">
        <v>45882.5465277778</v>
      </c>
      <c r="E2620" s="2" t="s">
        <v>39</v>
      </c>
      <c r="F2620" s="2" t="s">
        <v>29</v>
      </c>
      <c r="G2620" s="2" t="n">
        <v>2090.01</v>
      </c>
      <c r="H2620" s="2" t="n">
        <v>14.55</v>
      </c>
      <c r="I2620" s="2" t="s">
        <v>26</v>
      </c>
      <c r="J2620" s="2" t="s">
        <v>7436</v>
      </c>
      <c r="K2620" s="2" t="s">
        <v>122</v>
      </c>
      <c r="L2620" s="2" t="s">
        <v>423</v>
      </c>
      <c r="M2620" s="2"/>
    </row>
    <row r="2621" customFormat="false" ht="15" hidden="false" customHeight="false" outlineLevel="0" collapsed="false">
      <c r="A2621" s="2" t="s">
        <v>7437</v>
      </c>
      <c r="B2621" s="2" t="s">
        <v>250</v>
      </c>
      <c r="C2621" s="2" t="s">
        <v>251</v>
      </c>
      <c r="D2621" s="13" t="n">
        <v>45880.4173611111</v>
      </c>
      <c r="E2621" s="2" t="s">
        <v>41</v>
      </c>
      <c r="F2621" s="2" t="s">
        <v>27</v>
      </c>
      <c r="G2621" s="2" t="n">
        <v>16766.87</v>
      </c>
      <c r="H2621" s="2" t="n">
        <v>106.65</v>
      </c>
      <c r="I2621" s="2" t="s">
        <v>26</v>
      </c>
      <c r="J2621" s="2" t="s">
        <v>7438</v>
      </c>
      <c r="K2621" s="2" t="s">
        <v>89</v>
      </c>
      <c r="L2621" s="2"/>
      <c r="M2621" s="2" t="s">
        <v>667</v>
      </c>
    </row>
    <row r="2622" customFormat="false" ht="15" hidden="false" customHeight="false" outlineLevel="0" collapsed="false">
      <c r="A2622" s="2" t="s">
        <v>7439</v>
      </c>
      <c r="B2622" s="2" t="s">
        <v>3314</v>
      </c>
      <c r="C2622" s="2" t="s">
        <v>3315</v>
      </c>
      <c r="D2622" s="13" t="n">
        <v>45602.6597222222</v>
      </c>
      <c r="E2622" s="2" t="s">
        <v>39</v>
      </c>
      <c r="F2622" s="2" t="s">
        <v>29</v>
      </c>
      <c r="G2622" s="2" t="n">
        <v>255.67</v>
      </c>
      <c r="H2622" s="2" t="n">
        <v>5</v>
      </c>
      <c r="I2622" s="2" t="s">
        <v>26</v>
      </c>
      <c r="J2622" s="2" t="s">
        <v>7440</v>
      </c>
      <c r="K2622" s="2" t="s">
        <v>101</v>
      </c>
      <c r="L2622" s="2" t="s">
        <v>433</v>
      </c>
      <c r="M2622" s="2"/>
    </row>
    <row r="2623" customFormat="false" ht="15" hidden="false" customHeight="false" outlineLevel="0" collapsed="false">
      <c r="A2623" s="2" t="s">
        <v>7441</v>
      </c>
      <c r="B2623" s="2" t="s">
        <v>1905</v>
      </c>
      <c r="C2623" s="2" t="s">
        <v>1906</v>
      </c>
      <c r="D2623" s="13" t="n">
        <v>45753.9159722222</v>
      </c>
      <c r="E2623" s="2" t="s">
        <v>35</v>
      </c>
      <c r="F2623" s="2" t="s">
        <v>29</v>
      </c>
      <c r="G2623" s="2" t="n">
        <v>6826.78</v>
      </c>
      <c r="H2623" s="2" t="n">
        <v>79.38</v>
      </c>
      <c r="I2623" s="2" t="s">
        <v>26</v>
      </c>
      <c r="J2623" s="2" t="s">
        <v>7442</v>
      </c>
      <c r="K2623" s="2" t="s">
        <v>101</v>
      </c>
      <c r="L2623" s="2" t="s">
        <v>438</v>
      </c>
      <c r="M2623" s="2"/>
    </row>
    <row r="2624" customFormat="false" ht="15" hidden="false" customHeight="false" outlineLevel="0" collapsed="false">
      <c r="A2624" s="2" t="s">
        <v>7443</v>
      </c>
      <c r="B2624" s="2" t="s">
        <v>5152</v>
      </c>
      <c r="C2624" s="2" t="s">
        <v>5153</v>
      </c>
      <c r="D2624" s="13" t="n">
        <v>45623.4743055556</v>
      </c>
      <c r="E2624" s="2" t="s">
        <v>35</v>
      </c>
      <c r="F2624" s="2" t="s">
        <v>29</v>
      </c>
      <c r="G2624" s="2" t="n">
        <v>2410.26</v>
      </c>
      <c r="H2624" s="2" t="n">
        <v>16.65</v>
      </c>
      <c r="I2624" s="2" t="s">
        <v>26</v>
      </c>
      <c r="J2624" s="2" t="s">
        <v>7444</v>
      </c>
      <c r="K2624" s="2" t="s">
        <v>101</v>
      </c>
      <c r="L2624" s="2" t="s">
        <v>443</v>
      </c>
      <c r="M2624" s="2"/>
    </row>
    <row r="2625" customFormat="false" ht="15" hidden="false" customHeight="false" outlineLevel="0" collapsed="false">
      <c r="A2625" s="2" t="s">
        <v>7445</v>
      </c>
      <c r="B2625" s="2" t="s">
        <v>1348</v>
      </c>
      <c r="C2625" s="2" t="s">
        <v>1349</v>
      </c>
      <c r="D2625" s="13" t="n">
        <v>45636.9333333333</v>
      </c>
      <c r="E2625" s="2" t="s">
        <v>35</v>
      </c>
      <c r="F2625" s="2" t="s">
        <v>32</v>
      </c>
      <c r="G2625" s="2" t="n">
        <v>5861.55</v>
      </c>
      <c r="H2625" s="2" t="n">
        <v>60.26</v>
      </c>
      <c r="I2625" s="2" t="s">
        <v>26</v>
      </c>
      <c r="J2625" s="2" t="s">
        <v>7446</v>
      </c>
      <c r="K2625" s="2" t="s">
        <v>101</v>
      </c>
      <c r="L2625" s="2" t="s">
        <v>2186</v>
      </c>
      <c r="M2625" s="2"/>
    </row>
    <row r="2626" customFormat="false" ht="15" hidden="false" customHeight="false" outlineLevel="0" collapsed="false">
      <c r="A2626" s="2" t="s">
        <v>7447</v>
      </c>
      <c r="B2626" s="2" t="s">
        <v>4874</v>
      </c>
      <c r="C2626" s="2" t="s">
        <v>4875</v>
      </c>
      <c r="D2626" s="13" t="n">
        <v>45870.7173611111</v>
      </c>
      <c r="E2626" s="2" t="s">
        <v>37</v>
      </c>
      <c r="F2626" s="2" t="s">
        <v>32</v>
      </c>
      <c r="G2626" s="2" t="n">
        <v>18598.13</v>
      </c>
      <c r="H2626" s="2" t="n">
        <v>67.06</v>
      </c>
      <c r="I2626" s="2" t="s">
        <v>28</v>
      </c>
      <c r="J2626" s="2" t="s">
        <v>7448</v>
      </c>
      <c r="K2626" s="2" t="s">
        <v>95</v>
      </c>
      <c r="L2626" s="2" t="s">
        <v>453</v>
      </c>
      <c r="M2626" s="2"/>
    </row>
    <row r="2627" customFormat="false" ht="15" hidden="false" customHeight="false" outlineLevel="0" collapsed="false">
      <c r="A2627" s="2" t="s">
        <v>7449</v>
      </c>
      <c r="B2627" s="2" t="s">
        <v>3104</v>
      </c>
      <c r="C2627" s="2" t="s">
        <v>3105</v>
      </c>
      <c r="D2627" s="13" t="n">
        <v>45690.7381944444</v>
      </c>
      <c r="E2627" s="2" t="s">
        <v>43</v>
      </c>
      <c r="F2627" s="2" t="s">
        <v>29</v>
      </c>
      <c r="G2627" s="2" t="n">
        <v>4142.43</v>
      </c>
      <c r="H2627" s="2" t="n">
        <v>10.78</v>
      </c>
      <c r="I2627" s="2" t="s">
        <v>26</v>
      </c>
      <c r="J2627" s="2" t="s">
        <v>7450</v>
      </c>
      <c r="K2627" s="2" t="s">
        <v>122</v>
      </c>
      <c r="L2627" s="2"/>
      <c r="M2627" s="2" t="s">
        <v>692</v>
      </c>
    </row>
    <row r="2628" customFormat="false" ht="15" hidden="false" customHeight="false" outlineLevel="0" collapsed="false">
      <c r="A2628" s="2" t="s">
        <v>7451</v>
      </c>
      <c r="B2628" s="2" t="s">
        <v>7452</v>
      </c>
      <c r="C2628" s="2" t="s">
        <v>7453</v>
      </c>
      <c r="D2628" s="13" t="n">
        <v>45704.3020833333</v>
      </c>
      <c r="E2628" s="2" t="s">
        <v>39</v>
      </c>
      <c r="F2628" s="2" t="s">
        <v>32</v>
      </c>
      <c r="G2628" s="2" t="n">
        <v>3075.9</v>
      </c>
      <c r="H2628" s="2" t="n">
        <v>24.92</v>
      </c>
      <c r="I2628" s="2" t="s">
        <v>26</v>
      </c>
      <c r="J2628" s="2" t="s">
        <v>7454</v>
      </c>
      <c r="K2628" s="2" t="s">
        <v>122</v>
      </c>
      <c r="L2628" s="2" t="s">
        <v>1105</v>
      </c>
      <c r="M2628" s="2"/>
    </row>
    <row r="2629" customFormat="false" ht="15" hidden="false" customHeight="false" outlineLevel="0" collapsed="false">
      <c r="A2629" s="2" t="s">
        <v>7455</v>
      </c>
      <c r="B2629" s="2" t="s">
        <v>4436</v>
      </c>
      <c r="C2629" s="2" t="s">
        <v>4437</v>
      </c>
      <c r="D2629" s="13" t="n">
        <v>45605.6486111111</v>
      </c>
      <c r="E2629" s="2" t="s">
        <v>41</v>
      </c>
      <c r="F2629" s="2" t="s">
        <v>29</v>
      </c>
      <c r="G2629" s="2" t="n">
        <v>10661.17</v>
      </c>
      <c r="H2629" s="2" t="n">
        <v>126.67</v>
      </c>
      <c r="I2629" s="2" t="s">
        <v>26</v>
      </c>
      <c r="J2629" s="2" t="s">
        <v>7456</v>
      </c>
      <c r="K2629" s="2" t="s">
        <v>89</v>
      </c>
      <c r="L2629" s="2" t="s">
        <v>468</v>
      </c>
      <c r="M2629" s="2"/>
    </row>
    <row r="2630" customFormat="false" ht="15" hidden="false" customHeight="false" outlineLevel="0" collapsed="false">
      <c r="A2630" s="2" t="s">
        <v>7457</v>
      </c>
      <c r="B2630" s="2" t="s">
        <v>673</v>
      </c>
      <c r="C2630" s="2" t="s">
        <v>674</v>
      </c>
      <c r="D2630" s="13" t="n">
        <v>45785.8270833333</v>
      </c>
      <c r="E2630" s="2" t="s">
        <v>37</v>
      </c>
      <c r="F2630" s="2" t="s">
        <v>29</v>
      </c>
      <c r="G2630" s="2" t="n">
        <v>1398.61</v>
      </c>
      <c r="H2630" s="2" t="n">
        <v>9.49</v>
      </c>
      <c r="I2630" s="2" t="s">
        <v>26</v>
      </c>
      <c r="J2630" s="2" t="s">
        <v>7458</v>
      </c>
      <c r="K2630" s="2" t="s">
        <v>101</v>
      </c>
      <c r="L2630" s="2" t="s">
        <v>473</v>
      </c>
      <c r="M2630" s="2"/>
    </row>
    <row r="2631" customFormat="false" ht="15" hidden="false" customHeight="false" outlineLevel="0" collapsed="false">
      <c r="A2631" s="2" t="s">
        <v>7459</v>
      </c>
      <c r="B2631" s="2" t="s">
        <v>2726</v>
      </c>
      <c r="C2631" s="2" t="s">
        <v>2727</v>
      </c>
      <c r="D2631" s="13" t="n">
        <v>45400.8458333333</v>
      </c>
      <c r="E2631" s="2" t="s">
        <v>41</v>
      </c>
      <c r="F2631" s="2" t="s">
        <v>27</v>
      </c>
      <c r="G2631" s="2" t="n">
        <v>4527.12</v>
      </c>
      <c r="H2631" s="2" t="n">
        <v>14.11</v>
      </c>
      <c r="I2631" s="2" t="s">
        <v>28</v>
      </c>
      <c r="J2631" s="2" t="s">
        <v>7460</v>
      </c>
      <c r="K2631" s="2" t="s">
        <v>101</v>
      </c>
      <c r="L2631" s="2"/>
      <c r="M2631" s="2" t="s">
        <v>228</v>
      </c>
    </row>
    <row r="2632" customFormat="false" ht="15" hidden="false" customHeight="false" outlineLevel="0" collapsed="false">
      <c r="A2632" s="2" t="s">
        <v>7461</v>
      </c>
      <c r="B2632" s="2" t="s">
        <v>7462</v>
      </c>
      <c r="C2632" s="2" t="s">
        <v>7463</v>
      </c>
      <c r="D2632" s="13" t="n">
        <v>45995.9520833333</v>
      </c>
      <c r="E2632" s="2" t="s">
        <v>39</v>
      </c>
      <c r="F2632" s="2" t="s">
        <v>27</v>
      </c>
      <c r="G2632" s="2" t="n">
        <v>966.61</v>
      </c>
      <c r="H2632" s="2" t="n">
        <v>5.26</v>
      </c>
      <c r="I2632" s="2" t="s">
        <v>28</v>
      </c>
      <c r="J2632" s="2" t="s">
        <v>7464</v>
      </c>
      <c r="K2632" s="2" t="s">
        <v>89</v>
      </c>
      <c r="L2632" s="2"/>
      <c r="M2632" s="2" t="s">
        <v>233</v>
      </c>
    </row>
    <row r="2633" customFormat="false" ht="15" hidden="false" customHeight="false" outlineLevel="0" collapsed="false">
      <c r="A2633" s="2" t="s">
        <v>7465</v>
      </c>
      <c r="B2633" s="2" t="s">
        <v>2236</v>
      </c>
      <c r="C2633" s="2" t="s">
        <v>2237</v>
      </c>
      <c r="D2633" s="13" t="n">
        <v>45729.9395833333</v>
      </c>
      <c r="E2633" s="2" t="s">
        <v>35</v>
      </c>
      <c r="F2633" s="2" t="s">
        <v>31</v>
      </c>
      <c r="G2633" s="2" t="n">
        <v>1548.04</v>
      </c>
      <c r="H2633" s="2" t="n">
        <v>16.25</v>
      </c>
      <c r="I2633" s="2" t="s">
        <v>26</v>
      </c>
      <c r="J2633" s="2" t="s">
        <v>7466</v>
      </c>
      <c r="K2633" s="2" t="s">
        <v>95</v>
      </c>
      <c r="L2633" s="2" t="s">
        <v>488</v>
      </c>
      <c r="M2633" s="2"/>
    </row>
    <row r="2634" customFormat="false" ht="15" hidden="false" customHeight="false" outlineLevel="0" collapsed="false">
      <c r="A2634" s="2" t="s">
        <v>7467</v>
      </c>
      <c r="B2634" s="2" t="s">
        <v>2503</v>
      </c>
      <c r="C2634" s="2" t="s">
        <v>2504</v>
      </c>
      <c r="D2634" s="13" t="n">
        <v>45783.6763888889</v>
      </c>
      <c r="E2634" s="2" t="s">
        <v>35</v>
      </c>
      <c r="F2634" s="2" t="s">
        <v>29</v>
      </c>
      <c r="G2634" s="2" t="n">
        <v>6301.19</v>
      </c>
      <c r="H2634" s="2" t="n">
        <v>60.36</v>
      </c>
      <c r="I2634" s="2" t="s">
        <v>26</v>
      </c>
      <c r="J2634" s="2" t="s">
        <v>7468</v>
      </c>
      <c r="K2634" s="2" t="s">
        <v>89</v>
      </c>
      <c r="L2634" s="2" t="s">
        <v>1122</v>
      </c>
      <c r="M2634" s="2"/>
    </row>
    <row r="2635" customFormat="false" ht="15" hidden="false" customHeight="false" outlineLevel="0" collapsed="false">
      <c r="A2635" s="2" t="s">
        <v>7469</v>
      </c>
      <c r="B2635" s="2" t="s">
        <v>7046</v>
      </c>
      <c r="C2635" s="2" t="s">
        <v>7047</v>
      </c>
      <c r="D2635" s="13" t="n">
        <v>46005.8215277778</v>
      </c>
      <c r="E2635" s="2" t="s">
        <v>39</v>
      </c>
      <c r="F2635" s="2" t="s">
        <v>31</v>
      </c>
      <c r="G2635" s="2" t="n">
        <v>4937.3</v>
      </c>
      <c r="H2635" s="2" t="n">
        <v>40.03</v>
      </c>
      <c r="I2635" s="2" t="s">
        <v>30</v>
      </c>
      <c r="J2635" s="2" t="s">
        <v>7470</v>
      </c>
      <c r="K2635" s="2" t="s">
        <v>95</v>
      </c>
      <c r="L2635" s="2" t="s">
        <v>1127</v>
      </c>
      <c r="M2635" s="2"/>
    </row>
    <row r="2636" customFormat="false" ht="15" hidden="false" customHeight="false" outlineLevel="0" collapsed="false">
      <c r="A2636" s="2" t="s">
        <v>7471</v>
      </c>
      <c r="B2636" s="2" t="s">
        <v>1251</v>
      </c>
      <c r="C2636" s="2" t="s">
        <v>1252</v>
      </c>
      <c r="D2636" s="13" t="n">
        <v>45599.8729166667</v>
      </c>
      <c r="E2636" s="2" t="s">
        <v>43</v>
      </c>
      <c r="F2636" s="2" t="s">
        <v>32</v>
      </c>
      <c r="G2636" s="2" t="n">
        <v>2343.72</v>
      </c>
      <c r="H2636" s="2" t="n">
        <v>27.91</v>
      </c>
      <c r="I2636" s="2" t="s">
        <v>28</v>
      </c>
      <c r="J2636" s="2" t="s">
        <v>7472</v>
      </c>
      <c r="K2636" s="2" t="s">
        <v>122</v>
      </c>
      <c r="L2636" s="2"/>
      <c r="M2636" s="2" t="s">
        <v>728</v>
      </c>
    </row>
    <row r="2637" customFormat="false" ht="15" hidden="false" customHeight="false" outlineLevel="0" collapsed="false">
      <c r="A2637" s="2" t="s">
        <v>7473</v>
      </c>
      <c r="B2637" s="2" t="s">
        <v>1406</v>
      </c>
      <c r="C2637" s="2" t="s">
        <v>1407</v>
      </c>
      <c r="D2637" s="13" t="n">
        <v>45388.64375</v>
      </c>
      <c r="E2637" s="2" t="s">
        <v>39</v>
      </c>
      <c r="F2637" s="2" t="s">
        <v>32</v>
      </c>
      <c r="G2637" s="2" t="n">
        <v>22841.04</v>
      </c>
      <c r="H2637" s="2" t="n">
        <v>67.58</v>
      </c>
      <c r="I2637" s="2" t="s">
        <v>26</v>
      </c>
      <c r="J2637" s="2" t="s">
        <v>7474</v>
      </c>
      <c r="K2637" s="2" t="s">
        <v>95</v>
      </c>
      <c r="L2637" s="2" t="s">
        <v>508</v>
      </c>
      <c r="M2637" s="2"/>
    </row>
    <row r="2638" customFormat="false" ht="15" hidden="false" customHeight="false" outlineLevel="0" collapsed="false">
      <c r="A2638" s="2" t="s">
        <v>7475</v>
      </c>
      <c r="B2638" s="2" t="s">
        <v>6976</v>
      </c>
      <c r="C2638" s="2" t="s">
        <v>6977</v>
      </c>
      <c r="D2638" s="13" t="n">
        <v>45528.3493055556</v>
      </c>
      <c r="E2638" s="2" t="s">
        <v>37</v>
      </c>
      <c r="F2638" s="2" t="s">
        <v>29</v>
      </c>
      <c r="G2638" s="2" t="n">
        <v>5358.71</v>
      </c>
      <c r="H2638" s="2" t="n">
        <v>33.88</v>
      </c>
      <c r="I2638" s="2" t="s">
        <v>26</v>
      </c>
      <c r="J2638" s="2" t="s">
        <v>7476</v>
      </c>
      <c r="K2638" s="2" t="s">
        <v>95</v>
      </c>
      <c r="L2638" s="2" t="s">
        <v>1139</v>
      </c>
      <c r="M2638" s="2"/>
    </row>
    <row r="2639" customFormat="false" ht="15" hidden="false" customHeight="false" outlineLevel="0" collapsed="false">
      <c r="A2639" s="2" t="s">
        <v>7477</v>
      </c>
      <c r="B2639" s="2" t="s">
        <v>1219</v>
      </c>
      <c r="C2639" s="2" t="s">
        <v>1220</v>
      </c>
      <c r="D2639" s="13" t="n">
        <v>45589.5659722222</v>
      </c>
      <c r="E2639" s="2" t="s">
        <v>35</v>
      </c>
      <c r="F2639" s="2" t="s">
        <v>32</v>
      </c>
      <c r="G2639" s="2" t="n">
        <v>11851.12</v>
      </c>
      <c r="H2639" s="2" t="n">
        <v>66.04</v>
      </c>
      <c r="I2639" s="2" t="s">
        <v>28</v>
      </c>
      <c r="J2639" s="2" t="s">
        <v>7478</v>
      </c>
      <c r="K2639" s="2" t="s">
        <v>101</v>
      </c>
      <c r="L2639" s="2" t="s">
        <v>518</v>
      </c>
      <c r="M2639" s="2"/>
    </row>
    <row r="2640" customFormat="false" ht="15" hidden="false" customHeight="false" outlineLevel="0" collapsed="false">
      <c r="A2640" s="2" t="s">
        <v>7479</v>
      </c>
      <c r="B2640" s="2" t="s">
        <v>2099</v>
      </c>
      <c r="C2640" s="2" t="s">
        <v>2100</v>
      </c>
      <c r="D2640" s="13" t="n">
        <v>45540.9486111111</v>
      </c>
      <c r="E2640" s="2" t="s">
        <v>35</v>
      </c>
      <c r="F2640" s="2" t="s">
        <v>31</v>
      </c>
      <c r="G2640" s="2" t="n">
        <v>3823.4</v>
      </c>
      <c r="H2640" s="2" t="n">
        <v>28.67</v>
      </c>
      <c r="I2640" s="2" t="s">
        <v>30</v>
      </c>
      <c r="J2640" s="2" t="s">
        <v>7480</v>
      </c>
      <c r="K2640" s="2" t="s">
        <v>95</v>
      </c>
      <c r="L2640" s="2" t="s">
        <v>523</v>
      </c>
      <c r="M2640" s="2"/>
    </row>
    <row r="2641" customFormat="false" ht="15" hidden="false" customHeight="false" outlineLevel="0" collapsed="false">
      <c r="A2641" s="2" t="s">
        <v>7481</v>
      </c>
      <c r="B2641" s="2" t="s">
        <v>135</v>
      </c>
      <c r="C2641" s="2" t="s">
        <v>136</v>
      </c>
      <c r="D2641" s="13" t="n">
        <v>45475.8958333333</v>
      </c>
      <c r="E2641" s="2" t="s">
        <v>37</v>
      </c>
      <c r="F2641" s="2" t="s">
        <v>32</v>
      </c>
      <c r="G2641" s="2" t="n">
        <v>19441.4</v>
      </c>
      <c r="H2641" s="2" t="n">
        <v>54.3</v>
      </c>
      <c r="I2641" s="2" t="s">
        <v>26</v>
      </c>
      <c r="J2641" s="2" t="s">
        <v>7482</v>
      </c>
      <c r="K2641" s="2" t="s">
        <v>122</v>
      </c>
      <c r="L2641" s="2" t="s">
        <v>1152</v>
      </c>
      <c r="M2641" s="2"/>
    </row>
    <row r="2642" customFormat="false" ht="15" hidden="false" customHeight="false" outlineLevel="0" collapsed="false">
      <c r="A2642" s="2" t="s">
        <v>7483</v>
      </c>
      <c r="B2642" s="2" t="s">
        <v>3466</v>
      </c>
      <c r="C2642" s="2" t="s">
        <v>3467</v>
      </c>
      <c r="D2642" s="13" t="n">
        <v>45658.3701388889</v>
      </c>
      <c r="E2642" s="2" t="s">
        <v>43</v>
      </c>
      <c r="F2642" s="2" t="s">
        <v>32</v>
      </c>
      <c r="G2642" s="2" t="n">
        <v>2797.37</v>
      </c>
      <c r="H2642" s="2" t="n">
        <v>17.47</v>
      </c>
      <c r="I2642" s="2" t="s">
        <v>26</v>
      </c>
      <c r="J2642" s="2" t="s">
        <v>7484</v>
      </c>
      <c r="K2642" s="2" t="s">
        <v>101</v>
      </c>
      <c r="L2642" s="2"/>
      <c r="M2642" s="2" t="s">
        <v>1157</v>
      </c>
    </row>
    <row r="2643" customFormat="false" ht="15" hidden="false" customHeight="false" outlineLevel="0" collapsed="false">
      <c r="A2643" s="2" t="s">
        <v>7485</v>
      </c>
      <c r="B2643" s="2" t="s">
        <v>460</v>
      </c>
      <c r="C2643" s="2" t="s">
        <v>461</v>
      </c>
      <c r="D2643" s="13" t="n">
        <v>46011.6138888889</v>
      </c>
      <c r="E2643" s="2" t="s">
        <v>37</v>
      </c>
      <c r="F2643" s="2" t="s">
        <v>27</v>
      </c>
      <c r="G2643" s="2" t="n">
        <v>3652.77</v>
      </c>
      <c r="H2643" s="2" t="n">
        <v>27.7</v>
      </c>
      <c r="I2643" s="2" t="s">
        <v>28</v>
      </c>
      <c r="J2643" s="2" t="s">
        <v>7486</v>
      </c>
      <c r="K2643" s="2" t="s">
        <v>95</v>
      </c>
      <c r="L2643" s="2"/>
      <c r="M2643" s="2" t="s">
        <v>288</v>
      </c>
    </row>
    <row r="2644" customFormat="false" ht="15" hidden="false" customHeight="false" outlineLevel="0" collapsed="false">
      <c r="A2644" s="2" t="s">
        <v>7487</v>
      </c>
      <c r="B2644" s="2" t="s">
        <v>6082</v>
      </c>
      <c r="C2644" s="2" t="s">
        <v>6083</v>
      </c>
      <c r="D2644" s="13" t="n">
        <v>45814.6631944445</v>
      </c>
      <c r="E2644" s="2" t="s">
        <v>37</v>
      </c>
      <c r="F2644" s="2" t="s">
        <v>27</v>
      </c>
      <c r="G2644" s="2" t="n">
        <v>9101.14</v>
      </c>
      <c r="H2644" s="2" t="n">
        <v>96.02</v>
      </c>
      <c r="I2644" s="2" t="s">
        <v>26</v>
      </c>
      <c r="J2644" s="2" t="s">
        <v>7488</v>
      </c>
      <c r="K2644" s="2" t="s">
        <v>122</v>
      </c>
      <c r="L2644" s="2"/>
      <c r="M2644" s="2" t="s">
        <v>762</v>
      </c>
    </row>
    <row r="2645" customFormat="false" ht="15" hidden="false" customHeight="false" outlineLevel="0" collapsed="false">
      <c r="A2645" s="2" t="s">
        <v>7489</v>
      </c>
      <c r="B2645" s="2" t="s">
        <v>1466</v>
      </c>
      <c r="C2645" s="2" t="s">
        <v>1467</v>
      </c>
      <c r="D2645" s="13" t="n">
        <v>45555.9513888889</v>
      </c>
      <c r="E2645" s="2" t="s">
        <v>35</v>
      </c>
      <c r="F2645" s="2" t="s">
        <v>31</v>
      </c>
      <c r="G2645" s="2" t="n">
        <v>9099.76</v>
      </c>
      <c r="H2645" s="2" t="n">
        <v>25.79</v>
      </c>
      <c r="I2645" s="2" t="s">
        <v>26</v>
      </c>
      <c r="J2645" s="2" t="s">
        <v>7490</v>
      </c>
      <c r="K2645" s="2" t="s">
        <v>122</v>
      </c>
      <c r="L2645" s="2" t="s">
        <v>1169</v>
      </c>
      <c r="M2645" s="2"/>
    </row>
    <row r="2646" customFormat="false" ht="15" hidden="false" customHeight="false" outlineLevel="0" collapsed="false">
      <c r="A2646" s="2" t="s">
        <v>7491</v>
      </c>
      <c r="B2646" s="2" t="s">
        <v>1926</v>
      </c>
      <c r="C2646" s="2" t="s">
        <v>1927</v>
      </c>
      <c r="D2646" s="13" t="n">
        <v>45461.8298611111</v>
      </c>
      <c r="E2646" s="2" t="s">
        <v>35</v>
      </c>
      <c r="F2646" s="2" t="s">
        <v>31</v>
      </c>
      <c r="G2646" s="2" t="n">
        <v>10990.08</v>
      </c>
      <c r="H2646" s="2" t="n">
        <v>56.43</v>
      </c>
      <c r="I2646" s="2" t="s">
        <v>30</v>
      </c>
      <c r="J2646" s="2" t="s">
        <v>7492</v>
      </c>
      <c r="K2646" s="2" t="s">
        <v>101</v>
      </c>
      <c r="L2646" s="2" t="s">
        <v>2735</v>
      </c>
      <c r="M2646" s="2"/>
    </row>
    <row r="2647" customFormat="false" ht="15" hidden="false" customHeight="false" outlineLevel="0" collapsed="false">
      <c r="A2647" s="2" t="s">
        <v>7493</v>
      </c>
      <c r="B2647" s="2" t="s">
        <v>1201</v>
      </c>
      <c r="C2647" s="2" t="s">
        <v>1202</v>
      </c>
      <c r="D2647" s="13" t="n">
        <v>45517.4041666667</v>
      </c>
      <c r="E2647" s="2" t="s">
        <v>35</v>
      </c>
      <c r="F2647" s="2" t="s">
        <v>31</v>
      </c>
      <c r="G2647" s="2" t="n">
        <v>4136.22</v>
      </c>
      <c r="H2647" s="2" t="n">
        <v>20.09</v>
      </c>
      <c r="I2647" s="2" t="s">
        <v>30</v>
      </c>
      <c r="J2647" s="2" t="s">
        <v>7494</v>
      </c>
      <c r="K2647" s="2" t="s">
        <v>89</v>
      </c>
      <c r="L2647" s="2" t="s">
        <v>556</v>
      </c>
      <c r="M2647" s="2"/>
    </row>
    <row r="2648" customFormat="false" ht="15" hidden="false" customHeight="false" outlineLevel="0" collapsed="false">
      <c r="A2648" s="2" t="s">
        <v>7495</v>
      </c>
      <c r="B2648" s="2" t="s">
        <v>1036</v>
      </c>
      <c r="C2648" s="2" t="s">
        <v>1037</v>
      </c>
      <c r="D2648" s="13" t="n">
        <v>45396.3805555556</v>
      </c>
      <c r="E2648" s="2" t="s">
        <v>41</v>
      </c>
      <c r="F2648" s="2" t="s">
        <v>27</v>
      </c>
      <c r="G2648" s="2" t="n">
        <v>9272.1</v>
      </c>
      <c r="H2648" s="2" t="n">
        <v>41.66</v>
      </c>
      <c r="I2648" s="2" t="s">
        <v>26</v>
      </c>
      <c r="J2648" s="2" t="s">
        <v>7496</v>
      </c>
      <c r="K2648" s="2" t="s">
        <v>95</v>
      </c>
      <c r="L2648" s="2"/>
      <c r="M2648" s="2" t="s">
        <v>313</v>
      </c>
    </row>
    <row r="2649" customFormat="false" ht="15" hidden="false" customHeight="false" outlineLevel="0" collapsed="false">
      <c r="A2649" s="2" t="s">
        <v>7497</v>
      </c>
      <c r="B2649" s="2" t="s">
        <v>1834</v>
      </c>
      <c r="C2649" s="2" t="s">
        <v>1835</v>
      </c>
      <c r="D2649" s="13" t="n">
        <v>45665.8979166667</v>
      </c>
      <c r="E2649" s="2" t="s">
        <v>35</v>
      </c>
      <c r="F2649" s="2" t="s">
        <v>29</v>
      </c>
      <c r="G2649" s="2" t="n">
        <v>11204.33</v>
      </c>
      <c r="H2649" s="2" t="n">
        <v>66.74</v>
      </c>
      <c r="I2649" s="2" t="s">
        <v>26</v>
      </c>
      <c r="J2649" s="2" t="s">
        <v>7498</v>
      </c>
      <c r="K2649" s="2" t="s">
        <v>89</v>
      </c>
      <c r="L2649" s="2" t="s">
        <v>566</v>
      </c>
      <c r="M2649" s="2"/>
    </row>
    <row r="2650" customFormat="false" ht="15" hidden="false" customHeight="false" outlineLevel="0" collapsed="false">
      <c r="A2650" s="2" t="s">
        <v>7499</v>
      </c>
      <c r="B2650" s="2" t="s">
        <v>3530</v>
      </c>
      <c r="C2650" s="2" t="s">
        <v>3531</v>
      </c>
      <c r="D2650" s="13" t="n">
        <v>45506.7590277778</v>
      </c>
      <c r="E2650" s="2" t="s">
        <v>39</v>
      </c>
      <c r="F2650" s="2" t="s">
        <v>29</v>
      </c>
      <c r="G2650" s="2" t="n">
        <v>31005.77</v>
      </c>
      <c r="H2650" s="2" t="n">
        <v>71.42</v>
      </c>
      <c r="I2650" s="2" t="s">
        <v>28</v>
      </c>
      <c r="J2650" s="2" t="s">
        <v>7500</v>
      </c>
      <c r="K2650" s="2" t="s">
        <v>101</v>
      </c>
      <c r="L2650" s="2" t="s">
        <v>1190</v>
      </c>
      <c r="M2650" s="2"/>
    </row>
    <row r="2651" customFormat="false" ht="15" hidden="false" customHeight="false" outlineLevel="0" collapsed="false">
      <c r="A2651" s="2" t="s">
        <v>7501</v>
      </c>
      <c r="B2651" s="2" t="s">
        <v>1398</v>
      </c>
      <c r="C2651" s="2" t="s">
        <v>1399</v>
      </c>
      <c r="D2651" s="13" t="n">
        <v>45697.9118055556</v>
      </c>
      <c r="E2651" s="2" t="s">
        <v>39</v>
      </c>
      <c r="F2651" s="2" t="s">
        <v>27</v>
      </c>
      <c r="G2651" s="2" t="n">
        <v>11222.94</v>
      </c>
      <c r="H2651" s="2" t="n">
        <v>100.38</v>
      </c>
      <c r="I2651" s="2" t="s">
        <v>26</v>
      </c>
      <c r="J2651" s="2" t="s">
        <v>7502</v>
      </c>
      <c r="K2651" s="2" t="s">
        <v>95</v>
      </c>
      <c r="L2651" s="2"/>
      <c r="M2651" s="2" t="s">
        <v>328</v>
      </c>
    </row>
    <row r="2652" customFormat="false" ht="15" hidden="false" customHeight="false" outlineLevel="0" collapsed="false">
      <c r="A2652" s="2" t="s">
        <v>7503</v>
      </c>
      <c r="B2652" s="2" t="s">
        <v>1746</v>
      </c>
      <c r="C2652" s="2" t="s">
        <v>1747</v>
      </c>
      <c r="D2652" s="13" t="n">
        <v>45753.7680555556</v>
      </c>
      <c r="E2652" s="2" t="s">
        <v>39</v>
      </c>
      <c r="F2652" s="2" t="s">
        <v>31</v>
      </c>
      <c r="G2652" s="2" t="n">
        <v>3682.63</v>
      </c>
      <c r="H2652" s="2" t="n">
        <v>9</v>
      </c>
      <c r="I2652" s="2" t="s">
        <v>30</v>
      </c>
      <c r="J2652" s="2" t="s">
        <v>7504</v>
      </c>
      <c r="K2652" s="2" t="s">
        <v>101</v>
      </c>
      <c r="L2652" s="2" t="s">
        <v>1199</v>
      </c>
      <c r="M2652" s="2"/>
    </row>
    <row r="2653" customFormat="false" ht="15" hidden="false" customHeight="false" outlineLevel="0" collapsed="false">
      <c r="A2653" s="2" t="s">
        <v>7505</v>
      </c>
      <c r="B2653" s="2" t="s">
        <v>573</v>
      </c>
      <c r="C2653" s="2" t="s">
        <v>574</v>
      </c>
      <c r="D2653" s="13" t="n">
        <v>45467.8402777778</v>
      </c>
      <c r="E2653" s="2" t="s">
        <v>41</v>
      </c>
      <c r="F2653" s="2" t="s">
        <v>29</v>
      </c>
      <c r="G2653" s="2" t="n">
        <v>7343.52</v>
      </c>
      <c r="H2653" s="2" t="n">
        <v>82.2</v>
      </c>
      <c r="I2653" s="2" t="s">
        <v>26</v>
      </c>
      <c r="J2653" s="2" t="s">
        <v>7506</v>
      </c>
      <c r="K2653" s="2" t="s">
        <v>89</v>
      </c>
      <c r="L2653" s="2" t="s">
        <v>584</v>
      </c>
      <c r="M2653" s="2"/>
    </row>
    <row r="2654" customFormat="false" ht="15" hidden="false" customHeight="false" outlineLevel="0" collapsed="false">
      <c r="A2654" s="2" t="s">
        <v>7507</v>
      </c>
      <c r="B2654" s="2" t="s">
        <v>1050</v>
      </c>
      <c r="C2654" s="2" t="s">
        <v>1051</v>
      </c>
      <c r="D2654" s="13" t="n">
        <v>45371.5645833333</v>
      </c>
      <c r="E2654" s="2" t="s">
        <v>37</v>
      </c>
      <c r="F2654" s="2" t="s">
        <v>27</v>
      </c>
      <c r="G2654" s="2" t="n">
        <v>3044.23</v>
      </c>
      <c r="H2654" s="2" t="n">
        <v>27.17</v>
      </c>
      <c r="I2654" s="2" t="s">
        <v>26</v>
      </c>
      <c r="J2654" s="2" t="s">
        <v>7508</v>
      </c>
      <c r="K2654" s="2" t="s">
        <v>95</v>
      </c>
      <c r="L2654" s="2"/>
      <c r="M2654" s="2" t="s">
        <v>1588</v>
      </c>
    </row>
    <row r="2655" customFormat="false" ht="15" hidden="false" customHeight="false" outlineLevel="0" collapsed="false">
      <c r="A2655" s="2" t="s">
        <v>7509</v>
      </c>
      <c r="B2655" s="2" t="s">
        <v>3566</v>
      </c>
      <c r="C2655" s="2" t="s">
        <v>3567</v>
      </c>
      <c r="D2655" s="13" t="n">
        <v>45957.7458333333</v>
      </c>
      <c r="E2655" s="2" t="s">
        <v>35</v>
      </c>
      <c r="F2655" s="2" t="s">
        <v>27</v>
      </c>
      <c r="G2655" s="2" t="n">
        <v>1573.25</v>
      </c>
      <c r="H2655" s="2" t="n">
        <v>5</v>
      </c>
      <c r="I2655" s="2" t="s">
        <v>26</v>
      </c>
      <c r="J2655" s="2" t="s">
        <v>7510</v>
      </c>
      <c r="K2655" s="2" t="s">
        <v>89</v>
      </c>
      <c r="L2655" s="2"/>
      <c r="M2655" s="2" t="s">
        <v>348</v>
      </c>
    </row>
    <row r="2656" customFormat="false" ht="15" hidden="false" customHeight="false" outlineLevel="0" collapsed="false">
      <c r="A2656" s="2" t="s">
        <v>7511</v>
      </c>
      <c r="B2656" s="2" t="s">
        <v>5696</v>
      </c>
      <c r="C2656" s="2" t="s">
        <v>5697</v>
      </c>
      <c r="D2656" s="13" t="n">
        <v>45862.3263888889</v>
      </c>
      <c r="E2656" s="2" t="s">
        <v>35</v>
      </c>
      <c r="F2656" s="2" t="s">
        <v>32</v>
      </c>
      <c r="G2656" s="2" t="n">
        <v>1273.75</v>
      </c>
      <c r="H2656" s="2" t="n">
        <v>5</v>
      </c>
      <c r="I2656" s="2" t="s">
        <v>26</v>
      </c>
      <c r="J2656" s="2" t="s">
        <v>7512</v>
      </c>
      <c r="K2656" s="2" t="s">
        <v>89</v>
      </c>
      <c r="L2656" s="2" t="s">
        <v>599</v>
      </c>
      <c r="M2656" s="2"/>
    </row>
    <row r="2657" customFormat="false" ht="15" hidden="false" customHeight="false" outlineLevel="0" collapsed="false">
      <c r="A2657" s="2" t="s">
        <v>7513</v>
      </c>
      <c r="B2657" s="2" t="s">
        <v>3336</v>
      </c>
      <c r="C2657" s="2" t="s">
        <v>3337</v>
      </c>
      <c r="D2657" s="13" t="n">
        <v>45627.8354166667</v>
      </c>
      <c r="E2657" s="2" t="s">
        <v>41</v>
      </c>
      <c r="F2657" s="2" t="s">
        <v>29</v>
      </c>
      <c r="G2657" s="2" t="n">
        <v>7847.58</v>
      </c>
      <c r="H2657" s="2" t="n">
        <v>47.57</v>
      </c>
      <c r="I2657" s="2" t="s">
        <v>26</v>
      </c>
      <c r="J2657" s="2" t="s">
        <v>7514</v>
      </c>
      <c r="K2657" s="2" t="s">
        <v>122</v>
      </c>
      <c r="L2657" s="2" t="s">
        <v>604</v>
      </c>
      <c r="M2657" s="2"/>
    </row>
    <row r="2658" customFormat="false" ht="15" hidden="false" customHeight="false" outlineLevel="0" collapsed="false">
      <c r="A2658" s="2" t="s">
        <v>7515</v>
      </c>
      <c r="B2658" s="2" t="s">
        <v>1845</v>
      </c>
      <c r="C2658" s="2" t="s">
        <v>1846</v>
      </c>
      <c r="D2658" s="13" t="n">
        <v>45739.8354166667</v>
      </c>
      <c r="E2658" s="2" t="s">
        <v>35</v>
      </c>
      <c r="F2658" s="2" t="s">
        <v>27</v>
      </c>
      <c r="G2658" s="2" t="n">
        <v>8969.97</v>
      </c>
      <c r="H2658" s="2" t="n">
        <v>63.01</v>
      </c>
      <c r="I2658" s="2" t="s">
        <v>26</v>
      </c>
      <c r="J2658" s="2" t="s">
        <v>7516</v>
      </c>
      <c r="K2658" s="2" t="s">
        <v>101</v>
      </c>
      <c r="L2658" s="2"/>
      <c r="M2658" s="2" t="s">
        <v>363</v>
      </c>
    </row>
    <row r="2659" customFormat="false" ht="15" hidden="false" customHeight="false" outlineLevel="0" collapsed="false">
      <c r="A2659" s="2" t="s">
        <v>7517</v>
      </c>
      <c r="B2659" s="2" t="s">
        <v>2885</v>
      </c>
      <c r="C2659" s="2" t="s">
        <v>2886</v>
      </c>
      <c r="D2659" s="13" t="n">
        <v>45650.3284722222</v>
      </c>
      <c r="E2659" s="2" t="s">
        <v>35</v>
      </c>
      <c r="F2659" s="2" t="s">
        <v>31</v>
      </c>
      <c r="G2659" s="2" t="n">
        <v>2505.3</v>
      </c>
      <c r="H2659" s="2" t="n">
        <v>15.05</v>
      </c>
      <c r="I2659" s="2" t="s">
        <v>26</v>
      </c>
      <c r="J2659" s="2" t="s">
        <v>7518</v>
      </c>
      <c r="K2659" s="2" t="s">
        <v>101</v>
      </c>
      <c r="L2659" s="2" t="s">
        <v>612</v>
      </c>
      <c r="M2659" s="2"/>
    </row>
    <row r="2660" customFormat="false" ht="15" hidden="false" customHeight="false" outlineLevel="0" collapsed="false">
      <c r="A2660" s="2" t="s">
        <v>7519</v>
      </c>
      <c r="B2660" s="2" t="s">
        <v>7520</v>
      </c>
      <c r="C2660" s="2" t="s">
        <v>7521</v>
      </c>
      <c r="D2660" s="13" t="n">
        <v>46000.8666666667</v>
      </c>
      <c r="E2660" s="2" t="s">
        <v>43</v>
      </c>
      <c r="F2660" s="2" t="s">
        <v>32</v>
      </c>
      <c r="G2660" s="2" t="n">
        <v>3666.95</v>
      </c>
      <c r="H2660" s="2" t="n">
        <v>39.6</v>
      </c>
      <c r="I2660" s="2" t="s">
        <v>26</v>
      </c>
      <c r="J2660" s="2" t="s">
        <v>7522</v>
      </c>
      <c r="K2660" s="2" t="s">
        <v>122</v>
      </c>
      <c r="L2660" s="2"/>
      <c r="M2660" s="2" t="s">
        <v>828</v>
      </c>
    </row>
    <row r="2661" customFormat="false" ht="15" hidden="false" customHeight="false" outlineLevel="0" collapsed="false">
      <c r="A2661" s="2" t="s">
        <v>7523</v>
      </c>
      <c r="B2661" s="2" t="s">
        <v>2693</v>
      </c>
      <c r="C2661" s="2" t="s">
        <v>2694</v>
      </c>
      <c r="D2661" s="13" t="n">
        <v>45410.6909722222</v>
      </c>
      <c r="E2661" s="2" t="s">
        <v>35</v>
      </c>
      <c r="F2661" s="2" t="s">
        <v>31</v>
      </c>
      <c r="G2661" s="2" t="n">
        <v>6448.41</v>
      </c>
      <c r="H2661" s="2" t="n">
        <v>37.57</v>
      </c>
      <c r="I2661" s="2" t="s">
        <v>26</v>
      </c>
      <c r="J2661" s="2" t="s">
        <v>7524</v>
      </c>
      <c r="K2661" s="2" t="s">
        <v>122</v>
      </c>
      <c r="L2661" s="2" t="s">
        <v>622</v>
      </c>
      <c r="M2661" s="2"/>
    </row>
    <row r="2662" customFormat="false" ht="15" hidden="false" customHeight="false" outlineLevel="0" collapsed="false">
      <c r="A2662" s="2" t="s">
        <v>7525</v>
      </c>
      <c r="B2662" s="2" t="s">
        <v>4286</v>
      </c>
      <c r="C2662" s="2" t="s">
        <v>4287</v>
      </c>
      <c r="D2662" s="13" t="n">
        <v>45630.7902777778</v>
      </c>
      <c r="E2662" s="2" t="s">
        <v>43</v>
      </c>
      <c r="F2662" s="2" t="s">
        <v>27</v>
      </c>
      <c r="G2662" s="2" t="n">
        <v>3872.78</v>
      </c>
      <c r="H2662" s="2" t="n">
        <v>23.29</v>
      </c>
      <c r="I2662" s="2" t="s">
        <v>26</v>
      </c>
      <c r="J2662" s="2" t="s">
        <v>7526</v>
      </c>
      <c r="K2662" s="2" t="s">
        <v>89</v>
      </c>
      <c r="L2662" s="2"/>
      <c r="M2662" s="2" t="s">
        <v>383</v>
      </c>
    </row>
    <row r="2663" customFormat="false" ht="15" hidden="false" customHeight="false" outlineLevel="0" collapsed="false">
      <c r="A2663" s="2" t="s">
        <v>7527</v>
      </c>
      <c r="B2663" s="2" t="s">
        <v>2383</v>
      </c>
      <c r="C2663" s="2" t="s">
        <v>2384</v>
      </c>
      <c r="D2663" s="13" t="n">
        <v>45569.6701388889</v>
      </c>
      <c r="E2663" s="2" t="s">
        <v>35</v>
      </c>
      <c r="F2663" s="2" t="s">
        <v>32</v>
      </c>
      <c r="G2663" s="2" t="n">
        <v>2592.73</v>
      </c>
      <c r="H2663" s="2" t="n">
        <v>30.41</v>
      </c>
      <c r="I2663" s="2" t="s">
        <v>30</v>
      </c>
      <c r="J2663" s="2" t="s">
        <v>7528</v>
      </c>
      <c r="K2663" s="2" t="s">
        <v>122</v>
      </c>
      <c r="L2663" s="2" t="s">
        <v>632</v>
      </c>
      <c r="M2663" s="2"/>
    </row>
    <row r="2664" customFormat="false" ht="15" hidden="false" customHeight="false" outlineLevel="0" collapsed="false">
      <c r="A2664" s="2" t="s">
        <v>7529</v>
      </c>
      <c r="B2664" s="2" t="s">
        <v>3324</v>
      </c>
      <c r="C2664" s="2" t="s">
        <v>3325</v>
      </c>
      <c r="D2664" s="13" t="n">
        <v>45936.3145833333</v>
      </c>
      <c r="E2664" s="2" t="s">
        <v>39</v>
      </c>
      <c r="F2664" s="2" t="s">
        <v>29</v>
      </c>
      <c r="G2664" s="2" t="n">
        <v>5023.91</v>
      </c>
      <c r="H2664" s="2" t="n">
        <v>52.65</v>
      </c>
      <c r="I2664" s="2" t="s">
        <v>26</v>
      </c>
      <c r="J2664" s="2" t="s">
        <v>7530</v>
      </c>
      <c r="K2664" s="2" t="s">
        <v>95</v>
      </c>
      <c r="L2664" s="2" t="s">
        <v>637</v>
      </c>
      <c r="M2664" s="2"/>
    </row>
    <row r="2665" customFormat="false" ht="15" hidden="false" customHeight="false" outlineLevel="0" collapsed="false">
      <c r="A2665" s="2" t="s">
        <v>7531</v>
      </c>
      <c r="B2665" s="2" t="s">
        <v>5120</v>
      </c>
      <c r="C2665" s="2" t="s">
        <v>5121</v>
      </c>
      <c r="D2665" s="13" t="n">
        <v>45977.8673611111</v>
      </c>
      <c r="E2665" s="2" t="s">
        <v>43</v>
      </c>
      <c r="F2665" s="2" t="s">
        <v>27</v>
      </c>
      <c r="G2665" s="2" t="n">
        <v>12234.61</v>
      </c>
      <c r="H2665" s="2" t="n">
        <v>55.31</v>
      </c>
      <c r="I2665" s="2" t="s">
        <v>26</v>
      </c>
      <c r="J2665" s="2" t="s">
        <v>7532</v>
      </c>
      <c r="K2665" s="2" t="s">
        <v>101</v>
      </c>
      <c r="L2665" s="2"/>
      <c r="M2665" s="2" t="s">
        <v>398</v>
      </c>
    </row>
    <row r="2666" customFormat="false" ht="15" hidden="false" customHeight="false" outlineLevel="0" collapsed="false">
      <c r="A2666" s="2" t="s">
        <v>7533</v>
      </c>
      <c r="B2666" s="2" t="s">
        <v>2629</v>
      </c>
      <c r="C2666" s="2" t="s">
        <v>2630</v>
      </c>
      <c r="D2666" s="13" t="n">
        <v>45552.3930555556</v>
      </c>
      <c r="E2666" s="2" t="s">
        <v>41</v>
      </c>
      <c r="F2666" s="2" t="s">
        <v>31</v>
      </c>
      <c r="G2666" s="2" t="n">
        <v>12789.38</v>
      </c>
      <c r="H2666" s="2" t="n">
        <v>40.47</v>
      </c>
      <c r="I2666" s="2" t="s">
        <v>26</v>
      </c>
      <c r="J2666" s="2" t="s">
        <v>7534</v>
      </c>
      <c r="K2666" s="2" t="s">
        <v>122</v>
      </c>
      <c r="L2666" s="2" t="s">
        <v>645</v>
      </c>
      <c r="M2666" s="2"/>
    </row>
    <row r="2667" customFormat="false" ht="15" hidden="false" customHeight="false" outlineLevel="0" collapsed="false">
      <c r="A2667" s="2" t="s">
        <v>7535</v>
      </c>
      <c r="B2667" s="2" t="s">
        <v>2414</v>
      </c>
      <c r="C2667" s="2" t="s">
        <v>2415</v>
      </c>
      <c r="D2667" s="13" t="n">
        <v>45843.3944444444</v>
      </c>
      <c r="E2667" s="2" t="s">
        <v>35</v>
      </c>
      <c r="F2667" s="2" t="s">
        <v>32</v>
      </c>
      <c r="G2667" s="2" t="n">
        <v>5298.96</v>
      </c>
      <c r="H2667" s="2" t="n">
        <v>38.94</v>
      </c>
      <c r="I2667" s="2" t="s">
        <v>26</v>
      </c>
      <c r="J2667" s="2" t="s">
        <v>7536</v>
      </c>
      <c r="K2667" s="2" t="s">
        <v>101</v>
      </c>
      <c r="L2667" s="2" t="s">
        <v>648</v>
      </c>
      <c r="M2667" s="2"/>
    </row>
    <row r="2668" customFormat="false" ht="15" hidden="false" customHeight="false" outlineLevel="0" collapsed="false">
      <c r="A2668" s="2" t="s">
        <v>7537</v>
      </c>
      <c r="B2668" s="2" t="s">
        <v>2194</v>
      </c>
      <c r="C2668" s="2" t="s">
        <v>2195</v>
      </c>
      <c r="D2668" s="13" t="n">
        <v>45775.4875</v>
      </c>
      <c r="E2668" s="2" t="s">
        <v>37</v>
      </c>
      <c r="F2668" s="2" t="s">
        <v>27</v>
      </c>
      <c r="G2668" s="2" t="n">
        <v>25179.8</v>
      </c>
      <c r="H2668" s="2" t="n">
        <v>214.17</v>
      </c>
      <c r="I2668" s="2" t="s">
        <v>26</v>
      </c>
      <c r="J2668" s="2" t="s">
        <v>7538</v>
      </c>
      <c r="K2668" s="2" t="s">
        <v>89</v>
      </c>
      <c r="L2668" s="2"/>
      <c r="M2668" s="2" t="s">
        <v>862</v>
      </c>
    </row>
    <row r="2669" customFormat="false" ht="15" hidden="false" customHeight="false" outlineLevel="0" collapsed="false">
      <c r="A2669" s="2" t="s">
        <v>7539</v>
      </c>
      <c r="B2669" s="2" t="s">
        <v>5628</v>
      </c>
      <c r="C2669" s="2" t="s">
        <v>5629</v>
      </c>
      <c r="D2669" s="13" t="n">
        <v>45340.7194444445</v>
      </c>
      <c r="E2669" s="2" t="s">
        <v>39</v>
      </c>
      <c r="F2669" s="2" t="s">
        <v>31</v>
      </c>
      <c r="G2669" s="2" t="n">
        <v>1211.7</v>
      </c>
      <c r="H2669" s="2" t="n">
        <v>5</v>
      </c>
      <c r="I2669" s="2" t="s">
        <v>26</v>
      </c>
      <c r="J2669" s="2" t="s">
        <v>7540</v>
      </c>
      <c r="K2669" s="2" t="s">
        <v>122</v>
      </c>
      <c r="L2669" s="2" t="s">
        <v>1267</v>
      </c>
      <c r="M2669" s="2"/>
    </row>
    <row r="2670" customFormat="false" ht="15" hidden="false" customHeight="false" outlineLevel="0" collapsed="false">
      <c r="A2670" s="2" t="s">
        <v>7541</v>
      </c>
      <c r="B2670" s="2" t="s">
        <v>7542</v>
      </c>
      <c r="C2670" s="2" t="s">
        <v>7543</v>
      </c>
      <c r="D2670" s="13" t="n">
        <v>45374.8902777778</v>
      </c>
      <c r="E2670" s="2" t="s">
        <v>39</v>
      </c>
      <c r="F2670" s="2" t="s">
        <v>31</v>
      </c>
      <c r="G2670" s="2" t="n">
        <v>6616.79</v>
      </c>
      <c r="H2670" s="2" t="n">
        <v>62.37</v>
      </c>
      <c r="I2670" s="2" t="s">
        <v>26</v>
      </c>
      <c r="J2670" s="2" t="s">
        <v>7544</v>
      </c>
      <c r="K2670" s="2" t="s">
        <v>122</v>
      </c>
      <c r="L2670" s="2" t="s">
        <v>1272</v>
      </c>
      <c r="M2670" s="2"/>
    </row>
    <row r="2671" customFormat="false" ht="15" hidden="false" customHeight="false" outlineLevel="0" collapsed="false">
      <c r="A2671" s="2" t="s">
        <v>7545</v>
      </c>
      <c r="B2671" s="2" t="s">
        <v>568</v>
      </c>
      <c r="C2671" s="2" t="s">
        <v>569</v>
      </c>
      <c r="D2671" s="13" t="n">
        <v>45548.5222222222</v>
      </c>
      <c r="E2671" s="2" t="s">
        <v>39</v>
      </c>
      <c r="F2671" s="2" t="s">
        <v>27</v>
      </c>
      <c r="G2671" s="2" t="n">
        <v>2239.03</v>
      </c>
      <c r="H2671" s="2" t="n">
        <v>14.7</v>
      </c>
      <c r="I2671" s="2" t="s">
        <v>26</v>
      </c>
      <c r="J2671" s="2" t="s">
        <v>7546</v>
      </c>
      <c r="K2671" s="2" t="s">
        <v>122</v>
      </c>
      <c r="L2671" s="2"/>
      <c r="M2671" s="2" t="s">
        <v>871</v>
      </c>
    </row>
    <row r="2672" customFormat="false" ht="15" hidden="false" customHeight="false" outlineLevel="0" collapsed="false">
      <c r="A2672" s="2" t="s">
        <v>7547</v>
      </c>
      <c r="B2672" s="2" t="s">
        <v>5074</v>
      </c>
      <c r="C2672" s="2" t="s">
        <v>5075</v>
      </c>
      <c r="D2672" s="13" t="n">
        <v>45338.8520833333</v>
      </c>
      <c r="E2672" s="2" t="s">
        <v>41</v>
      </c>
      <c r="F2672" s="2" t="s">
        <v>32</v>
      </c>
      <c r="G2672" s="2" t="n">
        <v>3769.05</v>
      </c>
      <c r="H2672" s="2" t="n">
        <v>30.31</v>
      </c>
      <c r="I2672" s="2" t="s">
        <v>28</v>
      </c>
      <c r="J2672" s="2" t="s">
        <v>7548</v>
      </c>
      <c r="K2672" s="2" t="s">
        <v>95</v>
      </c>
      <c r="L2672" s="2" t="s">
        <v>1837</v>
      </c>
      <c r="M2672" s="2"/>
    </row>
    <row r="2673" customFormat="false" ht="15" hidden="false" customHeight="false" outlineLevel="0" collapsed="false">
      <c r="A2673" s="2" t="s">
        <v>7549</v>
      </c>
      <c r="B2673" s="2" t="s">
        <v>725</v>
      </c>
      <c r="C2673" s="2" t="s">
        <v>726</v>
      </c>
      <c r="D2673" s="13" t="n">
        <v>45892.4277777778</v>
      </c>
      <c r="E2673" s="2" t="s">
        <v>37</v>
      </c>
      <c r="F2673" s="2" t="s">
        <v>32</v>
      </c>
      <c r="G2673" s="2" t="n">
        <v>4844.73</v>
      </c>
      <c r="H2673" s="2" t="n">
        <v>27.25</v>
      </c>
      <c r="I2673" s="2" t="s">
        <v>30</v>
      </c>
      <c r="J2673" s="2" t="s">
        <v>7550</v>
      </c>
      <c r="K2673" s="2" t="s">
        <v>101</v>
      </c>
      <c r="L2673" s="2" t="s">
        <v>676</v>
      </c>
      <c r="M2673" s="2"/>
    </row>
    <row r="2674" customFormat="false" ht="15" hidden="false" customHeight="false" outlineLevel="0" collapsed="false">
      <c r="A2674" s="2" t="s">
        <v>7551</v>
      </c>
      <c r="B2674" s="2" t="s">
        <v>2655</v>
      </c>
      <c r="C2674" s="2" t="s">
        <v>2656</v>
      </c>
      <c r="D2674" s="13" t="n">
        <v>45788.5916666667</v>
      </c>
      <c r="E2674" s="2" t="s">
        <v>35</v>
      </c>
      <c r="F2674" s="2" t="s">
        <v>31</v>
      </c>
      <c r="G2674" s="2" t="n">
        <v>1857.28</v>
      </c>
      <c r="H2674" s="2" t="n">
        <v>20.65</v>
      </c>
      <c r="I2674" s="2" t="s">
        <v>28</v>
      </c>
      <c r="J2674" s="2" t="s">
        <v>7552</v>
      </c>
      <c r="K2674" s="2" t="s">
        <v>89</v>
      </c>
      <c r="L2674" s="2" t="s">
        <v>681</v>
      </c>
      <c r="M2674" s="2"/>
    </row>
    <row r="2675" customFormat="false" ht="15" hidden="false" customHeight="false" outlineLevel="0" collapsed="false">
      <c r="A2675" s="2" t="s">
        <v>7553</v>
      </c>
      <c r="B2675" s="2" t="s">
        <v>2716</v>
      </c>
      <c r="C2675" s="2" t="s">
        <v>2717</v>
      </c>
      <c r="D2675" s="13" t="n">
        <v>45995.3486111111</v>
      </c>
      <c r="E2675" s="2" t="s">
        <v>37</v>
      </c>
      <c r="F2675" s="2" t="s">
        <v>27</v>
      </c>
      <c r="G2675" s="2" t="n">
        <v>9253.97</v>
      </c>
      <c r="H2675" s="2" t="n">
        <v>93.29</v>
      </c>
      <c r="I2675" s="2" t="s">
        <v>28</v>
      </c>
      <c r="J2675" s="2" t="s">
        <v>7554</v>
      </c>
      <c r="K2675" s="2" t="s">
        <v>89</v>
      </c>
      <c r="L2675" s="2"/>
      <c r="M2675" s="2" t="s">
        <v>448</v>
      </c>
    </row>
    <row r="2676" customFormat="false" ht="15" hidden="false" customHeight="false" outlineLevel="0" collapsed="false">
      <c r="A2676" s="2" t="s">
        <v>7555</v>
      </c>
      <c r="B2676" s="2" t="s">
        <v>7046</v>
      </c>
      <c r="C2676" s="2" t="s">
        <v>7047</v>
      </c>
      <c r="D2676" s="13" t="n">
        <v>45472.5145833333</v>
      </c>
      <c r="E2676" s="2" t="s">
        <v>41</v>
      </c>
      <c r="F2676" s="2" t="s">
        <v>27</v>
      </c>
      <c r="G2676" s="2" t="n">
        <v>35039.5</v>
      </c>
      <c r="H2676" s="2" t="n">
        <v>91.39</v>
      </c>
      <c r="I2676" s="2" t="s">
        <v>26</v>
      </c>
      <c r="J2676" s="2" t="s">
        <v>7556</v>
      </c>
      <c r="K2676" s="2" t="s">
        <v>89</v>
      </c>
      <c r="L2676" s="2"/>
      <c r="M2676" s="2" t="s">
        <v>3272</v>
      </c>
    </row>
    <row r="2677" customFormat="false" ht="15" hidden="false" customHeight="false" outlineLevel="0" collapsed="false">
      <c r="A2677" s="2" t="s">
        <v>7557</v>
      </c>
      <c r="B2677" s="2" t="s">
        <v>3000</v>
      </c>
      <c r="C2677" s="2" t="s">
        <v>3001</v>
      </c>
      <c r="D2677" s="13" t="n">
        <v>45864.3395833333</v>
      </c>
      <c r="E2677" s="2" t="s">
        <v>39</v>
      </c>
      <c r="F2677" s="2" t="s">
        <v>27</v>
      </c>
      <c r="G2677" s="2" t="n">
        <v>1006.55</v>
      </c>
      <c r="H2677" s="2" t="n">
        <v>5</v>
      </c>
      <c r="I2677" s="2" t="s">
        <v>30</v>
      </c>
      <c r="J2677" s="2" t="s">
        <v>7558</v>
      </c>
      <c r="K2677" s="2" t="s">
        <v>95</v>
      </c>
      <c r="L2677" s="2"/>
      <c r="M2677" s="2" t="s">
        <v>1304</v>
      </c>
    </row>
    <row r="2678" customFormat="false" ht="15" hidden="false" customHeight="false" outlineLevel="0" collapsed="false">
      <c r="A2678" s="2" t="s">
        <v>7559</v>
      </c>
      <c r="B2678" s="2" t="s">
        <v>1918</v>
      </c>
      <c r="C2678" s="2" t="s">
        <v>1919</v>
      </c>
      <c r="D2678" s="13" t="n">
        <v>45340.8229166667</v>
      </c>
      <c r="E2678" s="2" t="s">
        <v>35</v>
      </c>
      <c r="F2678" s="2" t="s">
        <v>29</v>
      </c>
      <c r="G2678" s="2" t="n">
        <v>2505.13</v>
      </c>
      <c r="H2678" s="2" t="n">
        <v>27.59</v>
      </c>
      <c r="I2678" s="2" t="s">
        <v>28</v>
      </c>
      <c r="J2678" s="2" t="s">
        <v>7560</v>
      </c>
      <c r="K2678" s="2" t="s">
        <v>89</v>
      </c>
      <c r="L2678" s="2" t="s">
        <v>697</v>
      </c>
      <c r="M2678" s="2"/>
    </row>
    <row r="2679" customFormat="false" ht="15" hidden="false" customHeight="false" outlineLevel="0" collapsed="false">
      <c r="A2679" s="2" t="s">
        <v>7561</v>
      </c>
      <c r="B2679" s="2" t="s">
        <v>3758</v>
      </c>
      <c r="C2679" s="2" t="s">
        <v>3759</v>
      </c>
      <c r="D2679" s="13" t="n">
        <v>45418.8111111111</v>
      </c>
      <c r="E2679" s="2" t="s">
        <v>37</v>
      </c>
      <c r="F2679" s="2" t="s">
        <v>29</v>
      </c>
      <c r="G2679" s="2" t="n">
        <v>3333.09</v>
      </c>
      <c r="H2679" s="2" t="n">
        <v>39.42</v>
      </c>
      <c r="I2679" s="2" t="s">
        <v>28</v>
      </c>
      <c r="J2679" s="2" t="s">
        <v>7562</v>
      </c>
      <c r="K2679" s="2" t="s">
        <v>122</v>
      </c>
      <c r="L2679" s="2" t="s">
        <v>1311</v>
      </c>
      <c r="M2679" s="2"/>
    </row>
    <row r="2680" customFormat="false" ht="15" hidden="false" customHeight="false" outlineLevel="0" collapsed="false">
      <c r="A2680" s="2" t="s">
        <v>7563</v>
      </c>
      <c r="B2680" s="2" t="s">
        <v>864</v>
      </c>
      <c r="C2680" s="2" t="s">
        <v>865</v>
      </c>
      <c r="D2680" s="13" t="n">
        <v>45489.8291666667</v>
      </c>
      <c r="E2680" s="2" t="s">
        <v>39</v>
      </c>
      <c r="F2680" s="2" t="s">
        <v>32</v>
      </c>
      <c r="G2680" s="2" t="n">
        <v>2652.95</v>
      </c>
      <c r="H2680" s="2" t="n">
        <v>29.88</v>
      </c>
      <c r="I2680" s="2" t="s">
        <v>26</v>
      </c>
      <c r="J2680" s="2" t="s">
        <v>7564</v>
      </c>
      <c r="K2680" s="2" t="s">
        <v>101</v>
      </c>
      <c r="L2680" s="2" t="s">
        <v>703</v>
      </c>
      <c r="M2680" s="2"/>
    </row>
    <row r="2681" customFormat="false" ht="15" hidden="false" customHeight="false" outlineLevel="0" collapsed="false">
      <c r="A2681" s="2" t="s">
        <v>7565</v>
      </c>
      <c r="B2681" s="2" t="s">
        <v>6892</v>
      </c>
      <c r="C2681" s="2" t="s">
        <v>6893</v>
      </c>
      <c r="D2681" s="13" t="n">
        <v>45574.7513888889</v>
      </c>
      <c r="E2681" s="2" t="s">
        <v>43</v>
      </c>
      <c r="F2681" s="2" t="s">
        <v>27</v>
      </c>
      <c r="G2681" s="2" t="n">
        <v>12812.68</v>
      </c>
      <c r="H2681" s="2" t="n">
        <v>59.99</v>
      </c>
      <c r="I2681" s="2" t="s">
        <v>28</v>
      </c>
      <c r="J2681" s="2" t="s">
        <v>7566</v>
      </c>
      <c r="K2681" s="2" t="s">
        <v>122</v>
      </c>
      <c r="L2681" s="2"/>
      <c r="M2681" s="2" t="s">
        <v>1686</v>
      </c>
    </row>
    <row r="2682" customFormat="false" ht="15" hidden="false" customHeight="false" outlineLevel="0" collapsed="false">
      <c r="A2682" s="2" t="s">
        <v>7567</v>
      </c>
      <c r="B2682" s="2" t="s">
        <v>1788</v>
      </c>
      <c r="C2682" s="2" t="s">
        <v>1789</v>
      </c>
      <c r="D2682" s="13" t="n">
        <v>45501.9569444444</v>
      </c>
      <c r="E2682" s="2" t="s">
        <v>39</v>
      </c>
      <c r="F2682" s="2" t="s">
        <v>31</v>
      </c>
      <c r="G2682" s="2" t="n">
        <v>28418.37</v>
      </c>
      <c r="H2682" s="2" t="n">
        <v>138.54</v>
      </c>
      <c r="I2682" s="2" t="s">
        <v>26</v>
      </c>
      <c r="J2682" s="2" t="s">
        <v>7568</v>
      </c>
      <c r="K2682" s="2" t="s">
        <v>89</v>
      </c>
      <c r="L2682" s="2" t="s">
        <v>1325</v>
      </c>
      <c r="M2682" s="2"/>
    </row>
    <row r="2683" customFormat="false" ht="15" hidden="false" customHeight="false" outlineLevel="0" collapsed="false">
      <c r="A2683" s="2" t="s">
        <v>7569</v>
      </c>
      <c r="B2683" s="2" t="s">
        <v>6276</v>
      </c>
      <c r="C2683" s="2" t="s">
        <v>6277</v>
      </c>
      <c r="D2683" s="13" t="n">
        <v>45690.7319444444</v>
      </c>
      <c r="E2683" s="2" t="s">
        <v>41</v>
      </c>
      <c r="F2683" s="2" t="s">
        <v>32</v>
      </c>
      <c r="G2683" s="2" t="n">
        <v>2444.27</v>
      </c>
      <c r="H2683" s="2" t="n">
        <v>28.36</v>
      </c>
      <c r="I2683" s="2" t="s">
        <v>26</v>
      </c>
      <c r="J2683" s="2" t="s">
        <v>7570</v>
      </c>
      <c r="K2683" s="2" t="s">
        <v>89</v>
      </c>
      <c r="L2683" s="2" t="s">
        <v>1330</v>
      </c>
      <c r="M2683" s="2"/>
    </row>
    <row r="2684" customFormat="false" ht="15" hidden="false" customHeight="false" outlineLevel="0" collapsed="false">
      <c r="A2684" s="2" t="s">
        <v>7571</v>
      </c>
      <c r="B2684" s="2" t="s">
        <v>6668</v>
      </c>
      <c r="C2684" s="2" t="s">
        <v>6669</v>
      </c>
      <c r="D2684" s="13" t="n">
        <v>45732.3430555556</v>
      </c>
      <c r="E2684" s="2" t="s">
        <v>37</v>
      </c>
      <c r="F2684" s="2" t="s">
        <v>31</v>
      </c>
      <c r="G2684" s="2" t="n">
        <v>6657.24</v>
      </c>
      <c r="H2684" s="2" t="n">
        <v>56.59</v>
      </c>
      <c r="I2684" s="2" t="s">
        <v>30</v>
      </c>
      <c r="J2684" s="2" t="s">
        <v>7572</v>
      </c>
      <c r="K2684" s="2" t="s">
        <v>122</v>
      </c>
      <c r="L2684" s="2" t="s">
        <v>1877</v>
      </c>
      <c r="M2684" s="2"/>
    </row>
    <row r="2685" customFormat="false" ht="15" hidden="false" customHeight="false" outlineLevel="0" collapsed="false">
      <c r="A2685" s="2" t="s">
        <v>7573</v>
      </c>
      <c r="B2685" s="2" t="s">
        <v>7574</v>
      </c>
      <c r="C2685" s="2" t="s">
        <v>7575</v>
      </c>
      <c r="D2685" s="13" t="n">
        <v>45331.8034722222</v>
      </c>
      <c r="E2685" s="2" t="s">
        <v>35</v>
      </c>
      <c r="F2685" s="2" t="s">
        <v>31</v>
      </c>
      <c r="G2685" s="2" t="n">
        <v>8448.15</v>
      </c>
      <c r="H2685" s="2" t="n">
        <v>37.59</v>
      </c>
      <c r="I2685" s="2" t="s">
        <v>26</v>
      </c>
      <c r="J2685" s="2" t="s">
        <v>7576</v>
      </c>
      <c r="K2685" s="2" t="s">
        <v>101</v>
      </c>
      <c r="L2685" s="2" t="s">
        <v>1339</v>
      </c>
      <c r="M2685" s="2"/>
    </row>
    <row r="2686" customFormat="false" ht="15" hidden="false" customHeight="false" outlineLevel="0" collapsed="false">
      <c r="A2686" s="2" t="s">
        <v>7577</v>
      </c>
      <c r="B2686" s="2" t="s">
        <v>4892</v>
      </c>
      <c r="C2686" s="2" t="s">
        <v>4893</v>
      </c>
      <c r="D2686" s="13" t="n">
        <v>45917.3611111111</v>
      </c>
      <c r="E2686" s="2" t="s">
        <v>41</v>
      </c>
      <c r="F2686" s="2" t="s">
        <v>31</v>
      </c>
      <c r="G2686" s="2" t="n">
        <v>9201.95</v>
      </c>
      <c r="H2686" s="2" t="n">
        <v>69.42</v>
      </c>
      <c r="I2686" s="2" t="s">
        <v>26</v>
      </c>
      <c r="J2686" s="2" t="s">
        <v>7578</v>
      </c>
      <c r="K2686" s="2" t="s">
        <v>122</v>
      </c>
      <c r="L2686" s="2" t="s">
        <v>1344</v>
      </c>
      <c r="M2686" s="2"/>
    </row>
    <row r="2687" customFormat="false" ht="15" hidden="false" customHeight="false" outlineLevel="0" collapsed="false">
      <c r="A2687" s="2" t="s">
        <v>7579</v>
      </c>
      <c r="B2687" s="2" t="s">
        <v>4848</v>
      </c>
      <c r="C2687" s="2" t="s">
        <v>4849</v>
      </c>
      <c r="D2687" s="13" t="n">
        <v>45421.9451388889</v>
      </c>
      <c r="E2687" s="2" t="s">
        <v>37</v>
      </c>
      <c r="F2687" s="2" t="s">
        <v>29</v>
      </c>
      <c r="G2687" s="2" t="n">
        <v>4239.93</v>
      </c>
      <c r="H2687" s="2" t="n">
        <v>44.47</v>
      </c>
      <c r="I2687" s="2" t="s">
        <v>26</v>
      </c>
      <c r="J2687" s="2" t="s">
        <v>7580</v>
      </c>
      <c r="K2687" s="2" t="s">
        <v>89</v>
      </c>
      <c r="L2687" s="2" t="s">
        <v>731</v>
      </c>
      <c r="M2687" s="2"/>
    </row>
    <row r="2688" customFormat="false" ht="15" hidden="false" customHeight="false" outlineLevel="0" collapsed="false">
      <c r="A2688" s="2" t="s">
        <v>7581</v>
      </c>
      <c r="B2688" s="2" t="s">
        <v>903</v>
      </c>
      <c r="C2688" s="2" t="s">
        <v>904</v>
      </c>
      <c r="D2688" s="13" t="n">
        <v>45296.3472222222</v>
      </c>
      <c r="E2688" s="2" t="s">
        <v>37</v>
      </c>
      <c r="F2688" s="2" t="s">
        <v>29</v>
      </c>
      <c r="G2688" s="2" t="n">
        <v>74553.34</v>
      </c>
      <c r="H2688" s="2" t="n">
        <v>393.47</v>
      </c>
      <c r="I2688" s="2" t="s">
        <v>26</v>
      </c>
      <c r="J2688" s="2" t="s">
        <v>7582</v>
      </c>
      <c r="K2688" s="2" t="s">
        <v>122</v>
      </c>
      <c r="L2688" s="2" t="s">
        <v>1888</v>
      </c>
      <c r="M2688" s="2"/>
    </row>
    <row r="2689" customFormat="false" ht="15" hidden="false" customHeight="false" outlineLevel="0" collapsed="false">
      <c r="A2689" s="2" t="s">
        <v>7583</v>
      </c>
      <c r="B2689" s="2" t="s">
        <v>2113</v>
      </c>
      <c r="C2689" s="2" t="s">
        <v>2114</v>
      </c>
      <c r="D2689" s="13" t="n">
        <v>45847.3152777778</v>
      </c>
      <c r="E2689" s="2" t="s">
        <v>41</v>
      </c>
      <c r="F2689" s="2" t="s">
        <v>32</v>
      </c>
      <c r="G2689" s="2" t="n">
        <v>1952.2</v>
      </c>
      <c r="H2689" s="2" t="n">
        <v>5</v>
      </c>
      <c r="I2689" s="2" t="s">
        <v>28</v>
      </c>
      <c r="J2689" s="2" t="s">
        <v>7584</v>
      </c>
      <c r="K2689" s="2" t="s">
        <v>101</v>
      </c>
      <c r="L2689" s="2" t="s">
        <v>738</v>
      </c>
      <c r="M2689" s="2"/>
    </row>
    <row r="2690" customFormat="false" ht="15" hidden="false" customHeight="false" outlineLevel="0" collapsed="false">
      <c r="A2690" s="2" t="s">
        <v>7585</v>
      </c>
      <c r="B2690" s="2" t="s">
        <v>1086</v>
      </c>
      <c r="C2690" s="2" t="s">
        <v>1087</v>
      </c>
      <c r="D2690" s="13" t="n">
        <v>45294.8819444445</v>
      </c>
      <c r="E2690" s="2" t="s">
        <v>41</v>
      </c>
      <c r="F2690" s="2" t="s">
        <v>29</v>
      </c>
      <c r="G2690" s="2" t="n">
        <v>2853.52</v>
      </c>
      <c r="H2690" s="2" t="n">
        <v>6.08</v>
      </c>
      <c r="I2690" s="2" t="s">
        <v>26</v>
      </c>
      <c r="J2690" s="2" t="s">
        <v>7586</v>
      </c>
      <c r="K2690" s="2" t="s">
        <v>101</v>
      </c>
      <c r="L2690" s="2" t="s">
        <v>743</v>
      </c>
      <c r="M2690" s="2"/>
    </row>
    <row r="2691" customFormat="false" ht="15" hidden="false" customHeight="false" outlineLevel="0" collapsed="false">
      <c r="A2691" s="2" t="s">
        <v>7587</v>
      </c>
      <c r="B2691" s="2" t="s">
        <v>2673</v>
      </c>
      <c r="C2691" s="2" t="s">
        <v>2674</v>
      </c>
      <c r="D2691" s="13" t="n">
        <v>45670.3381944444</v>
      </c>
      <c r="E2691" s="2" t="s">
        <v>39</v>
      </c>
      <c r="F2691" s="2" t="s">
        <v>27</v>
      </c>
      <c r="G2691" s="2" t="n">
        <v>2134.85</v>
      </c>
      <c r="H2691" s="2" t="n">
        <v>14.26</v>
      </c>
      <c r="I2691" s="2" t="s">
        <v>28</v>
      </c>
      <c r="J2691" s="2" t="s">
        <v>7588</v>
      </c>
      <c r="K2691" s="2" t="s">
        <v>122</v>
      </c>
      <c r="L2691" s="2"/>
      <c r="M2691" s="2" t="s">
        <v>528</v>
      </c>
    </row>
    <row r="2692" customFormat="false" ht="15" hidden="false" customHeight="false" outlineLevel="0" collapsed="false">
      <c r="A2692" s="2" t="s">
        <v>7589</v>
      </c>
      <c r="B2692" s="2" t="s">
        <v>1090</v>
      </c>
      <c r="C2692" s="2" t="s">
        <v>1091</v>
      </c>
      <c r="D2692" s="13" t="n">
        <v>45645.3236111111</v>
      </c>
      <c r="E2692" s="2" t="s">
        <v>39</v>
      </c>
      <c r="F2692" s="2" t="s">
        <v>29</v>
      </c>
      <c r="G2692" s="2" t="n">
        <v>2980.29</v>
      </c>
      <c r="H2692" s="2" t="n">
        <v>31.75</v>
      </c>
      <c r="I2692" s="2" t="s">
        <v>26</v>
      </c>
      <c r="J2692" s="2" t="s">
        <v>7590</v>
      </c>
      <c r="K2692" s="2" t="s">
        <v>89</v>
      </c>
      <c r="L2692" s="2" t="s">
        <v>752</v>
      </c>
      <c r="M2692" s="2"/>
    </row>
    <row r="2693" customFormat="false" ht="15" hidden="false" customHeight="false" outlineLevel="0" collapsed="false">
      <c r="A2693" s="2" t="s">
        <v>7591</v>
      </c>
      <c r="B2693" s="2" t="s">
        <v>3780</v>
      </c>
      <c r="C2693" s="2" t="s">
        <v>3781</v>
      </c>
      <c r="D2693" s="13" t="n">
        <v>45386.6708333333</v>
      </c>
      <c r="E2693" s="2" t="s">
        <v>41</v>
      </c>
      <c r="F2693" s="2" t="s">
        <v>32</v>
      </c>
      <c r="G2693" s="2" t="n">
        <v>2910.19</v>
      </c>
      <c r="H2693" s="2" t="n">
        <v>22.71</v>
      </c>
      <c r="I2693" s="2" t="s">
        <v>26</v>
      </c>
      <c r="J2693" s="2" t="s">
        <v>7592</v>
      </c>
      <c r="K2693" s="2" t="s">
        <v>122</v>
      </c>
      <c r="L2693" s="2" t="s">
        <v>757</v>
      </c>
      <c r="M2693" s="2"/>
    </row>
    <row r="2694" customFormat="false" ht="15" hidden="false" customHeight="false" outlineLevel="0" collapsed="false">
      <c r="A2694" s="2" t="s">
        <v>7593</v>
      </c>
      <c r="B2694" s="2" t="s">
        <v>7594</v>
      </c>
      <c r="C2694" s="2" t="s">
        <v>7595</v>
      </c>
      <c r="D2694" s="13" t="n">
        <v>46008.4930555556</v>
      </c>
      <c r="E2694" s="2" t="s">
        <v>43</v>
      </c>
      <c r="F2694" s="2" t="s">
        <v>29</v>
      </c>
      <c r="G2694" s="2" t="n">
        <v>11775.41</v>
      </c>
      <c r="H2694" s="2" t="n">
        <v>128.74</v>
      </c>
      <c r="I2694" s="2" t="s">
        <v>26</v>
      </c>
      <c r="J2694" s="2" t="s">
        <v>7596</v>
      </c>
      <c r="K2694" s="2" t="s">
        <v>95</v>
      </c>
      <c r="L2694" s="2"/>
      <c r="M2694" s="2" t="s">
        <v>1371</v>
      </c>
    </row>
    <row r="2695" customFormat="false" ht="15" hidden="false" customHeight="false" outlineLevel="0" collapsed="false">
      <c r="A2695" s="2" t="s">
        <v>7597</v>
      </c>
      <c r="B2695" s="2" t="s">
        <v>3504</v>
      </c>
      <c r="C2695" s="2" t="s">
        <v>3505</v>
      </c>
      <c r="D2695" s="13" t="n">
        <v>45768.5430555556</v>
      </c>
      <c r="E2695" s="2" t="s">
        <v>41</v>
      </c>
      <c r="F2695" s="2" t="s">
        <v>31</v>
      </c>
      <c r="G2695" s="2" t="n">
        <v>4610.4</v>
      </c>
      <c r="H2695" s="2" t="n">
        <v>26.26</v>
      </c>
      <c r="I2695" s="2" t="s">
        <v>26</v>
      </c>
      <c r="J2695" s="2" t="s">
        <v>7598</v>
      </c>
      <c r="K2695" s="2" t="s">
        <v>89</v>
      </c>
      <c r="L2695" s="2" t="s">
        <v>1374</v>
      </c>
      <c r="M2695" s="2"/>
    </row>
    <row r="2696" customFormat="false" ht="15" hidden="false" customHeight="false" outlineLevel="0" collapsed="false">
      <c r="A2696" s="2" t="s">
        <v>7599</v>
      </c>
      <c r="B2696" s="2" t="s">
        <v>538</v>
      </c>
      <c r="C2696" s="2" t="s">
        <v>539</v>
      </c>
      <c r="D2696" s="13" t="n">
        <v>45714.5597222222</v>
      </c>
      <c r="E2696" s="2" t="s">
        <v>39</v>
      </c>
      <c r="F2696" s="2" t="s">
        <v>32</v>
      </c>
      <c r="G2696" s="2" t="n">
        <v>10420.54</v>
      </c>
      <c r="H2696" s="2" t="n">
        <v>36.34</v>
      </c>
      <c r="I2696" s="2" t="s">
        <v>26</v>
      </c>
      <c r="J2696" s="2" t="s">
        <v>7600</v>
      </c>
      <c r="K2696" s="2" t="s">
        <v>95</v>
      </c>
      <c r="L2696" s="2" t="s">
        <v>769</v>
      </c>
      <c r="M2696" s="2"/>
    </row>
    <row r="2697" customFormat="false" ht="15" hidden="false" customHeight="false" outlineLevel="0" collapsed="false">
      <c r="A2697" s="2" t="s">
        <v>7601</v>
      </c>
      <c r="B2697" s="2" t="s">
        <v>650</v>
      </c>
      <c r="C2697" s="2" t="s">
        <v>651</v>
      </c>
      <c r="D2697" s="13" t="n">
        <v>45596.3805555556</v>
      </c>
      <c r="E2697" s="2" t="s">
        <v>43</v>
      </c>
      <c r="F2697" s="2" t="s">
        <v>32</v>
      </c>
      <c r="G2697" s="2" t="n">
        <v>6876.39</v>
      </c>
      <c r="H2697" s="2" t="n">
        <v>69.73</v>
      </c>
      <c r="I2697" s="2" t="s">
        <v>26</v>
      </c>
      <c r="J2697" s="2" t="s">
        <v>7602</v>
      </c>
      <c r="K2697" s="2" t="s">
        <v>122</v>
      </c>
      <c r="L2697" s="2"/>
      <c r="M2697" s="2" t="s">
        <v>981</v>
      </c>
    </row>
    <row r="2698" customFormat="false" ht="15" hidden="false" customHeight="false" outlineLevel="0" collapsed="false">
      <c r="A2698" s="2" t="s">
        <v>7603</v>
      </c>
      <c r="B2698" s="2" t="s">
        <v>5656</v>
      </c>
      <c r="C2698" s="2" t="s">
        <v>5657</v>
      </c>
      <c r="D2698" s="13" t="n">
        <v>45586.5604166667</v>
      </c>
      <c r="E2698" s="2" t="s">
        <v>35</v>
      </c>
      <c r="F2698" s="2" t="s">
        <v>29</v>
      </c>
      <c r="G2698" s="2" t="n">
        <v>1738.1</v>
      </c>
      <c r="H2698" s="2" t="n">
        <v>5</v>
      </c>
      <c r="I2698" s="2" t="s">
        <v>30</v>
      </c>
      <c r="J2698" s="2" t="s">
        <v>7604</v>
      </c>
      <c r="K2698" s="2" t="s">
        <v>101</v>
      </c>
      <c r="L2698" s="2" t="s">
        <v>779</v>
      </c>
      <c r="M2698" s="2"/>
    </row>
    <row r="2699" customFormat="false" ht="15" hidden="false" customHeight="false" outlineLevel="0" collapsed="false">
      <c r="A2699" s="2" t="s">
        <v>7605</v>
      </c>
      <c r="B2699" s="2" t="s">
        <v>1872</v>
      </c>
      <c r="C2699" s="2" t="s">
        <v>1873</v>
      </c>
      <c r="D2699" s="13" t="n">
        <v>45722.4326388889</v>
      </c>
      <c r="E2699" s="2" t="s">
        <v>39</v>
      </c>
      <c r="F2699" s="2" t="s">
        <v>29</v>
      </c>
      <c r="G2699" s="2" t="n">
        <v>693.65</v>
      </c>
      <c r="H2699" s="2" t="n">
        <v>5</v>
      </c>
      <c r="I2699" s="2" t="s">
        <v>26</v>
      </c>
      <c r="J2699" s="2" t="s">
        <v>7606</v>
      </c>
      <c r="K2699" s="2" t="s">
        <v>95</v>
      </c>
      <c r="L2699" s="2" t="s">
        <v>1389</v>
      </c>
      <c r="M2699" s="2"/>
    </row>
    <row r="2700" customFormat="false" ht="15" hidden="false" customHeight="false" outlineLevel="0" collapsed="false">
      <c r="A2700" s="2" t="s">
        <v>7607</v>
      </c>
      <c r="B2700" s="2" t="s">
        <v>1723</v>
      </c>
      <c r="C2700" s="2" t="s">
        <v>1724</v>
      </c>
      <c r="D2700" s="13" t="n">
        <v>45960.4402777778</v>
      </c>
      <c r="E2700" s="2" t="s">
        <v>37</v>
      </c>
      <c r="F2700" s="2" t="s">
        <v>32</v>
      </c>
      <c r="G2700" s="2" t="n">
        <v>3296.22</v>
      </c>
      <c r="H2700" s="2" t="n">
        <v>22.38</v>
      </c>
      <c r="I2700" s="2" t="s">
        <v>26</v>
      </c>
      <c r="J2700" s="2" t="s">
        <v>7608</v>
      </c>
      <c r="K2700" s="2" t="s">
        <v>89</v>
      </c>
      <c r="L2700" s="2" t="s">
        <v>1935</v>
      </c>
      <c r="M2700" s="2"/>
    </row>
    <row r="2701" customFormat="false" ht="15" hidden="false" customHeight="false" outlineLevel="0" collapsed="false">
      <c r="A2701" s="2" t="s">
        <v>7609</v>
      </c>
      <c r="B2701" s="2" t="s">
        <v>1551</v>
      </c>
      <c r="C2701" s="2" t="s">
        <v>1552</v>
      </c>
      <c r="D2701" s="13" t="n">
        <v>45495.3034722222</v>
      </c>
      <c r="E2701" s="2" t="s">
        <v>41</v>
      </c>
      <c r="F2701" s="2" t="s">
        <v>31</v>
      </c>
      <c r="G2701" s="2" t="n">
        <v>2271.43</v>
      </c>
      <c r="H2701" s="2" t="n">
        <v>16.31</v>
      </c>
      <c r="I2701" s="2" t="s">
        <v>30</v>
      </c>
      <c r="J2701" s="2" t="s">
        <v>7610</v>
      </c>
      <c r="K2701" s="2" t="s">
        <v>122</v>
      </c>
      <c r="L2701" s="2" t="s">
        <v>1396</v>
      </c>
      <c r="M2701" s="2"/>
    </row>
    <row r="2702" customFormat="false" ht="15" hidden="false" customHeight="false" outlineLevel="0" collapsed="false">
      <c r="A2702" s="2" t="s">
        <v>7611</v>
      </c>
      <c r="B2702" s="2" t="s">
        <v>109</v>
      </c>
      <c r="C2702" s="2" t="s">
        <v>110</v>
      </c>
      <c r="D2702" s="13" t="n">
        <v>45440.7090277778</v>
      </c>
      <c r="E2702" s="2" t="s">
        <v>39</v>
      </c>
      <c r="F2702" s="2" t="s">
        <v>29</v>
      </c>
      <c r="G2702" s="2" t="n">
        <v>7805.88</v>
      </c>
      <c r="H2702" s="2" t="n">
        <v>27.6</v>
      </c>
      <c r="I2702" s="2" t="s">
        <v>26</v>
      </c>
      <c r="J2702" s="2" t="s">
        <v>7612</v>
      </c>
      <c r="K2702" s="2" t="s">
        <v>89</v>
      </c>
      <c r="L2702" s="2" t="s">
        <v>90</v>
      </c>
      <c r="M2702" s="2"/>
    </row>
    <row r="2703" customFormat="false" ht="15" hidden="false" customHeight="false" outlineLevel="0" collapsed="false">
      <c r="A2703" s="2" t="s">
        <v>7613</v>
      </c>
      <c r="B2703" s="2" t="s">
        <v>1971</v>
      </c>
      <c r="C2703" s="2" t="s">
        <v>1972</v>
      </c>
      <c r="D2703" s="13" t="n">
        <v>45609.6173611111</v>
      </c>
      <c r="E2703" s="2" t="s">
        <v>39</v>
      </c>
      <c r="F2703" s="2" t="s">
        <v>27</v>
      </c>
      <c r="G2703" s="2" t="n">
        <v>14587.89</v>
      </c>
      <c r="H2703" s="2" t="n">
        <v>73.41</v>
      </c>
      <c r="I2703" s="2" t="s">
        <v>30</v>
      </c>
      <c r="J2703" s="2" t="s">
        <v>7614</v>
      </c>
      <c r="K2703" s="2" t="s">
        <v>95</v>
      </c>
      <c r="L2703" s="2"/>
      <c r="M2703" s="2" t="s">
        <v>1007</v>
      </c>
    </row>
    <row r="2704" customFormat="false" ht="15" hidden="false" customHeight="false" outlineLevel="0" collapsed="false">
      <c r="A2704" s="2" t="s">
        <v>7615</v>
      </c>
      <c r="B2704" s="2" t="s">
        <v>4148</v>
      </c>
      <c r="C2704" s="2" t="s">
        <v>4149</v>
      </c>
      <c r="D2704" s="13" t="n">
        <v>45335.5201388889</v>
      </c>
      <c r="E2704" s="2" t="s">
        <v>37</v>
      </c>
      <c r="F2704" s="2" t="s">
        <v>32</v>
      </c>
      <c r="G2704" s="2" t="n">
        <v>1217.91</v>
      </c>
      <c r="H2704" s="2" t="n">
        <v>9.82</v>
      </c>
      <c r="I2704" s="2" t="s">
        <v>26</v>
      </c>
      <c r="J2704" s="2" t="s">
        <v>7616</v>
      </c>
      <c r="K2704" s="2" t="s">
        <v>89</v>
      </c>
      <c r="L2704" s="2" t="s">
        <v>102</v>
      </c>
      <c r="M2704" s="2"/>
    </row>
    <row r="2705" customFormat="false" ht="15" hidden="false" customHeight="false" outlineLevel="0" collapsed="false">
      <c r="A2705" s="2" t="s">
        <v>7617</v>
      </c>
      <c r="B2705" s="2" t="s">
        <v>3896</v>
      </c>
      <c r="C2705" s="2" t="s">
        <v>3897</v>
      </c>
      <c r="D2705" s="13" t="n">
        <v>45502.925</v>
      </c>
      <c r="E2705" s="2" t="s">
        <v>41</v>
      </c>
      <c r="F2705" s="2" t="s">
        <v>32</v>
      </c>
      <c r="G2705" s="2" t="n">
        <v>5581.26</v>
      </c>
      <c r="H2705" s="2" t="n">
        <v>54.4</v>
      </c>
      <c r="I2705" s="2" t="s">
        <v>26</v>
      </c>
      <c r="J2705" s="2" t="s">
        <v>7618</v>
      </c>
      <c r="K2705" s="2" t="s">
        <v>89</v>
      </c>
      <c r="L2705" s="2" t="s">
        <v>107</v>
      </c>
      <c r="M2705" s="2"/>
    </row>
    <row r="2706" customFormat="false" ht="15" hidden="false" customHeight="false" outlineLevel="0" collapsed="false">
      <c r="A2706" s="2" t="s">
        <v>7619</v>
      </c>
      <c r="B2706" s="2" t="s">
        <v>1234</v>
      </c>
      <c r="C2706" s="2" t="s">
        <v>1235</v>
      </c>
      <c r="D2706" s="13" t="n">
        <v>45763.2951388889</v>
      </c>
      <c r="E2706" s="2" t="s">
        <v>37</v>
      </c>
      <c r="F2706" s="2" t="s">
        <v>29</v>
      </c>
      <c r="G2706" s="2" t="n">
        <v>4456.69</v>
      </c>
      <c r="H2706" s="2" t="n">
        <v>31.2</v>
      </c>
      <c r="I2706" s="2" t="s">
        <v>26</v>
      </c>
      <c r="J2706" s="2" t="s">
        <v>7620</v>
      </c>
      <c r="K2706" s="2" t="s">
        <v>122</v>
      </c>
      <c r="L2706" s="2" t="s">
        <v>812</v>
      </c>
      <c r="M2706" s="2"/>
    </row>
    <row r="2707" customFormat="false" ht="15" hidden="false" customHeight="false" outlineLevel="0" collapsed="false">
      <c r="A2707" s="2" t="s">
        <v>7621</v>
      </c>
      <c r="B2707" s="2" t="s">
        <v>3300</v>
      </c>
      <c r="C2707" s="2" t="s">
        <v>3301</v>
      </c>
      <c r="D2707" s="13" t="n">
        <v>45398.3166666667</v>
      </c>
      <c r="E2707" s="2" t="s">
        <v>37</v>
      </c>
      <c r="F2707" s="2" t="s">
        <v>32</v>
      </c>
      <c r="G2707" s="2" t="n">
        <v>4155.1</v>
      </c>
      <c r="H2707" s="2" t="n">
        <v>41.39</v>
      </c>
      <c r="I2707" s="2" t="s">
        <v>26</v>
      </c>
      <c r="J2707" s="2" t="s">
        <v>7622</v>
      </c>
      <c r="K2707" s="2" t="s">
        <v>122</v>
      </c>
      <c r="L2707" s="2" t="s">
        <v>117</v>
      </c>
      <c r="M2707" s="2"/>
    </row>
    <row r="2708" customFormat="false" ht="15" hidden="false" customHeight="false" outlineLevel="0" collapsed="false">
      <c r="A2708" s="2" t="s">
        <v>7623</v>
      </c>
      <c r="B2708" s="2" t="s">
        <v>1269</v>
      </c>
      <c r="C2708" s="2" t="s">
        <v>1270</v>
      </c>
      <c r="D2708" s="13" t="n">
        <v>45994.5222222222</v>
      </c>
      <c r="E2708" s="2" t="s">
        <v>43</v>
      </c>
      <c r="F2708" s="2" t="s">
        <v>27</v>
      </c>
      <c r="G2708" s="2" t="n">
        <v>5292.87</v>
      </c>
      <c r="H2708" s="2" t="n">
        <v>33.01</v>
      </c>
      <c r="I2708" s="2" t="s">
        <v>26</v>
      </c>
      <c r="J2708" s="2" t="s">
        <v>7624</v>
      </c>
      <c r="K2708" s="2" t="s">
        <v>89</v>
      </c>
      <c r="L2708" s="2"/>
      <c r="M2708" s="2" t="s">
        <v>1023</v>
      </c>
    </row>
    <row r="2709" customFormat="false" ht="15" hidden="false" customHeight="false" outlineLevel="0" collapsed="false">
      <c r="A2709" s="2" t="s">
        <v>7625</v>
      </c>
      <c r="B2709" s="2" t="s">
        <v>5202</v>
      </c>
      <c r="C2709" s="2" t="s">
        <v>5203</v>
      </c>
      <c r="D2709" s="13" t="n">
        <v>45700.4138888889</v>
      </c>
      <c r="E2709" s="2" t="s">
        <v>41</v>
      </c>
      <c r="F2709" s="2" t="s">
        <v>29</v>
      </c>
      <c r="G2709" s="2" t="n">
        <v>15660.67</v>
      </c>
      <c r="H2709" s="2" t="n">
        <v>38.67</v>
      </c>
      <c r="I2709" s="2" t="s">
        <v>26</v>
      </c>
      <c r="J2709" s="2" t="s">
        <v>7626</v>
      </c>
      <c r="K2709" s="2" t="s">
        <v>101</v>
      </c>
      <c r="L2709" s="2" t="s">
        <v>128</v>
      </c>
      <c r="M2709" s="2"/>
    </row>
    <row r="2710" customFormat="false" ht="15" hidden="false" customHeight="false" outlineLevel="0" collapsed="false">
      <c r="A2710" s="2" t="s">
        <v>7627</v>
      </c>
      <c r="B2710" s="2" t="s">
        <v>6586</v>
      </c>
      <c r="C2710" s="2" t="s">
        <v>6587</v>
      </c>
      <c r="D2710" s="13" t="n">
        <v>45622.3104166667</v>
      </c>
      <c r="E2710" s="2" t="s">
        <v>41</v>
      </c>
      <c r="F2710" s="2" t="s">
        <v>32</v>
      </c>
      <c r="G2710" s="2" t="n">
        <v>4381.7</v>
      </c>
      <c r="H2710" s="2" t="n">
        <v>28.46</v>
      </c>
      <c r="I2710" s="2" t="s">
        <v>30</v>
      </c>
      <c r="J2710" s="2" t="s">
        <v>7628</v>
      </c>
      <c r="K2710" s="2" t="s">
        <v>101</v>
      </c>
      <c r="L2710" s="2" t="s">
        <v>133</v>
      </c>
      <c r="M2710" s="2"/>
    </row>
    <row r="2711" customFormat="false" ht="15" hidden="false" customHeight="false" outlineLevel="0" collapsed="false">
      <c r="A2711" s="2" t="s">
        <v>7629</v>
      </c>
      <c r="B2711" s="2" t="s">
        <v>7168</v>
      </c>
      <c r="C2711" s="2" t="s">
        <v>7169</v>
      </c>
      <c r="D2711" s="13" t="n">
        <v>45973.9013888889</v>
      </c>
      <c r="E2711" s="2" t="s">
        <v>39</v>
      </c>
      <c r="F2711" s="2" t="s">
        <v>32</v>
      </c>
      <c r="G2711" s="2" t="n">
        <v>3550.45</v>
      </c>
      <c r="H2711" s="2" t="n">
        <v>8.57</v>
      </c>
      <c r="I2711" s="2" t="s">
        <v>26</v>
      </c>
      <c r="J2711" s="2" t="s">
        <v>7630</v>
      </c>
      <c r="K2711" s="2" t="s">
        <v>89</v>
      </c>
      <c r="L2711" s="2" t="s">
        <v>138</v>
      </c>
      <c r="M2711" s="2"/>
    </row>
    <row r="2712" customFormat="false" ht="15" hidden="false" customHeight="false" outlineLevel="0" collapsed="false">
      <c r="A2712" s="2" t="s">
        <v>7631</v>
      </c>
      <c r="B2712" s="2" t="s">
        <v>7632</v>
      </c>
      <c r="C2712" s="2" t="s">
        <v>7633</v>
      </c>
      <c r="D2712" s="13" t="n">
        <v>45851.7888888889</v>
      </c>
      <c r="E2712" s="2" t="s">
        <v>37</v>
      </c>
      <c r="F2712" s="2" t="s">
        <v>31</v>
      </c>
      <c r="G2712" s="2" t="n">
        <v>6773.57</v>
      </c>
      <c r="H2712" s="2" t="n">
        <v>49.49</v>
      </c>
      <c r="I2712" s="2" t="s">
        <v>26</v>
      </c>
      <c r="J2712" s="2" t="s">
        <v>7634</v>
      </c>
      <c r="K2712" s="2" t="s">
        <v>95</v>
      </c>
      <c r="L2712" s="2" t="s">
        <v>141</v>
      </c>
      <c r="M2712" s="2"/>
    </row>
    <row r="2713" customFormat="false" ht="15" hidden="false" customHeight="false" outlineLevel="0" collapsed="false">
      <c r="A2713" s="2" t="s">
        <v>7635</v>
      </c>
      <c r="B2713" s="2" t="s">
        <v>1031</v>
      </c>
      <c r="C2713" s="2" t="s">
        <v>1032</v>
      </c>
      <c r="D2713" s="13" t="n">
        <v>45553.8729166667</v>
      </c>
      <c r="E2713" s="2" t="s">
        <v>37</v>
      </c>
      <c r="F2713" s="2" t="s">
        <v>32</v>
      </c>
      <c r="G2713" s="2" t="n">
        <v>12108.25</v>
      </c>
      <c r="H2713" s="2" t="n">
        <v>135.36</v>
      </c>
      <c r="I2713" s="2" t="s">
        <v>26</v>
      </c>
      <c r="J2713" s="2" t="s">
        <v>7636</v>
      </c>
      <c r="K2713" s="2" t="s">
        <v>89</v>
      </c>
      <c r="L2713" s="2" t="s">
        <v>841</v>
      </c>
      <c r="M2713" s="2"/>
    </row>
    <row r="2714" customFormat="false" ht="15" hidden="false" customHeight="false" outlineLevel="0" collapsed="false">
      <c r="A2714" s="2" t="s">
        <v>7637</v>
      </c>
      <c r="B2714" s="2" t="s">
        <v>614</v>
      </c>
      <c r="C2714" s="2" t="s">
        <v>615</v>
      </c>
      <c r="D2714" s="13" t="n">
        <v>45394.5444444444</v>
      </c>
      <c r="E2714" s="2" t="s">
        <v>37</v>
      </c>
      <c r="F2714" s="2" t="s">
        <v>27</v>
      </c>
      <c r="G2714" s="2" t="n">
        <v>7246.59</v>
      </c>
      <c r="H2714" s="2" t="n">
        <v>16.63</v>
      </c>
      <c r="I2714" s="2" t="s">
        <v>26</v>
      </c>
      <c r="J2714" s="2" t="s">
        <v>7638</v>
      </c>
      <c r="K2714" s="2" t="s">
        <v>89</v>
      </c>
      <c r="L2714" s="2"/>
      <c r="M2714" s="2" t="s">
        <v>1806</v>
      </c>
    </row>
    <row r="2715" customFormat="false" ht="15" hidden="false" customHeight="false" outlineLevel="0" collapsed="false">
      <c r="A2715" s="2" t="s">
        <v>7639</v>
      </c>
      <c r="B2715" s="2" t="s">
        <v>563</v>
      </c>
      <c r="C2715" s="2" t="s">
        <v>564</v>
      </c>
      <c r="D2715" s="13" t="n">
        <v>45947.9444444445</v>
      </c>
      <c r="E2715" s="2" t="s">
        <v>37</v>
      </c>
      <c r="F2715" s="2" t="s">
        <v>31</v>
      </c>
      <c r="G2715" s="2" t="n">
        <v>6035.89</v>
      </c>
      <c r="H2715" s="2" t="n">
        <v>13.54</v>
      </c>
      <c r="I2715" s="2" t="s">
        <v>30</v>
      </c>
      <c r="J2715" s="2" t="s">
        <v>7640</v>
      </c>
      <c r="K2715" s="2" t="s">
        <v>95</v>
      </c>
      <c r="L2715" s="2" t="s">
        <v>150</v>
      </c>
      <c r="M2715" s="2"/>
    </row>
    <row r="2716" customFormat="false" ht="15" hidden="false" customHeight="false" outlineLevel="0" collapsed="false">
      <c r="A2716" s="2" t="s">
        <v>7641</v>
      </c>
      <c r="B2716" s="2" t="s">
        <v>2449</v>
      </c>
      <c r="C2716" s="2" t="s">
        <v>2450</v>
      </c>
      <c r="D2716" s="13" t="n">
        <v>45828.5409722222</v>
      </c>
      <c r="E2716" s="2" t="s">
        <v>41</v>
      </c>
      <c r="F2716" s="2" t="s">
        <v>27</v>
      </c>
      <c r="G2716" s="2" t="n">
        <v>37138.58</v>
      </c>
      <c r="H2716" s="2" t="n">
        <v>237.25</v>
      </c>
      <c r="I2716" s="2" t="s">
        <v>30</v>
      </c>
      <c r="J2716" s="2" t="s">
        <v>7642</v>
      </c>
      <c r="K2716" s="2" t="s">
        <v>122</v>
      </c>
      <c r="L2716" s="2"/>
      <c r="M2716" s="2" t="s">
        <v>1448</v>
      </c>
    </row>
    <row r="2717" customFormat="false" ht="15" hidden="false" customHeight="false" outlineLevel="0" collapsed="false">
      <c r="A2717" s="2" t="s">
        <v>7643</v>
      </c>
      <c r="B2717" s="2" t="s">
        <v>659</v>
      </c>
      <c r="C2717" s="2" t="s">
        <v>660</v>
      </c>
      <c r="D2717" s="13" t="n">
        <v>45586.3895833333</v>
      </c>
      <c r="E2717" s="2" t="s">
        <v>39</v>
      </c>
      <c r="F2717" s="2" t="s">
        <v>32</v>
      </c>
      <c r="G2717" s="2" t="n">
        <v>8290.59</v>
      </c>
      <c r="H2717" s="2" t="n">
        <v>61.39</v>
      </c>
      <c r="I2717" s="2" t="s">
        <v>30</v>
      </c>
      <c r="J2717" s="2" t="s">
        <v>7644</v>
      </c>
      <c r="K2717" s="2" t="s">
        <v>122</v>
      </c>
      <c r="L2717" s="2" t="s">
        <v>158</v>
      </c>
      <c r="M2717" s="2"/>
    </row>
    <row r="2718" customFormat="false" ht="15" hidden="false" customHeight="false" outlineLevel="0" collapsed="false">
      <c r="A2718" s="2" t="s">
        <v>7645</v>
      </c>
      <c r="B2718" s="2" t="s">
        <v>2076</v>
      </c>
      <c r="C2718" s="2" t="s">
        <v>2077</v>
      </c>
      <c r="D2718" s="13" t="n">
        <v>45371.7027777778</v>
      </c>
      <c r="E2718" s="2" t="s">
        <v>41</v>
      </c>
      <c r="F2718" s="2" t="s">
        <v>29</v>
      </c>
      <c r="G2718" s="2" t="n">
        <v>23485.23</v>
      </c>
      <c r="H2718" s="2" t="n">
        <v>138.02</v>
      </c>
      <c r="I2718" s="2" t="s">
        <v>26</v>
      </c>
      <c r="J2718" s="2" t="s">
        <v>7646</v>
      </c>
      <c r="K2718" s="2" t="s">
        <v>101</v>
      </c>
      <c r="L2718" s="2" t="s">
        <v>1456</v>
      </c>
      <c r="M2718" s="2"/>
    </row>
    <row r="2719" customFormat="false" ht="15" hidden="false" customHeight="false" outlineLevel="0" collapsed="false">
      <c r="A2719" s="2" t="s">
        <v>7647</v>
      </c>
      <c r="B2719" s="2" t="s">
        <v>4444</v>
      </c>
      <c r="C2719" s="2" t="s">
        <v>4445</v>
      </c>
      <c r="D2719" s="13" t="n">
        <v>45550.5916666667</v>
      </c>
      <c r="E2719" s="2" t="s">
        <v>37</v>
      </c>
      <c r="F2719" s="2" t="s">
        <v>32</v>
      </c>
      <c r="G2719" s="2" t="n">
        <v>12610.42</v>
      </c>
      <c r="H2719" s="2" t="n">
        <v>93.9</v>
      </c>
      <c r="I2719" s="2" t="s">
        <v>30</v>
      </c>
      <c r="J2719" s="2" t="s">
        <v>7648</v>
      </c>
      <c r="K2719" s="2" t="s">
        <v>89</v>
      </c>
      <c r="L2719" s="2" t="s">
        <v>168</v>
      </c>
      <c r="M2719" s="2"/>
    </row>
    <row r="2720" customFormat="false" ht="15" hidden="false" customHeight="false" outlineLevel="0" collapsed="false">
      <c r="A2720" s="2" t="s">
        <v>7649</v>
      </c>
      <c r="B2720" s="2" t="s">
        <v>2208</v>
      </c>
      <c r="C2720" s="2" t="s">
        <v>2209</v>
      </c>
      <c r="D2720" s="13" t="n">
        <v>45956.9347222222</v>
      </c>
      <c r="E2720" s="2" t="s">
        <v>39</v>
      </c>
      <c r="F2720" s="2" t="s">
        <v>27</v>
      </c>
      <c r="G2720" s="2" t="n">
        <v>3584.13</v>
      </c>
      <c r="H2720" s="2" t="n">
        <v>18.24</v>
      </c>
      <c r="I2720" s="2" t="s">
        <v>28</v>
      </c>
      <c r="J2720" s="2" t="s">
        <v>7650</v>
      </c>
      <c r="K2720" s="2" t="s">
        <v>101</v>
      </c>
      <c r="L2720" s="2"/>
      <c r="M2720" s="2" t="s">
        <v>662</v>
      </c>
    </row>
    <row r="2721" customFormat="false" ht="15" hidden="false" customHeight="false" outlineLevel="0" collapsed="false">
      <c r="A2721" s="2" t="s">
        <v>7651</v>
      </c>
      <c r="B2721" s="2" t="s">
        <v>3062</v>
      </c>
      <c r="C2721" s="2" t="s">
        <v>3063</v>
      </c>
      <c r="D2721" s="13" t="n">
        <v>45702.6645833333</v>
      </c>
      <c r="E2721" s="2" t="s">
        <v>41</v>
      </c>
      <c r="F2721" s="2" t="s">
        <v>31</v>
      </c>
      <c r="G2721" s="2" t="n">
        <v>3496.56</v>
      </c>
      <c r="H2721" s="2" t="n">
        <v>40.93</v>
      </c>
      <c r="I2721" s="2" t="s">
        <v>28</v>
      </c>
      <c r="J2721" s="2" t="s">
        <v>7652</v>
      </c>
      <c r="K2721" s="2" t="s">
        <v>122</v>
      </c>
      <c r="L2721" s="2" t="s">
        <v>178</v>
      </c>
      <c r="M2721" s="2"/>
    </row>
    <row r="2722" customFormat="false" ht="15" hidden="false" customHeight="false" outlineLevel="0" collapsed="false">
      <c r="A2722" s="2" t="s">
        <v>7653</v>
      </c>
      <c r="B2722" s="2" t="s">
        <v>3504</v>
      </c>
      <c r="C2722" s="2" t="s">
        <v>3505</v>
      </c>
      <c r="D2722" s="13" t="n">
        <v>45970.7451388889</v>
      </c>
      <c r="E2722" s="2" t="s">
        <v>35</v>
      </c>
      <c r="F2722" s="2" t="s">
        <v>29</v>
      </c>
      <c r="G2722" s="2" t="n">
        <v>2871.29</v>
      </c>
      <c r="H2722" s="2" t="n">
        <v>14.82</v>
      </c>
      <c r="I2722" s="2" t="s">
        <v>26</v>
      </c>
      <c r="J2722" s="2" t="s">
        <v>7654</v>
      </c>
      <c r="K2722" s="2" t="s">
        <v>101</v>
      </c>
      <c r="L2722" s="2" t="s">
        <v>874</v>
      </c>
      <c r="M2722" s="2"/>
    </row>
    <row r="2723" customFormat="false" ht="15" hidden="false" customHeight="false" outlineLevel="0" collapsed="false">
      <c r="A2723" s="2" t="s">
        <v>7655</v>
      </c>
      <c r="B2723" s="2" t="s">
        <v>4902</v>
      </c>
      <c r="C2723" s="2" t="s">
        <v>4903</v>
      </c>
      <c r="D2723" s="13" t="n">
        <v>45867.8506944445</v>
      </c>
      <c r="E2723" s="2" t="s">
        <v>39</v>
      </c>
      <c r="F2723" s="2" t="s">
        <v>27</v>
      </c>
      <c r="G2723" s="2" t="n">
        <v>3292.57</v>
      </c>
      <c r="H2723" s="2" t="n">
        <v>25.44</v>
      </c>
      <c r="I2723" s="2" t="s">
        <v>26</v>
      </c>
      <c r="J2723" s="2" t="s">
        <v>7656</v>
      </c>
      <c r="K2723" s="2" t="s">
        <v>95</v>
      </c>
      <c r="L2723" s="2"/>
      <c r="M2723" s="2" t="s">
        <v>1084</v>
      </c>
    </row>
    <row r="2724" customFormat="false" ht="15" hidden="false" customHeight="false" outlineLevel="0" collapsed="false">
      <c r="A2724" s="2" t="s">
        <v>7657</v>
      </c>
      <c r="B2724" s="2" t="s">
        <v>3255</v>
      </c>
      <c r="C2724" s="2" t="s">
        <v>3256</v>
      </c>
      <c r="D2724" s="13" t="n">
        <v>45722.94375</v>
      </c>
      <c r="E2724" s="2" t="s">
        <v>35</v>
      </c>
      <c r="F2724" s="2" t="s">
        <v>29</v>
      </c>
      <c r="G2724" s="2" t="n">
        <v>2013.26</v>
      </c>
      <c r="H2724" s="2" t="n">
        <v>5</v>
      </c>
      <c r="I2724" s="2" t="s">
        <v>26</v>
      </c>
      <c r="J2724" s="2" t="s">
        <v>7658</v>
      </c>
      <c r="K2724" s="2" t="s">
        <v>95</v>
      </c>
      <c r="L2724" s="2" t="s">
        <v>193</v>
      </c>
      <c r="M2724" s="2"/>
    </row>
    <row r="2725" customFormat="false" ht="15" hidden="false" customHeight="false" outlineLevel="0" collapsed="false">
      <c r="A2725" s="2" t="s">
        <v>7659</v>
      </c>
      <c r="B2725" s="2" t="s">
        <v>4494</v>
      </c>
      <c r="C2725" s="2" t="s">
        <v>4495</v>
      </c>
      <c r="D2725" s="13" t="n">
        <v>45459.90625</v>
      </c>
      <c r="E2725" s="2" t="s">
        <v>43</v>
      </c>
      <c r="F2725" s="2" t="s">
        <v>32</v>
      </c>
      <c r="G2725" s="2" t="n">
        <v>10395.95</v>
      </c>
      <c r="H2725" s="2" t="n">
        <v>63.12</v>
      </c>
      <c r="I2725" s="2" t="s">
        <v>26</v>
      </c>
      <c r="J2725" s="2" t="s">
        <v>7660</v>
      </c>
      <c r="K2725" s="2" t="s">
        <v>95</v>
      </c>
      <c r="L2725" s="2"/>
      <c r="M2725" s="2" t="s">
        <v>198</v>
      </c>
    </row>
    <row r="2726" customFormat="false" ht="15" hidden="false" customHeight="false" outlineLevel="0" collapsed="false">
      <c r="A2726" s="2" t="s">
        <v>7661</v>
      </c>
      <c r="B2726" s="2" t="s">
        <v>7662</v>
      </c>
      <c r="C2726" s="2" t="s">
        <v>7663</v>
      </c>
      <c r="D2726" s="13" t="n">
        <v>45499.7972222222</v>
      </c>
      <c r="E2726" s="2" t="s">
        <v>43</v>
      </c>
      <c r="F2726" s="2" t="s">
        <v>27</v>
      </c>
      <c r="G2726" s="2" t="n">
        <v>753.32</v>
      </c>
      <c r="H2726" s="2" t="n">
        <v>5</v>
      </c>
      <c r="I2726" s="2" t="s">
        <v>26</v>
      </c>
      <c r="J2726" s="2" t="s">
        <v>7664</v>
      </c>
      <c r="K2726" s="2" t="s">
        <v>122</v>
      </c>
      <c r="L2726" s="2"/>
      <c r="M2726" s="2" t="s">
        <v>203</v>
      </c>
    </row>
    <row r="2727" customFormat="false" ht="15" hidden="false" customHeight="false" outlineLevel="0" collapsed="false">
      <c r="A2727" s="2" t="s">
        <v>7665</v>
      </c>
      <c r="B2727" s="2" t="s">
        <v>805</v>
      </c>
      <c r="C2727" s="2" t="s">
        <v>806</v>
      </c>
      <c r="D2727" s="13" t="n">
        <v>45733.3770833333</v>
      </c>
      <c r="E2727" s="2" t="s">
        <v>43</v>
      </c>
      <c r="F2727" s="2" t="s">
        <v>31</v>
      </c>
      <c r="G2727" s="2" t="n">
        <v>1838.24</v>
      </c>
      <c r="H2727" s="2" t="n">
        <v>12.82</v>
      </c>
      <c r="I2727" s="2" t="s">
        <v>28</v>
      </c>
      <c r="J2727" s="2" t="s">
        <v>7666</v>
      </c>
      <c r="K2727" s="2" t="s">
        <v>101</v>
      </c>
      <c r="L2727" s="2"/>
      <c r="M2727" s="2" t="s">
        <v>692</v>
      </c>
    </row>
    <row r="2728" customFormat="false" ht="15" hidden="false" customHeight="false" outlineLevel="0" collapsed="false">
      <c r="A2728" s="2" t="s">
        <v>7667</v>
      </c>
      <c r="B2728" s="2" t="s">
        <v>2076</v>
      </c>
      <c r="C2728" s="2" t="s">
        <v>2077</v>
      </c>
      <c r="D2728" s="13" t="n">
        <v>45794.40625</v>
      </c>
      <c r="E2728" s="2" t="s">
        <v>41</v>
      </c>
      <c r="F2728" s="2" t="s">
        <v>27</v>
      </c>
      <c r="G2728" s="2" t="n">
        <v>930.46</v>
      </c>
      <c r="H2728" s="2" t="n">
        <v>5</v>
      </c>
      <c r="I2728" s="2" t="s">
        <v>26</v>
      </c>
      <c r="J2728" s="2" t="s">
        <v>7668</v>
      </c>
      <c r="K2728" s="2" t="s">
        <v>101</v>
      </c>
      <c r="L2728" s="2"/>
      <c r="M2728" s="2" t="s">
        <v>1495</v>
      </c>
    </row>
    <row r="2729" customFormat="false" ht="15" hidden="false" customHeight="false" outlineLevel="0" collapsed="false">
      <c r="A2729" s="2" t="s">
        <v>7669</v>
      </c>
      <c r="B2729" s="2" t="s">
        <v>109</v>
      </c>
      <c r="C2729" s="2" t="s">
        <v>110</v>
      </c>
      <c r="D2729" s="13" t="n">
        <v>45955.7930555556</v>
      </c>
      <c r="E2729" s="2" t="s">
        <v>37</v>
      </c>
      <c r="F2729" s="2" t="s">
        <v>31</v>
      </c>
      <c r="G2729" s="2" t="n">
        <v>10302.83</v>
      </c>
      <c r="H2729" s="2" t="n">
        <v>50.01</v>
      </c>
      <c r="I2729" s="2" t="s">
        <v>28</v>
      </c>
      <c r="J2729" s="2" t="s">
        <v>7670</v>
      </c>
      <c r="K2729" s="2" t="s">
        <v>122</v>
      </c>
      <c r="L2729" s="2" t="s">
        <v>218</v>
      </c>
      <c r="M2729" s="2"/>
    </row>
    <row r="2730" customFormat="false" ht="15" hidden="false" customHeight="false" outlineLevel="0" collapsed="false">
      <c r="A2730" s="2" t="s">
        <v>7671</v>
      </c>
      <c r="B2730" s="2" t="s">
        <v>2371</v>
      </c>
      <c r="C2730" s="2" t="s">
        <v>2372</v>
      </c>
      <c r="D2730" s="13" t="n">
        <v>45583.3583333333</v>
      </c>
      <c r="E2730" s="2" t="s">
        <v>35</v>
      </c>
      <c r="F2730" s="2" t="s">
        <v>29</v>
      </c>
      <c r="G2730" s="2" t="n">
        <v>1316.4</v>
      </c>
      <c r="H2730" s="2" t="n">
        <v>10.44</v>
      </c>
      <c r="I2730" s="2" t="s">
        <v>26</v>
      </c>
      <c r="J2730" s="2" t="s">
        <v>7672</v>
      </c>
      <c r="K2730" s="2" t="s">
        <v>101</v>
      </c>
      <c r="L2730" s="2" t="s">
        <v>1504</v>
      </c>
      <c r="M2730" s="2"/>
    </row>
    <row r="2731" customFormat="false" ht="15" hidden="false" customHeight="false" outlineLevel="0" collapsed="false">
      <c r="A2731" s="2" t="s">
        <v>7673</v>
      </c>
      <c r="B2731" s="2" t="s">
        <v>5182</v>
      </c>
      <c r="C2731" s="2" t="s">
        <v>5183</v>
      </c>
      <c r="D2731" s="13" t="n">
        <v>45546.3354166667</v>
      </c>
      <c r="E2731" s="2" t="s">
        <v>41</v>
      </c>
      <c r="F2731" s="2" t="s">
        <v>31</v>
      </c>
      <c r="G2731" s="2" t="n">
        <v>3935.51</v>
      </c>
      <c r="H2731" s="2" t="n">
        <v>37.76</v>
      </c>
      <c r="I2731" s="2" t="s">
        <v>30</v>
      </c>
      <c r="J2731" s="2" t="s">
        <v>7674</v>
      </c>
      <c r="K2731" s="2" t="s">
        <v>101</v>
      </c>
      <c r="L2731" s="2" t="s">
        <v>911</v>
      </c>
      <c r="M2731" s="2"/>
    </row>
    <row r="2732" customFormat="false" ht="15" hidden="false" customHeight="false" outlineLevel="0" collapsed="false">
      <c r="A2732" s="2" t="s">
        <v>7675</v>
      </c>
      <c r="B2732" s="2" t="s">
        <v>6216</v>
      </c>
      <c r="C2732" s="2" t="s">
        <v>6217</v>
      </c>
      <c r="D2732" s="13" t="n">
        <v>45425.7375</v>
      </c>
      <c r="E2732" s="2" t="s">
        <v>37</v>
      </c>
      <c r="F2732" s="2" t="s">
        <v>32</v>
      </c>
      <c r="G2732" s="2" t="n">
        <v>8089.36</v>
      </c>
      <c r="H2732" s="2" t="n">
        <v>91.73</v>
      </c>
      <c r="I2732" s="2" t="s">
        <v>26</v>
      </c>
      <c r="J2732" s="2" t="s">
        <v>7676</v>
      </c>
      <c r="K2732" s="2" t="s">
        <v>122</v>
      </c>
      <c r="L2732" s="2" t="s">
        <v>916</v>
      </c>
      <c r="M2732" s="2"/>
    </row>
    <row r="2733" customFormat="false" ht="15" hidden="false" customHeight="false" outlineLevel="0" collapsed="false">
      <c r="A2733" s="2" t="s">
        <v>7677</v>
      </c>
      <c r="B2733" s="2" t="s">
        <v>1274</v>
      </c>
      <c r="C2733" s="2" t="s">
        <v>1275</v>
      </c>
      <c r="D2733" s="13" t="n">
        <v>45495.5041666667</v>
      </c>
      <c r="E2733" s="2" t="s">
        <v>37</v>
      </c>
      <c r="F2733" s="2" t="s">
        <v>31</v>
      </c>
      <c r="G2733" s="2" t="n">
        <v>3129.91</v>
      </c>
      <c r="H2733" s="2" t="n">
        <v>31.96</v>
      </c>
      <c r="I2733" s="2" t="s">
        <v>26</v>
      </c>
      <c r="J2733" s="2" t="s">
        <v>7678</v>
      </c>
      <c r="K2733" s="2" t="s">
        <v>122</v>
      </c>
      <c r="L2733" s="2" t="s">
        <v>1513</v>
      </c>
      <c r="M2733" s="2"/>
    </row>
    <row r="2734" customFormat="false" ht="15" hidden="false" customHeight="false" outlineLevel="0" collapsed="false">
      <c r="A2734" s="2" t="s">
        <v>7679</v>
      </c>
      <c r="B2734" s="2" t="s">
        <v>1458</v>
      </c>
      <c r="C2734" s="2" t="s">
        <v>1459</v>
      </c>
      <c r="D2734" s="13" t="n">
        <v>45934.825</v>
      </c>
      <c r="E2734" s="2" t="s">
        <v>35</v>
      </c>
      <c r="F2734" s="2" t="s">
        <v>31</v>
      </c>
      <c r="G2734" s="2" t="n">
        <v>7285.19</v>
      </c>
      <c r="H2734" s="2" t="n">
        <v>63.3</v>
      </c>
      <c r="I2734" s="2" t="s">
        <v>30</v>
      </c>
      <c r="J2734" s="2" t="s">
        <v>7680</v>
      </c>
      <c r="K2734" s="2" t="s">
        <v>95</v>
      </c>
      <c r="L2734" s="2" t="s">
        <v>243</v>
      </c>
      <c r="M2734" s="2"/>
    </row>
    <row r="2735" customFormat="false" ht="15" hidden="false" customHeight="false" outlineLevel="0" collapsed="false">
      <c r="A2735" s="2" t="s">
        <v>7681</v>
      </c>
      <c r="B2735" s="2" t="s">
        <v>7682</v>
      </c>
      <c r="C2735" s="2" t="s">
        <v>7683</v>
      </c>
      <c r="D2735" s="13" t="n">
        <v>45326.3097222222</v>
      </c>
      <c r="E2735" s="2" t="s">
        <v>37</v>
      </c>
      <c r="F2735" s="2" t="s">
        <v>29</v>
      </c>
      <c r="G2735" s="2" t="n">
        <v>2531.38</v>
      </c>
      <c r="H2735" s="2" t="n">
        <v>16.67</v>
      </c>
      <c r="I2735" s="2" t="s">
        <v>26</v>
      </c>
      <c r="J2735" s="2" t="s">
        <v>7684</v>
      </c>
      <c r="K2735" s="2" t="s">
        <v>101</v>
      </c>
      <c r="L2735" s="2" t="s">
        <v>248</v>
      </c>
      <c r="M2735" s="2"/>
    </row>
    <row r="2736" customFormat="false" ht="15" hidden="false" customHeight="false" outlineLevel="0" collapsed="false">
      <c r="A2736" s="2" t="s">
        <v>7685</v>
      </c>
      <c r="B2736" s="2" t="s">
        <v>3164</v>
      </c>
      <c r="C2736" s="2" t="s">
        <v>3165</v>
      </c>
      <c r="D2736" s="13" t="n">
        <v>45881.7</v>
      </c>
      <c r="E2736" s="2" t="s">
        <v>35</v>
      </c>
      <c r="F2736" s="2" t="s">
        <v>31</v>
      </c>
      <c r="G2736" s="2" t="n">
        <v>6277</v>
      </c>
      <c r="H2736" s="2" t="n">
        <v>70.15</v>
      </c>
      <c r="I2736" s="2" t="s">
        <v>26</v>
      </c>
      <c r="J2736" s="2" t="s">
        <v>7686</v>
      </c>
      <c r="K2736" s="2" t="s">
        <v>95</v>
      </c>
      <c r="L2736" s="2" t="s">
        <v>253</v>
      </c>
      <c r="M2736" s="2"/>
    </row>
    <row r="2737" customFormat="false" ht="15" hidden="false" customHeight="false" outlineLevel="0" collapsed="false">
      <c r="A2737" s="2" t="s">
        <v>7687</v>
      </c>
      <c r="B2737" s="2" t="s">
        <v>3806</v>
      </c>
      <c r="C2737" s="2" t="s">
        <v>3807</v>
      </c>
      <c r="D2737" s="13" t="n">
        <v>45803.9465277778</v>
      </c>
      <c r="E2737" s="2" t="s">
        <v>41</v>
      </c>
      <c r="F2737" s="2" t="s">
        <v>27</v>
      </c>
      <c r="G2737" s="2" t="n">
        <v>4221.32</v>
      </c>
      <c r="H2737" s="2" t="n">
        <v>45.47</v>
      </c>
      <c r="I2737" s="2" t="s">
        <v>26</v>
      </c>
      <c r="J2737" s="2" t="s">
        <v>7688</v>
      </c>
      <c r="K2737" s="2" t="s">
        <v>101</v>
      </c>
      <c r="L2737" s="2"/>
      <c r="M2737" s="2" t="s">
        <v>1134</v>
      </c>
    </row>
    <row r="2738" customFormat="false" ht="15" hidden="false" customHeight="false" outlineLevel="0" collapsed="false">
      <c r="A2738" s="2" t="s">
        <v>7689</v>
      </c>
      <c r="B2738" s="2" t="s">
        <v>1406</v>
      </c>
      <c r="C2738" s="2" t="s">
        <v>1407</v>
      </c>
      <c r="D2738" s="13" t="n">
        <v>45946.9576388889</v>
      </c>
      <c r="E2738" s="2" t="s">
        <v>35</v>
      </c>
      <c r="F2738" s="2" t="s">
        <v>29</v>
      </c>
      <c r="G2738" s="2" t="n">
        <v>1948.35</v>
      </c>
      <c r="H2738" s="2" t="n">
        <v>5.26</v>
      </c>
      <c r="I2738" s="2" t="s">
        <v>26</v>
      </c>
      <c r="J2738" s="2" t="s">
        <v>7690</v>
      </c>
      <c r="K2738" s="2" t="s">
        <v>95</v>
      </c>
      <c r="L2738" s="2" t="s">
        <v>940</v>
      </c>
      <c r="M2738" s="2"/>
    </row>
    <row r="2739" customFormat="false" ht="15" hidden="false" customHeight="false" outlineLevel="0" collapsed="false">
      <c r="A2739" s="2" t="s">
        <v>7691</v>
      </c>
      <c r="B2739" s="2" t="s">
        <v>7692</v>
      </c>
      <c r="C2739" s="2" t="s">
        <v>7693</v>
      </c>
      <c r="D2739" s="13" t="n">
        <v>45525.36875</v>
      </c>
      <c r="E2739" s="2" t="s">
        <v>41</v>
      </c>
      <c r="F2739" s="2" t="s">
        <v>31</v>
      </c>
      <c r="G2739" s="2" t="n">
        <v>11323.14</v>
      </c>
      <c r="H2739" s="2" t="n">
        <v>129.24</v>
      </c>
      <c r="I2739" s="2" t="s">
        <v>30</v>
      </c>
      <c r="J2739" s="2" t="s">
        <v>7694</v>
      </c>
      <c r="K2739" s="2" t="s">
        <v>95</v>
      </c>
      <c r="L2739" s="2" t="s">
        <v>945</v>
      </c>
      <c r="M2739" s="2"/>
    </row>
    <row r="2740" customFormat="false" ht="15" hidden="false" customHeight="false" outlineLevel="0" collapsed="false">
      <c r="A2740" s="2" t="s">
        <v>7695</v>
      </c>
      <c r="B2740" s="2" t="s">
        <v>1004</v>
      </c>
      <c r="C2740" s="2" t="s">
        <v>1005</v>
      </c>
      <c r="D2740" s="13" t="n">
        <v>45429.9368055556</v>
      </c>
      <c r="E2740" s="2" t="s">
        <v>41</v>
      </c>
      <c r="F2740" s="2" t="s">
        <v>32</v>
      </c>
      <c r="G2740" s="2" t="n">
        <v>6624.66</v>
      </c>
      <c r="H2740" s="2" t="n">
        <v>64.56</v>
      </c>
      <c r="I2740" s="2" t="s">
        <v>30</v>
      </c>
      <c r="J2740" s="2" t="s">
        <v>7696</v>
      </c>
      <c r="K2740" s="2" t="s">
        <v>95</v>
      </c>
      <c r="L2740" s="2" t="s">
        <v>1538</v>
      </c>
      <c r="M2740" s="2"/>
    </row>
    <row r="2741" customFormat="false" ht="15" hidden="false" customHeight="false" outlineLevel="0" collapsed="false">
      <c r="A2741" s="2" t="s">
        <v>7697</v>
      </c>
      <c r="B2741" s="2" t="s">
        <v>809</v>
      </c>
      <c r="C2741" s="2" t="s">
        <v>810</v>
      </c>
      <c r="D2741" s="13" t="n">
        <v>46011.6819444444</v>
      </c>
      <c r="E2741" s="2" t="s">
        <v>37</v>
      </c>
      <c r="F2741" s="2" t="s">
        <v>29</v>
      </c>
      <c r="G2741" s="2" t="n">
        <v>7686.89</v>
      </c>
      <c r="H2741" s="2" t="n">
        <v>88.3</v>
      </c>
      <c r="I2741" s="2" t="s">
        <v>30</v>
      </c>
      <c r="J2741" s="2" t="s">
        <v>7698</v>
      </c>
      <c r="K2741" s="2" t="s">
        <v>89</v>
      </c>
      <c r="L2741" s="2" t="s">
        <v>1543</v>
      </c>
      <c r="M2741" s="2"/>
    </row>
    <row r="2742" customFormat="false" ht="15" hidden="false" customHeight="false" outlineLevel="0" collapsed="false">
      <c r="A2742" s="2" t="s">
        <v>7699</v>
      </c>
      <c r="B2742" s="2" t="s">
        <v>3764</v>
      </c>
      <c r="C2742" s="2" t="s">
        <v>3765</v>
      </c>
      <c r="D2742" s="13" t="n">
        <v>45775.8805555556</v>
      </c>
      <c r="E2742" s="2" t="s">
        <v>35</v>
      </c>
      <c r="F2742" s="2" t="s">
        <v>27</v>
      </c>
      <c r="G2742" s="2" t="n">
        <v>1307.78</v>
      </c>
      <c r="H2742" s="2" t="n">
        <v>7.76</v>
      </c>
      <c r="I2742" s="2" t="s">
        <v>26</v>
      </c>
      <c r="J2742" s="2" t="s">
        <v>7700</v>
      </c>
      <c r="K2742" s="2" t="s">
        <v>95</v>
      </c>
      <c r="L2742" s="2"/>
      <c r="M2742" s="2" t="s">
        <v>1157</v>
      </c>
    </row>
    <row r="2743" customFormat="false" ht="15" hidden="false" customHeight="false" outlineLevel="0" collapsed="false">
      <c r="A2743" s="2" t="s">
        <v>7701</v>
      </c>
      <c r="B2743" s="2" t="s">
        <v>3314</v>
      </c>
      <c r="C2743" s="2" t="s">
        <v>3315</v>
      </c>
      <c r="D2743" s="13" t="n">
        <v>45594.4416666667</v>
      </c>
      <c r="E2743" s="2" t="s">
        <v>39</v>
      </c>
      <c r="F2743" s="2" t="s">
        <v>31</v>
      </c>
      <c r="G2743" s="2" t="n">
        <v>9491.23</v>
      </c>
      <c r="H2743" s="2" t="n">
        <v>78.57</v>
      </c>
      <c r="I2743" s="2" t="s">
        <v>26</v>
      </c>
      <c r="J2743" s="2" t="s">
        <v>7702</v>
      </c>
      <c r="K2743" s="2" t="s">
        <v>122</v>
      </c>
      <c r="L2743" s="2" t="s">
        <v>963</v>
      </c>
      <c r="M2743" s="2"/>
    </row>
    <row r="2744" customFormat="false" ht="15" hidden="false" customHeight="false" outlineLevel="0" collapsed="false">
      <c r="A2744" s="2" t="s">
        <v>7703</v>
      </c>
      <c r="B2744" s="2" t="s">
        <v>3082</v>
      </c>
      <c r="C2744" s="2" t="s">
        <v>3083</v>
      </c>
      <c r="D2744" s="13" t="n">
        <v>45590.6743055556</v>
      </c>
      <c r="E2744" s="2" t="s">
        <v>39</v>
      </c>
      <c r="F2744" s="2" t="s">
        <v>27</v>
      </c>
      <c r="G2744" s="2" t="n">
        <v>5081.82</v>
      </c>
      <c r="H2744" s="2" t="n">
        <v>39.13</v>
      </c>
      <c r="I2744" s="2" t="s">
        <v>30</v>
      </c>
      <c r="J2744" s="2" t="s">
        <v>7704</v>
      </c>
      <c r="K2744" s="2" t="s">
        <v>101</v>
      </c>
      <c r="L2744" s="2"/>
      <c r="M2744" s="2" t="s">
        <v>762</v>
      </c>
    </row>
    <row r="2745" customFormat="false" ht="15" hidden="false" customHeight="false" outlineLevel="0" collapsed="false">
      <c r="A2745" s="2" t="s">
        <v>7705</v>
      </c>
      <c r="B2745" s="2" t="s">
        <v>1441</v>
      </c>
      <c r="C2745" s="2" t="s">
        <v>1442</v>
      </c>
      <c r="D2745" s="13" t="n">
        <v>45416.4805555556</v>
      </c>
      <c r="E2745" s="2" t="s">
        <v>43</v>
      </c>
      <c r="F2745" s="2" t="s">
        <v>27</v>
      </c>
      <c r="G2745" s="2" t="n">
        <v>1489.53</v>
      </c>
      <c r="H2745" s="2" t="n">
        <v>8.17</v>
      </c>
      <c r="I2745" s="2" t="s">
        <v>26</v>
      </c>
      <c r="J2745" s="2" t="s">
        <v>7706</v>
      </c>
      <c r="K2745" s="2" t="s">
        <v>95</v>
      </c>
      <c r="L2745" s="2"/>
      <c r="M2745" s="2" t="s">
        <v>298</v>
      </c>
    </row>
    <row r="2746" customFormat="false" ht="15" hidden="false" customHeight="false" outlineLevel="0" collapsed="false">
      <c r="A2746" s="2" t="s">
        <v>7707</v>
      </c>
      <c r="B2746" s="2" t="s">
        <v>3806</v>
      </c>
      <c r="C2746" s="2" t="s">
        <v>3807</v>
      </c>
      <c r="D2746" s="13" t="n">
        <v>45820.375</v>
      </c>
      <c r="E2746" s="2" t="s">
        <v>43</v>
      </c>
      <c r="F2746" s="2" t="s">
        <v>31</v>
      </c>
      <c r="G2746" s="2" t="n">
        <v>2630.8</v>
      </c>
      <c r="H2746" s="2" t="n">
        <v>20.09</v>
      </c>
      <c r="I2746" s="2" t="s">
        <v>26</v>
      </c>
      <c r="J2746" s="2" t="s">
        <v>7708</v>
      </c>
      <c r="K2746" s="2" t="s">
        <v>101</v>
      </c>
      <c r="L2746" s="2"/>
      <c r="M2746" s="2" t="s">
        <v>1174</v>
      </c>
    </row>
    <row r="2747" customFormat="false" ht="15" hidden="false" customHeight="false" outlineLevel="0" collapsed="false">
      <c r="A2747" s="2" t="s">
        <v>7709</v>
      </c>
      <c r="B2747" s="2" t="s">
        <v>2179</v>
      </c>
      <c r="C2747" s="2" t="s">
        <v>2180</v>
      </c>
      <c r="D2747" s="13" t="n">
        <v>45562.7895833333</v>
      </c>
      <c r="E2747" s="2" t="s">
        <v>39</v>
      </c>
      <c r="F2747" s="2" t="s">
        <v>27</v>
      </c>
      <c r="G2747" s="2" t="n">
        <v>2213.84</v>
      </c>
      <c r="H2747" s="2" t="n">
        <v>10.3</v>
      </c>
      <c r="I2747" s="2" t="s">
        <v>30</v>
      </c>
      <c r="J2747" s="2" t="s">
        <v>7710</v>
      </c>
      <c r="K2747" s="2" t="s">
        <v>89</v>
      </c>
      <c r="L2747" s="2"/>
      <c r="M2747" s="2" t="s">
        <v>774</v>
      </c>
    </row>
    <row r="2748" customFormat="false" ht="15" hidden="false" customHeight="false" outlineLevel="0" collapsed="false">
      <c r="A2748" s="2" t="s">
        <v>7711</v>
      </c>
      <c r="B2748" s="2" t="s">
        <v>1784</v>
      </c>
      <c r="C2748" s="2" t="s">
        <v>1785</v>
      </c>
      <c r="D2748" s="13" t="n">
        <v>45312.8708333333</v>
      </c>
      <c r="E2748" s="2" t="s">
        <v>43</v>
      </c>
      <c r="F2748" s="2" t="s">
        <v>29</v>
      </c>
      <c r="G2748" s="2" t="n">
        <v>5331.04</v>
      </c>
      <c r="H2748" s="2" t="n">
        <v>49.78</v>
      </c>
      <c r="I2748" s="2" t="s">
        <v>28</v>
      </c>
      <c r="J2748" s="2" t="s">
        <v>7712</v>
      </c>
      <c r="K2748" s="2" t="s">
        <v>101</v>
      </c>
      <c r="L2748" s="2"/>
      <c r="M2748" s="2" t="s">
        <v>313</v>
      </c>
    </row>
    <row r="2749" customFormat="false" ht="15" hidden="false" customHeight="false" outlineLevel="0" collapsed="false">
      <c r="A2749" s="2" t="s">
        <v>7713</v>
      </c>
      <c r="B2749" s="2" t="s">
        <v>3265</v>
      </c>
      <c r="C2749" s="2" t="s">
        <v>3266</v>
      </c>
      <c r="D2749" s="13" t="n">
        <v>45622.8986111111</v>
      </c>
      <c r="E2749" s="2" t="s">
        <v>35</v>
      </c>
      <c r="F2749" s="2" t="s">
        <v>31</v>
      </c>
      <c r="G2749" s="2" t="n">
        <v>13956.54</v>
      </c>
      <c r="H2749" s="2" t="n">
        <v>65.52</v>
      </c>
      <c r="I2749" s="2" t="s">
        <v>30</v>
      </c>
      <c r="J2749" s="2" t="s">
        <v>7714</v>
      </c>
      <c r="K2749" s="2" t="s">
        <v>122</v>
      </c>
      <c r="L2749" s="2" t="s">
        <v>318</v>
      </c>
      <c r="M2749" s="2"/>
    </row>
    <row r="2750" customFormat="false" ht="15" hidden="false" customHeight="false" outlineLevel="0" collapsed="false">
      <c r="A2750" s="2" t="s">
        <v>7715</v>
      </c>
      <c r="B2750" s="2" t="s">
        <v>2113</v>
      </c>
      <c r="C2750" s="2" t="s">
        <v>2114</v>
      </c>
      <c r="D2750" s="13" t="n">
        <v>45999.4229166667</v>
      </c>
      <c r="E2750" s="2" t="s">
        <v>39</v>
      </c>
      <c r="F2750" s="2" t="s">
        <v>32</v>
      </c>
      <c r="G2750" s="2" t="n">
        <v>4199.27</v>
      </c>
      <c r="H2750" s="2" t="n">
        <v>12.63</v>
      </c>
      <c r="I2750" s="2" t="s">
        <v>26</v>
      </c>
      <c r="J2750" s="2" t="s">
        <v>7716</v>
      </c>
      <c r="K2750" s="2" t="s">
        <v>101</v>
      </c>
      <c r="L2750" s="2" t="s">
        <v>995</v>
      </c>
      <c r="M2750" s="2"/>
    </row>
    <row r="2751" customFormat="false" ht="15" hidden="false" customHeight="false" outlineLevel="0" collapsed="false">
      <c r="A2751" s="2" t="s">
        <v>7717</v>
      </c>
      <c r="B2751" s="2" t="s">
        <v>1985</v>
      </c>
      <c r="C2751" s="2" t="s">
        <v>1986</v>
      </c>
      <c r="D2751" s="13" t="n">
        <v>45447.4458333333</v>
      </c>
      <c r="E2751" s="2" t="s">
        <v>37</v>
      </c>
      <c r="F2751" s="2" t="s">
        <v>32</v>
      </c>
      <c r="G2751" s="2" t="n">
        <v>4135.59</v>
      </c>
      <c r="H2751" s="2" t="n">
        <v>19.13</v>
      </c>
      <c r="I2751" s="2" t="s">
        <v>26</v>
      </c>
      <c r="J2751" s="2" t="s">
        <v>7718</v>
      </c>
      <c r="K2751" s="2" t="s">
        <v>122</v>
      </c>
      <c r="L2751" s="2" t="s">
        <v>1000</v>
      </c>
      <c r="M2751" s="2"/>
    </row>
    <row r="2752" customFormat="false" ht="15" hidden="false" customHeight="false" outlineLevel="0" collapsed="false">
      <c r="A2752" s="2" t="s">
        <v>7719</v>
      </c>
      <c r="B2752" s="2" t="s">
        <v>2547</v>
      </c>
      <c r="C2752" s="2" t="s">
        <v>2548</v>
      </c>
      <c r="D2752" s="13" t="n">
        <v>45791.3493055556</v>
      </c>
      <c r="E2752" s="2" t="s">
        <v>39</v>
      </c>
      <c r="F2752" s="2" t="s">
        <v>27</v>
      </c>
      <c r="G2752" s="2" t="n">
        <v>12058.3</v>
      </c>
      <c r="H2752" s="2" t="n">
        <v>99.09</v>
      </c>
      <c r="I2752" s="2" t="s">
        <v>26</v>
      </c>
      <c r="J2752" s="2" t="s">
        <v>7720</v>
      </c>
      <c r="K2752" s="2" t="s">
        <v>122</v>
      </c>
      <c r="L2752" s="2"/>
      <c r="M2752" s="2" t="s">
        <v>795</v>
      </c>
    </row>
    <row r="2753" customFormat="false" ht="15" hidden="false" customHeight="false" outlineLevel="0" collapsed="false">
      <c r="A2753" s="2" t="s">
        <v>7721</v>
      </c>
      <c r="B2753" s="2" t="s">
        <v>6258</v>
      </c>
      <c r="C2753" s="2" t="s">
        <v>6259</v>
      </c>
      <c r="D2753" s="13" t="n">
        <v>45514.5194444444</v>
      </c>
      <c r="E2753" s="2" t="s">
        <v>41</v>
      </c>
      <c r="F2753" s="2" t="s">
        <v>32</v>
      </c>
      <c r="G2753" s="2" t="n">
        <v>367.34</v>
      </c>
      <c r="H2753" s="2" t="n">
        <v>5</v>
      </c>
      <c r="I2753" s="2" t="s">
        <v>26</v>
      </c>
      <c r="J2753" s="2" t="s">
        <v>7722</v>
      </c>
      <c r="K2753" s="2" t="s">
        <v>101</v>
      </c>
      <c r="L2753" s="2" t="s">
        <v>338</v>
      </c>
      <c r="M2753" s="2"/>
    </row>
    <row r="2754" customFormat="false" ht="15" hidden="false" customHeight="false" outlineLevel="0" collapsed="false">
      <c r="A2754" s="2" t="s">
        <v>7723</v>
      </c>
      <c r="B2754" s="2" t="s">
        <v>7724</v>
      </c>
      <c r="C2754" s="2" t="s">
        <v>7725</v>
      </c>
      <c r="D2754" s="13" t="n">
        <v>45448.3256944444</v>
      </c>
      <c r="E2754" s="2" t="s">
        <v>37</v>
      </c>
      <c r="F2754" s="2" t="s">
        <v>31</v>
      </c>
      <c r="G2754" s="2" t="n">
        <v>3966.59</v>
      </c>
      <c r="H2754" s="2" t="n">
        <v>18.06</v>
      </c>
      <c r="I2754" s="2" t="s">
        <v>26</v>
      </c>
      <c r="J2754" s="2" t="s">
        <v>7726</v>
      </c>
      <c r="K2754" s="2" t="s">
        <v>95</v>
      </c>
      <c r="L2754" s="2" t="s">
        <v>343</v>
      </c>
      <c r="M2754" s="2"/>
    </row>
    <row r="2755" customFormat="false" ht="15" hidden="false" customHeight="false" outlineLevel="0" collapsed="false">
      <c r="A2755" s="2" t="s">
        <v>7727</v>
      </c>
      <c r="B2755" s="2" t="s">
        <v>4084</v>
      </c>
      <c r="C2755" s="2" t="s">
        <v>4085</v>
      </c>
      <c r="D2755" s="13" t="n">
        <v>45910.9381944445</v>
      </c>
      <c r="E2755" s="2" t="s">
        <v>41</v>
      </c>
      <c r="F2755" s="2" t="s">
        <v>27</v>
      </c>
      <c r="G2755" s="2" t="n">
        <v>5626.64</v>
      </c>
      <c r="H2755" s="2" t="n">
        <v>65.86</v>
      </c>
      <c r="I2755" s="2" t="s">
        <v>26</v>
      </c>
      <c r="J2755" s="2" t="s">
        <v>7728</v>
      </c>
      <c r="K2755" s="2" t="s">
        <v>122</v>
      </c>
      <c r="L2755" s="2"/>
      <c r="M2755" s="2" t="s">
        <v>348</v>
      </c>
    </row>
    <row r="2756" customFormat="false" ht="15" hidden="false" customHeight="false" outlineLevel="0" collapsed="false">
      <c r="A2756" s="2" t="s">
        <v>7729</v>
      </c>
      <c r="B2756" s="2" t="s">
        <v>573</v>
      </c>
      <c r="C2756" s="2" t="s">
        <v>574</v>
      </c>
      <c r="D2756" s="13" t="n">
        <v>45403.6826388889</v>
      </c>
      <c r="E2756" s="2" t="s">
        <v>43</v>
      </c>
      <c r="F2756" s="2" t="s">
        <v>32</v>
      </c>
      <c r="G2756" s="2" t="n">
        <v>2621.52</v>
      </c>
      <c r="H2756" s="2" t="n">
        <v>23.04</v>
      </c>
      <c r="I2756" s="2" t="s">
        <v>28</v>
      </c>
      <c r="J2756" s="2" t="s">
        <v>7730</v>
      </c>
      <c r="K2756" s="2" t="s">
        <v>101</v>
      </c>
      <c r="L2756" s="2"/>
      <c r="M2756" s="2" t="s">
        <v>1217</v>
      </c>
    </row>
    <row r="2757" customFormat="false" ht="15" hidden="false" customHeight="false" outlineLevel="0" collapsed="false">
      <c r="A2757" s="2" t="s">
        <v>7731</v>
      </c>
      <c r="B2757" s="2" t="s">
        <v>7724</v>
      </c>
      <c r="C2757" s="2" t="s">
        <v>7725</v>
      </c>
      <c r="D2757" s="13" t="n">
        <v>45874.48125</v>
      </c>
      <c r="E2757" s="2" t="s">
        <v>43</v>
      </c>
      <c r="F2757" s="2" t="s">
        <v>29</v>
      </c>
      <c r="G2757" s="2" t="n">
        <v>746.36</v>
      </c>
      <c r="H2757" s="2" t="n">
        <v>5</v>
      </c>
      <c r="I2757" s="2" t="s">
        <v>26</v>
      </c>
      <c r="J2757" s="2" t="s">
        <v>7732</v>
      </c>
      <c r="K2757" s="2" t="s">
        <v>122</v>
      </c>
      <c r="L2757" s="2"/>
      <c r="M2757" s="2" t="s">
        <v>817</v>
      </c>
    </row>
    <row r="2758" customFormat="false" ht="15" hidden="false" customHeight="false" outlineLevel="0" collapsed="false">
      <c r="A2758" s="2" t="s">
        <v>7733</v>
      </c>
      <c r="B2758" s="2" t="s">
        <v>5378</v>
      </c>
      <c r="C2758" s="2" t="s">
        <v>5379</v>
      </c>
      <c r="D2758" s="13" t="n">
        <v>45582.9125</v>
      </c>
      <c r="E2758" s="2" t="s">
        <v>41</v>
      </c>
      <c r="F2758" s="2" t="s">
        <v>31</v>
      </c>
      <c r="G2758" s="2" t="n">
        <v>2817.48</v>
      </c>
      <c r="H2758" s="2" t="n">
        <v>11.94</v>
      </c>
      <c r="I2758" s="2" t="s">
        <v>30</v>
      </c>
      <c r="J2758" s="2" t="s">
        <v>7734</v>
      </c>
      <c r="K2758" s="2" t="s">
        <v>122</v>
      </c>
      <c r="L2758" s="2" t="s">
        <v>1601</v>
      </c>
      <c r="M2758" s="2"/>
    </row>
    <row r="2759" customFormat="false" ht="15" hidden="false" customHeight="false" outlineLevel="0" collapsed="false">
      <c r="A2759" s="2" t="s">
        <v>7735</v>
      </c>
      <c r="B2759" s="2" t="s">
        <v>1219</v>
      </c>
      <c r="C2759" s="2" t="s">
        <v>1220</v>
      </c>
      <c r="D2759" s="13" t="n">
        <v>45525.4097222222</v>
      </c>
      <c r="E2759" s="2" t="s">
        <v>35</v>
      </c>
      <c r="F2759" s="2" t="s">
        <v>27</v>
      </c>
      <c r="G2759" s="2" t="n">
        <v>8861.53</v>
      </c>
      <c r="H2759" s="2" t="n">
        <v>90.15</v>
      </c>
      <c r="I2759" s="2" t="s">
        <v>26</v>
      </c>
      <c r="J2759" s="2" t="s">
        <v>7736</v>
      </c>
      <c r="K2759" s="2" t="s">
        <v>122</v>
      </c>
      <c r="L2759" s="2"/>
      <c r="M2759" s="2" t="s">
        <v>1606</v>
      </c>
    </row>
    <row r="2760" customFormat="false" ht="15" hidden="false" customHeight="false" outlineLevel="0" collapsed="false">
      <c r="A2760" s="2" t="s">
        <v>7737</v>
      </c>
      <c r="B2760" s="2" t="s">
        <v>480</v>
      </c>
      <c r="C2760" s="2" t="s">
        <v>481</v>
      </c>
      <c r="D2760" s="13" t="n">
        <v>45389.8916666667</v>
      </c>
      <c r="E2760" s="2" t="s">
        <v>39</v>
      </c>
      <c r="F2760" s="2" t="s">
        <v>31</v>
      </c>
      <c r="G2760" s="2" t="n">
        <v>3128.88</v>
      </c>
      <c r="H2760" s="2" t="n">
        <v>9.78</v>
      </c>
      <c r="I2760" s="2" t="s">
        <v>26</v>
      </c>
      <c r="J2760" s="2" t="s">
        <v>7738</v>
      </c>
      <c r="K2760" s="2" t="s">
        <v>95</v>
      </c>
      <c r="L2760" s="2" t="s">
        <v>373</v>
      </c>
      <c r="M2760" s="2"/>
    </row>
    <row r="2761" customFormat="false" ht="15" hidden="false" customHeight="false" outlineLevel="0" collapsed="false">
      <c r="A2761" s="2" t="s">
        <v>7739</v>
      </c>
      <c r="B2761" s="2" t="s">
        <v>4578</v>
      </c>
      <c r="C2761" s="2" t="s">
        <v>4579</v>
      </c>
      <c r="D2761" s="13" t="n">
        <v>45833.8465277778</v>
      </c>
      <c r="E2761" s="2" t="s">
        <v>43</v>
      </c>
      <c r="F2761" s="2" t="s">
        <v>27</v>
      </c>
      <c r="G2761" s="2" t="n">
        <v>13643.67</v>
      </c>
      <c r="H2761" s="2" t="n">
        <v>75.96</v>
      </c>
      <c r="I2761" s="2" t="s">
        <v>26</v>
      </c>
      <c r="J2761" s="2" t="s">
        <v>7740</v>
      </c>
      <c r="K2761" s="2" t="s">
        <v>89</v>
      </c>
      <c r="L2761" s="2"/>
      <c r="M2761" s="2" t="s">
        <v>378</v>
      </c>
    </row>
    <row r="2762" customFormat="false" ht="15" hidden="false" customHeight="false" outlineLevel="0" collapsed="false">
      <c r="A2762" s="2" t="s">
        <v>7741</v>
      </c>
      <c r="B2762" s="2" t="s">
        <v>5516</v>
      </c>
      <c r="C2762" s="2" t="s">
        <v>5517</v>
      </c>
      <c r="D2762" s="13" t="n">
        <v>45415.4722222222</v>
      </c>
      <c r="E2762" s="2" t="s">
        <v>35</v>
      </c>
      <c r="F2762" s="2" t="s">
        <v>32</v>
      </c>
      <c r="G2762" s="2" t="n">
        <v>3469.19</v>
      </c>
      <c r="H2762" s="2" t="n">
        <v>31.23</v>
      </c>
      <c r="I2762" s="2" t="s">
        <v>26</v>
      </c>
      <c r="J2762" s="2" t="s">
        <v>7742</v>
      </c>
      <c r="K2762" s="2" t="s">
        <v>122</v>
      </c>
      <c r="L2762" s="2" t="s">
        <v>1039</v>
      </c>
      <c r="M2762" s="2"/>
    </row>
    <row r="2763" customFormat="false" ht="15" hidden="false" customHeight="false" outlineLevel="0" collapsed="false">
      <c r="A2763" s="2" t="s">
        <v>7743</v>
      </c>
      <c r="B2763" s="2" t="s">
        <v>4212</v>
      </c>
      <c r="C2763" s="2" t="s">
        <v>4213</v>
      </c>
      <c r="D2763" s="13" t="n">
        <v>45505.5319444445</v>
      </c>
      <c r="E2763" s="2" t="s">
        <v>41</v>
      </c>
      <c r="F2763" s="2" t="s">
        <v>27</v>
      </c>
      <c r="G2763" s="2" t="n">
        <v>5237.61</v>
      </c>
      <c r="H2763" s="2" t="n">
        <v>57.97</v>
      </c>
      <c r="I2763" s="2" t="s">
        <v>26</v>
      </c>
      <c r="J2763" s="2" t="s">
        <v>7744</v>
      </c>
      <c r="K2763" s="2" t="s">
        <v>122</v>
      </c>
      <c r="L2763" s="2"/>
      <c r="M2763" s="2" t="s">
        <v>388</v>
      </c>
    </row>
    <row r="2764" customFormat="false" ht="15" hidden="false" customHeight="false" outlineLevel="0" collapsed="false">
      <c r="A2764" s="2" t="s">
        <v>7745</v>
      </c>
      <c r="B2764" s="2" t="s">
        <v>2214</v>
      </c>
      <c r="C2764" s="2" t="s">
        <v>2215</v>
      </c>
      <c r="D2764" s="13" t="n">
        <v>45483.5173611111</v>
      </c>
      <c r="E2764" s="2" t="s">
        <v>35</v>
      </c>
      <c r="F2764" s="2" t="s">
        <v>32</v>
      </c>
      <c r="G2764" s="2" t="n">
        <v>3821.17</v>
      </c>
      <c r="H2764" s="2" t="n">
        <v>10.57</v>
      </c>
      <c r="I2764" s="2" t="s">
        <v>30</v>
      </c>
      <c r="J2764" s="2" t="s">
        <v>7746</v>
      </c>
      <c r="K2764" s="2" t="s">
        <v>101</v>
      </c>
      <c r="L2764" s="2" t="s">
        <v>393</v>
      </c>
      <c r="M2764" s="2"/>
    </row>
    <row r="2765" customFormat="false" ht="15" hidden="false" customHeight="false" outlineLevel="0" collapsed="false">
      <c r="A2765" s="2" t="s">
        <v>7747</v>
      </c>
      <c r="B2765" s="2" t="s">
        <v>1501</v>
      </c>
      <c r="C2765" s="2" t="s">
        <v>1502</v>
      </c>
      <c r="D2765" s="13" t="n">
        <v>45503.9222222222</v>
      </c>
      <c r="E2765" s="2" t="s">
        <v>35</v>
      </c>
      <c r="F2765" s="2" t="s">
        <v>29</v>
      </c>
      <c r="G2765" s="2" t="n">
        <v>1891.83</v>
      </c>
      <c r="H2765" s="2" t="n">
        <v>17.65</v>
      </c>
      <c r="I2765" s="2" t="s">
        <v>26</v>
      </c>
      <c r="J2765" s="2" t="s">
        <v>7748</v>
      </c>
      <c r="K2765" s="2" t="s">
        <v>101</v>
      </c>
      <c r="L2765" s="2" t="s">
        <v>1628</v>
      </c>
      <c r="M2765" s="2"/>
    </row>
    <row r="2766" customFormat="false" ht="15" hidden="false" customHeight="false" outlineLevel="0" collapsed="false">
      <c r="A2766" s="2" t="s">
        <v>7749</v>
      </c>
      <c r="B2766" s="2" t="s">
        <v>7750</v>
      </c>
      <c r="C2766" s="2" t="s">
        <v>7751</v>
      </c>
      <c r="D2766" s="13" t="n">
        <v>45409.8208333333</v>
      </c>
      <c r="E2766" s="2" t="s">
        <v>41</v>
      </c>
      <c r="F2766" s="2" t="s">
        <v>29</v>
      </c>
      <c r="G2766" s="2" t="n">
        <v>8370.79</v>
      </c>
      <c r="H2766" s="2" t="n">
        <v>69.73</v>
      </c>
      <c r="I2766" s="2" t="s">
        <v>26</v>
      </c>
      <c r="J2766" s="2" t="s">
        <v>7752</v>
      </c>
      <c r="K2766" s="2" t="s">
        <v>95</v>
      </c>
      <c r="L2766" s="2" t="s">
        <v>403</v>
      </c>
      <c r="M2766" s="2"/>
    </row>
    <row r="2767" customFormat="false" ht="15" hidden="false" customHeight="false" outlineLevel="0" collapsed="false">
      <c r="A2767" s="2" t="s">
        <v>7753</v>
      </c>
      <c r="B2767" s="2" t="s">
        <v>3134</v>
      </c>
      <c r="C2767" s="2" t="s">
        <v>3135</v>
      </c>
      <c r="D2767" s="13" t="n">
        <v>45796.9041666667</v>
      </c>
      <c r="E2767" s="2" t="s">
        <v>41</v>
      </c>
      <c r="F2767" s="2" t="s">
        <v>27</v>
      </c>
      <c r="G2767" s="2" t="n">
        <v>1298.06</v>
      </c>
      <c r="H2767" s="2" t="n">
        <v>13.68</v>
      </c>
      <c r="I2767" s="2" t="s">
        <v>28</v>
      </c>
      <c r="J2767" s="2" t="s">
        <v>7754</v>
      </c>
      <c r="K2767" s="2" t="s">
        <v>101</v>
      </c>
      <c r="L2767" s="2"/>
      <c r="M2767" s="2" t="s">
        <v>857</v>
      </c>
    </row>
    <row r="2768" customFormat="false" ht="15" hidden="false" customHeight="false" outlineLevel="0" collapsed="false">
      <c r="A2768" s="2" t="s">
        <v>7755</v>
      </c>
      <c r="B2768" s="2" t="s">
        <v>114</v>
      </c>
      <c r="C2768" s="2" t="s">
        <v>115</v>
      </c>
      <c r="D2768" s="13" t="n">
        <v>45954.8770833333</v>
      </c>
      <c r="E2768" s="2" t="s">
        <v>35</v>
      </c>
      <c r="F2768" s="2" t="s">
        <v>31</v>
      </c>
      <c r="G2768" s="2" t="n">
        <v>2847.13</v>
      </c>
      <c r="H2768" s="2" t="n">
        <v>21.12</v>
      </c>
      <c r="I2768" s="2" t="s">
        <v>30</v>
      </c>
      <c r="J2768" s="2" t="s">
        <v>7756</v>
      </c>
      <c r="K2768" s="2" t="s">
        <v>89</v>
      </c>
      <c r="L2768" s="2" t="s">
        <v>413</v>
      </c>
      <c r="M2768" s="2"/>
    </row>
    <row r="2769" customFormat="false" ht="15" hidden="false" customHeight="false" outlineLevel="0" collapsed="false">
      <c r="A2769" s="2" t="s">
        <v>7757</v>
      </c>
      <c r="B2769" s="2" t="s">
        <v>2805</v>
      </c>
      <c r="C2769" s="2" t="s">
        <v>2806</v>
      </c>
      <c r="D2769" s="13" t="n">
        <v>45323.5451388889</v>
      </c>
      <c r="E2769" s="2" t="s">
        <v>39</v>
      </c>
      <c r="F2769" s="2" t="s">
        <v>27</v>
      </c>
      <c r="G2769" s="2" t="n">
        <v>6401.52</v>
      </c>
      <c r="H2769" s="2" t="n">
        <v>21.16</v>
      </c>
      <c r="I2769" s="2" t="s">
        <v>26</v>
      </c>
      <c r="J2769" s="2" t="s">
        <v>7758</v>
      </c>
      <c r="K2769" s="2" t="s">
        <v>89</v>
      </c>
      <c r="L2769" s="2"/>
      <c r="M2769" s="2" t="s">
        <v>2325</v>
      </c>
    </row>
    <row r="2770" customFormat="false" ht="15" hidden="false" customHeight="false" outlineLevel="0" collapsed="false">
      <c r="A2770" s="2" t="s">
        <v>7759</v>
      </c>
      <c r="B2770" s="2" t="s">
        <v>6062</v>
      </c>
      <c r="C2770" s="2" t="s">
        <v>6063</v>
      </c>
      <c r="D2770" s="13" t="n">
        <v>45576.7680555556</v>
      </c>
      <c r="E2770" s="2" t="s">
        <v>37</v>
      </c>
      <c r="F2770" s="2" t="s">
        <v>27</v>
      </c>
      <c r="G2770" s="2" t="n">
        <v>1023.49</v>
      </c>
      <c r="H2770" s="2" t="n">
        <v>8.38</v>
      </c>
      <c r="I2770" s="2" t="s">
        <v>30</v>
      </c>
      <c r="J2770" s="2" t="s">
        <v>7760</v>
      </c>
      <c r="K2770" s="2" t="s">
        <v>122</v>
      </c>
      <c r="L2770" s="2"/>
      <c r="M2770" s="2" t="s">
        <v>1645</v>
      </c>
    </row>
    <row r="2771" customFormat="false" ht="15" hidden="false" customHeight="false" outlineLevel="0" collapsed="false">
      <c r="A2771" s="2" t="s">
        <v>7761</v>
      </c>
      <c r="B2771" s="2" t="s">
        <v>6490</v>
      </c>
      <c r="C2771" s="2" t="s">
        <v>6491</v>
      </c>
      <c r="D2771" s="13" t="n">
        <v>45301.4069444445</v>
      </c>
      <c r="E2771" s="2" t="s">
        <v>39</v>
      </c>
      <c r="F2771" s="2" t="s">
        <v>31</v>
      </c>
      <c r="G2771" s="2" t="n">
        <v>1464.44</v>
      </c>
      <c r="H2771" s="2" t="n">
        <v>6.36</v>
      </c>
      <c r="I2771" s="2" t="s">
        <v>26</v>
      </c>
      <c r="J2771" s="2" t="s">
        <v>7762</v>
      </c>
      <c r="K2771" s="2" t="s">
        <v>95</v>
      </c>
      <c r="L2771" s="2" t="s">
        <v>428</v>
      </c>
      <c r="M2771" s="2"/>
    </row>
    <row r="2772" customFormat="false" ht="15" hidden="false" customHeight="false" outlineLevel="0" collapsed="false">
      <c r="A2772" s="2" t="s">
        <v>7763</v>
      </c>
      <c r="B2772" s="2" t="s">
        <v>1171</v>
      </c>
      <c r="C2772" s="2" t="s">
        <v>1172</v>
      </c>
      <c r="D2772" s="13" t="n">
        <v>45961.7645833333</v>
      </c>
      <c r="E2772" s="2" t="s">
        <v>37</v>
      </c>
      <c r="F2772" s="2" t="s">
        <v>27</v>
      </c>
      <c r="G2772" s="2" t="n">
        <v>3101.22</v>
      </c>
      <c r="H2772" s="2" t="n">
        <v>20.51</v>
      </c>
      <c r="I2772" s="2" t="s">
        <v>26</v>
      </c>
      <c r="J2772" s="2" t="s">
        <v>7764</v>
      </c>
      <c r="K2772" s="2" t="s">
        <v>122</v>
      </c>
      <c r="L2772" s="2"/>
      <c r="M2772" s="2" t="s">
        <v>1282</v>
      </c>
    </row>
    <row r="2773" customFormat="false" ht="15" hidden="false" customHeight="false" outlineLevel="0" collapsed="false">
      <c r="A2773" s="2" t="s">
        <v>7765</v>
      </c>
      <c r="B2773" s="2" t="s">
        <v>2066</v>
      </c>
      <c r="C2773" s="2" t="s">
        <v>2067</v>
      </c>
      <c r="D2773" s="13" t="n">
        <v>45489.4840277778</v>
      </c>
      <c r="E2773" s="2" t="s">
        <v>39</v>
      </c>
      <c r="F2773" s="2" t="s">
        <v>29</v>
      </c>
      <c r="G2773" s="2" t="n">
        <v>6445.33</v>
      </c>
      <c r="H2773" s="2" t="n">
        <v>32.28</v>
      </c>
      <c r="I2773" s="2" t="s">
        <v>26</v>
      </c>
      <c r="J2773" s="2" t="s">
        <v>7766</v>
      </c>
      <c r="K2773" s="2" t="s">
        <v>122</v>
      </c>
      <c r="L2773" s="2" t="s">
        <v>438</v>
      </c>
      <c r="M2773" s="2"/>
    </row>
    <row r="2774" customFormat="false" ht="15" hidden="false" customHeight="false" outlineLevel="0" collapsed="false">
      <c r="A2774" s="2" t="s">
        <v>7767</v>
      </c>
      <c r="B2774" s="2" t="s">
        <v>2290</v>
      </c>
      <c r="C2774" s="2" t="s">
        <v>2291</v>
      </c>
      <c r="D2774" s="13" t="n">
        <v>45624.3263888889</v>
      </c>
      <c r="E2774" s="2" t="s">
        <v>39</v>
      </c>
      <c r="F2774" s="2" t="s">
        <v>29</v>
      </c>
      <c r="G2774" s="2" t="n">
        <v>19592.1</v>
      </c>
      <c r="H2774" s="2" t="n">
        <v>86.46</v>
      </c>
      <c r="I2774" s="2" t="s">
        <v>26</v>
      </c>
      <c r="J2774" s="2" t="s">
        <v>7768</v>
      </c>
      <c r="K2774" s="2" t="s">
        <v>95</v>
      </c>
      <c r="L2774" s="2" t="s">
        <v>443</v>
      </c>
      <c r="M2774" s="2"/>
    </row>
    <row r="2775" customFormat="false" ht="15" hidden="false" customHeight="false" outlineLevel="0" collapsed="false">
      <c r="A2775" s="2" t="s">
        <v>7769</v>
      </c>
      <c r="B2775" s="2" t="s">
        <v>2732</v>
      </c>
      <c r="C2775" s="2" t="s">
        <v>2733</v>
      </c>
      <c r="D2775" s="13" t="n">
        <v>45610.9444444445</v>
      </c>
      <c r="E2775" s="2" t="s">
        <v>37</v>
      </c>
      <c r="F2775" s="2" t="s">
        <v>29</v>
      </c>
      <c r="G2775" s="2" t="n">
        <v>987.17</v>
      </c>
      <c r="H2775" s="2" t="n">
        <v>5</v>
      </c>
      <c r="I2775" s="2" t="s">
        <v>26</v>
      </c>
      <c r="J2775" s="2" t="s">
        <v>7770</v>
      </c>
      <c r="K2775" s="2" t="s">
        <v>122</v>
      </c>
      <c r="L2775" s="2" t="s">
        <v>2186</v>
      </c>
      <c r="M2775" s="2"/>
    </row>
    <row r="2776" customFormat="false" ht="15" hidden="false" customHeight="false" outlineLevel="0" collapsed="false">
      <c r="A2776" s="2" t="s">
        <v>7771</v>
      </c>
      <c r="B2776" s="2" t="s">
        <v>1279</v>
      </c>
      <c r="C2776" s="2" t="s">
        <v>1280</v>
      </c>
      <c r="D2776" s="13" t="n">
        <v>45304.7173611111</v>
      </c>
      <c r="E2776" s="2" t="s">
        <v>43</v>
      </c>
      <c r="F2776" s="2" t="s">
        <v>31</v>
      </c>
      <c r="G2776" s="2" t="n">
        <v>968.42</v>
      </c>
      <c r="H2776" s="2" t="n">
        <v>11.15</v>
      </c>
      <c r="I2776" s="2" t="s">
        <v>30</v>
      </c>
      <c r="J2776" s="2" t="s">
        <v>7772</v>
      </c>
      <c r="K2776" s="2" t="s">
        <v>122</v>
      </c>
      <c r="L2776" s="2"/>
      <c r="M2776" s="2" t="s">
        <v>3272</v>
      </c>
    </row>
    <row r="2777" customFormat="false" ht="15" hidden="false" customHeight="false" outlineLevel="0" collapsed="false">
      <c r="A2777" s="2" t="s">
        <v>7773</v>
      </c>
      <c r="B2777" s="2" t="s">
        <v>4012</v>
      </c>
      <c r="C2777" s="2" t="s">
        <v>4013</v>
      </c>
      <c r="D2777" s="13" t="n">
        <v>45884.54375</v>
      </c>
      <c r="E2777" s="2" t="s">
        <v>39</v>
      </c>
      <c r="F2777" s="2" t="s">
        <v>31</v>
      </c>
      <c r="G2777" s="2" t="n">
        <v>2912.48</v>
      </c>
      <c r="H2777" s="2" t="n">
        <v>7.46</v>
      </c>
      <c r="I2777" s="2" t="s">
        <v>26</v>
      </c>
      <c r="J2777" s="2" t="s">
        <v>7774</v>
      </c>
      <c r="K2777" s="2" t="s">
        <v>122</v>
      </c>
      <c r="L2777" s="2" t="s">
        <v>458</v>
      </c>
      <c r="M2777" s="2"/>
    </row>
    <row r="2778" customFormat="false" ht="15" hidden="false" customHeight="false" outlineLevel="0" collapsed="false">
      <c r="A2778" s="2" t="s">
        <v>7775</v>
      </c>
      <c r="B2778" s="2" t="s">
        <v>3209</v>
      </c>
      <c r="C2778" s="2" t="s">
        <v>3210</v>
      </c>
      <c r="D2778" s="13" t="n">
        <v>45698.3430555556</v>
      </c>
      <c r="E2778" s="2" t="s">
        <v>43</v>
      </c>
      <c r="F2778" s="2" t="s">
        <v>31</v>
      </c>
      <c r="G2778" s="2" t="n">
        <v>1671.63</v>
      </c>
      <c r="H2778" s="2" t="n">
        <v>5</v>
      </c>
      <c r="I2778" s="2" t="s">
        <v>26</v>
      </c>
      <c r="J2778" s="2" t="s">
        <v>7776</v>
      </c>
      <c r="K2778" s="2" t="s">
        <v>89</v>
      </c>
      <c r="L2778" s="2"/>
      <c r="M2778" s="2" t="s">
        <v>463</v>
      </c>
    </row>
    <row r="2779" customFormat="false" ht="15" hidden="false" customHeight="false" outlineLevel="0" collapsed="false">
      <c r="A2779" s="2" t="s">
        <v>7777</v>
      </c>
      <c r="B2779" s="2" t="s">
        <v>2697</v>
      </c>
      <c r="C2779" s="2" t="s">
        <v>2698</v>
      </c>
      <c r="D2779" s="13" t="n">
        <v>45763.9361111111</v>
      </c>
      <c r="E2779" s="2" t="s">
        <v>43</v>
      </c>
      <c r="F2779" s="2" t="s">
        <v>29</v>
      </c>
      <c r="G2779" s="2" t="n">
        <v>7141.92</v>
      </c>
      <c r="H2779" s="2" t="n">
        <v>21.7</v>
      </c>
      <c r="I2779" s="2" t="s">
        <v>26</v>
      </c>
      <c r="J2779" s="2" t="s">
        <v>7778</v>
      </c>
      <c r="K2779" s="2" t="s">
        <v>122</v>
      </c>
      <c r="L2779" s="2"/>
      <c r="M2779" s="2" t="s">
        <v>1677</v>
      </c>
    </row>
    <row r="2780" customFormat="false" ht="15" hidden="false" customHeight="false" outlineLevel="0" collapsed="false">
      <c r="A2780" s="2" t="s">
        <v>7779</v>
      </c>
      <c r="B2780" s="2" t="s">
        <v>2222</v>
      </c>
      <c r="C2780" s="2" t="s">
        <v>2223</v>
      </c>
      <c r="D2780" s="13" t="n">
        <v>45873.8215277778</v>
      </c>
      <c r="E2780" s="2" t="s">
        <v>39</v>
      </c>
      <c r="F2780" s="2" t="s">
        <v>32</v>
      </c>
      <c r="G2780" s="2" t="n">
        <v>956.31</v>
      </c>
      <c r="H2780" s="2" t="n">
        <v>7.8</v>
      </c>
      <c r="I2780" s="2" t="s">
        <v>26</v>
      </c>
      <c r="J2780" s="2" t="s">
        <v>7780</v>
      </c>
      <c r="K2780" s="2" t="s">
        <v>95</v>
      </c>
      <c r="L2780" s="2" t="s">
        <v>473</v>
      </c>
      <c r="M2780" s="2"/>
    </row>
    <row r="2781" customFormat="false" ht="15" hidden="false" customHeight="false" outlineLevel="0" collapsed="false">
      <c r="A2781" s="2" t="s">
        <v>7781</v>
      </c>
      <c r="B2781" s="2" t="s">
        <v>4814</v>
      </c>
      <c r="C2781" s="2" t="s">
        <v>4815</v>
      </c>
      <c r="D2781" s="13" t="n">
        <v>45817.9402777778</v>
      </c>
      <c r="E2781" s="2" t="s">
        <v>43</v>
      </c>
      <c r="F2781" s="2" t="s">
        <v>32</v>
      </c>
      <c r="G2781" s="2" t="n">
        <v>4454.95</v>
      </c>
      <c r="H2781" s="2" t="n">
        <v>29.06</v>
      </c>
      <c r="I2781" s="2" t="s">
        <v>26</v>
      </c>
      <c r="J2781" s="2" t="s">
        <v>7782</v>
      </c>
      <c r="K2781" s="2" t="s">
        <v>95</v>
      </c>
      <c r="L2781" s="2"/>
      <c r="M2781" s="2" t="s">
        <v>1686</v>
      </c>
    </row>
    <row r="2782" customFormat="false" ht="15" hidden="false" customHeight="false" outlineLevel="0" collapsed="false">
      <c r="A2782" s="2" t="s">
        <v>7783</v>
      </c>
      <c r="B2782" s="2" t="s">
        <v>1540</v>
      </c>
      <c r="C2782" s="2" t="s">
        <v>1541</v>
      </c>
      <c r="D2782" s="13" t="n">
        <v>45648.8145833333</v>
      </c>
      <c r="E2782" s="2" t="s">
        <v>41</v>
      </c>
      <c r="F2782" s="2" t="s">
        <v>27</v>
      </c>
      <c r="G2782" s="2" t="n">
        <v>9837.81</v>
      </c>
      <c r="H2782" s="2" t="n">
        <v>62.06</v>
      </c>
      <c r="I2782" s="2" t="s">
        <v>26</v>
      </c>
      <c r="J2782" s="2" t="s">
        <v>7784</v>
      </c>
      <c r="K2782" s="2" t="s">
        <v>95</v>
      </c>
      <c r="L2782" s="2"/>
      <c r="M2782" s="2" t="s">
        <v>2044</v>
      </c>
    </row>
    <row r="2783" customFormat="false" ht="15" hidden="false" customHeight="false" outlineLevel="0" collapsed="false">
      <c r="A2783" s="2" t="s">
        <v>7785</v>
      </c>
      <c r="B2783" s="2" t="s">
        <v>3414</v>
      </c>
      <c r="C2783" s="2" t="s">
        <v>3415</v>
      </c>
      <c r="D2783" s="13" t="n">
        <v>46004.5833333333</v>
      </c>
      <c r="E2783" s="2" t="s">
        <v>35</v>
      </c>
      <c r="F2783" s="2" t="s">
        <v>27</v>
      </c>
      <c r="G2783" s="2" t="n">
        <v>4984.96</v>
      </c>
      <c r="H2783" s="2" t="n">
        <v>54.8</v>
      </c>
      <c r="I2783" s="2" t="s">
        <v>26</v>
      </c>
      <c r="J2783" s="2" t="s">
        <v>7786</v>
      </c>
      <c r="K2783" s="2" t="s">
        <v>101</v>
      </c>
      <c r="L2783" s="2"/>
      <c r="M2783" s="2" t="s">
        <v>921</v>
      </c>
    </row>
    <row r="2784" customFormat="false" ht="15" hidden="false" customHeight="false" outlineLevel="0" collapsed="false">
      <c r="A2784" s="2" t="s">
        <v>7787</v>
      </c>
      <c r="B2784" s="2" t="s">
        <v>490</v>
      </c>
      <c r="C2784" s="2" t="s">
        <v>491</v>
      </c>
      <c r="D2784" s="13" t="n">
        <v>45410.5791666667</v>
      </c>
      <c r="E2784" s="2" t="s">
        <v>39</v>
      </c>
      <c r="F2784" s="2" t="s">
        <v>31</v>
      </c>
      <c r="G2784" s="2" t="n">
        <v>999.64</v>
      </c>
      <c r="H2784" s="2" t="n">
        <v>9.26</v>
      </c>
      <c r="I2784" s="2" t="s">
        <v>26</v>
      </c>
      <c r="J2784" s="2" t="s">
        <v>7788</v>
      </c>
      <c r="K2784" s="2" t="s">
        <v>122</v>
      </c>
      <c r="L2784" s="2" t="s">
        <v>1122</v>
      </c>
      <c r="M2784" s="2"/>
    </row>
    <row r="2785" customFormat="false" ht="15" hidden="false" customHeight="false" outlineLevel="0" collapsed="false">
      <c r="A2785" s="2" t="s">
        <v>7789</v>
      </c>
      <c r="B2785" s="2" t="s">
        <v>654</v>
      </c>
      <c r="C2785" s="2" t="s">
        <v>655</v>
      </c>
      <c r="D2785" s="13" t="n">
        <v>45826.3868055556</v>
      </c>
      <c r="E2785" s="2" t="s">
        <v>37</v>
      </c>
      <c r="F2785" s="2" t="s">
        <v>29</v>
      </c>
      <c r="G2785" s="2" t="n">
        <v>12495.22</v>
      </c>
      <c r="H2785" s="2" t="n">
        <v>119</v>
      </c>
      <c r="I2785" s="2" t="s">
        <v>28</v>
      </c>
      <c r="J2785" s="2" t="s">
        <v>7790</v>
      </c>
      <c r="K2785" s="2" t="s">
        <v>89</v>
      </c>
      <c r="L2785" s="2" t="s">
        <v>1127</v>
      </c>
      <c r="M2785" s="2"/>
    </row>
    <row r="2786" customFormat="false" ht="15" hidden="false" customHeight="false" outlineLevel="0" collapsed="false">
      <c r="A2786" s="2" t="s">
        <v>7791</v>
      </c>
      <c r="B2786" s="2" t="s">
        <v>1824</v>
      </c>
      <c r="C2786" s="2" t="s">
        <v>1825</v>
      </c>
      <c r="D2786" s="13" t="n">
        <v>45537.8784722222</v>
      </c>
      <c r="E2786" s="2" t="s">
        <v>41</v>
      </c>
      <c r="F2786" s="2" t="s">
        <v>32</v>
      </c>
      <c r="G2786" s="2" t="n">
        <v>3283.67</v>
      </c>
      <c r="H2786" s="2" t="n">
        <v>25.22</v>
      </c>
      <c r="I2786" s="2" t="s">
        <v>30</v>
      </c>
      <c r="J2786" s="2" t="s">
        <v>7792</v>
      </c>
      <c r="K2786" s="2" t="s">
        <v>89</v>
      </c>
      <c r="L2786" s="2" t="s">
        <v>503</v>
      </c>
      <c r="M2786" s="2"/>
    </row>
    <row r="2787" customFormat="false" ht="15" hidden="false" customHeight="false" outlineLevel="0" collapsed="false">
      <c r="A2787" s="2" t="s">
        <v>7793</v>
      </c>
      <c r="B2787" s="2" t="s">
        <v>3596</v>
      </c>
      <c r="C2787" s="2" t="s">
        <v>3597</v>
      </c>
      <c r="D2787" s="13" t="n">
        <v>45875.8611111111</v>
      </c>
      <c r="E2787" s="2" t="s">
        <v>43</v>
      </c>
      <c r="F2787" s="2" t="s">
        <v>31</v>
      </c>
      <c r="G2787" s="2" t="n">
        <v>1612.94</v>
      </c>
      <c r="H2787" s="2" t="n">
        <v>17.45</v>
      </c>
      <c r="I2787" s="2" t="s">
        <v>26</v>
      </c>
      <c r="J2787" s="2" t="s">
        <v>7794</v>
      </c>
      <c r="K2787" s="2" t="s">
        <v>89</v>
      </c>
      <c r="L2787" s="2"/>
      <c r="M2787" s="2" t="s">
        <v>2706</v>
      </c>
    </row>
    <row r="2788" customFormat="false" ht="15" hidden="false" customHeight="false" outlineLevel="0" collapsed="false">
      <c r="A2788" s="2" t="s">
        <v>7795</v>
      </c>
      <c r="B2788" s="2" t="s">
        <v>5750</v>
      </c>
      <c r="C2788" s="2" t="s">
        <v>5751</v>
      </c>
      <c r="D2788" s="13" t="n">
        <v>45368.6</v>
      </c>
      <c r="E2788" s="2" t="s">
        <v>35</v>
      </c>
      <c r="F2788" s="2" t="s">
        <v>29</v>
      </c>
      <c r="G2788" s="2" t="n">
        <v>5074.57</v>
      </c>
      <c r="H2788" s="2" t="n">
        <v>47.38</v>
      </c>
      <c r="I2788" s="2" t="s">
        <v>26</v>
      </c>
      <c r="J2788" s="2" t="s">
        <v>7796</v>
      </c>
      <c r="K2788" s="2" t="s">
        <v>101</v>
      </c>
      <c r="L2788" s="2" t="s">
        <v>1139</v>
      </c>
      <c r="M2788" s="2"/>
    </row>
    <row r="2789" customFormat="false" ht="15" hidden="false" customHeight="false" outlineLevel="0" collapsed="false">
      <c r="A2789" s="2" t="s">
        <v>7797</v>
      </c>
      <c r="B2789" s="2" t="s">
        <v>5732</v>
      </c>
      <c r="C2789" s="2" t="s">
        <v>5733</v>
      </c>
      <c r="D2789" s="13" t="n">
        <v>45851.3895833333</v>
      </c>
      <c r="E2789" s="2" t="s">
        <v>43</v>
      </c>
      <c r="F2789" s="2" t="s">
        <v>31</v>
      </c>
      <c r="G2789" s="2" t="n">
        <v>34969.92</v>
      </c>
      <c r="H2789" s="2" t="n">
        <v>242.87</v>
      </c>
      <c r="I2789" s="2" t="s">
        <v>30</v>
      </c>
      <c r="J2789" s="2" t="s">
        <v>7798</v>
      </c>
      <c r="K2789" s="2" t="s">
        <v>89</v>
      </c>
      <c r="L2789" s="2"/>
      <c r="M2789" s="2" t="s">
        <v>2390</v>
      </c>
    </row>
    <row r="2790" customFormat="false" ht="15" hidden="false" customHeight="false" outlineLevel="0" collapsed="false">
      <c r="A2790" s="2" t="s">
        <v>7799</v>
      </c>
      <c r="B2790" s="2" t="s">
        <v>2655</v>
      </c>
      <c r="C2790" s="2" t="s">
        <v>2656</v>
      </c>
      <c r="D2790" s="13" t="n">
        <v>45994.51875</v>
      </c>
      <c r="E2790" s="2" t="s">
        <v>43</v>
      </c>
      <c r="F2790" s="2" t="s">
        <v>27</v>
      </c>
      <c r="G2790" s="2" t="n">
        <v>11710.36</v>
      </c>
      <c r="H2790" s="2" t="n">
        <v>29.78</v>
      </c>
      <c r="I2790" s="2" t="s">
        <v>30</v>
      </c>
      <c r="J2790" s="2" t="s">
        <v>7800</v>
      </c>
      <c r="K2790" s="2" t="s">
        <v>89</v>
      </c>
      <c r="L2790" s="2"/>
      <c r="M2790" s="2" t="s">
        <v>950</v>
      </c>
    </row>
    <row r="2791" customFormat="false" ht="15" hidden="false" customHeight="false" outlineLevel="0" collapsed="false">
      <c r="A2791" s="2" t="s">
        <v>7801</v>
      </c>
      <c r="B2791" s="2" t="s">
        <v>2147</v>
      </c>
      <c r="C2791" s="2" t="s">
        <v>2148</v>
      </c>
      <c r="D2791" s="13" t="n">
        <v>45724.4145833333</v>
      </c>
      <c r="E2791" s="2" t="s">
        <v>37</v>
      </c>
      <c r="F2791" s="2" t="s">
        <v>27</v>
      </c>
      <c r="G2791" s="2" t="n">
        <v>12297.05</v>
      </c>
      <c r="H2791" s="2" t="n">
        <v>130.37</v>
      </c>
      <c r="I2791" s="2" t="s">
        <v>30</v>
      </c>
      <c r="J2791" s="2" t="s">
        <v>7802</v>
      </c>
      <c r="K2791" s="2" t="s">
        <v>122</v>
      </c>
      <c r="L2791" s="2"/>
      <c r="M2791" s="2" t="s">
        <v>528</v>
      </c>
    </row>
    <row r="2792" customFormat="false" ht="15" hidden="false" customHeight="false" outlineLevel="0" collapsed="false">
      <c r="A2792" s="2" t="s">
        <v>7803</v>
      </c>
      <c r="B2792" s="2" t="s">
        <v>5276</v>
      </c>
      <c r="C2792" s="2" t="s">
        <v>5277</v>
      </c>
      <c r="D2792" s="13" t="n">
        <v>45397.95</v>
      </c>
      <c r="E2792" s="2" t="s">
        <v>41</v>
      </c>
      <c r="F2792" s="2" t="s">
        <v>31</v>
      </c>
      <c r="G2792" s="2" t="n">
        <v>3760.9</v>
      </c>
      <c r="H2792" s="2" t="n">
        <v>30.44</v>
      </c>
      <c r="I2792" s="2" t="s">
        <v>26</v>
      </c>
      <c r="J2792" s="2" t="s">
        <v>7804</v>
      </c>
      <c r="K2792" s="2" t="s">
        <v>122</v>
      </c>
      <c r="L2792" s="2" t="s">
        <v>1726</v>
      </c>
      <c r="M2792" s="2"/>
    </row>
    <row r="2793" customFormat="false" ht="15" hidden="false" customHeight="false" outlineLevel="0" collapsed="false">
      <c r="A2793" s="2" t="s">
        <v>7805</v>
      </c>
      <c r="B2793" s="2" t="s">
        <v>5878</v>
      </c>
      <c r="C2793" s="2" t="s">
        <v>5879</v>
      </c>
      <c r="D2793" s="13" t="n">
        <v>45862.30625</v>
      </c>
      <c r="E2793" s="2" t="s">
        <v>41</v>
      </c>
      <c r="F2793" s="2" t="s">
        <v>29</v>
      </c>
      <c r="G2793" s="2" t="n">
        <v>20152.51</v>
      </c>
      <c r="H2793" s="2" t="n">
        <v>109.76</v>
      </c>
      <c r="I2793" s="2" t="s">
        <v>30</v>
      </c>
      <c r="J2793" s="2" t="s">
        <v>7806</v>
      </c>
      <c r="K2793" s="2" t="s">
        <v>89</v>
      </c>
      <c r="L2793" s="2" t="s">
        <v>1160</v>
      </c>
      <c r="M2793" s="2"/>
    </row>
    <row r="2794" customFormat="false" ht="15" hidden="false" customHeight="false" outlineLevel="0" collapsed="false">
      <c r="A2794" s="2" t="s">
        <v>7807</v>
      </c>
      <c r="B2794" s="2" t="s">
        <v>5382</v>
      </c>
      <c r="C2794" s="2" t="s">
        <v>5383</v>
      </c>
      <c r="D2794" s="13" t="n">
        <v>45930.9381944445</v>
      </c>
      <c r="E2794" s="2" t="s">
        <v>37</v>
      </c>
      <c r="F2794" s="2" t="s">
        <v>32</v>
      </c>
      <c r="G2794" s="2" t="n">
        <v>9744.66</v>
      </c>
      <c r="H2794" s="2" t="n">
        <v>87.92</v>
      </c>
      <c r="I2794" s="2" t="s">
        <v>26</v>
      </c>
      <c r="J2794" s="2" t="s">
        <v>7808</v>
      </c>
      <c r="K2794" s="2" t="s">
        <v>89</v>
      </c>
      <c r="L2794" s="2" t="s">
        <v>541</v>
      </c>
      <c r="M2794" s="2"/>
    </row>
    <row r="2795" customFormat="false" ht="15" hidden="false" customHeight="false" outlineLevel="0" collapsed="false">
      <c r="A2795" s="2" t="s">
        <v>7809</v>
      </c>
      <c r="B2795" s="2" t="s">
        <v>6730</v>
      </c>
      <c r="C2795" s="2" t="s">
        <v>6731</v>
      </c>
      <c r="D2795" s="13" t="n">
        <v>45528.3416666667</v>
      </c>
      <c r="E2795" s="2" t="s">
        <v>37</v>
      </c>
      <c r="F2795" s="2" t="s">
        <v>32</v>
      </c>
      <c r="G2795" s="2" t="n">
        <v>1377.71</v>
      </c>
      <c r="H2795" s="2" t="n">
        <v>10.45</v>
      </c>
      <c r="I2795" s="2" t="s">
        <v>26</v>
      </c>
      <c r="J2795" s="2" t="s">
        <v>7810</v>
      </c>
      <c r="K2795" s="2" t="s">
        <v>101</v>
      </c>
      <c r="L2795" s="2" t="s">
        <v>1169</v>
      </c>
      <c r="M2795" s="2"/>
    </row>
    <row r="2796" customFormat="false" ht="15" hidden="false" customHeight="false" outlineLevel="0" collapsed="false">
      <c r="A2796" s="2" t="s">
        <v>7811</v>
      </c>
      <c r="B2796" s="2" t="s">
        <v>1625</v>
      </c>
      <c r="C2796" s="2" t="s">
        <v>1626</v>
      </c>
      <c r="D2796" s="13" t="n">
        <v>45603.8930555556</v>
      </c>
      <c r="E2796" s="2" t="s">
        <v>43</v>
      </c>
      <c r="F2796" s="2" t="s">
        <v>32</v>
      </c>
      <c r="G2796" s="2" t="n">
        <v>6374.9</v>
      </c>
      <c r="H2796" s="2" t="n">
        <v>66.48</v>
      </c>
      <c r="I2796" s="2" t="s">
        <v>26</v>
      </c>
      <c r="J2796" s="2" t="s">
        <v>7812</v>
      </c>
      <c r="K2796" s="2" t="s">
        <v>101</v>
      </c>
      <c r="L2796" s="2"/>
      <c r="M2796" s="2" t="s">
        <v>551</v>
      </c>
    </row>
    <row r="2797" customFormat="false" ht="15" hidden="false" customHeight="false" outlineLevel="0" collapsed="false">
      <c r="A2797" s="2" t="s">
        <v>7813</v>
      </c>
      <c r="B2797" s="2" t="s">
        <v>2371</v>
      </c>
      <c r="C2797" s="2" t="s">
        <v>2372</v>
      </c>
      <c r="D2797" s="13" t="n">
        <v>45905.3368055556</v>
      </c>
      <c r="E2797" s="2" t="s">
        <v>43</v>
      </c>
      <c r="F2797" s="2" t="s">
        <v>32</v>
      </c>
      <c r="G2797" s="2" t="n">
        <v>8041.78</v>
      </c>
      <c r="H2797" s="2" t="n">
        <v>37.18</v>
      </c>
      <c r="I2797" s="2" t="s">
        <v>26</v>
      </c>
      <c r="J2797" s="2" t="s">
        <v>7814</v>
      </c>
      <c r="K2797" s="2" t="s">
        <v>122</v>
      </c>
      <c r="L2797" s="2"/>
      <c r="M2797" s="2" t="s">
        <v>981</v>
      </c>
    </row>
    <row r="2798" customFormat="false" ht="15" hidden="false" customHeight="false" outlineLevel="0" collapsed="false">
      <c r="A2798" s="2" t="s">
        <v>7815</v>
      </c>
      <c r="B2798" s="2" t="s">
        <v>591</v>
      </c>
      <c r="C2798" s="2" t="s">
        <v>592</v>
      </c>
      <c r="D2798" s="13" t="n">
        <v>45789.91875</v>
      </c>
      <c r="E2798" s="2" t="s">
        <v>41</v>
      </c>
      <c r="F2798" s="2" t="s">
        <v>27</v>
      </c>
      <c r="G2798" s="2" t="n">
        <v>4572.63</v>
      </c>
      <c r="H2798" s="2" t="n">
        <v>48.03</v>
      </c>
      <c r="I2798" s="2" t="s">
        <v>28</v>
      </c>
      <c r="J2798" s="2" t="s">
        <v>7816</v>
      </c>
      <c r="K2798" s="2" t="s">
        <v>95</v>
      </c>
      <c r="L2798" s="2"/>
      <c r="M2798" s="2" t="s">
        <v>561</v>
      </c>
    </row>
    <row r="2799" customFormat="false" ht="15" hidden="false" customHeight="false" outlineLevel="0" collapsed="false">
      <c r="A2799" s="2" t="s">
        <v>7817</v>
      </c>
      <c r="B2799" s="2" t="s">
        <v>1632</v>
      </c>
      <c r="C2799" s="2" t="s">
        <v>1633</v>
      </c>
      <c r="D2799" s="13" t="n">
        <v>45923.7826388889</v>
      </c>
      <c r="E2799" s="2" t="s">
        <v>43</v>
      </c>
      <c r="F2799" s="2" t="s">
        <v>32</v>
      </c>
      <c r="G2799" s="2" t="n">
        <v>3051.26</v>
      </c>
      <c r="H2799" s="2" t="n">
        <v>14.59</v>
      </c>
      <c r="I2799" s="2" t="s">
        <v>26</v>
      </c>
      <c r="J2799" s="2" t="s">
        <v>7818</v>
      </c>
      <c r="K2799" s="2" t="s">
        <v>95</v>
      </c>
      <c r="L2799" s="2"/>
      <c r="M2799" s="2" t="s">
        <v>2097</v>
      </c>
    </row>
    <row r="2800" customFormat="false" ht="15" hidden="false" customHeight="false" outlineLevel="0" collapsed="false">
      <c r="A2800" s="2" t="s">
        <v>7819</v>
      </c>
      <c r="B2800" s="2" t="s">
        <v>360</v>
      </c>
      <c r="C2800" s="2" t="s">
        <v>361</v>
      </c>
      <c r="D2800" s="13" t="n">
        <v>45940.2965277778</v>
      </c>
      <c r="E2800" s="2" t="s">
        <v>37</v>
      </c>
      <c r="F2800" s="2" t="s">
        <v>29</v>
      </c>
      <c r="G2800" s="2" t="n">
        <v>633.8</v>
      </c>
      <c r="H2800" s="2" t="n">
        <v>5</v>
      </c>
      <c r="I2800" s="2" t="s">
        <v>26</v>
      </c>
      <c r="J2800" s="2" t="s">
        <v>7820</v>
      </c>
      <c r="K2800" s="2" t="s">
        <v>101</v>
      </c>
      <c r="L2800" s="2" t="s">
        <v>1190</v>
      </c>
      <c r="M2800" s="2"/>
    </row>
    <row r="2801" customFormat="false" ht="15" hidden="false" customHeight="false" outlineLevel="0" collapsed="false">
      <c r="A2801" s="2" t="s">
        <v>7821</v>
      </c>
      <c r="B2801" s="2" t="s">
        <v>1223</v>
      </c>
      <c r="C2801" s="2" t="s">
        <v>1224</v>
      </c>
      <c r="D2801" s="13" t="n">
        <v>45397.56875</v>
      </c>
      <c r="E2801" s="2" t="s">
        <v>41</v>
      </c>
      <c r="F2801" s="2" t="s">
        <v>32</v>
      </c>
      <c r="G2801" s="2" t="n">
        <v>8363.11</v>
      </c>
      <c r="H2801" s="2" t="n">
        <v>98.91</v>
      </c>
      <c r="I2801" s="2" t="s">
        <v>26</v>
      </c>
      <c r="J2801" s="2" t="s">
        <v>7822</v>
      </c>
      <c r="K2801" s="2" t="s">
        <v>122</v>
      </c>
      <c r="L2801" s="2" t="s">
        <v>1759</v>
      </c>
      <c r="M2801" s="2"/>
    </row>
    <row r="2802" customFormat="false" ht="15" hidden="false" customHeight="false" outlineLevel="0" collapsed="false">
      <c r="A2802" s="2" t="s">
        <v>7823</v>
      </c>
      <c r="B2802" s="2" t="s">
        <v>880</v>
      </c>
      <c r="C2802" s="2" t="s">
        <v>881</v>
      </c>
      <c r="D2802" s="13" t="n">
        <v>45306.56875</v>
      </c>
      <c r="E2802" s="2" t="s">
        <v>41</v>
      </c>
      <c r="F2802" s="2" t="s">
        <v>29</v>
      </c>
      <c r="G2802" s="2" t="n">
        <v>3984.73</v>
      </c>
      <c r="H2802" s="2" t="n">
        <v>20.71</v>
      </c>
      <c r="I2802" s="2" t="s">
        <v>26</v>
      </c>
      <c r="J2802" s="2" t="s">
        <v>7824</v>
      </c>
      <c r="K2802" s="2" t="s">
        <v>95</v>
      </c>
      <c r="L2802" s="2" t="s">
        <v>1199</v>
      </c>
      <c r="M2802" s="2"/>
    </row>
    <row r="2803" customFormat="false" ht="15" hidden="false" customHeight="false" outlineLevel="0" collapsed="false">
      <c r="A2803" s="2" t="s">
        <v>7825</v>
      </c>
      <c r="B2803" s="2" t="s">
        <v>2924</v>
      </c>
      <c r="C2803" s="2" t="s">
        <v>2925</v>
      </c>
      <c r="D2803" s="13" t="n">
        <v>45577.5944444445</v>
      </c>
      <c r="E2803" s="2" t="s">
        <v>35</v>
      </c>
      <c r="F2803" s="2" t="s">
        <v>27</v>
      </c>
      <c r="G2803" s="2" t="n">
        <v>5866.52</v>
      </c>
      <c r="H2803" s="2" t="n">
        <v>23.73</v>
      </c>
      <c r="I2803" s="2" t="s">
        <v>28</v>
      </c>
      <c r="J2803" s="2" t="s">
        <v>7826</v>
      </c>
      <c r="K2803" s="2" t="s">
        <v>122</v>
      </c>
      <c r="L2803" s="2"/>
      <c r="M2803" s="2" t="s">
        <v>1007</v>
      </c>
    </row>
    <row r="2804" customFormat="false" ht="15" hidden="false" customHeight="false" outlineLevel="0" collapsed="false">
      <c r="A2804" s="2" t="s">
        <v>7827</v>
      </c>
      <c r="B2804" s="2" t="s">
        <v>2881</v>
      </c>
      <c r="C2804" s="2" t="s">
        <v>2882</v>
      </c>
      <c r="D2804" s="13" t="n">
        <v>45739.5243055556</v>
      </c>
      <c r="E2804" s="2" t="s">
        <v>35</v>
      </c>
      <c r="F2804" s="2" t="s">
        <v>31</v>
      </c>
      <c r="G2804" s="2" t="n">
        <v>3345.98</v>
      </c>
      <c r="H2804" s="2" t="n">
        <v>29.81</v>
      </c>
      <c r="I2804" s="2" t="s">
        <v>26</v>
      </c>
      <c r="J2804" s="2" t="s">
        <v>7828</v>
      </c>
      <c r="K2804" s="2" t="s">
        <v>95</v>
      </c>
      <c r="L2804" s="2" t="s">
        <v>589</v>
      </c>
      <c r="M2804" s="2"/>
    </row>
    <row r="2805" customFormat="false" ht="15" hidden="false" customHeight="false" outlineLevel="0" collapsed="false">
      <c r="A2805" s="2" t="s">
        <v>7829</v>
      </c>
      <c r="B2805" s="2" t="s">
        <v>3734</v>
      </c>
      <c r="C2805" s="2" t="s">
        <v>3735</v>
      </c>
      <c r="D2805" s="13" t="n">
        <v>45591.3541666667</v>
      </c>
      <c r="E2805" s="2" t="s">
        <v>41</v>
      </c>
      <c r="F2805" s="2" t="s">
        <v>29</v>
      </c>
      <c r="G2805" s="2" t="n">
        <v>15334.99</v>
      </c>
      <c r="H2805" s="2" t="n">
        <v>110.32</v>
      </c>
      <c r="I2805" s="2" t="s">
        <v>30</v>
      </c>
      <c r="J2805" s="2" t="s">
        <v>7830</v>
      </c>
      <c r="K2805" s="2" t="s">
        <v>101</v>
      </c>
      <c r="L2805" s="2" t="s">
        <v>1212</v>
      </c>
      <c r="M2805" s="2"/>
    </row>
    <row r="2806" customFormat="false" ht="15" hidden="false" customHeight="false" outlineLevel="0" collapsed="false">
      <c r="A2806" s="2" t="s">
        <v>7831</v>
      </c>
      <c r="B2806" s="2" t="s">
        <v>1094</v>
      </c>
      <c r="C2806" s="2" t="s">
        <v>1095</v>
      </c>
      <c r="D2806" s="13" t="n">
        <v>45743.525</v>
      </c>
      <c r="E2806" s="2" t="s">
        <v>37</v>
      </c>
      <c r="F2806" s="2" t="s">
        <v>32</v>
      </c>
      <c r="G2806" s="2" t="n">
        <v>548.37</v>
      </c>
      <c r="H2806" s="2" t="n">
        <v>5</v>
      </c>
      <c r="I2806" s="2" t="s">
        <v>30</v>
      </c>
      <c r="J2806" s="2" t="s">
        <v>7832</v>
      </c>
      <c r="K2806" s="2" t="s">
        <v>101</v>
      </c>
      <c r="L2806" s="2" t="s">
        <v>599</v>
      </c>
      <c r="M2806" s="2"/>
    </row>
    <row r="2807" customFormat="false" ht="15" hidden="false" customHeight="false" outlineLevel="0" collapsed="false">
      <c r="A2807" s="2" t="s">
        <v>7833</v>
      </c>
      <c r="B2807" s="2" t="s">
        <v>974</v>
      </c>
      <c r="C2807" s="2" t="s">
        <v>975</v>
      </c>
      <c r="D2807" s="13" t="n">
        <v>45810.9069444445</v>
      </c>
      <c r="E2807" s="2" t="s">
        <v>41</v>
      </c>
      <c r="F2807" s="2" t="s">
        <v>27</v>
      </c>
      <c r="G2807" s="2" t="n">
        <v>1256.79</v>
      </c>
      <c r="H2807" s="2" t="n">
        <v>5</v>
      </c>
      <c r="I2807" s="2" t="s">
        <v>26</v>
      </c>
      <c r="J2807" s="2" t="s">
        <v>7834</v>
      </c>
      <c r="K2807" s="2" t="s">
        <v>95</v>
      </c>
      <c r="L2807" s="2"/>
      <c r="M2807" s="2" t="s">
        <v>1778</v>
      </c>
    </row>
    <row r="2808" customFormat="false" ht="15" hidden="false" customHeight="false" outlineLevel="0" collapsed="false">
      <c r="A2808" s="2" t="s">
        <v>7835</v>
      </c>
      <c r="B2808" s="2" t="s">
        <v>5082</v>
      </c>
      <c r="C2808" s="2" t="s">
        <v>5083</v>
      </c>
      <c r="D2808" s="13" t="n">
        <v>46015.3930555556</v>
      </c>
      <c r="E2808" s="2" t="s">
        <v>39</v>
      </c>
      <c r="F2808" s="2" t="s">
        <v>29</v>
      </c>
      <c r="G2808" s="2" t="n">
        <v>15540.02</v>
      </c>
      <c r="H2808" s="2" t="n">
        <v>34.2</v>
      </c>
      <c r="I2808" s="2" t="s">
        <v>26</v>
      </c>
      <c r="J2808" s="2" t="s">
        <v>7836</v>
      </c>
      <c r="K2808" s="2" t="s">
        <v>95</v>
      </c>
      <c r="L2808" s="2" t="s">
        <v>607</v>
      </c>
      <c r="M2808" s="2"/>
    </row>
    <row r="2809" customFormat="false" ht="15" hidden="false" customHeight="false" outlineLevel="0" collapsed="false">
      <c r="A2809" s="2" t="s">
        <v>7837</v>
      </c>
      <c r="B2809" s="2" t="s">
        <v>3014</v>
      </c>
      <c r="C2809" s="2" t="s">
        <v>3015</v>
      </c>
      <c r="D2809" s="13" t="n">
        <v>45752.3256944444</v>
      </c>
      <c r="E2809" s="2" t="s">
        <v>35</v>
      </c>
      <c r="F2809" s="2" t="s">
        <v>27</v>
      </c>
      <c r="G2809" s="2" t="n">
        <v>1999.92</v>
      </c>
      <c r="H2809" s="2" t="n">
        <v>5.91</v>
      </c>
      <c r="I2809" s="2" t="s">
        <v>26</v>
      </c>
      <c r="J2809" s="2" t="s">
        <v>7838</v>
      </c>
      <c r="K2809" s="2" t="s">
        <v>101</v>
      </c>
      <c r="L2809" s="2"/>
      <c r="M2809" s="2" t="s">
        <v>1425</v>
      </c>
    </row>
    <row r="2810" customFormat="false" ht="15" hidden="false" customHeight="false" outlineLevel="0" collapsed="false">
      <c r="A2810" s="2" t="s">
        <v>7839</v>
      </c>
      <c r="B2810" s="2" t="s">
        <v>2603</v>
      </c>
      <c r="C2810" s="2" t="s">
        <v>2604</v>
      </c>
      <c r="D2810" s="13" t="n">
        <v>45680.8423611111</v>
      </c>
      <c r="E2810" s="2" t="s">
        <v>43</v>
      </c>
      <c r="F2810" s="2" t="s">
        <v>27</v>
      </c>
      <c r="G2810" s="2" t="n">
        <v>6279.16</v>
      </c>
      <c r="H2810" s="2" t="n">
        <v>74.55</v>
      </c>
      <c r="I2810" s="2" t="s">
        <v>26</v>
      </c>
      <c r="J2810" s="2" t="s">
        <v>7840</v>
      </c>
      <c r="K2810" s="2" t="s">
        <v>89</v>
      </c>
      <c r="L2810" s="2"/>
      <c r="M2810" s="2" t="s">
        <v>617</v>
      </c>
    </row>
    <row r="2811" customFormat="false" ht="15" hidden="false" customHeight="false" outlineLevel="0" collapsed="false">
      <c r="A2811" s="2" t="s">
        <v>7841</v>
      </c>
      <c r="B2811" s="2" t="s">
        <v>210</v>
      </c>
      <c r="C2811" s="2" t="s">
        <v>211</v>
      </c>
      <c r="D2811" s="13" t="n">
        <v>45998.71875</v>
      </c>
      <c r="E2811" s="2" t="s">
        <v>39</v>
      </c>
      <c r="F2811" s="2" t="s">
        <v>32</v>
      </c>
      <c r="G2811" s="2" t="n">
        <v>4112.97</v>
      </c>
      <c r="H2811" s="2" t="n">
        <v>32.22</v>
      </c>
      <c r="I2811" s="2" t="s">
        <v>30</v>
      </c>
      <c r="J2811" s="2" t="s">
        <v>7842</v>
      </c>
      <c r="K2811" s="2" t="s">
        <v>95</v>
      </c>
      <c r="L2811" s="2" t="s">
        <v>622</v>
      </c>
      <c r="M2811" s="2"/>
    </row>
    <row r="2812" customFormat="false" ht="15" hidden="false" customHeight="false" outlineLevel="0" collapsed="false">
      <c r="A2812" s="2" t="s">
        <v>7843</v>
      </c>
      <c r="B2812" s="2" t="s">
        <v>7844</v>
      </c>
      <c r="C2812" s="2" t="s">
        <v>7845</v>
      </c>
      <c r="D2812" s="13" t="n">
        <v>45520.8270833333</v>
      </c>
      <c r="E2812" s="2" t="s">
        <v>41</v>
      </c>
      <c r="F2812" s="2" t="s">
        <v>27</v>
      </c>
      <c r="G2812" s="2" t="n">
        <v>11241.58</v>
      </c>
      <c r="H2812" s="2" t="n">
        <v>106.54</v>
      </c>
      <c r="I2812" s="2" t="s">
        <v>26</v>
      </c>
      <c r="J2812" s="2" t="s">
        <v>7846</v>
      </c>
      <c r="K2812" s="2" t="s">
        <v>101</v>
      </c>
      <c r="L2812" s="2"/>
      <c r="M2812" s="2" t="s">
        <v>627</v>
      </c>
    </row>
    <row r="2813" customFormat="false" ht="15" hidden="false" customHeight="false" outlineLevel="0" collapsed="false">
      <c r="A2813" s="2" t="s">
        <v>7847</v>
      </c>
      <c r="B2813" s="2" t="s">
        <v>2645</v>
      </c>
      <c r="C2813" s="2" t="s">
        <v>2646</v>
      </c>
      <c r="D2813" s="13" t="n">
        <v>45587.7131944444</v>
      </c>
      <c r="E2813" s="2" t="s">
        <v>41</v>
      </c>
      <c r="F2813" s="2" t="s">
        <v>32</v>
      </c>
      <c r="G2813" s="2" t="n">
        <v>1683.58</v>
      </c>
      <c r="H2813" s="2" t="n">
        <v>9.82</v>
      </c>
      <c r="I2813" s="2" t="s">
        <v>26</v>
      </c>
      <c r="J2813" s="2" t="s">
        <v>7848</v>
      </c>
      <c r="K2813" s="2" t="s">
        <v>95</v>
      </c>
      <c r="L2813" s="2" t="s">
        <v>632</v>
      </c>
      <c r="M2813" s="2"/>
    </row>
    <row r="2814" customFormat="false" ht="15" hidden="false" customHeight="false" outlineLevel="0" collapsed="false">
      <c r="A2814" s="2" t="s">
        <v>7849</v>
      </c>
      <c r="B2814" s="2" t="s">
        <v>4456</v>
      </c>
      <c r="C2814" s="2" t="s">
        <v>4457</v>
      </c>
      <c r="D2814" s="13" t="n">
        <v>45579.8701388889</v>
      </c>
      <c r="E2814" s="2" t="s">
        <v>43</v>
      </c>
      <c r="F2814" s="2" t="s">
        <v>27</v>
      </c>
      <c r="G2814" s="2" t="n">
        <v>2272.02</v>
      </c>
      <c r="H2814" s="2" t="n">
        <v>26.87</v>
      </c>
      <c r="I2814" s="2" t="s">
        <v>26</v>
      </c>
      <c r="J2814" s="2" t="s">
        <v>7850</v>
      </c>
      <c r="K2814" s="2" t="s">
        <v>95</v>
      </c>
      <c r="L2814" s="2"/>
      <c r="M2814" s="2" t="s">
        <v>1806</v>
      </c>
    </row>
    <row r="2815" customFormat="false" ht="15" hidden="false" customHeight="false" outlineLevel="0" collapsed="false">
      <c r="A2815" s="2" t="s">
        <v>7851</v>
      </c>
      <c r="B2815" s="2" t="s">
        <v>3160</v>
      </c>
      <c r="C2815" s="2" t="s">
        <v>3161</v>
      </c>
      <c r="D2815" s="13" t="n">
        <v>45350.8777777778</v>
      </c>
      <c r="E2815" s="2" t="s">
        <v>37</v>
      </c>
      <c r="F2815" s="2" t="s">
        <v>32</v>
      </c>
      <c r="G2815" s="2" t="n">
        <v>9514.76</v>
      </c>
      <c r="H2815" s="2" t="n">
        <v>54.81</v>
      </c>
      <c r="I2815" s="2" t="s">
        <v>28</v>
      </c>
      <c r="J2815" s="2" t="s">
        <v>7852</v>
      </c>
      <c r="K2815" s="2" t="s">
        <v>101</v>
      </c>
      <c r="L2815" s="2" t="s">
        <v>640</v>
      </c>
      <c r="M2815" s="2"/>
    </row>
    <row r="2816" customFormat="false" ht="15" hidden="false" customHeight="false" outlineLevel="0" collapsed="false">
      <c r="A2816" s="2" t="s">
        <v>7853</v>
      </c>
      <c r="B2816" s="2" t="s">
        <v>3520</v>
      </c>
      <c r="C2816" s="2" t="s">
        <v>3521</v>
      </c>
      <c r="D2816" s="13" t="n">
        <v>45368.35</v>
      </c>
      <c r="E2816" s="2" t="s">
        <v>41</v>
      </c>
      <c r="F2816" s="2" t="s">
        <v>32</v>
      </c>
      <c r="G2816" s="2" t="n">
        <v>7157.48</v>
      </c>
      <c r="H2816" s="2" t="n">
        <v>51.44</v>
      </c>
      <c r="I2816" s="2" t="s">
        <v>26</v>
      </c>
      <c r="J2816" s="2" t="s">
        <v>7854</v>
      </c>
      <c r="K2816" s="2" t="s">
        <v>122</v>
      </c>
      <c r="L2816" s="2" t="s">
        <v>645</v>
      </c>
      <c r="M2816" s="2"/>
    </row>
    <row r="2817" customFormat="false" ht="15" hidden="false" customHeight="false" outlineLevel="0" collapsed="false">
      <c r="A2817" s="2" t="s">
        <v>7855</v>
      </c>
      <c r="B2817" s="2" t="s">
        <v>619</v>
      </c>
      <c r="C2817" s="2" t="s">
        <v>620</v>
      </c>
      <c r="D2817" s="13" t="n">
        <v>45888.7916666667</v>
      </c>
      <c r="E2817" s="2" t="s">
        <v>37</v>
      </c>
      <c r="F2817" s="2" t="s">
        <v>31</v>
      </c>
      <c r="G2817" s="2" t="n">
        <v>2674.83</v>
      </c>
      <c r="H2817" s="2" t="n">
        <v>18.91</v>
      </c>
      <c r="I2817" s="2" t="s">
        <v>26</v>
      </c>
      <c r="J2817" s="2" t="s">
        <v>7856</v>
      </c>
      <c r="K2817" s="2" t="s">
        <v>95</v>
      </c>
      <c r="L2817" s="2" t="s">
        <v>648</v>
      </c>
      <c r="M2817" s="2"/>
    </row>
    <row r="2818" customFormat="false" ht="15" hidden="false" customHeight="false" outlineLevel="0" collapsed="false">
      <c r="A2818" s="2" t="s">
        <v>7857</v>
      </c>
      <c r="B2818" s="2" t="s">
        <v>2529</v>
      </c>
      <c r="C2818" s="2" t="s">
        <v>2530</v>
      </c>
      <c r="D2818" s="13" t="n">
        <v>45958.5694444445</v>
      </c>
      <c r="E2818" s="2" t="s">
        <v>37</v>
      </c>
      <c r="F2818" s="2" t="s">
        <v>32</v>
      </c>
      <c r="G2818" s="2" t="n">
        <v>1051.9</v>
      </c>
      <c r="H2818" s="2" t="n">
        <v>5.61</v>
      </c>
      <c r="I2818" s="2" t="s">
        <v>26</v>
      </c>
      <c r="J2818" s="2" t="s">
        <v>7858</v>
      </c>
      <c r="K2818" s="2" t="s">
        <v>89</v>
      </c>
      <c r="L2818" s="2" t="s">
        <v>1262</v>
      </c>
      <c r="M2818" s="2"/>
    </row>
    <row r="2819" customFormat="false" ht="15" hidden="false" customHeight="false" outlineLevel="0" collapsed="false">
      <c r="A2819" s="2" t="s">
        <v>7859</v>
      </c>
      <c r="B2819" s="2" t="s">
        <v>7860</v>
      </c>
      <c r="C2819" s="2" t="s">
        <v>7861</v>
      </c>
      <c r="D2819" s="13" t="n">
        <v>45887.81875</v>
      </c>
      <c r="E2819" s="2" t="s">
        <v>43</v>
      </c>
      <c r="F2819" s="2" t="s">
        <v>31</v>
      </c>
      <c r="G2819" s="2" t="n">
        <v>2700.32</v>
      </c>
      <c r="H2819" s="2" t="n">
        <v>14.02</v>
      </c>
      <c r="I2819" s="2" t="s">
        <v>30</v>
      </c>
      <c r="J2819" s="2" t="s">
        <v>7862</v>
      </c>
      <c r="K2819" s="2" t="s">
        <v>122</v>
      </c>
      <c r="L2819" s="2"/>
      <c r="M2819" s="2" t="s">
        <v>657</v>
      </c>
    </row>
    <row r="2820" customFormat="false" ht="15" hidden="false" customHeight="false" outlineLevel="0" collapsed="false">
      <c r="A2820" s="2" t="s">
        <v>7863</v>
      </c>
      <c r="B2820" s="2" t="s">
        <v>1555</v>
      </c>
      <c r="C2820" s="2" t="s">
        <v>1556</v>
      </c>
      <c r="D2820" s="13" t="n">
        <v>45323.3784722222</v>
      </c>
      <c r="E2820" s="2" t="s">
        <v>41</v>
      </c>
      <c r="F2820" s="2" t="s">
        <v>27</v>
      </c>
      <c r="G2820" s="2" t="n">
        <v>734.99</v>
      </c>
      <c r="H2820" s="2" t="n">
        <v>5</v>
      </c>
      <c r="I2820" s="2" t="s">
        <v>26</v>
      </c>
      <c r="J2820" s="2" t="s">
        <v>7864</v>
      </c>
      <c r="K2820" s="2" t="s">
        <v>95</v>
      </c>
      <c r="L2820" s="2"/>
      <c r="M2820" s="2" t="s">
        <v>662</v>
      </c>
    </row>
    <row r="2821" customFormat="false" ht="15" hidden="false" customHeight="false" outlineLevel="0" collapsed="false">
      <c r="A2821" s="2" t="s">
        <v>7865</v>
      </c>
      <c r="B2821" s="2" t="s">
        <v>2683</v>
      </c>
      <c r="C2821" s="2" t="s">
        <v>2684</v>
      </c>
      <c r="D2821" s="13" t="n">
        <v>45715.3138888889</v>
      </c>
      <c r="E2821" s="2" t="s">
        <v>35</v>
      </c>
      <c r="F2821" s="2" t="s">
        <v>32</v>
      </c>
      <c r="G2821" s="2" t="n">
        <v>5944.24</v>
      </c>
      <c r="H2821" s="2" t="n">
        <v>58.38</v>
      </c>
      <c r="I2821" s="2" t="s">
        <v>26</v>
      </c>
      <c r="J2821" s="2" t="s">
        <v>7866</v>
      </c>
      <c r="K2821" s="2" t="s">
        <v>95</v>
      </c>
      <c r="L2821" s="2" t="s">
        <v>1277</v>
      </c>
      <c r="M2821" s="2"/>
    </row>
    <row r="2822" customFormat="false" ht="15" hidden="false" customHeight="false" outlineLevel="0" collapsed="false">
      <c r="A2822" s="2" t="s">
        <v>7867</v>
      </c>
      <c r="B2822" s="2" t="s">
        <v>2683</v>
      </c>
      <c r="C2822" s="2" t="s">
        <v>2684</v>
      </c>
      <c r="D2822" s="13" t="n">
        <v>45407.5493055556</v>
      </c>
      <c r="E2822" s="2" t="s">
        <v>37</v>
      </c>
      <c r="F2822" s="2" t="s">
        <v>27</v>
      </c>
      <c r="G2822" s="2" t="n">
        <v>2298.31</v>
      </c>
      <c r="H2822" s="2" t="n">
        <v>20.93</v>
      </c>
      <c r="I2822" s="2" t="s">
        <v>26</v>
      </c>
      <c r="J2822" s="2" t="s">
        <v>7868</v>
      </c>
      <c r="K2822" s="2" t="s">
        <v>95</v>
      </c>
      <c r="L2822" s="2"/>
      <c r="M2822" s="2" t="s">
        <v>183</v>
      </c>
    </row>
    <row r="2823" customFormat="false" ht="15" hidden="false" customHeight="false" outlineLevel="0" collapsed="false">
      <c r="A2823" s="2" t="s">
        <v>7869</v>
      </c>
      <c r="B2823" s="2" t="s">
        <v>1418</v>
      </c>
      <c r="C2823" s="2" t="s">
        <v>1419</v>
      </c>
      <c r="D2823" s="13" t="n">
        <v>45366.4048611111</v>
      </c>
      <c r="E2823" s="2" t="s">
        <v>41</v>
      </c>
      <c r="F2823" s="2" t="s">
        <v>31</v>
      </c>
      <c r="G2823" s="2" t="n">
        <v>2021.94</v>
      </c>
      <c r="H2823" s="2" t="n">
        <v>10.05</v>
      </c>
      <c r="I2823" s="2" t="s">
        <v>28</v>
      </c>
      <c r="J2823" s="2" t="s">
        <v>7870</v>
      </c>
      <c r="K2823" s="2" t="s">
        <v>122</v>
      </c>
      <c r="L2823" s="2" t="s">
        <v>676</v>
      </c>
      <c r="M2823" s="2"/>
    </row>
    <row r="2824" customFormat="false" ht="15" hidden="false" customHeight="false" outlineLevel="0" collapsed="false">
      <c r="A2824" s="2" t="s">
        <v>7871</v>
      </c>
      <c r="B2824" s="2" t="s">
        <v>2387</v>
      </c>
      <c r="C2824" s="2" t="s">
        <v>2388</v>
      </c>
      <c r="D2824" s="13" t="n">
        <v>45791.7423611111</v>
      </c>
      <c r="E2824" s="2" t="s">
        <v>39</v>
      </c>
      <c r="F2824" s="2" t="s">
        <v>31</v>
      </c>
      <c r="G2824" s="2" t="n">
        <v>1900.44</v>
      </c>
      <c r="H2824" s="2" t="n">
        <v>8.77</v>
      </c>
      <c r="I2824" s="2" t="s">
        <v>28</v>
      </c>
      <c r="J2824" s="2" t="s">
        <v>7872</v>
      </c>
      <c r="K2824" s="2" t="s">
        <v>89</v>
      </c>
      <c r="L2824" s="2" t="s">
        <v>681</v>
      </c>
      <c r="M2824" s="2"/>
    </row>
    <row r="2825" customFormat="false" ht="15" hidden="false" customHeight="false" outlineLevel="0" collapsed="false">
      <c r="A2825" s="2" t="s">
        <v>7873</v>
      </c>
      <c r="B2825" s="2" t="s">
        <v>7874</v>
      </c>
      <c r="C2825" s="2" t="s">
        <v>7875</v>
      </c>
      <c r="D2825" s="13" t="n">
        <v>45830.9284722222</v>
      </c>
      <c r="E2825" s="2" t="s">
        <v>41</v>
      </c>
      <c r="F2825" s="2" t="s">
        <v>31</v>
      </c>
      <c r="G2825" s="2" t="n">
        <v>3430.52</v>
      </c>
      <c r="H2825" s="2" t="n">
        <v>31.33</v>
      </c>
      <c r="I2825" s="2" t="s">
        <v>26</v>
      </c>
      <c r="J2825" s="2" t="s">
        <v>7876</v>
      </c>
      <c r="K2825" s="2" t="s">
        <v>95</v>
      </c>
      <c r="L2825" s="2" t="s">
        <v>1294</v>
      </c>
      <c r="M2825" s="2"/>
    </row>
    <row r="2826" customFormat="false" ht="15" hidden="false" customHeight="false" outlineLevel="0" collapsed="false">
      <c r="A2826" s="2" t="s">
        <v>7877</v>
      </c>
      <c r="B2826" s="2" t="s">
        <v>1433</v>
      </c>
      <c r="C2826" s="2" t="s">
        <v>1434</v>
      </c>
      <c r="D2826" s="13" t="n">
        <v>45687.7770833333</v>
      </c>
      <c r="E2826" s="2" t="s">
        <v>39</v>
      </c>
      <c r="F2826" s="2" t="s">
        <v>32</v>
      </c>
      <c r="G2826" s="2" t="n">
        <v>6478.06</v>
      </c>
      <c r="H2826" s="2" t="n">
        <v>13.43</v>
      </c>
      <c r="I2826" s="2" t="s">
        <v>30</v>
      </c>
      <c r="J2826" s="2" t="s">
        <v>7878</v>
      </c>
      <c r="K2826" s="2" t="s">
        <v>95</v>
      </c>
      <c r="L2826" s="2" t="s">
        <v>1299</v>
      </c>
      <c r="M2826" s="2"/>
    </row>
    <row r="2827" customFormat="false" ht="15" hidden="false" customHeight="false" outlineLevel="0" collapsed="false">
      <c r="A2827" s="2" t="s">
        <v>7879</v>
      </c>
      <c r="B2827" s="2" t="s">
        <v>2777</v>
      </c>
      <c r="C2827" s="2" t="s">
        <v>2778</v>
      </c>
      <c r="D2827" s="13" t="n">
        <v>45428.3965277778</v>
      </c>
      <c r="E2827" s="2" t="s">
        <v>35</v>
      </c>
      <c r="F2827" s="2" t="s">
        <v>32</v>
      </c>
      <c r="G2827" s="2" t="n">
        <v>4387.16</v>
      </c>
      <c r="H2827" s="2" t="n">
        <v>41.73</v>
      </c>
      <c r="I2827" s="2" t="s">
        <v>30</v>
      </c>
      <c r="J2827" s="2" t="s">
        <v>7880</v>
      </c>
      <c r="K2827" s="2" t="s">
        <v>95</v>
      </c>
      <c r="L2827" s="2" t="s">
        <v>1854</v>
      </c>
      <c r="M2827" s="2"/>
    </row>
    <row r="2828" customFormat="false" ht="15" hidden="false" customHeight="false" outlineLevel="0" collapsed="false">
      <c r="A2828" s="2" t="s">
        <v>7881</v>
      </c>
      <c r="B2828" s="2" t="s">
        <v>974</v>
      </c>
      <c r="C2828" s="2" t="s">
        <v>975</v>
      </c>
      <c r="D2828" s="13" t="n">
        <v>45435.9541666667</v>
      </c>
      <c r="E2828" s="2" t="s">
        <v>39</v>
      </c>
      <c r="F2828" s="2" t="s">
        <v>29</v>
      </c>
      <c r="G2828" s="2" t="n">
        <v>2002.7</v>
      </c>
      <c r="H2828" s="2" t="n">
        <v>5.85</v>
      </c>
      <c r="I2828" s="2" t="s">
        <v>28</v>
      </c>
      <c r="J2828" s="2" t="s">
        <v>7882</v>
      </c>
      <c r="K2828" s="2" t="s">
        <v>95</v>
      </c>
      <c r="L2828" s="2" t="s">
        <v>697</v>
      </c>
      <c r="M2828" s="2"/>
    </row>
    <row r="2829" customFormat="false" ht="15" hidden="false" customHeight="false" outlineLevel="0" collapsed="false">
      <c r="A2829" s="2" t="s">
        <v>7883</v>
      </c>
      <c r="B2829" s="2" t="s">
        <v>548</v>
      </c>
      <c r="C2829" s="2" t="s">
        <v>549</v>
      </c>
      <c r="D2829" s="13" t="n">
        <v>45716.5423611111</v>
      </c>
      <c r="E2829" s="2" t="s">
        <v>37</v>
      </c>
      <c r="F2829" s="2" t="s">
        <v>32</v>
      </c>
      <c r="G2829" s="2" t="n">
        <v>8047.78</v>
      </c>
      <c r="H2829" s="2" t="n">
        <v>43.79</v>
      </c>
      <c r="I2829" s="2" t="s">
        <v>26</v>
      </c>
      <c r="J2829" s="2" t="s">
        <v>7884</v>
      </c>
      <c r="K2829" s="2" t="s">
        <v>89</v>
      </c>
      <c r="L2829" s="2" t="s">
        <v>1311</v>
      </c>
      <c r="M2829" s="2"/>
    </row>
    <row r="2830" customFormat="false" ht="15" hidden="false" customHeight="false" outlineLevel="0" collapsed="false">
      <c r="A2830" s="2" t="s">
        <v>7885</v>
      </c>
      <c r="B2830" s="2" t="s">
        <v>568</v>
      </c>
      <c r="C2830" s="2" t="s">
        <v>569</v>
      </c>
      <c r="D2830" s="13" t="n">
        <v>45872.4166666667</v>
      </c>
      <c r="E2830" s="2" t="s">
        <v>39</v>
      </c>
      <c r="F2830" s="2" t="s">
        <v>31</v>
      </c>
      <c r="G2830" s="2" t="n">
        <v>4748.66</v>
      </c>
      <c r="H2830" s="2" t="n">
        <v>53.86</v>
      </c>
      <c r="I2830" s="2" t="s">
        <v>26</v>
      </c>
      <c r="J2830" s="2" t="s">
        <v>7886</v>
      </c>
      <c r="K2830" s="2" t="s">
        <v>95</v>
      </c>
      <c r="L2830" s="2" t="s">
        <v>703</v>
      </c>
      <c r="M2830" s="2"/>
    </row>
    <row r="2831" customFormat="false" ht="15" hidden="false" customHeight="false" outlineLevel="0" collapsed="false">
      <c r="A2831" s="2" t="s">
        <v>7887</v>
      </c>
      <c r="B2831" s="2" t="s">
        <v>2603</v>
      </c>
      <c r="C2831" s="2" t="s">
        <v>2604</v>
      </c>
      <c r="D2831" s="13" t="n">
        <v>45623.3847222222</v>
      </c>
      <c r="E2831" s="2" t="s">
        <v>43</v>
      </c>
      <c r="F2831" s="2" t="s">
        <v>31</v>
      </c>
      <c r="G2831" s="2" t="n">
        <v>2471.82</v>
      </c>
      <c r="H2831" s="2" t="n">
        <v>8.8</v>
      </c>
      <c r="I2831" s="2" t="s">
        <v>26</v>
      </c>
      <c r="J2831" s="2" t="s">
        <v>7888</v>
      </c>
      <c r="K2831" s="2" t="s">
        <v>95</v>
      </c>
      <c r="L2831" s="2"/>
      <c r="M2831" s="2" t="s">
        <v>228</v>
      </c>
    </row>
    <row r="2832" customFormat="false" ht="15" hidden="false" customHeight="false" outlineLevel="0" collapsed="false">
      <c r="A2832" s="2" t="s">
        <v>7889</v>
      </c>
      <c r="B2832" s="2" t="s">
        <v>7520</v>
      </c>
      <c r="C2832" s="2" t="s">
        <v>7521</v>
      </c>
      <c r="D2832" s="13" t="n">
        <v>45751.3409722222</v>
      </c>
      <c r="E2832" s="2" t="s">
        <v>35</v>
      </c>
      <c r="F2832" s="2" t="s">
        <v>27</v>
      </c>
      <c r="G2832" s="2" t="n">
        <v>706.18</v>
      </c>
      <c r="H2832" s="2" t="n">
        <v>5</v>
      </c>
      <c r="I2832" s="2" t="s">
        <v>28</v>
      </c>
      <c r="J2832" s="2" t="s">
        <v>7890</v>
      </c>
      <c r="K2832" s="2" t="s">
        <v>122</v>
      </c>
      <c r="L2832" s="2"/>
      <c r="M2832" s="2" t="s">
        <v>233</v>
      </c>
    </row>
    <row r="2833" customFormat="false" ht="15" hidden="false" customHeight="false" outlineLevel="0" collapsed="false">
      <c r="A2833" s="2" t="s">
        <v>7891</v>
      </c>
      <c r="B2833" s="2" t="s">
        <v>3936</v>
      </c>
      <c r="C2833" s="2" t="s">
        <v>3937</v>
      </c>
      <c r="D2833" s="13" t="n">
        <v>46013.6194444444</v>
      </c>
      <c r="E2833" s="2" t="s">
        <v>37</v>
      </c>
      <c r="F2833" s="2" t="s">
        <v>32</v>
      </c>
      <c r="G2833" s="2" t="n">
        <v>302.7</v>
      </c>
      <c r="H2833" s="2" t="n">
        <v>5</v>
      </c>
      <c r="I2833" s="2" t="s">
        <v>26</v>
      </c>
      <c r="J2833" s="2" t="s">
        <v>7892</v>
      </c>
      <c r="K2833" s="2" t="s">
        <v>101</v>
      </c>
      <c r="L2833" s="2" t="s">
        <v>1330</v>
      </c>
      <c r="M2833" s="2"/>
    </row>
    <row r="2834" customFormat="false" ht="15" hidden="false" customHeight="false" outlineLevel="0" collapsed="false">
      <c r="A2834" s="2" t="s">
        <v>7893</v>
      </c>
      <c r="B2834" s="2" t="s">
        <v>4662</v>
      </c>
      <c r="C2834" s="2" t="s">
        <v>4663</v>
      </c>
      <c r="D2834" s="13" t="n">
        <v>45341.3104166667</v>
      </c>
      <c r="E2834" s="2" t="s">
        <v>41</v>
      </c>
      <c r="F2834" s="2" t="s">
        <v>32</v>
      </c>
      <c r="G2834" s="2" t="n">
        <v>72667.33</v>
      </c>
      <c r="H2834" s="2" t="n">
        <v>400.27</v>
      </c>
      <c r="I2834" s="2" t="s">
        <v>26</v>
      </c>
      <c r="J2834" s="2" t="s">
        <v>7894</v>
      </c>
      <c r="K2834" s="2" t="s">
        <v>89</v>
      </c>
      <c r="L2834" s="2" t="s">
        <v>1877</v>
      </c>
      <c r="M2834" s="2"/>
    </row>
    <row r="2835" customFormat="false" ht="15" hidden="false" customHeight="false" outlineLevel="0" collapsed="false">
      <c r="A2835" s="2" t="s">
        <v>7895</v>
      </c>
      <c r="B2835" s="2" t="s">
        <v>1767</v>
      </c>
      <c r="C2835" s="2" t="s">
        <v>1768</v>
      </c>
      <c r="D2835" s="13" t="n">
        <v>45703.5180555556</v>
      </c>
      <c r="E2835" s="2" t="s">
        <v>41</v>
      </c>
      <c r="F2835" s="2" t="s">
        <v>31</v>
      </c>
      <c r="G2835" s="2" t="n">
        <v>4964.65</v>
      </c>
      <c r="H2835" s="2" t="n">
        <v>15.86</v>
      </c>
      <c r="I2835" s="2" t="s">
        <v>26</v>
      </c>
      <c r="J2835" s="2" t="s">
        <v>7896</v>
      </c>
      <c r="K2835" s="2" t="s">
        <v>89</v>
      </c>
      <c r="L2835" s="2" t="s">
        <v>1339</v>
      </c>
      <c r="M2835" s="2"/>
    </row>
    <row r="2836" customFormat="false" ht="15" hidden="false" customHeight="false" outlineLevel="0" collapsed="false">
      <c r="A2836" s="2" t="s">
        <v>7897</v>
      </c>
      <c r="B2836" s="2" t="s">
        <v>1894</v>
      </c>
      <c r="C2836" s="2" t="s">
        <v>1895</v>
      </c>
      <c r="D2836" s="13" t="n">
        <v>45638.4256944444</v>
      </c>
      <c r="E2836" s="2" t="s">
        <v>37</v>
      </c>
      <c r="F2836" s="2" t="s">
        <v>32</v>
      </c>
      <c r="G2836" s="2" t="n">
        <v>2329.24</v>
      </c>
      <c r="H2836" s="2" t="n">
        <v>18.44</v>
      </c>
      <c r="I2836" s="2" t="s">
        <v>26</v>
      </c>
      <c r="J2836" s="2" t="s">
        <v>7898</v>
      </c>
      <c r="K2836" s="2" t="s">
        <v>95</v>
      </c>
      <c r="L2836" s="2" t="s">
        <v>1344</v>
      </c>
      <c r="M2836" s="2"/>
    </row>
    <row r="2837" customFormat="false" ht="15" hidden="false" customHeight="false" outlineLevel="0" collapsed="false">
      <c r="A2837" s="2" t="s">
        <v>7899</v>
      </c>
      <c r="B2837" s="2" t="s">
        <v>1719</v>
      </c>
      <c r="C2837" s="2" t="s">
        <v>1720</v>
      </c>
      <c r="D2837" s="13" t="n">
        <v>45292.9298611111</v>
      </c>
      <c r="E2837" s="2" t="s">
        <v>35</v>
      </c>
      <c r="F2837" s="2" t="s">
        <v>32</v>
      </c>
      <c r="G2837" s="2" t="n">
        <v>1891.5</v>
      </c>
      <c r="H2837" s="2" t="n">
        <v>11.72</v>
      </c>
      <c r="I2837" s="2" t="s">
        <v>26</v>
      </c>
      <c r="J2837" s="2" t="s">
        <v>7900</v>
      </c>
      <c r="K2837" s="2" t="s">
        <v>89</v>
      </c>
      <c r="L2837" s="2" t="s">
        <v>731</v>
      </c>
      <c r="M2837" s="2"/>
    </row>
    <row r="2838" customFormat="false" ht="15" hidden="false" customHeight="false" outlineLevel="0" collapsed="false">
      <c r="A2838" s="2" t="s">
        <v>7901</v>
      </c>
      <c r="B2838" s="2" t="s">
        <v>2121</v>
      </c>
      <c r="C2838" s="2" t="s">
        <v>2122</v>
      </c>
      <c r="D2838" s="13" t="n">
        <v>45685.6125</v>
      </c>
      <c r="E2838" s="2" t="s">
        <v>39</v>
      </c>
      <c r="F2838" s="2" t="s">
        <v>29</v>
      </c>
      <c r="G2838" s="2" t="n">
        <v>2898.34</v>
      </c>
      <c r="H2838" s="2" t="n">
        <v>12.21</v>
      </c>
      <c r="I2838" s="2" t="s">
        <v>28</v>
      </c>
      <c r="J2838" s="2" t="s">
        <v>7902</v>
      </c>
      <c r="K2838" s="2" t="s">
        <v>89</v>
      </c>
      <c r="L2838" s="2" t="s">
        <v>1888</v>
      </c>
      <c r="M2838" s="2"/>
    </row>
    <row r="2839" customFormat="false" ht="15" hidden="false" customHeight="false" outlineLevel="0" collapsed="false">
      <c r="A2839" s="2" t="s">
        <v>7903</v>
      </c>
      <c r="B2839" s="2" t="s">
        <v>235</v>
      </c>
      <c r="C2839" s="2" t="s">
        <v>236</v>
      </c>
      <c r="D2839" s="13" t="n">
        <v>45303.3263888889</v>
      </c>
      <c r="E2839" s="2" t="s">
        <v>37</v>
      </c>
      <c r="F2839" s="2" t="s">
        <v>27</v>
      </c>
      <c r="G2839" s="2" t="n">
        <v>4449.39</v>
      </c>
      <c r="H2839" s="2" t="n">
        <v>15.2</v>
      </c>
      <c r="I2839" s="2" t="s">
        <v>26</v>
      </c>
      <c r="J2839" s="2" t="s">
        <v>7904</v>
      </c>
      <c r="K2839" s="2" t="s">
        <v>89</v>
      </c>
      <c r="L2839" s="2"/>
      <c r="M2839" s="2" t="s">
        <v>268</v>
      </c>
    </row>
    <row r="2840" customFormat="false" ht="15" hidden="false" customHeight="false" outlineLevel="0" collapsed="false">
      <c r="A2840" s="2" t="s">
        <v>7905</v>
      </c>
      <c r="B2840" s="2" t="s">
        <v>1746</v>
      </c>
      <c r="C2840" s="2" t="s">
        <v>1747</v>
      </c>
      <c r="D2840" s="13" t="n">
        <v>45609.85625</v>
      </c>
      <c r="E2840" s="2" t="s">
        <v>39</v>
      </c>
      <c r="F2840" s="2" t="s">
        <v>31</v>
      </c>
      <c r="G2840" s="2" t="n">
        <v>2427.66</v>
      </c>
      <c r="H2840" s="2" t="n">
        <v>14.36</v>
      </c>
      <c r="I2840" s="2" t="s">
        <v>26</v>
      </c>
      <c r="J2840" s="2" t="s">
        <v>7906</v>
      </c>
      <c r="K2840" s="2" t="s">
        <v>101</v>
      </c>
      <c r="L2840" s="2" t="s">
        <v>743</v>
      </c>
      <c r="M2840" s="2"/>
    </row>
    <row r="2841" customFormat="false" ht="15" hidden="false" customHeight="false" outlineLevel="0" collapsed="false">
      <c r="A2841" s="2" t="s">
        <v>7907</v>
      </c>
      <c r="B2841" s="2" t="s">
        <v>4502</v>
      </c>
      <c r="C2841" s="2" t="s">
        <v>4503</v>
      </c>
      <c r="D2841" s="13" t="n">
        <v>45940.7881944445</v>
      </c>
      <c r="E2841" s="2" t="s">
        <v>35</v>
      </c>
      <c r="F2841" s="2" t="s">
        <v>27</v>
      </c>
      <c r="G2841" s="2" t="n">
        <v>13359.47</v>
      </c>
      <c r="H2841" s="2" t="n">
        <v>116.96</v>
      </c>
      <c r="I2841" s="2" t="s">
        <v>30</v>
      </c>
      <c r="J2841" s="2" t="s">
        <v>7908</v>
      </c>
      <c r="K2841" s="2" t="s">
        <v>101</v>
      </c>
      <c r="L2841" s="2"/>
      <c r="M2841" s="2" t="s">
        <v>278</v>
      </c>
    </row>
    <row r="2842" customFormat="false" ht="15" hidden="false" customHeight="false" outlineLevel="0" collapsed="false">
      <c r="A2842" s="2" t="s">
        <v>7909</v>
      </c>
      <c r="B2842" s="2" t="s">
        <v>5366</v>
      </c>
      <c r="C2842" s="2" t="s">
        <v>5367</v>
      </c>
      <c r="D2842" s="13" t="n">
        <v>45457.3375</v>
      </c>
      <c r="E2842" s="2" t="s">
        <v>39</v>
      </c>
      <c r="F2842" s="2" t="s">
        <v>32</v>
      </c>
      <c r="G2842" s="2" t="n">
        <v>4082.63</v>
      </c>
      <c r="H2842" s="2" t="n">
        <v>45.52</v>
      </c>
      <c r="I2842" s="2" t="s">
        <v>26</v>
      </c>
      <c r="J2842" s="2" t="s">
        <v>7910</v>
      </c>
      <c r="K2842" s="2" t="s">
        <v>95</v>
      </c>
      <c r="L2842" s="2" t="s">
        <v>752</v>
      </c>
      <c r="M2842" s="2"/>
    </row>
    <row r="2843" customFormat="false" ht="15" hidden="false" customHeight="false" outlineLevel="0" collapsed="false">
      <c r="A2843" s="2" t="s">
        <v>7911</v>
      </c>
      <c r="B2843" s="2" t="s">
        <v>98</v>
      </c>
      <c r="C2843" s="2" t="s">
        <v>99</v>
      </c>
      <c r="D2843" s="13" t="n">
        <v>45389.8069444444</v>
      </c>
      <c r="E2843" s="2" t="s">
        <v>39</v>
      </c>
      <c r="F2843" s="2" t="s">
        <v>27</v>
      </c>
      <c r="G2843" s="2" t="n">
        <v>974.61</v>
      </c>
      <c r="H2843" s="2" t="n">
        <v>11.03</v>
      </c>
      <c r="I2843" s="2" t="s">
        <v>30</v>
      </c>
      <c r="J2843" s="2" t="s">
        <v>7912</v>
      </c>
      <c r="K2843" s="2" t="s">
        <v>89</v>
      </c>
      <c r="L2843" s="2"/>
      <c r="M2843" s="2" t="s">
        <v>288</v>
      </c>
    </row>
    <row r="2844" customFormat="false" ht="15" hidden="false" customHeight="false" outlineLevel="0" collapsed="false">
      <c r="A2844" s="2" t="s">
        <v>7913</v>
      </c>
      <c r="B2844" s="2" t="s">
        <v>908</v>
      </c>
      <c r="C2844" s="2" t="s">
        <v>909</v>
      </c>
      <c r="D2844" s="13" t="n">
        <v>45900.4541666667</v>
      </c>
      <c r="E2844" s="2" t="s">
        <v>35</v>
      </c>
      <c r="F2844" s="2" t="s">
        <v>31</v>
      </c>
      <c r="G2844" s="2" t="n">
        <v>3884.29</v>
      </c>
      <c r="H2844" s="2" t="n">
        <v>25.5</v>
      </c>
      <c r="I2844" s="2" t="s">
        <v>30</v>
      </c>
      <c r="J2844" s="2" t="s">
        <v>7914</v>
      </c>
      <c r="K2844" s="2" t="s">
        <v>95</v>
      </c>
      <c r="L2844" s="2" t="s">
        <v>1912</v>
      </c>
      <c r="M2844" s="2"/>
    </row>
    <row r="2845" customFormat="false" ht="15" hidden="false" customHeight="false" outlineLevel="0" collapsed="false">
      <c r="A2845" s="2" t="s">
        <v>7915</v>
      </c>
      <c r="B2845" s="2" t="s">
        <v>2555</v>
      </c>
      <c r="C2845" s="2" t="s">
        <v>2556</v>
      </c>
      <c r="D2845" s="13" t="n">
        <v>45764.9444444445</v>
      </c>
      <c r="E2845" s="2" t="s">
        <v>37</v>
      </c>
      <c r="F2845" s="2" t="s">
        <v>32</v>
      </c>
      <c r="G2845" s="2" t="n">
        <v>3117.38</v>
      </c>
      <c r="H2845" s="2" t="n">
        <v>18.74</v>
      </c>
      <c r="I2845" s="2" t="s">
        <v>30</v>
      </c>
      <c r="J2845" s="2" t="s">
        <v>7916</v>
      </c>
      <c r="K2845" s="2" t="s">
        <v>95</v>
      </c>
      <c r="L2845" s="2" t="s">
        <v>1374</v>
      </c>
      <c r="M2845" s="2"/>
    </row>
    <row r="2846" customFormat="false" ht="15" hidden="false" customHeight="false" outlineLevel="0" collapsed="false">
      <c r="A2846" s="2" t="s">
        <v>7917</v>
      </c>
      <c r="B2846" s="2" t="s">
        <v>3378</v>
      </c>
      <c r="C2846" s="2" t="s">
        <v>3379</v>
      </c>
      <c r="D2846" s="13" t="n">
        <v>45944.675</v>
      </c>
      <c r="E2846" s="2" t="s">
        <v>43</v>
      </c>
      <c r="F2846" s="2" t="s">
        <v>27</v>
      </c>
      <c r="G2846" s="2" t="n">
        <v>13733.21</v>
      </c>
      <c r="H2846" s="2" t="n">
        <v>74.95</v>
      </c>
      <c r="I2846" s="2" t="s">
        <v>26</v>
      </c>
      <c r="J2846" s="2" t="s">
        <v>7918</v>
      </c>
      <c r="K2846" s="2" t="s">
        <v>89</v>
      </c>
      <c r="L2846" s="2"/>
      <c r="M2846" s="2" t="s">
        <v>1174</v>
      </c>
    </row>
    <row r="2847" customFormat="false" ht="15" hidden="false" customHeight="false" outlineLevel="0" collapsed="false">
      <c r="A2847" s="2" t="s">
        <v>7919</v>
      </c>
      <c r="B2847" s="2" t="s">
        <v>689</v>
      </c>
      <c r="C2847" s="2" t="s">
        <v>690</v>
      </c>
      <c r="D2847" s="13" t="n">
        <v>45295.6625</v>
      </c>
      <c r="E2847" s="2" t="s">
        <v>37</v>
      </c>
      <c r="F2847" s="2" t="s">
        <v>29</v>
      </c>
      <c r="G2847" s="2" t="n">
        <v>3244.76</v>
      </c>
      <c r="H2847" s="2" t="n">
        <v>33.37</v>
      </c>
      <c r="I2847" s="2" t="s">
        <v>26</v>
      </c>
      <c r="J2847" s="2" t="s">
        <v>7920</v>
      </c>
      <c r="K2847" s="2" t="s">
        <v>101</v>
      </c>
      <c r="L2847" s="2" t="s">
        <v>2892</v>
      </c>
      <c r="M2847" s="2"/>
    </row>
    <row r="2848" customFormat="false" ht="15" hidden="false" customHeight="false" outlineLevel="0" collapsed="false">
      <c r="A2848" s="2" t="s">
        <v>7921</v>
      </c>
      <c r="B2848" s="2" t="s">
        <v>4110</v>
      </c>
      <c r="C2848" s="2" t="s">
        <v>4111</v>
      </c>
      <c r="D2848" s="13" t="n">
        <v>45677.6701388889</v>
      </c>
      <c r="E2848" s="2" t="s">
        <v>37</v>
      </c>
      <c r="F2848" s="2" t="s">
        <v>31</v>
      </c>
      <c r="G2848" s="2" t="n">
        <v>557.54</v>
      </c>
      <c r="H2848" s="2" t="n">
        <v>5.14</v>
      </c>
      <c r="I2848" s="2" t="s">
        <v>30</v>
      </c>
      <c r="J2848" s="2" t="s">
        <v>7922</v>
      </c>
      <c r="K2848" s="2" t="s">
        <v>122</v>
      </c>
      <c r="L2848" s="2" t="s">
        <v>779</v>
      </c>
      <c r="M2848" s="2"/>
    </row>
    <row r="2849" customFormat="false" ht="15" hidden="false" customHeight="false" outlineLevel="0" collapsed="false">
      <c r="A2849" s="2" t="s">
        <v>7923</v>
      </c>
      <c r="B2849" s="2" t="s">
        <v>7924</v>
      </c>
      <c r="C2849" s="2" t="s">
        <v>7925</v>
      </c>
      <c r="D2849" s="13" t="n">
        <v>45594.7173611111</v>
      </c>
      <c r="E2849" s="2" t="s">
        <v>35</v>
      </c>
      <c r="F2849" s="2" t="s">
        <v>31</v>
      </c>
      <c r="G2849" s="2" t="n">
        <v>1390.87</v>
      </c>
      <c r="H2849" s="2" t="n">
        <v>10.86</v>
      </c>
      <c r="I2849" s="2" t="s">
        <v>28</v>
      </c>
      <c r="J2849" s="2" t="s">
        <v>7926</v>
      </c>
      <c r="K2849" s="2" t="s">
        <v>89</v>
      </c>
      <c r="L2849" s="2" t="s">
        <v>1389</v>
      </c>
      <c r="M2849" s="2"/>
    </row>
    <row r="2850" customFormat="false" ht="15" hidden="false" customHeight="false" outlineLevel="0" collapsed="false">
      <c r="A2850" s="2" t="s">
        <v>7927</v>
      </c>
      <c r="B2850" s="2" t="s">
        <v>2230</v>
      </c>
      <c r="C2850" s="2" t="s">
        <v>2231</v>
      </c>
      <c r="D2850" s="13" t="n">
        <v>45440.3104166667</v>
      </c>
      <c r="E2850" s="2" t="s">
        <v>35</v>
      </c>
      <c r="F2850" s="2" t="s">
        <v>27</v>
      </c>
      <c r="G2850" s="2" t="n">
        <v>7171.11</v>
      </c>
      <c r="H2850" s="2" t="n">
        <v>48.08</v>
      </c>
      <c r="I2850" s="2" t="s">
        <v>26</v>
      </c>
      <c r="J2850" s="2" t="s">
        <v>7928</v>
      </c>
      <c r="K2850" s="2" t="s">
        <v>95</v>
      </c>
      <c r="L2850" s="2"/>
      <c r="M2850" s="2" t="s">
        <v>323</v>
      </c>
    </row>
    <row r="2851" customFormat="false" ht="15" hidden="false" customHeight="false" outlineLevel="0" collapsed="false">
      <c r="A2851" s="2" t="s">
        <v>7929</v>
      </c>
      <c r="B2851" s="2" t="s">
        <v>1162</v>
      </c>
      <c r="C2851" s="2" t="s">
        <v>1163</v>
      </c>
      <c r="D2851" s="13" t="n">
        <v>45751.4840277778</v>
      </c>
      <c r="E2851" s="2" t="s">
        <v>43</v>
      </c>
      <c r="F2851" s="2" t="s">
        <v>31</v>
      </c>
      <c r="G2851" s="2" t="n">
        <v>1962.29</v>
      </c>
      <c r="H2851" s="2" t="n">
        <v>5.75</v>
      </c>
      <c r="I2851" s="2" t="s">
        <v>28</v>
      </c>
      <c r="J2851" s="2" t="s">
        <v>7930</v>
      </c>
      <c r="K2851" s="2" t="s">
        <v>95</v>
      </c>
      <c r="L2851" s="2"/>
      <c r="M2851" s="2" t="s">
        <v>328</v>
      </c>
    </row>
    <row r="2852" customFormat="false" ht="15" hidden="false" customHeight="false" outlineLevel="0" collapsed="false">
      <c r="A2852" s="2" t="s">
        <v>7931</v>
      </c>
      <c r="B2852" s="2" t="s">
        <v>7932</v>
      </c>
      <c r="C2852" s="2" t="s">
        <v>7933</v>
      </c>
      <c r="D2852" s="13" t="n">
        <v>45623.3618055556</v>
      </c>
      <c r="E2852" s="2" t="s">
        <v>35</v>
      </c>
      <c r="F2852" s="2" t="s">
        <v>27</v>
      </c>
      <c r="G2852" s="2" t="n">
        <v>4230.86</v>
      </c>
      <c r="H2852" s="2" t="n">
        <v>26.68</v>
      </c>
      <c r="I2852" s="2" t="s">
        <v>26</v>
      </c>
      <c r="J2852" s="2" t="s">
        <v>7934</v>
      </c>
      <c r="K2852" s="2" t="s">
        <v>95</v>
      </c>
      <c r="L2852" s="2"/>
      <c r="M2852" s="2" t="s">
        <v>795</v>
      </c>
    </row>
    <row r="2853" customFormat="false" ht="15" hidden="false" customHeight="false" outlineLevel="0" collapsed="false">
      <c r="A2853" s="2" t="s">
        <v>7935</v>
      </c>
      <c r="B2853" s="2" t="s">
        <v>1577</v>
      </c>
      <c r="C2853" s="2" t="s">
        <v>1578</v>
      </c>
      <c r="D2853" s="13" t="n">
        <v>45494.8333333333</v>
      </c>
      <c r="E2853" s="2" t="s">
        <v>37</v>
      </c>
      <c r="F2853" s="2" t="s">
        <v>31</v>
      </c>
      <c r="G2853" s="2" t="n">
        <v>3581.16</v>
      </c>
      <c r="H2853" s="2" t="n">
        <v>9.28</v>
      </c>
      <c r="I2853" s="2" t="s">
        <v>26</v>
      </c>
      <c r="J2853" s="2" t="s">
        <v>7936</v>
      </c>
      <c r="K2853" s="2" t="s">
        <v>95</v>
      </c>
      <c r="L2853" s="2" t="s">
        <v>96</v>
      </c>
      <c r="M2853" s="2"/>
    </row>
    <row r="2854" customFormat="false" ht="15" hidden="false" customHeight="false" outlineLevel="0" collapsed="false">
      <c r="A2854" s="2" t="s">
        <v>7937</v>
      </c>
      <c r="B2854" s="2" t="s">
        <v>155</v>
      </c>
      <c r="C2854" s="2" t="s">
        <v>156</v>
      </c>
      <c r="D2854" s="13" t="n">
        <v>45465.7222222222</v>
      </c>
      <c r="E2854" s="2" t="s">
        <v>41</v>
      </c>
      <c r="F2854" s="2" t="s">
        <v>29</v>
      </c>
      <c r="G2854" s="2" t="n">
        <v>9676.19</v>
      </c>
      <c r="H2854" s="2" t="n">
        <v>83.06</v>
      </c>
      <c r="I2854" s="2" t="s">
        <v>30</v>
      </c>
      <c r="J2854" s="2" t="s">
        <v>7938</v>
      </c>
      <c r="K2854" s="2" t="s">
        <v>89</v>
      </c>
      <c r="L2854" s="2" t="s">
        <v>102</v>
      </c>
      <c r="M2854" s="2"/>
    </row>
    <row r="2855" customFormat="false" ht="15" hidden="false" customHeight="false" outlineLevel="0" collapsed="false">
      <c r="A2855" s="2" t="s">
        <v>7939</v>
      </c>
      <c r="B2855" s="2" t="s">
        <v>4256</v>
      </c>
      <c r="C2855" s="2" t="s">
        <v>4257</v>
      </c>
      <c r="D2855" s="13" t="n">
        <v>45723.5076388889</v>
      </c>
      <c r="E2855" s="2" t="s">
        <v>39</v>
      </c>
      <c r="F2855" s="2" t="s">
        <v>27</v>
      </c>
      <c r="G2855" s="2" t="n">
        <v>9440.44</v>
      </c>
      <c r="H2855" s="2" t="n">
        <v>51.59</v>
      </c>
      <c r="I2855" s="2" t="s">
        <v>26</v>
      </c>
      <c r="J2855" s="2" t="s">
        <v>7940</v>
      </c>
      <c r="K2855" s="2" t="s">
        <v>101</v>
      </c>
      <c r="L2855" s="2"/>
      <c r="M2855" s="2" t="s">
        <v>348</v>
      </c>
    </row>
    <row r="2856" customFormat="false" ht="15" hidden="false" customHeight="false" outlineLevel="0" collapsed="false">
      <c r="A2856" s="2" t="s">
        <v>7941</v>
      </c>
      <c r="B2856" s="2" t="s">
        <v>500</v>
      </c>
      <c r="C2856" s="2" t="s">
        <v>501</v>
      </c>
      <c r="D2856" s="13" t="n">
        <v>45324.4333333333</v>
      </c>
      <c r="E2856" s="2" t="s">
        <v>43</v>
      </c>
      <c r="F2856" s="2" t="s">
        <v>32</v>
      </c>
      <c r="G2856" s="2" t="n">
        <v>5439.79</v>
      </c>
      <c r="H2856" s="2" t="n">
        <v>40.76</v>
      </c>
      <c r="I2856" s="2" t="s">
        <v>28</v>
      </c>
      <c r="J2856" s="2" t="s">
        <v>7942</v>
      </c>
      <c r="K2856" s="2" t="s">
        <v>89</v>
      </c>
      <c r="L2856" s="2"/>
      <c r="M2856" s="2" t="s">
        <v>1217</v>
      </c>
    </row>
    <row r="2857" customFormat="false" ht="15" hidden="false" customHeight="false" outlineLevel="0" collapsed="false">
      <c r="A2857" s="2" t="s">
        <v>7943</v>
      </c>
      <c r="B2857" s="2" t="s">
        <v>654</v>
      </c>
      <c r="C2857" s="2" t="s">
        <v>655</v>
      </c>
      <c r="D2857" s="13" t="n">
        <v>45484.5506944444</v>
      </c>
      <c r="E2857" s="2" t="s">
        <v>39</v>
      </c>
      <c r="F2857" s="2" t="s">
        <v>31</v>
      </c>
      <c r="G2857" s="2" t="n">
        <v>12396.22</v>
      </c>
      <c r="H2857" s="2" t="n">
        <v>75.13</v>
      </c>
      <c r="I2857" s="2" t="s">
        <v>28</v>
      </c>
      <c r="J2857" s="2" t="s">
        <v>7944</v>
      </c>
      <c r="K2857" s="2" t="s">
        <v>95</v>
      </c>
      <c r="L2857" s="2" t="s">
        <v>117</v>
      </c>
      <c r="M2857" s="2"/>
    </row>
    <row r="2858" customFormat="false" ht="15" hidden="false" customHeight="false" outlineLevel="0" collapsed="false">
      <c r="A2858" s="2" t="s">
        <v>7945</v>
      </c>
      <c r="B2858" s="2" t="s">
        <v>520</v>
      </c>
      <c r="C2858" s="2" t="s">
        <v>521</v>
      </c>
      <c r="D2858" s="13" t="n">
        <v>45891.8618055556</v>
      </c>
      <c r="E2858" s="2" t="s">
        <v>41</v>
      </c>
      <c r="F2858" s="2" t="s">
        <v>31</v>
      </c>
      <c r="G2858" s="2" t="n">
        <v>6169.74</v>
      </c>
      <c r="H2858" s="2" t="n">
        <v>71.09</v>
      </c>
      <c r="I2858" s="2" t="s">
        <v>26</v>
      </c>
      <c r="J2858" s="2" t="s">
        <v>7946</v>
      </c>
      <c r="K2858" s="2" t="s">
        <v>101</v>
      </c>
      <c r="L2858" s="2" t="s">
        <v>123</v>
      </c>
      <c r="M2858" s="2"/>
    </row>
    <row r="2859" customFormat="false" ht="15" hidden="false" customHeight="false" outlineLevel="0" collapsed="false">
      <c r="A2859" s="2" t="s">
        <v>7947</v>
      </c>
      <c r="B2859" s="2" t="s">
        <v>5356</v>
      </c>
      <c r="C2859" s="2" t="s">
        <v>5357</v>
      </c>
      <c r="D2859" s="13" t="n">
        <v>45576.8701388889</v>
      </c>
      <c r="E2859" s="2" t="s">
        <v>43</v>
      </c>
      <c r="F2859" s="2" t="s">
        <v>29</v>
      </c>
      <c r="G2859" s="2" t="n">
        <v>17296.53</v>
      </c>
      <c r="H2859" s="2" t="n">
        <v>79.51</v>
      </c>
      <c r="I2859" s="2" t="s">
        <v>26</v>
      </c>
      <c r="J2859" s="2" t="s">
        <v>7948</v>
      </c>
      <c r="K2859" s="2" t="s">
        <v>95</v>
      </c>
      <c r="L2859" s="2"/>
      <c r="M2859" s="2" t="s">
        <v>1606</v>
      </c>
    </row>
    <row r="2860" customFormat="false" ht="15" hidden="false" customHeight="false" outlineLevel="0" collapsed="false">
      <c r="A2860" s="2" t="s">
        <v>7949</v>
      </c>
      <c r="B2860" s="2" t="s">
        <v>5912</v>
      </c>
      <c r="C2860" s="2" t="s">
        <v>5913</v>
      </c>
      <c r="D2860" s="13" t="n">
        <v>45340.6652777778</v>
      </c>
      <c r="E2860" s="2" t="s">
        <v>35</v>
      </c>
      <c r="F2860" s="2" t="s">
        <v>32</v>
      </c>
      <c r="G2860" s="2" t="n">
        <v>1498.52</v>
      </c>
      <c r="H2860" s="2" t="n">
        <v>5</v>
      </c>
      <c r="I2860" s="2" t="s">
        <v>28</v>
      </c>
      <c r="J2860" s="2" t="s">
        <v>7950</v>
      </c>
      <c r="K2860" s="2" t="s">
        <v>95</v>
      </c>
      <c r="L2860" s="2" t="s">
        <v>133</v>
      </c>
      <c r="M2860" s="2"/>
    </row>
    <row r="2861" customFormat="false" ht="15" hidden="false" customHeight="false" outlineLevel="0" collapsed="false">
      <c r="A2861" s="2" t="s">
        <v>7951</v>
      </c>
      <c r="B2861" s="2" t="s">
        <v>4450</v>
      </c>
      <c r="C2861" s="2" t="s">
        <v>4451</v>
      </c>
      <c r="D2861" s="13" t="n">
        <v>45771.3305555556</v>
      </c>
      <c r="E2861" s="2" t="s">
        <v>39</v>
      </c>
      <c r="F2861" s="2" t="s">
        <v>31</v>
      </c>
      <c r="G2861" s="2" t="n">
        <v>13179.44</v>
      </c>
      <c r="H2861" s="2" t="n">
        <v>94.19</v>
      </c>
      <c r="I2861" s="2" t="s">
        <v>26</v>
      </c>
      <c r="J2861" s="2" t="s">
        <v>7952</v>
      </c>
      <c r="K2861" s="2" t="s">
        <v>101</v>
      </c>
      <c r="L2861" s="2" t="s">
        <v>138</v>
      </c>
      <c r="M2861" s="2"/>
    </row>
    <row r="2862" customFormat="false" ht="15" hidden="false" customHeight="false" outlineLevel="0" collapsed="false">
      <c r="A2862" s="2" t="s">
        <v>7953</v>
      </c>
      <c r="B2862" s="2" t="s">
        <v>350</v>
      </c>
      <c r="C2862" s="2" t="s">
        <v>351</v>
      </c>
      <c r="D2862" s="13" t="n">
        <v>45634.4277777778</v>
      </c>
      <c r="E2862" s="2" t="s">
        <v>35</v>
      </c>
      <c r="F2862" s="2" t="s">
        <v>32</v>
      </c>
      <c r="G2862" s="2" t="n">
        <v>1006.44</v>
      </c>
      <c r="H2862" s="2" t="n">
        <v>5</v>
      </c>
      <c r="I2862" s="2" t="s">
        <v>26</v>
      </c>
      <c r="J2862" s="2" t="s">
        <v>7954</v>
      </c>
      <c r="K2862" s="2" t="s">
        <v>95</v>
      </c>
      <c r="L2862" s="2" t="s">
        <v>141</v>
      </c>
      <c r="M2862" s="2"/>
    </row>
    <row r="2863" customFormat="false" ht="15" hidden="false" customHeight="false" outlineLevel="0" collapsed="false">
      <c r="A2863" s="2" t="s">
        <v>7955</v>
      </c>
      <c r="B2863" s="2" t="s">
        <v>220</v>
      </c>
      <c r="C2863" s="2" t="s">
        <v>221</v>
      </c>
      <c r="D2863" s="13" t="n">
        <v>45980.8479166667</v>
      </c>
      <c r="E2863" s="2" t="s">
        <v>39</v>
      </c>
      <c r="F2863" s="2" t="s">
        <v>31</v>
      </c>
      <c r="G2863" s="2" t="n">
        <v>7687.38</v>
      </c>
      <c r="H2863" s="2" t="n">
        <v>74</v>
      </c>
      <c r="I2863" s="2" t="s">
        <v>26</v>
      </c>
      <c r="J2863" s="2" t="s">
        <v>7956</v>
      </c>
      <c r="K2863" s="2" t="s">
        <v>95</v>
      </c>
      <c r="L2863" s="2" t="s">
        <v>841</v>
      </c>
      <c r="M2863" s="2"/>
    </row>
    <row r="2864" customFormat="false" ht="15" hidden="false" customHeight="false" outlineLevel="0" collapsed="false">
      <c r="A2864" s="2" t="s">
        <v>7957</v>
      </c>
      <c r="B2864" s="2" t="s">
        <v>1914</v>
      </c>
      <c r="C2864" s="2" t="s">
        <v>1915</v>
      </c>
      <c r="D2864" s="13" t="n">
        <v>45502.3708333333</v>
      </c>
      <c r="E2864" s="2" t="s">
        <v>37</v>
      </c>
      <c r="F2864" s="2" t="s">
        <v>32</v>
      </c>
      <c r="G2864" s="2" t="n">
        <v>8680.36</v>
      </c>
      <c r="H2864" s="2" t="n">
        <v>101.63</v>
      </c>
      <c r="I2864" s="2" t="s">
        <v>26</v>
      </c>
      <c r="J2864" s="2" t="s">
        <v>7958</v>
      </c>
      <c r="K2864" s="2" t="s">
        <v>95</v>
      </c>
      <c r="L2864" s="2" t="s">
        <v>147</v>
      </c>
      <c r="M2864" s="2"/>
    </row>
    <row r="2865" customFormat="false" ht="15" hidden="false" customHeight="false" outlineLevel="0" collapsed="false">
      <c r="A2865" s="2" t="s">
        <v>7959</v>
      </c>
      <c r="B2865" s="2" t="s">
        <v>624</v>
      </c>
      <c r="C2865" s="2" t="s">
        <v>625</v>
      </c>
      <c r="D2865" s="13" t="n">
        <v>45346.6076388889</v>
      </c>
      <c r="E2865" s="2" t="s">
        <v>37</v>
      </c>
      <c r="F2865" s="2" t="s">
        <v>27</v>
      </c>
      <c r="G2865" s="2" t="n">
        <v>10602.68</v>
      </c>
      <c r="H2865" s="2" t="n">
        <v>32.3</v>
      </c>
      <c r="I2865" s="2" t="s">
        <v>26</v>
      </c>
      <c r="J2865" s="2" t="s">
        <v>7960</v>
      </c>
      <c r="K2865" s="2" t="s">
        <v>122</v>
      </c>
      <c r="L2865" s="2"/>
      <c r="M2865" s="2" t="s">
        <v>398</v>
      </c>
    </row>
    <row r="2866" customFormat="false" ht="15" hidden="false" customHeight="false" outlineLevel="0" collapsed="false">
      <c r="A2866" s="2" t="s">
        <v>7961</v>
      </c>
      <c r="B2866" s="2" t="s">
        <v>1308</v>
      </c>
      <c r="C2866" s="2" t="s">
        <v>1309</v>
      </c>
      <c r="D2866" s="13" t="n">
        <v>45437.4006944444</v>
      </c>
      <c r="E2866" s="2" t="s">
        <v>39</v>
      </c>
      <c r="F2866" s="2" t="s">
        <v>27</v>
      </c>
      <c r="G2866" s="2" t="n">
        <v>8218.41</v>
      </c>
      <c r="H2866" s="2" t="n">
        <v>17.87</v>
      </c>
      <c r="I2866" s="2" t="s">
        <v>26</v>
      </c>
      <c r="J2866" s="2" t="s">
        <v>7962</v>
      </c>
      <c r="K2866" s="2" t="s">
        <v>122</v>
      </c>
      <c r="L2866" s="2"/>
      <c r="M2866" s="2" t="s">
        <v>852</v>
      </c>
    </row>
    <row r="2867" customFormat="false" ht="15" hidden="false" customHeight="false" outlineLevel="0" collapsed="false">
      <c r="A2867" s="2" t="s">
        <v>7963</v>
      </c>
      <c r="B2867" s="2" t="s">
        <v>1046</v>
      </c>
      <c r="C2867" s="2" t="s">
        <v>1047</v>
      </c>
      <c r="D2867" s="13" t="n">
        <v>45908.7715277778</v>
      </c>
      <c r="E2867" s="2" t="s">
        <v>39</v>
      </c>
      <c r="F2867" s="2" t="s">
        <v>29</v>
      </c>
      <c r="G2867" s="2" t="n">
        <v>317.12</v>
      </c>
      <c r="H2867" s="2" t="n">
        <v>5</v>
      </c>
      <c r="I2867" s="2" t="s">
        <v>26</v>
      </c>
      <c r="J2867" s="2" t="s">
        <v>7964</v>
      </c>
      <c r="K2867" s="2" t="s">
        <v>122</v>
      </c>
      <c r="L2867" s="2" t="s">
        <v>158</v>
      </c>
      <c r="M2867" s="2"/>
    </row>
    <row r="2868" customFormat="false" ht="15" hidden="false" customHeight="false" outlineLevel="0" collapsed="false">
      <c r="A2868" s="2" t="s">
        <v>7965</v>
      </c>
      <c r="B2868" s="2" t="s">
        <v>7966</v>
      </c>
      <c r="C2868" s="2" t="s">
        <v>7967</v>
      </c>
      <c r="D2868" s="13" t="n">
        <v>45736.9256944444</v>
      </c>
      <c r="E2868" s="2" t="s">
        <v>35</v>
      </c>
      <c r="F2868" s="2" t="s">
        <v>29</v>
      </c>
      <c r="G2868" s="2" t="n">
        <v>4578.57</v>
      </c>
      <c r="H2868" s="2" t="n">
        <v>14.49</v>
      </c>
      <c r="I2868" s="2" t="s">
        <v>26</v>
      </c>
      <c r="J2868" s="2" t="s">
        <v>7968</v>
      </c>
      <c r="K2868" s="2" t="s">
        <v>122</v>
      </c>
      <c r="L2868" s="2" t="s">
        <v>1456</v>
      </c>
      <c r="M2868" s="2"/>
    </row>
    <row r="2869" customFormat="false" ht="15" hidden="false" customHeight="false" outlineLevel="0" collapsed="false">
      <c r="A2869" s="2" t="s">
        <v>7969</v>
      </c>
      <c r="B2869" s="2" t="s">
        <v>4246</v>
      </c>
      <c r="C2869" s="2" t="s">
        <v>4247</v>
      </c>
      <c r="D2869" s="13" t="n">
        <v>45914.7347222222</v>
      </c>
      <c r="E2869" s="2" t="s">
        <v>41</v>
      </c>
      <c r="F2869" s="2" t="s">
        <v>27</v>
      </c>
      <c r="G2869" s="2" t="n">
        <v>26816.77</v>
      </c>
      <c r="H2869" s="2" t="n">
        <v>204.66</v>
      </c>
      <c r="I2869" s="2" t="s">
        <v>26</v>
      </c>
      <c r="J2869" s="2" t="s">
        <v>7970</v>
      </c>
      <c r="K2869" s="2" t="s">
        <v>95</v>
      </c>
      <c r="L2869" s="2"/>
      <c r="M2869" s="2" t="s">
        <v>2325</v>
      </c>
    </row>
    <row r="2870" customFormat="false" ht="15" hidden="false" customHeight="false" outlineLevel="0" collapsed="false">
      <c r="A2870" s="2" t="s">
        <v>7971</v>
      </c>
      <c r="B2870" s="2" t="s">
        <v>5618</v>
      </c>
      <c r="C2870" s="2" t="s">
        <v>5619</v>
      </c>
      <c r="D2870" s="13" t="n">
        <v>45779.5486111111</v>
      </c>
      <c r="E2870" s="2" t="s">
        <v>43</v>
      </c>
      <c r="F2870" s="2" t="s">
        <v>31</v>
      </c>
      <c r="G2870" s="2" t="n">
        <v>3945.51</v>
      </c>
      <c r="H2870" s="2" t="n">
        <v>34.58</v>
      </c>
      <c r="I2870" s="2" t="s">
        <v>28</v>
      </c>
      <c r="J2870" s="2" t="s">
        <v>7972</v>
      </c>
      <c r="K2870" s="2" t="s">
        <v>89</v>
      </c>
      <c r="L2870" s="2"/>
      <c r="M2870" s="2" t="s">
        <v>1645</v>
      </c>
    </row>
    <row r="2871" customFormat="false" ht="15" hidden="false" customHeight="false" outlineLevel="0" collapsed="false">
      <c r="A2871" s="2" t="s">
        <v>7973</v>
      </c>
      <c r="B2871" s="2" t="s">
        <v>2410</v>
      </c>
      <c r="C2871" s="2" t="s">
        <v>2411</v>
      </c>
      <c r="D2871" s="13" t="n">
        <v>45710.825</v>
      </c>
      <c r="E2871" s="2" t="s">
        <v>35</v>
      </c>
      <c r="F2871" s="2" t="s">
        <v>31</v>
      </c>
      <c r="G2871" s="2" t="n">
        <v>829.14</v>
      </c>
      <c r="H2871" s="2" t="n">
        <v>5</v>
      </c>
      <c r="I2871" s="2" t="s">
        <v>30</v>
      </c>
      <c r="J2871" s="2" t="s">
        <v>7974</v>
      </c>
      <c r="K2871" s="2" t="s">
        <v>95</v>
      </c>
      <c r="L2871" s="2" t="s">
        <v>178</v>
      </c>
      <c r="M2871" s="2"/>
    </row>
    <row r="2872" customFormat="false" ht="15" hidden="false" customHeight="false" outlineLevel="0" collapsed="false">
      <c r="A2872" s="2" t="s">
        <v>7975</v>
      </c>
      <c r="B2872" s="2" t="s">
        <v>923</v>
      </c>
      <c r="C2872" s="2" t="s">
        <v>924</v>
      </c>
      <c r="D2872" s="13" t="n">
        <v>45487.33125</v>
      </c>
      <c r="E2872" s="2" t="s">
        <v>41</v>
      </c>
      <c r="F2872" s="2" t="s">
        <v>27</v>
      </c>
      <c r="G2872" s="2" t="n">
        <v>3347.48</v>
      </c>
      <c r="H2872" s="2" t="n">
        <v>35.35</v>
      </c>
      <c r="I2872" s="2" t="s">
        <v>26</v>
      </c>
      <c r="J2872" s="2" t="s">
        <v>7976</v>
      </c>
      <c r="K2872" s="2" t="s">
        <v>89</v>
      </c>
      <c r="L2872" s="2"/>
      <c r="M2872" s="2" t="s">
        <v>1282</v>
      </c>
    </row>
    <row r="2873" customFormat="false" ht="15" hidden="false" customHeight="false" outlineLevel="0" collapsed="false">
      <c r="A2873" s="2" t="s">
        <v>7977</v>
      </c>
      <c r="B2873" s="2" t="s">
        <v>1824</v>
      </c>
      <c r="C2873" s="2" t="s">
        <v>1825</v>
      </c>
      <c r="D2873" s="13" t="n">
        <v>45940.8347222222</v>
      </c>
      <c r="E2873" s="2" t="s">
        <v>39</v>
      </c>
      <c r="F2873" s="2" t="s">
        <v>32</v>
      </c>
      <c r="G2873" s="2" t="n">
        <v>6792.61</v>
      </c>
      <c r="H2873" s="2" t="n">
        <v>45.56</v>
      </c>
      <c r="I2873" s="2" t="s">
        <v>30</v>
      </c>
      <c r="J2873" s="2" t="s">
        <v>7978</v>
      </c>
      <c r="K2873" s="2" t="s">
        <v>101</v>
      </c>
      <c r="L2873" s="2" t="s">
        <v>188</v>
      </c>
      <c r="M2873" s="2"/>
    </row>
    <row r="2874" customFormat="false" ht="15" hidden="false" customHeight="false" outlineLevel="0" collapsed="false">
      <c r="A2874" s="2" t="s">
        <v>7979</v>
      </c>
      <c r="B2874" s="2" t="s">
        <v>220</v>
      </c>
      <c r="C2874" s="2" t="s">
        <v>221</v>
      </c>
      <c r="D2874" s="13" t="n">
        <v>45535.8659722222</v>
      </c>
      <c r="E2874" s="2" t="s">
        <v>37</v>
      </c>
      <c r="F2874" s="2" t="s">
        <v>32</v>
      </c>
      <c r="G2874" s="2" t="n">
        <v>2221.03</v>
      </c>
      <c r="H2874" s="2" t="n">
        <v>19.14</v>
      </c>
      <c r="I2874" s="2" t="s">
        <v>28</v>
      </c>
      <c r="J2874" s="2" t="s">
        <v>7980</v>
      </c>
      <c r="K2874" s="2" t="s">
        <v>89</v>
      </c>
      <c r="L2874" s="2" t="s">
        <v>193</v>
      </c>
      <c r="M2874" s="2"/>
    </row>
    <row r="2875" customFormat="false" ht="15" hidden="false" customHeight="false" outlineLevel="0" collapsed="false">
      <c r="A2875" s="2" t="s">
        <v>7981</v>
      </c>
      <c r="B2875" s="2" t="s">
        <v>543</v>
      </c>
      <c r="C2875" s="2" t="s">
        <v>544</v>
      </c>
      <c r="D2875" s="13" t="n">
        <v>45515.3979166667</v>
      </c>
      <c r="E2875" s="2" t="s">
        <v>39</v>
      </c>
      <c r="F2875" s="2" t="s">
        <v>27</v>
      </c>
      <c r="G2875" s="2" t="n">
        <v>1323.42</v>
      </c>
      <c r="H2875" s="2" t="n">
        <v>11.57</v>
      </c>
      <c r="I2875" s="2" t="s">
        <v>30</v>
      </c>
      <c r="J2875" s="2" t="s">
        <v>7982</v>
      </c>
      <c r="K2875" s="2" t="s">
        <v>95</v>
      </c>
      <c r="L2875" s="2"/>
      <c r="M2875" s="2" t="s">
        <v>448</v>
      </c>
    </row>
    <row r="2876" customFormat="false" ht="15" hidden="false" customHeight="false" outlineLevel="0" collapsed="false">
      <c r="A2876" s="2" t="s">
        <v>7983</v>
      </c>
      <c r="B2876" s="2" t="s">
        <v>4828</v>
      </c>
      <c r="C2876" s="2" t="s">
        <v>4829</v>
      </c>
      <c r="D2876" s="13" t="n">
        <v>45419.3791666667</v>
      </c>
      <c r="E2876" s="2" t="s">
        <v>41</v>
      </c>
      <c r="F2876" s="2" t="s">
        <v>31</v>
      </c>
      <c r="G2876" s="2" t="n">
        <v>7175.95</v>
      </c>
      <c r="H2876" s="2" t="n">
        <v>41.75</v>
      </c>
      <c r="I2876" s="2" t="s">
        <v>26</v>
      </c>
      <c r="J2876" s="2" t="s">
        <v>7984</v>
      </c>
      <c r="K2876" s="2" t="s">
        <v>95</v>
      </c>
      <c r="L2876" s="2" t="s">
        <v>891</v>
      </c>
      <c r="M2876" s="2"/>
    </row>
    <row r="2877" customFormat="false" ht="15" hidden="false" customHeight="false" outlineLevel="0" collapsed="false">
      <c r="A2877" s="2" t="s">
        <v>7985</v>
      </c>
      <c r="B2877" s="2" t="s">
        <v>5382</v>
      </c>
      <c r="C2877" s="2" t="s">
        <v>5383</v>
      </c>
      <c r="D2877" s="13" t="n">
        <v>45764.9555555556</v>
      </c>
      <c r="E2877" s="2" t="s">
        <v>39</v>
      </c>
      <c r="F2877" s="2" t="s">
        <v>29</v>
      </c>
      <c r="G2877" s="2" t="n">
        <v>7690.78</v>
      </c>
      <c r="H2877" s="2" t="n">
        <v>41.82</v>
      </c>
      <c r="I2877" s="2" t="s">
        <v>26</v>
      </c>
      <c r="J2877" s="2" t="s">
        <v>7986</v>
      </c>
      <c r="K2877" s="2" t="s">
        <v>101</v>
      </c>
      <c r="L2877" s="2" t="s">
        <v>208</v>
      </c>
      <c r="M2877" s="2"/>
    </row>
    <row r="2878" customFormat="false" ht="15" hidden="false" customHeight="false" outlineLevel="0" collapsed="false">
      <c r="A2878" s="2" t="s">
        <v>7987</v>
      </c>
      <c r="B2878" s="2" t="s">
        <v>3802</v>
      </c>
      <c r="C2878" s="2" t="s">
        <v>3803</v>
      </c>
      <c r="D2878" s="13" t="n">
        <v>45719.6861111111</v>
      </c>
      <c r="E2878" s="2" t="s">
        <v>37</v>
      </c>
      <c r="F2878" s="2" t="s">
        <v>27</v>
      </c>
      <c r="G2878" s="2" t="n">
        <v>2748.69</v>
      </c>
      <c r="H2878" s="2" t="n">
        <v>21.78</v>
      </c>
      <c r="I2878" s="2" t="s">
        <v>26</v>
      </c>
      <c r="J2878" s="2" t="s">
        <v>7988</v>
      </c>
      <c r="K2878" s="2" t="s">
        <v>122</v>
      </c>
      <c r="L2878" s="2"/>
      <c r="M2878" s="2" t="s">
        <v>463</v>
      </c>
    </row>
    <row r="2879" customFormat="false" ht="15" hidden="false" customHeight="false" outlineLevel="0" collapsed="false">
      <c r="A2879" s="2" t="s">
        <v>7989</v>
      </c>
      <c r="B2879" s="2" t="s">
        <v>1985</v>
      </c>
      <c r="C2879" s="2" t="s">
        <v>1986</v>
      </c>
      <c r="D2879" s="13" t="n">
        <v>45311.3152777778</v>
      </c>
      <c r="E2879" s="2" t="s">
        <v>41</v>
      </c>
      <c r="F2879" s="2" t="s">
        <v>32</v>
      </c>
      <c r="G2879" s="2" t="n">
        <v>15112.35</v>
      </c>
      <c r="H2879" s="2" t="n">
        <v>121.57</v>
      </c>
      <c r="I2879" s="2" t="s">
        <v>26</v>
      </c>
      <c r="J2879" s="2" t="s">
        <v>7990</v>
      </c>
      <c r="K2879" s="2" t="s">
        <v>89</v>
      </c>
      <c r="L2879" s="2" t="s">
        <v>218</v>
      </c>
      <c r="M2879" s="2"/>
    </row>
    <row r="2880" customFormat="false" ht="15" hidden="false" customHeight="false" outlineLevel="0" collapsed="false">
      <c r="A2880" s="2" t="s">
        <v>7991</v>
      </c>
      <c r="B2880" s="2" t="s">
        <v>1354</v>
      </c>
      <c r="C2880" s="2" t="s">
        <v>1355</v>
      </c>
      <c r="D2880" s="13" t="n">
        <v>45852.7708333333</v>
      </c>
      <c r="E2880" s="2" t="s">
        <v>35</v>
      </c>
      <c r="F2880" s="2" t="s">
        <v>27</v>
      </c>
      <c r="G2880" s="2" t="n">
        <v>56977.52</v>
      </c>
      <c r="H2880" s="2" t="n">
        <v>173.24</v>
      </c>
      <c r="I2880" s="2" t="s">
        <v>26</v>
      </c>
      <c r="J2880" s="2" t="s">
        <v>7992</v>
      </c>
      <c r="K2880" s="2" t="s">
        <v>89</v>
      </c>
      <c r="L2880" s="2"/>
      <c r="M2880" s="2" t="s">
        <v>906</v>
      </c>
    </row>
    <row r="2881" customFormat="false" ht="15" hidden="false" customHeight="false" outlineLevel="0" collapsed="false">
      <c r="A2881" s="2" t="s">
        <v>7993</v>
      </c>
      <c r="B2881" s="2" t="s">
        <v>465</v>
      </c>
      <c r="C2881" s="2" t="s">
        <v>466</v>
      </c>
      <c r="D2881" s="13" t="n">
        <v>45986.6645833333</v>
      </c>
      <c r="E2881" s="2" t="s">
        <v>41</v>
      </c>
      <c r="F2881" s="2" t="s">
        <v>32</v>
      </c>
      <c r="G2881" s="2" t="n">
        <v>1656.95</v>
      </c>
      <c r="H2881" s="2" t="n">
        <v>9.98</v>
      </c>
      <c r="I2881" s="2" t="s">
        <v>26</v>
      </c>
      <c r="J2881" s="2" t="s">
        <v>7994</v>
      </c>
      <c r="K2881" s="2" t="s">
        <v>89</v>
      </c>
      <c r="L2881" s="2" t="s">
        <v>911</v>
      </c>
      <c r="M2881" s="2"/>
    </row>
    <row r="2882" customFormat="false" ht="15" hidden="false" customHeight="false" outlineLevel="0" collapsed="false">
      <c r="A2882" s="2" t="s">
        <v>7995</v>
      </c>
      <c r="B2882" s="2" t="s">
        <v>4892</v>
      </c>
      <c r="C2882" s="2" t="s">
        <v>4893</v>
      </c>
      <c r="D2882" s="13" t="n">
        <v>45502.6555555556</v>
      </c>
      <c r="E2882" s="2" t="s">
        <v>37</v>
      </c>
      <c r="F2882" s="2" t="s">
        <v>32</v>
      </c>
      <c r="G2882" s="2" t="n">
        <v>221.83</v>
      </c>
      <c r="H2882" s="2" t="n">
        <v>5</v>
      </c>
      <c r="I2882" s="2" t="s">
        <v>26</v>
      </c>
      <c r="J2882" s="2" t="s">
        <v>7996</v>
      </c>
      <c r="K2882" s="2" t="s">
        <v>95</v>
      </c>
      <c r="L2882" s="2" t="s">
        <v>916</v>
      </c>
      <c r="M2882" s="2"/>
    </row>
    <row r="2883" customFormat="false" ht="15" hidden="false" customHeight="false" outlineLevel="0" collapsed="false">
      <c r="A2883" s="2" t="s">
        <v>7997</v>
      </c>
      <c r="B2883" s="2" t="s">
        <v>1301</v>
      </c>
      <c r="C2883" s="2" t="s">
        <v>1302</v>
      </c>
      <c r="D2883" s="13" t="n">
        <v>45560.5722222222</v>
      </c>
      <c r="E2883" s="2" t="s">
        <v>41</v>
      </c>
      <c r="F2883" s="2" t="s">
        <v>31</v>
      </c>
      <c r="G2883" s="2" t="n">
        <v>3654.83</v>
      </c>
      <c r="H2883" s="2" t="n">
        <v>12.85</v>
      </c>
      <c r="I2883" s="2" t="s">
        <v>26</v>
      </c>
      <c r="J2883" s="2" t="s">
        <v>7998</v>
      </c>
      <c r="K2883" s="2" t="s">
        <v>101</v>
      </c>
      <c r="L2883" s="2" t="s">
        <v>1513</v>
      </c>
      <c r="M2883" s="2"/>
    </row>
    <row r="2884" customFormat="false" ht="15" hidden="false" customHeight="false" outlineLevel="0" collapsed="false">
      <c r="A2884" s="2" t="s">
        <v>7999</v>
      </c>
      <c r="B2884" s="2" t="s">
        <v>119</v>
      </c>
      <c r="C2884" s="2" t="s">
        <v>120</v>
      </c>
      <c r="D2884" s="13" t="n">
        <v>45957.5833333333</v>
      </c>
      <c r="E2884" s="2" t="s">
        <v>41</v>
      </c>
      <c r="F2884" s="2" t="s">
        <v>29</v>
      </c>
      <c r="G2884" s="2" t="n">
        <v>15129.33</v>
      </c>
      <c r="H2884" s="2" t="n">
        <v>149.34</v>
      </c>
      <c r="I2884" s="2" t="s">
        <v>28</v>
      </c>
      <c r="J2884" s="2" t="s">
        <v>8000</v>
      </c>
      <c r="K2884" s="2" t="s">
        <v>89</v>
      </c>
      <c r="L2884" s="2" t="s">
        <v>243</v>
      </c>
      <c r="M2884" s="2"/>
    </row>
    <row r="2885" customFormat="false" ht="15" hidden="false" customHeight="false" outlineLevel="0" collapsed="false">
      <c r="A2885" s="2" t="s">
        <v>8001</v>
      </c>
      <c r="B2885" s="2" t="s">
        <v>7844</v>
      </c>
      <c r="C2885" s="2" t="s">
        <v>7845</v>
      </c>
      <c r="D2885" s="13" t="n">
        <v>45374.8041666667</v>
      </c>
      <c r="E2885" s="2" t="s">
        <v>37</v>
      </c>
      <c r="F2885" s="2" t="s">
        <v>32</v>
      </c>
      <c r="G2885" s="2" t="n">
        <v>3933.02</v>
      </c>
      <c r="H2885" s="2" t="n">
        <v>15.14</v>
      </c>
      <c r="I2885" s="2" t="s">
        <v>28</v>
      </c>
      <c r="J2885" s="2" t="s">
        <v>8002</v>
      </c>
      <c r="K2885" s="2" t="s">
        <v>122</v>
      </c>
      <c r="L2885" s="2" t="s">
        <v>248</v>
      </c>
      <c r="M2885" s="2"/>
    </row>
    <row r="2886" customFormat="false" ht="15" hidden="false" customHeight="false" outlineLevel="0" collapsed="false">
      <c r="A2886" s="2" t="s">
        <v>8003</v>
      </c>
      <c r="B2886" s="2" t="s">
        <v>340</v>
      </c>
      <c r="C2886" s="2" t="s">
        <v>341</v>
      </c>
      <c r="D2886" s="13" t="n">
        <v>45390.5805555556</v>
      </c>
      <c r="E2886" s="2" t="s">
        <v>41</v>
      </c>
      <c r="F2886" s="2" t="s">
        <v>27</v>
      </c>
      <c r="G2886" s="2" t="n">
        <v>750.77</v>
      </c>
      <c r="H2886" s="2" t="n">
        <v>6.37</v>
      </c>
      <c r="I2886" s="2" t="s">
        <v>30</v>
      </c>
      <c r="J2886" s="2" t="s">
        <v>8004</v>
      </c>
      <c r="K2886" s="2" t="s">
        <v>89</v>
      </c>
      <c r="L2886" s="2"/>
      <c r="M2886" s="2" t="s">
        <v>1703</v>
      </c>
    </row>
    <row r="2887" customFormat="false" ht="15" hidden="false" customHeight="false" outlineLevel="0" collapsed="false">
      <c r="A2887" s="2" t="s">
        <v>8005</v>
      </c>
      <c r="B2887" s="2" t="s">
        <v>3980</v>
      </c>
      <c r="C2887" s="2" t="s">
        <v>3981</v>
      </c>
      <c r="D2887" s="13" t="n">
        <v>45368.7652777778</v>
      </c>
      <c r="E2887" s="2" t="s">
        <v>43</v>
      </c>
      <c r="F2887" s="2" t="s">
        <v>32</v>
      </c>
      <c r="G2887" s="2" t="n">
        <v>29840.1</v>
      </c>
      <c r="H2887" s="2" t="n">
        <v>115</v>
      </c>
      <c r="I2887" s="2" t="s">
        <v>26</v>
      </c>
      <c r="J2887" s="2" t="s">
        <v>8006</v>
      </c>
      <c r="K2887" s="2" t="s">
        <v>95</v>
      </c>
      <c r="L2887" s="2"/>
      <c r="M2887" s="2" t="s">
        <v>2706</v>
      </c>
    </row>
    <row r="2888" customFormat="false" ht="15" hidden="false" customHeight="false" outlineLevel="0" collapsed="false">
      <c r="A2888" s="2" t="s">
        <v>8007</v>
      </c>
      <c r="B2888" s="2" t="s">
        <v>4300</v>
      </c>
      <c r="C2888" s="2" t="s">
        <v>4301</v>
      </c>
      <c r="D2888" s="13" t="n">
        <v>45496.8131944445</v>
      </c>
      <c r="E2888" s="2" t="s">
        <v>37</v>
      </c>
      <c r="F2888" s="2" t="s">
        <v>27</v>
      </c>
      <c r="G2888" s="2" t="n">
        <v>1629.85</v>
      </c>
      <c r="H2888" s="2" t="n">
        <v>5</v>
      </c>
      <c r="I2888" s="2" t="s">
        <v>26</v>
      </c>
      <c r="J2888" s="2" t="s">
        <v>8008</v>
      </c>
      <c r="K2888" s="2" t="s">
        <v>89</v>
      </c>
      <c r="L2888" s="2"/>
      <c r="M2888" s="2" t="s">
        <v>513</v>
      </c>
    </row>
    <row r="2889" customFormat="false" ht="15" hidden="false" customHeight="false" outlineLevel="0" collapsed="false">
      <c r="A2889" s="2" t="s">
        <v>8009</v>
      </c>
      <c r="B2889" s="2" t="s">
        <v>7172</v>
      </c>
      <c r="C2889" s="2" t="s">
        <v>7173</v>
      </c>
      <c r="D2889" s="13" t="n">
        <v>45815.9298611111</v>
      </c>
      <c r="E2889" s="2" t="s">
        <v>35</v>
      </c>
      <c r="F2889" s="2" t="s">
        <v>31</v>
      </c>
      <c r="G2889" s="2" t="n">
        <v>4770.99</v>
      </c>
      <c r="H2889" s="2" t="n">
        <v>17.17</v>
      </c>
      <c r="I2889" s="2" t="s">
        <v>26</v>
      </c>
      <c r="J2889" s="2" t="s">
        <v>8010</v>
      </c>
      <c r="K2889" s="2" t="s">
        <v>101</v>
      </c>
      <c r="L2889" s="2" t="s">
        <v>945</v>
      </c>
      <c r="M2889" s="2"/>
    </row>
    <row r="2890" customFormat="false" ht="15" hidden="false" customHeight="false" outlineLevel="0" collapsed="false">
      <c r="A2890" s="2" t="s">
        <v>8011</v>
      </c>
      <c r="B2890" s="2" t="s">
        <v>200</v>
      </c>
      <c r="C2890" s="2" t="s">
        <v>201</v>
      </c>
      <c r="D2890" s="13" t="n">
        <v>45323.6090277778</v>
      </c>
      <c r="E2890" s="2" t="s">
        <v>43</v>
      </c>
      <c r="F2890" s="2" t="s">
        <v>32</v>
      </c>
      <c r="G2890" s="2" t="n">
        <v>1031.74</v>
      </c>
      <c r="H2890" s="2" t="n">
        <v>5</v>
      </c>
      <c r="I2890" s="2" t="s">
        <v>26</v>
      </c>
      <c r="J2890" s="2" t="s">
        <v>8012</v>
      </c>
      <c r="K2890" s="2" t="s">
        <v>95</v>
      </c>
      <c r="L2890" s="2"/>
      <c r="M2890" s="2" t="s">
        <v>950</v>
      </c>
    </row>
    <row r="2891" customFormat="false" ht="15" hidden="false" customHeight="false" outlineLevel="0" collapsed="false">
      <c r="A2891" s="2" t="s">
        <v>8013</v>
      </c>
      <c r="B2891" s="2" t="s">
        <v>415</v>
      </c>
      <c r="C2891" s="2" t="s">
        <v>416</v>
      </c>
      <c r="D2891" s="13" t="n">
        <v>45955.7479166667</v>
      </c>
      <c r="E2891" s="2" t="s">
        <v>39</v>
      </c>
      <c r="F2891" s="2" t="s">
        <v>32</v>
      </c>
      <c r="G2891" s="2" t="n">
        <v>5412.23</v>
      </c>
      <c r="H2891" s="2" t="n">
        <v>51.79</v>
      </c>
      <c r="I2891" s="2" t="s">
        <v>26</v>
      </c>
      <c r="J2891" s="2" t="s">
        <v>8014</v>
      </c>
      <c r="K2891" s="2" t="s">
        <v>122</v>
      </c>
      <c r="L2891" s="2" t="s">
        <v>1543</v>
      </c>
      <c r="M2891" s="2"/>
    </row>
    <row r="2892" customFormat="false" ht="15" hidden="false" customHeight="false" outlineLevel="0" collapsed="false">
      <c r="A2892" s="2" t="s">
        <v>8015</v>
      </c>
      <c r="B2892" s="2" t="s">
        <v>425</v>
      </c>
      <c r="C2892" s="2" t="s">
        <v>426</v>
      </c>
      <c r="D2892" s="13" t="n">
        <v>45821.4284722222</v>
      </c>
      <c r="E2892" s="2" t="s">
        <v>41</v>
      </c>
      <c r="F2892" s="2" t="s">
        <v>27</v>
      </c>
      <c r="G2892" s="2" t="n">
        <v>3308.96</v>
      </c>
      <c r="H2892" s="2" t="n">
        <v>26.26</v>
      </c>
      <c r="I2892" s="2" t="s">
        <v>28</v>
      </c>
      <c r="J2892" s="2" t="s">
        <v>8016</v>
      </c>
      <c r="K2892" s="2" t="s">
        <v>95</v>
      </c>
      <c r="L2892" s="2"/>
      <c r="M2892" s="2" t="s">
        <v>531</v>
      </c>
    </row>
    <row r="2893" customFormat="false" ht="15" hidden="false" customHeight="false" outlineLevel="0" collapsed="false">
      <c r="A2893" s="2" t="s">
        <v>8017</v>
      </c>
      <c r="B2893" s="2" t="s">
        <v>1730</v>
      </c>
      <c r="C2893" s="2" t="s">
        <v>1731</v>
      </c>
      <c r="D2893" s="13" t="n">
        <v>45470.3527777778</v>
      </c>
      <c r="E2893" s="2" t="s">
        <v>39</v>
      </c>
      <c r="F2893" s="2" t="s">
        <v>31</v>
      </c>
      <c r="G2893" s="2" t="n">
        <v>1779.82</v>
      </c>
      <c r="H2893" s="2" t="n">
        <v>12.67</v>
      </c>
      <c r="I2893" s="2" t="s">
        <v>26</v>
      </c>
      <c r="J2893" s="2" t="s">
        <v>8018</v>
      </c>
      <c r="K2893" s="2" t="s">
        <v>122</v>
      </c>
      <c r="L2893" s="2" t="s">
        <v>963</v>
      </c>
      <c r="M2893" s="2"/>
    </row>
    <row r="2894" customFormat="false" ht="15" hidden="false" customHeight="false" outlineLevel="0" collapsed="false">
      <c r="A2894" s="2" t="s">
        <v>8019</v>
      </c>
      <c r="B2894" s="2" t="s">
        <v>5074</v>
      </c>
      <c r="C2894" s="2" t="s">
        <v>5075</v>
      </c>
      <c r="D2894" s="13" t="n">
        <v>45980.5097222222</v>
      </c>
      <c r="E2894" s="2" t="s">
        <v>43</v>
      </c>
      <c r="F2894" s="2" t="s">
        <v>29</v>
      </c>
      <c r="G2894" s="2" t="n">
        <v>2627.21</v>
      </c>
      <c r="H2894" s="2" t="n">
        <v>6.95</v>
      </c>
      <c r="I2894" s="2" t="s">
        <v>26</v>
      </c>
      <c r="J2894" s="2" t="s">
        <v>8020</v>
      </c>
      <c r="K2894" s="2" t="s">
        <v>122</v>
      </c>
      <c r="L2894" s="2"/>
      <c r="M2894" s="2" t="s">
        <v>1371</v>
      </c>
    </row>
    <row r="2895" customFormat="false" ht="15" hidden="false" customHeight="false" outlineLevel="0" collapsed="false">
      <c r="A2895" s="2" t="s">
        <v>8021</v>
      </c>
      <c r="B2895" s="2" t="s">
        <v>1141</v>
      </c>
      <c r="C2895" s="2" t="s">
        <v>1142</v>
      </c>
      <c r="D2895" s="13" t="n">
        <v>45378.65625</v>
      </c>
      <c r="E2895" s="2" t="s">
        <v>41</v>
      </c>
      <c r="F2895" s="2" t="s">
        <v>31</v>
      </c>
      <c r="G2895" s="2" t="n">
        <v>1907.88</v>
      </c>
      <c r="H2895" s="2" t="n">
        <v>22.74</v>
      </c>
      <c r="I2895" s="2" t="s">
        <v>28</v>
      </c>
      <c r="J2895" s="2" t="s">
        <v>8022</v>
      </c>
      <c r="K2895" s="2" t="s">
        <v>95</v>
      </c>
      <c r="L2895" s="2" t="s">
        <v>972</v>
      </c>
      <c r="M2895" s="2"/>
    </row>
    <row r="2896" customFormat="false" ht="15" hidden="false" customHeight="false" outlineLevel="0" collapsed="false">
      <c r="A2896" s="2" t="s">
        <v>8023</v>
      </c>
      <c r="B2896" s="2" t="s">
        <v>2603</v>
      </c>
      <c r="C2896" s="2" t="s">
        <v>2604</v>
      </c>
      <c r="D2896" s="13" t="n">
        <v>45721.4708333333</v>
      </c>
      <c r="E2896" s="2" t="s">
        <v>41</v>
      </c>
      <c r="F2896" s="2" t="s">
        <v>32</v>
      </c>
      <c r="G2896" s="2" t="n">
        <v>4537.62</v>
      </c>
      <c r="H2896" s="2" t="n">
        <v>24.04</v>
      </c>
      <c r="I2896" s="2" t="s">
        <v>26</v>
      </c>
      <c r="J2896" s="2" t="s">
        <v>8024</v>
      </c>
      <c r="K2896" s="2" t="s">
        <v>122</v>
      </c>
      <c r="L2896" s="2" t="s">
        <v>303</v>
      </c>
      <c r="M2896" s="2"/>
    </row>
    <row r="2897" customFormat="false" ht="15" hidden="false" customHeight="false" outlineLevel="0" collapsed="false">
      <c r="A2897" s="2" t="s">
        <v>8025</v>
      </c>
      <c r="B2897" s="2" t="s">
        <v>235</v>
      </c>
      <c r="C2897" s="2" t="s">
        <v>236</v>
      </c>
      <c r="D2897" s="13" t="n">
        <v>45363.9576388889</v>
      </c>
      <c r="E2897" s="2" t="s">
        <v>37</v>
      </c>
      <c r="F2897" s="2" t="s">
        <v>27</v>
      </c>
      <c r="G2897" s="2" t="n">
        <v>363.7</v>
      </c>
      <c r="H2897" s="2" t="n">
        <v>5</v>
      </c>
      <c r="I2897" s="2" t="s">
        <v>26</v>
      </c>
      <c r="J2897" s="2" t="s">
        <v>8026</v>
      </c>
      <c r="K2897" s="2" t="s">
        <v>122</v>
      </c>
      <c r="L2897" s="2"/>
      <c r="M2897" s="2" t="s">
        <v>981</v>
      </c>
    </row>
    <row r="2898" customFormat="false" ht="15" hidden="false" customHeight="false" outlineLevel="0" collapsed="false">
      <c r="A2898" s="2" t="s">
        <v>8027</v>
      </c>
      <c r="B2898" s="2" t="s">
        <v>2027</v>
      </c>
      <c r="C2898" s="2" t="s">
        <v>2028</v>
      </c>
      <c r="D2898" s="13" t="n">
        <v>45484.7361111111</v>
      </c>
      <c r="E2898" s="2" t="s">
        <v>43</v>
      </c>
      <c r="F2898" s="2" t="s">
        <v>31</v>
      </c>
      <c r="G2898" s="2" t="n">
        <v>1511.29</v>
      </c>
      <c r="H2898" s="2" t="n">
        <v>11.45</v>
      </c>
      <c r="I2898" s="2" t="s">
        <v>26</v>
      </c>
      <c r="J2898" s="2" t="s">
        <v>8028</v>
      </c>
      <c r="K2898" s="2" t="s">
        <v>101</v>
      </c>
      <c r="L2898" s="2"/>
      <c r="M2898" s="2" t="s">
        <v>561</v>
      </c>
    </row>
    <row r="2899" customFormat="false" ht="15" hidden="false" customHeight="false" outlineLevel="0" collapsed="false">
      <c r="A2899" s="2" t="s">
        <v>8029</v>
      </c>
      <c r="B2899" s="2" t="s">
        <v>3826</v>
      </c>
      <c r="C2899" s="2" t="s">
        <v>3827</v>
      </c>
      <c r="D2899" s="13" t="n">
        <v>45777.6694444444</v>
      </c>
      <c r="E2899" s="2" t="s">
        <v>41</v>
      </c>
      <c r="F2899" s="2" t="s">
        <v>27</v>
      </c>
      <c r="G2899" s="2" t="n">
        <v>9284.53</v>
      </c>
      <c r="H2899" s="2" t="n">
        <v>41.87</v>
      </c>
      <c r="I2899" s="2" t="s">
        <v>26</v>
      </c>
      <c r="J2899" s="2" t="s">
        <v>8030</v>
      </c>
      <c r="K2899" s="2" t="s">
        <v>95</v>
      </c>
      <c r="L2899" s="2"/>
      <c r="M2899" s="2" t="s">
        <v>2097</v>
      </c>
    </row>
    <row r="2900" customFormat="false" ht="15" hidden="false" customHeight="false" outlineLevel="0" collapsed="false">
      <c r="A2900" s="2" t="s">
        <v>8031</v>
      </c>
      <c r="B2900" s="2" t="s">
        <v>460</v>
      </c>
      <c r="C2900" s="2" t="s">
        <v>461</v>
      </c>
      <c r="D2900" s="13" t="n">
        <v>45544.9493055556</v>
      </c>
      <c r="E2900" s="2" t="s">
        <v>43</v>
      </c>
      <c r="F2900" s="2" t="s">
        <v>29</v>
      </c>
      <c r="G2900" s="2" t="n">
        <v>10022.02</v>
      </c>
      <c r="H2900" s="2" t="n">
        <v>98.32</v>
      </c>
      <c r="I2900" s="2" t="s">
        <v>26</v>
      </c>
      <c r="J2900" s="2" t="s">
        <v>8032</v>
      </c>
      <c r="K2900" s="2" t="s">
        <v>95</v>
      </c>
      <c r="L2900" s="2"/>
      <c r="M2900" s="2" t="s">
        <v>571</v>
      </c>
    </row>
    <row r="2901" customFormat="false" ht="15" hidden="false" customHeight="false" outlineLevel="0" collapsed="false">
      <c r="A2901" s="2" t="s">
        <v>8033</v>
      </c>
      <c r="B2901" s="2" t="s">
        <v>7434</v>
      </c>
      <c r="C2901" s="2" t="s">
        <v>7435</v>
      </c>
      <c r="D2901" s="13" t="n">
        <v>45785.8958333333</v>
      </c>
      <c r="E2901" s="2" t="s">
        <v>35</v>
      </c>
      <c r="F2901" s="2" t="s">
        <v>32</v>
      </c>
      <c r="G2901" s="2" t="n">
        <v>3058.58</v>
      </c>
      <c r="H2901" s="2" t="n">
        <v>24.76</v>
      </c>
      <c r="I2901" s="2" t="s">
        <v>26</v>
      </c>
      <c r="J2901" s="2" t="s">
        <v>8034</v>
      </c>
      <c r="K2901" s="2" t="s">
        <v>89</v>
      </c>
      <c r="L2901" s="2" t="s">
        <v>1000</v>
      </c>
      <c r="M2901" s="2"/>
    </row>
    <row r="2902" customFormat="false" ht="15" hidden="false" customHeight="false" outlineLevel="0" collapsed="false">
      <c r="A2902" s="2" t="s">
        <v>8035</v>
      </c>
      <c r="B2902" s="2" t="s">
        <v>5782</v>
      </c>
      <c r="C2902" s="2" t="s">
        <v>5783</v>
      </c>
      <c r="D2902" s="13" t="n">
        <v>45989.5611111111</v>
      </c>
      <c r="E2902" s="2" t="s">
        <v>41</v>
      </c>
      <c r="F2902" s="2" t="s">
        <v>32</v>
      </c>
      <c r="G2902" s="2" t="n">
        <v>1845.83</v>
      </c>
      <c r="H2902" s="2" t="n">
        <v>14.13</v>
      </c>
      <c r="I2902" s="2" t="s">
        <v>28</v>
      </c>
      <c r="J2902" s="2" t="s">
        <v>8036</v>
      </c>
      <c r="K2902" s="2" t="s">
        <v>122</v>
      </c>
      <c r="L2902" s="2" t="s">
        <v>333</v>
      </c>
      <c r="M2902" s="2"/>
    </row>
    <row r="2903" customFormat="false" ht="15" hidden="false" customHeight="false" outlineLevel="0" collapsed="false">
      <c r="A2903" s="2" t="s">
        <v>8037</v>
      </c>
      <c r="B2903" s="2" t="s">
        <v>1141</v>
      </c>
      <c r="C2903" s="2" t="s">
        <v>1142</v>
      </c>
      <c r="D2903" s="13" t="n">
        <v>45580.4701388889</v>
      </c>
      <c r="E2903" s="2" t="s">
        <v>39</v>
      </c>
      <c r="F2903" s="2" t="s">
        <v>32</v>
      </c>
      <c r="G2903" s="2" t="n">
        <v>758.48</v>
      </c>
      <c r="H2903" s="2" t="n">
        <v>5.28</v>
      </c>
      <c r="I2903" s="2" t="s">
        <v>26</v>
      </c>
      <c r="J2903" s="2" t="s">
        <v>8038</v>
      </c>
      <c r="K2903" s="2" t="s">
        <v>122</v>
      </c>
      <c r="L2903" s="2" t="s">
        <v>338</v>
      </c>
      <c r="M2903" s="2"/>
    </row>
    <row r="2904" customFormat="false" ht="15" hidden="false" customHeight="false" outlineLevel="0" collapsed="false">
      <c r="A2904" s="2" t="s">
        <v>8039</v>
      </c>
      <c r="B2904" s="2" t="s">
        <v>624</v>
      </c>
      <c r="C2904" s="2" t="s">
        <v>625</v>
      </c>
      <c r="D2904" s="13" t="n">
        <v>45821.5270833333</v>
      </c>
      <c r="E2904" s="2" t="s">
        <v>39</v>
      </c>
      <c r="F2904" s="2" t="s">
        <v>31</v>
      </c>
      <c r="G2904" s="2" t="n">
        <v>11992.84</v>
      </c>
      <c r="H2904" s="2" t="n">
        <v>133.5</v>
      </c>
      <c r="I2904" s="2" t="s">
        <v>26</v>
      </c>
      <c r="J2904" s="2" t="s">
        <v>8040</v>
      </c>
      <c r="K2904" s="2" t="s">
        <v>122</v>
      </c>
      <c r="L2904" s="2" t="s">
        <v>343</v>
      </c>
      <c r="M2904" s="2"/>
    </row>
    <row r="2905" customFormat="false" ht="15" hidden="false" customHeight="false" outlineLevel="0" collapsed="false">
      <c r="A2905" s="2" t="s">
        <v>8041</v>
      </c>
      <c r="B2905" s="2" t="s">
        <v>4044</v>
      </c>
      <c r="C2905" s="2" t="s">
        <v>4045</v>
      </c>
      <c r="D2905" s="13" t="n">
        <v>45712.575</v>
      </c>
      <c r="E2905" s="2" t="s">
        <v>43</v>
      </c>
      <c r="F2905" s="2" t="s">
        <v>31</v>
      </c>
      <c r="G2905" s="2" t="n">
        <v>1773.88</v>
      </c>
      <c r="H2905" s="2" t="n">
        <v>7.5</v>
      </c>
      <c r="I2905" s="2" t="s">
        <v>26</v>
      </c>
      <c r="J2905" s="2" t="s">
        <v>8042</v>
      </c>
      <c r="K2905" s="2" t="s">
        <v>95</v>
      </c>
      <c r="L2905" s="2"/>
      <c r="M2905" s="2" t="s">
        <v>594</v>
      </c>
    </row>
    <row r="2906" customFormat="false" ht="15" hidden="false" customHeight="false" outlineLevel="0" collapsed="false">
      <c r="A2906" s="2" t="s">
        <v>8043</v>
      </c>
      <c r="B2906" s="2" t="s">
        <v>2726</v>
      </c>
      <c r="C2906" s="2" t="s">
        <v>2727</v>
      </c>
      <c r="D2906" s="13" t="n">
        <v>45553.4027777778</v>
      </c>
      <c r="E2906" s="2" t="s">
        <v>39</v>
      </c>
      <c r="F2906" s="2" t="s">
        <v>27</v>
      </c>
      <c r="G2906" s="2" t="n">
        <v>885.81</v>
      </c>
      <c r="H2906" s="2" t="n">
        <v>9.05</v>
      </c>
      <c r="I2906" s="2" t="s">
        <v>26</v>
      </c>
      <c r="J2906" s="2" t="s">
        <v>8044</v>
      </c>
      <c r="K2906" s="2" t="s">
        <v>101</v>
      </c>
      <c r="L2906" s="2"/>
      <c r="M2906" s="2" t="s">
        <v>112</v>
      </c>
    </row>
    <row r="2907" customFormat="false" ht="15" hidden="false" customHeight="false" outlineLevel="0" collapsed="false">
      <c r="A2907" s="2" t="s">
        <v>8045</v>
      </c>
      <c r="B2907" s="2" t="s">
        <v>5798</v>
      </c>
      <c r="C2907" s="2" t="s">
        <v>5799</v>
      </c>
      <c r="D2907" s="13" t="n">
        <v>45415.3145833333</v>
      </c>
      <c r="E2907" s="2" t="s">
        <v>43</v>
      </c>
      <c r="F2907" s="2" t="s">
        <v>27</v>
      </c>
      <c r="G2907" s="2" t="n">
        <v>1459.1</v>
      </c>
      <c r="H2907" s="2" t="n">
        <v>11.89</v>
      </c>
      <c r="I2907" s="2" t="s">
        <v>26</v>
      </c>
      <c r="J2907" s="2" t="s">
        <v>8046</v>
      </c>
      <c r="K2907" s="2" t="s">
        <v>122</v>
      </c>
      <c r="L2907" s="2"/>
      <c r="M2907" s="2" t="s">
        <v>1778</v>
      </c>
    </row>
    <row r="2908" customFormat="false" ht="15" hidden="false" customHeight="false" outlineLevel="0" collapsed="false">
      <c r="A2908" s="2" t="s">
        <v>8047</v>
      </c>
      <c r="B2908" s="2" t="s">
        <v>4308</v>
      </c>
      <c r="C2908" s="2" t="s">
        <v>4309</v>
      </c>
      <c r="D2908" s="13" t="n">
        <v>45806.56875</v>
      </c>
      <c r="E2908" s="2" t="s">
        <v>43</v>
      </c>
      <c r="F2908" s="2" t="s">
        <v>29</v>
      </c>
      <c r="G2908" s="2" t="n">
        <v>18973.42</v>
      </c>
      <c r="H2908" s="2" t="n">
        <v>82.52</v>
      </c>
      <c r="I2908" s="2" t="s">
        <v>26</v>
      </c>
      <c r="J2908" s="2" t="s">
        <v>8048</v>
      </c>
      <c r="K2908" s="2" t="s">
        <v>95</v>
      </c>
      <c r="L2908" s="2"/>
      <c r="M2908" s="2" t="s">
        <v>1023</v>
      </c>
    </row>
    <row r="2909" customFormat="false" ht="15" hidden="false" customHeight="false" outlineLevel="0" collapsed="false">
      <c r="A2909" s="2" t="s">
        <v>8049</v>
      </c>
      <c r="B2909" s="2" t="s">
        <v>2633</v>
      </c>
      <c r="C2909" s="2" t="s">
        <v>2634</v>
      </c>
      <c r="D2909" s="13" t="n">
        <v>45774.7756944444</v>
      </c>
      <c r="E2909" s="2" t="s">
        <v>37</v>
      </c>
      <c r="F2909" s="2" t="s">
        <v>29</v>
      </c>
      <c r="G2909" s="2" t="n">
        <v>2299.61</v>
      </c>
      <c r="H2909" s="2" t="n">
        <v>5.58</v>
      </c>
      <c r="I2909" s="2" t="s">
        <v>26</v>
      </c>
      <c r="J2909" s="2" t="s">
        <v>8050</v>
      </c>
      <c r="K2909" s="2" t="s">
        <v>101</v>
      </c>
      <c r="L2909" s="2" t="s">
        <v>368</v>
      </c>
      <c r="M2909" s="2"/>
    </row>
    <row r="2910" customFormat="false" ht="15" hidden="false" customHeight="false" outlineLevel="0" collapsed="false">
      <c r="A2910" s="2" t="s">
        <v>8051</v>
      </c>
      <c r="B2910" s="2" t="s">
        <v>4662</v>
      </c>
      <c r="C2910" s="2" t="s">
        <v>4663</v>
      </c>
      <c r="D2910" s="13" t="n">
        <v>45619.9298611111</v>
      </c>
      <c r="E2910" s="2" t="s">
        <v>39</v>
      </c>
      <c r="F2910" s="2" t="s">
        <v>31</v>
      </c>
      <c r="G2910" s="2" t="n">
        <v>4216.07</v>
      </c>
      <c r="H2910" s="2" t="n">
        <v>14.69</v>
      </c>
      <c r="I2910" s="2" t="s">
        <v>30</v>
      </c>
      <c r="J2910" s="2" t="s">
        <v>8052</v>
      </c>
      <c r="K2910" s="2" t="s">
        <v>122</v>
      </c>
      <c r="L2910" s="2" t="s">
        <v>373</v>
      </c>
      <c r="M2910" s="2"/>
    </row>
    <row r="2911" customFormat="false" ht="15" hidden="false" customHeight="false" outlineLevel="0" collapsed="false">
      <c r="A2911" s="2" t="s">
        <v>8053</v>
      </c>
      <c r="B2911" s="2" t="s">
        <v>380</v>
      </c>
      <c r="C2911" s="2" t="s">
        <v>381</v>
      </c>
      <c r="D2911" s="13" t="n">
        <v>45295.7256944445</v>
      </c>
      <c r="E2911" s="2" t="s">
        <v>35</v>
      </c>
      <c r="F2911" s="2" t="s">
        <v>31</v>
      </c>
      <c r="G2911" s="2" t="n">
        <v>4478.63</v>
      </c>
      <c r="H2911" s="2" t="n">
        <v>51.8</v>
      </c>
      <c r="I2911" s="2" t="s">
        <v>26</v>
      </c>
      <c r="J2911" s="2" t="s">
        <v>8054</v>
      </c>
      <c r="K2911" s="2" t="s">
        <v>122</v>
      </c>
      <c r="L2911" s="2" t="s">
        <v>1034</v>
      </c>
      <c r="M2911" s="2"/>
    </row>
    <row r="2912" customFormat="false" ht="15" hidden="false" customHeight="false" outlineLevel="0" collapsed="false">
      <c r="A2912" s="2" t="s">
        <v>8055</v>
      </c>
      <c r="B2912" s="2" t="s">
        <v>119</v>
      </c>
      <c r="C2912" s="2" t="s">
        <v>120</v>
      </c>
      <c r="D2912" s="13" t="n">
        <v>45321.8743055556</v>
      </c>
      <c r="E2912" s="2" t="s">
        <v>39</v>
      </c>
      <c r="F2912" s="2" t="s">
        <v>29</v>
      </c>
      <c r="G2912" s="2" t="n">
        <v>3184.63</v>
      </c>
      <c r="H2912" s="2" t="n">
        <v>34.35</v>
      </c>
      <c r="I2912" s="2" t="s">
        <v>26</v>
      </c>
      <c r="J2912" s="2" t="s">
        <v>8056</v>
      </c>
      <c r="K2912" s="2" t="s">
        <v>89</v>
      </c>
      <c r="L2912" s="2" t="s">
        <v>1039</v>
      </c>
      <c r="M2912" s="2"/>
    </row>
    <row r="2913" customFormat="false" ht="15" hidden="false" customHeight="false" outlineLevel="0" collapsed="false">
      <c r="A2913" s="2" t="s">
        <v>8057</v>
      </c>
      <c r="B2913" s="2" t="s">
        <v>4084</v>
      </c>
      <c r="C2913" s="2" t="s">
        <v>4085</v>
      </c>
      <c r="D2913" s="13" t="n">
        <v>45679.7923611111</v>
      </c>
      <c r="E2913" s="2" t="s">
        <v>35</v>
      </c>
      <c r="F2913" s="2" t="s">
        <v>27</v>
      </c>
      <c r="G2913" s="2" t="n">
        <v>7519.53</v>
      </c>
      <c r="H2913" s="2" t="n">
        <v>36.99</v>
      </c>
      <c r="I2913" s="2" t="s">
        <v>28</v>
      </c>
      <c r="J2913" s="2" t="s">
        <v>8058</v>
      </c>
      <c r="K2913" s="2" t="s">
        <v>122</v>
      </c>
      <c r="L2913" s="2"/>
      <c r="M2913" s="2" t="s">
        <v>144</v>
      </c>
    </row>
    <row r="2914" customFormat="false" ht="15" hidden="false" customHeight="false" outlineLevel="0" collapsed="false">
      <c r="A2914" s="2" t="s">
        <v>8059</v>
      </c>
      <c r="B2914" s="2" t="s">
        <v>235</v>
      </c>
      <c r="C2914" s="2" t="s">
        <v>236</v>
      </c>
      <c r="D2914" s="13" t="n">
        <v>45896.3972222222</v>
      </c>
      <c r="E2914" s="2" t="s">
        <v>37</v>
      </c>
      <c r="F2914" s="2" t="s">
        <v>27</v>
      </c>
      <c r="G2914" s="2" t="n">
        <v>1627.23</v>
      </c>
      <c r="H2914" s="2" t="n">
        <v>15.61</v>
      </c>
      <c r="I2914" s="2" t="s">
        <v>26</v>
      </c>
      <c r="J2914" s="2" t="s">
        <v>8060</v>
      </c>
      <c r="K2914" s="2" t="s">
        <v>122</v>
      </c>
      <c r="L2914" s="2"/>
      <c r="M2914" s="2" t="s">
        <v>1806</v>
      </c>
    </row>
    <row r="2915" customFormat="false" ht="15" hidden="false" customHeight="false" outlineLevel="0" collapsed="false">
      <c r="A2915" s="2" t="s">
        <v>8061</v>
      </c>
      <c r="B2915" s="2" t="s">
        <v>6912</v>
      </c>
      <c r="C2915" s="2" t="s">
        <v>6913</v>
      </c>
      <c r="D2915" s="13" t="n">
        <v>45662.6423611111</v>
      </c>
      <c r="E2915" s="2" t="s">
        <v>41</v>
      </c>
      <c r="F2915" s="2" t="s">
        <v>27</v>
      </c>
      <c r="G2915" s="2" t="n">
        <v>8912.64</v>
      </c>
      <c r="H2915" s="2" t="n">
        <v>34.81</v>
      </c>
      <c r="I2915" s="2" t="s">
        <v>26</v>
      </c>
      <c r="J2915" s="2" t="s">
        <v>8062</v>
      </c>
      <c r="K2915" s="2" t="s">
        <v>101</v>
      </c>
      <c r="L2915" s="2"/>
      <c r="M2915" s="2" t="s">
        <v>1053</v>
      </c>
    </row>
    <row r="2916" customFormat="false" ht="15" hidden="false" customHeight="false" outlineLevel="0" collapsed="false">
      <c r="A2916" s="2" t="s">
        <v>8063</v>
      </c>
      <c r="B2916" s="2" t="s">
        <v>2587</v>
      </c>
      <c r="C2916" s="2" t="s">
        <v>2588</v>
      </c>
      <c r="D2916" s="13" t="n">
        <v>45533.5361111111</v>
      </c>
      <c r="E2916" s="2" t="s">
        <v>37</v>
      </c>
      <c r="F2916" s="2" t="s">
        <v>27</v>
      </c>
      <c r="G2916" s="2" t="n">
        <v>7096.68</v>
      </c>
      <c r="H2916" s="2" t="n">
        <v>55.98</v>
      </c>
      <c r="I2916" s="2" t="s">
        <v>26</v>
      </c>
      <c r="J2916" s="2" t="s">
        <v>8064</v>
      </c>
      <c r="K2916" s="2" t="s">
        <v>89</v>
      </c>
      <c r="L2916" s="2"/>
      <c r="M2916" s="2" t="s">
        <v>1448</v>
      </c>
    </row>
    <row r="2917" customFormat="false" ht="15" hidden="false" customHeight="false" outlineLevel="0" collapsed="false">
      <c r="A2917" s="2" t="s">
        <v>8065</v>
      </c>
      <c r="B2917" s="2" t="s">
        <v>5040</v>
      </c>
      <c r="C2917" s="2" t="s">
        <v>5041</v>
      </c>
      <c r="D2917" s="13" t="n">
        <v>46013.4388888889</v>
      </c>
      <c r="E2917" s="2" t="s">
        <v>35</v>
      </c>
      <c r="F2917" s="2" t="s">
        <v>31</v>
      </c>
      <c r="G2917" s="2" t="n">
        <v>3695.36</v>
      </c>
      <c r="H2917" s="2" t="n">
        <v>27.94</v>
      </c>
      <c r="I2917" s="2" t="s">
        <v>26</v>
      </c>
      <c r="J2917" s="2" t="s">
        <v>8066</v>
      </c>
      <c r="K2917" s="2" t="s">
        <v>89</v>
      </c>
      <c r="L2917" s="2" t="s">
        <v>408</v>
      </c>
      <c r="M2917" s="2"/>
    </row>
    <row r="2918" customFormat="false" ht="15" hidden="false" customHeight="false" outlineLevel="0" collapsed="false">
      <c r="A2918" s="2" t="s">
        <v>8067</v>
      </c>
      <c r="B2918" s="2" t="s">
        <v>1031</v>
      </c>
      <c r="C2918" s="2" t="s">
        <v>1032</v>
      </c>
      <c r="D2918" s="13" t="n">
        <v>45721.5965277778</v>
      </c>
      <c r="E2918" s="2" t="s">
        <v>37</v>
      </c>
      <c r="F2918" s="2" t="s">
        <v>31</v>
      </c>
      <c r="G2918" s="2" t="n">
        <v>4278.3</v>
      </c>
      <c r="H2918" s="2" t="n">
        <v>13.06</v>
      </c>
      <c r="I2918" s="2" t="s">
        <v>28</v>
      </c>
      <c r="J2918" s="2" t="s">
        <v>8068</v>
      </c>
      <c r="K2918" s="2" t="s">
        <v>95</v>
      </c>
      <c r="L2918" s="2" t="s">
        <v>413</v>
      </c>
      <c r="M2918" s="2"/>
    </row>
    <row r="2919" customFormat="false" ht="15" hidden="false" customHeight="false" outlineLevel="0" collapsed="false">
      <c r="A2919" s="2" t="s">
        <v>8069</v>
      </c>
      <c r="B2919" s="2" t="s">
        <v>1386</v>
      </c>
      <c r="C2919" s="2" t="s">
        <v>1387</v>
      </c>
      <c r="D2919" s="13" t="n">
        <v>45752.3715277778</v>
      </c>
      <c r="E2919" s="2" t="s">
        <v>41</v>
      </c>
      <c r="F2919" s="2" t="s">
        <v>31</v>
      </c>
      <c r="G2919" s="2" t="n">
        <v>759.76</v>
      </c>
      <c r="H2919" s="2" t="n">
        <v>8.31</v>
      </c>
      <c r="I2919" s="2" t="s">
        <v>28</v>
      </c>
      <c r="J2919" s="2" t="s">
        <v>8070</v>
      </c>
      <c r="K2919" s="2" t="s">
        <v>101</v>
      </c>
      <c r="L2919" s="2" t="s">
        <v>418</v>
      </c>
      <c r="M2919" s="2"/>
    </row>
    <row r="2920" customFormat="false" ht="15" hidden="false" customHeight="false" outlineLevel="0" collapsed="false">
      <c r="A2920" s="2" t="s">
        <v>8071</v>
      </c>
      <c r="B2920" s="2" t="s">
        <v>8072</v>
      </c>
      <c r="C2920" s="2" t="s">
        <v>8073</v>
      </c>
      <c r="D2920" s="13" t="n">
        <v>45512.4048611111</v>
      </c>
      <c r="E2920" s="2" t="s">
        <v>37</v>
      </c>
      <c r="F2920" s="2" t="s">
        <v>31</v>
      </c>
      <c r="G2920" s="2" t="n">
        <v>306.55</v>
      </c>
      <c r="H2920" s="2" t="n">
        <v>5</v>
      </c>
      <c r="I2920" s="2" t="s">
        <v>26</v>
      </c>
      <c r="J2920" s="2" t="s">
        <v>8074</v>
      </c>
      <c r="K2920" s="2" t="s">
        <v>122</v>
      </c>
      <c r="L2920" s="2" t="s">
        <v>423</v>
      </c>
      <c r="M2920" s="2"/>
    </row>
    <row r="2921" customFormat="false" ht="15" hidden="false" customHeight="false" outlineLevel="0" collapsed="false">
      <c r="A2921" s="2" t="s">
        <v>8075</v>
      </c>
      <c r="B2921" s="2" t="s">
        <v>4092</v>
      </c>
      <c r="C2921" s="2" t="s">
        <v>4093</v>
      </c>
      <c r="D2921" s="13" t="n">
        <v>45642.8083333333</v>
      </c>
      <c r="E2921" s="2" t="s">
        <v>37</v>
      </c>
      <c r="F2921" s="2" t="s">
        <v>32</v>
      </c>
      <c r="G2921" s="2" t="n">
        <v>4503.33</v>
      </c>
      <c r="H2921" s="2" t="n">
        <v>20.24</v>
      </c>
      <c r="I2921" s="2" t="s">
        <v>26</v>
      </c>
      <c r="J2921" s="2" t="s">
        <v>8076</v>
      </c>
      <c r="K2921" s="2" t="s">
        <v>101</v>
      </c>
      <c r="L2921" s="2" t="s">
        <v>428</v>
      </c>
      <c r="M2921" s="2"/>
    </row>
    <row r="2922" customFormat="false" ht="15" hidden="false" customHeight="false" outlineLevel="0" collapsed="false">
      <c r="A2922" s="2" t="s">
        <v>8077</v>
      </c>
      <c r="B2922" s="2" t="s">
        <v>6996</v>
      </c>
      <c r="C2922" s="2" t="s">
        <v>6997</v>
      </c>
      <c r="D2922" s="13" t="n">
        <v>45831.5611111111</v>
      </c>
      <c r="E2922" s="2" t="s">
        <v>39</v>
      </c>
      <c r="F2922" s="2" t="s">
        <v>29</v>
      </c>
      <c r="G2922" s="2" t="n">
        <v>10532.21</v>
      </c>
      <c r="H2922" s="2" t="n">
        <v>60.06</v>
      </c>
      <c r="I2922" s="2" t="s">
        <v>26</v>
      </c>
      <c r="J2922" s="2" t="s">
        <v>8078</v>
      </c>
      <c r="K2922" s="2" t="s">
        <v>95</v>
      </c>
      <c r="L2922" s="2" t="s">
        <v>433</v>
      </c>
      <c r="M2922" s="2"/>
    </row>
    <row r="2923" customFormat="false" ht="15" hidden="false" customHeight="false" outlineLevel="0" collapsed="false">
      <c r="A2923" s="2" t="s">
        <v>8079</v>
      </c>
      <c r="B2923" s="2" t="s">
        <v>1257</v>
      </c>
      <c r="C2923" s="2" t="s">
        <v>1258</v>
      </c>
      <c r="D2923" s="13" t="n">
        <v>45789.8958333333</v>
      </c>
      <c r="E2923" s="2" t="s">
        <v>41</v>
      </c>
      <c r="F2923" s="2" t="s">
        <v>32</v>
      </c>
      <c r="G2923" s="2" t="n">
        <v>10220.67</v>
      </c>
      <c r="H2923" s="2" t="n">
        <v>87.53</v>
      </c>
      <c r="I2923" s="2" t="s">
        <v>30</v>
      </c>
      <c r="J2923" s="2" t="s">
        <v>8080</v>
      </c>
      <c r="K2923" s="2" t="s">
        <v>95</v>
      </c>
      <c r="L2923" s="2" t="s">
        <v>438</v>
      </c>
      <c r="M2923" s="2"/>
    </row>
    <row r="2924" customFormat="false" ht="15" hidden="false" customHeight="false" outlineLevel="0" collapsed="false">
      <c r="A2924" s="2" t="s">
        <v>8081</v>
      </c>
      <c r="B2924" s="2" t="s">
        <v>2465</v>
      </c>
      <c r="C2924" s="2" t="s">
        <v>2466</v>
      </c>
      <c r="D2924" s="13" t="n">
        <v>45907.8125</v>
      </c>
      <c r="E2924" s="2" t="s">
        <v>35</v>
      </c>
      <c r="F2924" s="2" t="s">
        <v>29</v>
      </c>
      <c r="G2924" s="2" t="n">
        <v>2379.46</v>
      </c>
      <c r="H2924" s="2" t="n">
        <v>14.79</v>
      </c>
      <c r="I2924" s="2" t="s">
        <v>26</v>
      </c>
      <c r="J2924" s="2" t="s">
        <v>8082</v>
      </c>
      <c r="K2924" s="2" t="s">
        <v>89</v>
      </c>
      <c r="L2924" s="2" t="s">
        <v>443</v>
      </c>
      <c r="M2924" s="2"/>
    </row>
    <row r="2925" customFormat="false" ht="15" hidden="false" customHeight="false" outlineLevel="0" collapsed="false">
      <c r="A2925" s="2" t="s">
        <v>8083</v>
      </c>
      <c r="B2925" s="2" t="s">
        <v>7750</v>
      </c>
      <c r="C2925" s="2" t="s">
        <v>7751</v>
      </c>
      <c r="D2925" s="13" t="n">
        <v>45427.3284722222</v>
      </c>
      <c r="E2925" s="2" t="s">
        <v>41</v>
      </c>
      <c r="F2925" s="2" t="s">
        <v>29</v>
      </c>
      <c r="G2925" s="2" t="n">
        <v>5271.79</v>
      </c>
      <c r="H2925" s="2" t="n">
        <v>45.87</v>
      </c>
      <c r="I2925" s="2" t="s">
        <v>26</v>
      </c>
      <c r="J2925" s="2" t="s">
        <v>8084</v>
      </c>
      <c r="K2925" s="2" t="s">
        <v>95</v>
      </c>
      <c r="L2925" s="2" t="s">
        <v>2186</v>
      </c>
      <c r="M2925" s="2"/>
    </row>
    <row r="2926" customFormat="false" ht="15" hidden="false" customHeight="false" outlineLevel="0" collapsed="false">
      <c r="A2926" s="2" t="s">
        <v>8085</v>
      </c>
      <c r="B2926" s="2" t="s">
        <v>5824</v>
      </c>
      <c r="C2926" s="2" t="s">
        <v>5825</v>
      </c>
      <c r="D2926" s="13" t="n">
        <v>45833.475</v>
      </c>
      <c r="E2926" s="2" t="s">
        <v>39</v>
      </c>
      <c r="F2926" s="2" t="s">
        <v>32</v>
      </c>
      <c r="G2926" s="2" t="n">
        <v>11567.12</v>
      </c>
      <c r="H2926" s="2" t="n">
        <v>89.23</v>
      </c>
      <c r="I2926" s="2" t="s">
        <v>30</v>
      </c>
      <c r="J2926" s="2" t="s">
        <v>8086</v>
      </c>
      <c r="K2926" s="2" t="s">
        <v>122</v>
      </c>
      <c r="L2926" s="2" t="s">
        <v>453</v>
      </c>
      <c r="M2926" s="2"/>
    </row>
    <row r="2927" customFormat="false" ht="15" hidden="false" customHeight="false" outlineLevel="0" collapsed="false">
      <c r="A2927" s="2" t="s">
        <v>8087</v>
      </c>
      <c r="B2927" s="2" t="s">
        <v>5576</v>
      </c>
      <c r="C2927" s="2" t="s">
        <v>5577</v>
      </c>
      <c r="D2927" s="13" t="n">
        <v>45790.6590277778</v>
      </c>
      <c r="E2927" s="2" t="s">
        <v>43</v>
      </c>
      <c r="F2927" s="2" t="s">
        <v>27</v>
      </c>
      <c r="G2927" s="2" t="n">
        <v>4616.03</v>
      </c>
      <c r="H2927" s="2" t="n">
        <v>32.6</v>
      </c>
      <c r="I2927" s="2" t="s">
        <v>28</v>
      </c>
      <c r="J2927" s="2" t="s">
        <v>8088</v>
      </c>
      <c r="K2927" s="2" t="s">
        <v>89</v>
      </c>
      <c r="L2927" s="2"/>
      <c r="M2927" s="2" t="s">
        <v>692</v>
      </c>
    </row>
    <row r="2928" customFormat="false" ht="15" hidden="false" customHeight="false" outlineLevel="0" collapsed="false">
      <c r="A2928" s="2" t="s">
        <v>8089</v>
      </c>
      <c r="B2928" s="2" t="s">
        <v>5604</v>
      </c>
      <c r="C2928" s="2" t="s">
        <v>5605</v>
      </c>
      <c r="D2928" s="13" t="n">
        <v>45782.8430555556</v>
      </c>
      <c r="E2928" s="2" t="s">
        <v>39</v>
      </c>
      <c r="F2928" s="2" t="s">
        <v>32</v>
      </c>
      <c r="G2928" s="2" t="n">
        <v>4540.3</v>
      </c>
      <c r="H2928" s="2" t="n">
        <v>52.4</v>
      </c>
      <c r="I2928" s="2" t="s">
        <v>26</v>
      </c>
      <c r="J2928" s="2" t="s">
        <v>8090</v>
      </c>
      <c r="K2928" s="2" t="s">
        <v>89</v>
      </c>
      <c r="L2928" s="2" t="s">
        <v>1105</v>
      </c>
      <c r="M2928" s="2"/>
    </row>
    <row r="2929" customFormat="false" ht="15" hidden="false" customHeight="false" outlineLevel="0" collapsed="false">
      <c r="A2929" s="2" t="s">
        <v>8091</v>
      </c>
      <c r="B2929" s="2" t="s">
        <v>838</v>
      </c>
      <c r="C2929" s="2" t="s">
        <v>839</v>
      </c>
      <c r="D2929" s="13" t="n">
        <v>45930.69375</v>
      </c>
      <c r="E2929" s="2" t="s">
        <v>37</v>
      </c>
      <c r="F2929" s="2" t="s">
        <v>29</v>
      </c>
      <c r="G2929" s="2" t="n">
        <v>1383.88</v>
      </c>
      <c r="H2929" s="2" t="n">
        <v>6.8</v>
      </c>
      <c r="I2929" s="2" t="s">
        <v>26</v>
      </c>
      <c r="J2929" s="2" t="s">
        <v>8092</v>
      </c>
      <c r="K2929" s="2" t="s">
        <v>122</v>
      </c>
      <c r="L2929" s="2" t="s">
        <v>468</v>
      </c>
      <c r="M2929" s="2"/>
    </row>
    <row r="2930" customFormat="false" ht="15" hidden="false" customHeight="false" outlineLevel="0" collapsed="false">
      <c r="A2930" s="2" t="s">
        <v>8093</v>
      </c>
      <c r="B2930" s="2" t="s">
        <v>2831</v>
      </c>
      <c r="C2930" s="2" t="s">
        <v>2832</v>
      </c>
      <c r="D2930" s="13" t="n">
        <v>45755.4743055556</v>
      </c>
      <c r="E2930" s="2" t="s">
        <v>43</v>
      </c>
      <c r="F2930" s="2" t="s">
        <v>27</v>
      </c>
      <c r="G2930" s="2" t="n">
        <v>2386.8</v>
      </c>
      <c r="H2930" s="2" t="n">
        <v>8.37</v>
      </c>
      <c r="I2930" s="2" t="s">
        <v>26</v>
      </c>
      <c r="J2930" s="2" t="s">
        <v>8094</v>
      </c>
      <c r="K2930" s="2" t="s">
        <v>89</v>
      </c>
      <c r="L2930" s="2"/>
      <c r="M2930" s="2" t="s">
        <v>223</v>
      </c>
    </row>
    <row r="2931" customFormat="false" ht="15" hidden="false" customHeight="false" outlineLevel="0" collapsed="false">
      <c r="A2931" s="2" t="s">
        <v>8095</v>
      </c>
      <c r="B2931" s="2" t="s">
        <v>415</v>
      </c>
      <c r="C2931" s="2" t="s">
        <v>416</v>
      </c>
      <c r="D2931" s="13" t="n">
        <v>45634.6451388889</v>
      </c>
      <c r="E2931" s="2" t="s">
        <v>39</v>
      </c>
      <c r="F2931" s="2" t="s">
        <v>27</v>
      </c>
      <c r="G2931" s="2" t="n">
        <v>7869.52</v>
      </c>
      <c r="H2931" s="2" t="n">
        <v>53.14</v>
      </c>
      <c r="I2931" s="2" t="s">
        <v>26</v>
      </c>
      <c r="J2931" s="2" t="s">
        <v>8096</v>
      </c>
      <c r="K2931" s="2" t="s">
        <v>89</v>
      </c>
      <c r="L2931" s="2"/>
      <c r="M2931" s="2" t="s">
        <v>228</v>
      </c>
    </row>
    <row r="2932" customFormat="false" ht="15" hidden="false" customHeight="false" outlineLevel="0" collapsed="false">
      <c r="A2932" s="2" t="s">
        <v>8097</v>
      </c>
      <c r="B2932" s="2" t="s">
        <v>1692</v>
      </c>
      <c r="C2932" s="2" t="s">
        <v>1693</v>
      </c>
      <c r="D2932" s="13" t="n">
        <v>45920.6104166667</v>
      </c>
      <c r="E2932" s="2" t="s">
        <v>41</v>
      </c>
      <c r="F2932" s="2" t="s">
        <v>27</v>
      </c>
      <c r="G2932" s="2" t="n">
        <v>1697.31</v>
      </c>
      <c r="H2932" s="2" t="n">
        <v>16.94</v>
      </c>
      <c r="I2932" s="2" t="s">
        <v>28</v>
      </c>
      <c r="J2932" s="2" t="s">
        <v>8098</v>
      </c>
      <c r="K2932" s="2" t="s">
        <v>95</v>
      </c>
      <c r="L2932" s="2"/>
      <c r="M2932" s="2" t="s">
        <v>233</v>
      </c>
    </row>
    <row r="2933" customFormat="false" ht="15" hidden="false" customHeight="false" outlineLevel="0" collapsed="false">
      <c r="A2933" s="2" t="s">
        <v>8099</v>
      </c>
      <c r="B2933" s="2" t="s">
        <v>3082</v>
      </c>
      <c r="C2933" s="2" t="s">
        <v>3083</v>
      </c>
      <c r="D2933" s="13" t="n">
        <v>45323.5972222222</v>
      </c>
      <c r="E2933" s="2" t="s">
        <v>39</v>
      </c>
      <c r="F2933" s="2" t="s">
        <v>31</v>
      </c>
      <c r="G2933" s="2" t="n">
        <v>214.24</v>
      </c>
      <c r="H2933" s="2" t="n">
        <v>5</v>
      </c>
      <c r="I2933" s="2" t="s">
        <v>28</v>
      </c>
      <c r="J2933" s="2" t="s">
        <v>8100</v>
      </c>
      <c r="K2933" s="2" t="s">
        <v>101</v>
      </c>
      <c r="L2933" s="2" t="s">
        <v>488</v>
      </c>
      <c r="M2933" s="2"/>
    </row>
    <row r="2934" customFormat="false" ht="15" hidden="false" customHeight="false" outlineLevel="0" collapsed="false">
      <c r="A2934" s="2" t="s">
        <v>8101</v>
      </c>
      <c r="B2934" s="2" t="s">
        <v>1018</v>
      </c>
      <c r="C2934" s="2" t="s">
        <v>1019</v>
      </c>
      <c r="D2934" s="13" t="n">
        <v>45798.9368055556</v>
      </c>
      <c r="E2934" s="2" t="s">
        <v>43</v>
      </c>
      <c r="F2934" s="2" t="s">
        <v>32</v>
      </c>
      <c r="G2934" s="2" t="n">
        <v>3065.16</v>
      </c>
      <c r="H2934" s="2" t="n">
        <v>23.78</v>
      </c>
      <c r="I2934" s="2" t="s">
        <v>28</v>
      </c>
      <c r="J2934" s="2" t="s">
        <v>8102</v>
      </c>
      <c r="K2934" s="2" t="s">
        <v>95</v>
      </c>
      <c r="L2934" s="2"/>
      <c r="M2934" s="2" t="s">
        <v>718</v>
      </c>
    </row>
    <row r="2935" customFormat="false" ht="15" hidden="false" customHeight="false" outlineLevel="0" collapsed="false">
      <c r="A2935" s="2" t="s">
        <v>8103</v>
      </c>
      <c r="B2935" s="2" t="s">
        <v>345</v>
      </c>
      <c r="C2935" s="2" t="s">
        <v>346</v>
      </c>
      <c r="D2935" s="13" t="n">
        <v>45695.9118055556</v>
      </c>
      <c r="E2935" s="2" t="s">
        <v>41</v>
      </c>
      <c r="F2935" s="2" t="s">
        <v>31</v>
      </c>
      <c r="G2935" s="2" t="n">
        <v>1426.74</v>
      </c>
      <c r="H2935" s="2" t="n">
        <v>8.48</v>
      </c>
      <c r="I2935" s="2" t="s">
        <v>26</v>
      </c>
      <c r="J2935" s="2" t="s">
        <v>8104</v>
      </c>
      <c r="K2935" s="2" t="s">
        <v>122</v>
      </c>
      <c r="L2935" s="2" t="s">
        <v>1127</v>
      </c>
      <c r="M2935" s="2"/>
    </row>
    <row r="2936" customFormat="false" ht="15" hidden="false" customHeight="false" outlineLevel="0" collapsed="false">
      <c r="A2936" s="2" t="s">
        <v>8105</v>
      </c>
      <c r="B2936" s="2" t="s">
        <v>543</v>
      </c>
      <c r="C2936" s="2" t="s">
        <v>544</v>
      </c>
      <c r="D2936" s="13" t="n">
        <v>45823.7993055556</v>
      </c>
      <c r="E2936" s="2" t="s">
        <v>43</v>
      </c>
      <c r="F2936" s="2" t="s">
        <v>27</v>
      </c>
      <c r="G2936" s="2" t="n">
        <v>2213.59</v>
      </c>
      <c r="H2936" s="2" t="n">
        <v>20.69</v>
      </c>
      <c r="I2936" s="2" t="s">
        <v>26</v>
      </c>
      <c r="J2936" s="2" t="s">
        <v>8106</v>
      </c>
      <c r="K2936" s="2" t="s">
        <v>122</v>
      </c>
      <c r="L2936" s="2"/>
      <c r="M2936" s="2" t="s">
        <v>728</v>
      </c>
    </row>
    <row r="2937" customFormat="false" ht="15" hidden="false" customHeight="false" outlineLevel="0" collapsed="false">
      <c r="A2937" s="2" t="s">
        <v>8107</v>
      </c>
      <c r="B2937" s="2" t="s">
        <v>6506</v>
      </c>
      <c r="C2937" s="2" t="s">
        <v>6507</v>
      </c>
      <c r="D2937" s="13" t="n">
        <v>45530.6166666667</v>
      </c>
      <c r="E2937" s="2" t="s">
        <v>41</v>
      </c>
      <c r="F2937" s="2" t="s">
        <v>31</v>
      </c>
      <c r="G2937" s="2" t="n">
        <v>4599.04</v>
      </c>
      <c r="H2937" s="2" t="n">
        <v>33.76</v>
      </c>
      <c r="I2937" s="2" t="s">
        <v>26</v>
      </c>
      <c r="J2937" s="2" t="s">
        <v>8108</v>
      </c>
      <c r="K2937" s="2" t="s">
        <v>95</v>
      </c>
      <c r="L2937" s="2" t="s">
        <v>508</v>
      </c>
      <c r="M2937" s="2"/>
    </row>
    <row r="2938" customFormat="false" ht="15" hidden="false" customHeight="false" outlineLevel="0" collapsed="false">
      <c r="A2938" s="2" t="s">
        <v>8109</v>
      </c>
      <c r="B2938" s="2" t="s">
        <v>4778</v>
      </c>
      <c r="C2938" s="2" t="s">
        <v>4779</v>
      </c>
      <c r="D2938" s="13" t="n">
        <v>45711.4715277778</v>
      </c>
      <c r="E2938" s="2" t="s">
        <v>39</v>
      </c>
      <c r="F2938" s="2" t="s">
        <v>29</v>
      </c>
      <c r="G2938" s="2" t="n">
        <v>9168.88</v>
      </c>
      <c r="H2938" s="2" t="n">
        <v>56.97</v>
      </c>
      <c r="I2938" s="2" t="s">
        <v>26</v>
      </c>
      <c r="J2938" s="2" t="s">
        <v>8110</v>
      </c>
      <c r="K2938" s="2" t="s">
        <v>122</v>
      </c>
      <c r="L2938" s="2" t="s">
        <v>1139</v>
      </c>
      <c r="M2938" s="2"/>
    </row>
    <row r="2939" customFormat="false" ht="15" hidden="false" customHeight="false" outlineLevel="0" collapsed="false">
      <c r="A2939" s="2" t="s">
        <v>8111</v>
      </c>
      <c r="B2939" s="2" t="s">
        <v>538</v>
      </c>
      <c r="C2939" s="2" t="s">
        <v>539</v>
      </c>
      <c r="D2939" s="13" t="n">
        <v>45575.9361111111</v>
      </c>
      <c r="E2939" s="2" t="s">
        <v>35</v>
      </c>
      <c r="F2939" s="2" t="s">
        <v>32</v>
      </c>
      <c r="G2939" s="2" t="n">
        <v>1245.73</v>
      </c>
      <c r="H2939" s="2" t="n">
        <v>7.4</v>
      </c>
      <c r="I2939" s="2" t="s">
        <v>26</v>
      </c>
      <c r="J2939" s="2" t="s">
        <v>8112</v>
      </c>
      <c r="K2939" s="2" t="s">
        <v>101</v>
      </c>
      <c r="L2939" s="2" t="s">
        <v>518</v>
      </c>
      <c r="M2939" s="2"/>
    </row>
    <row r="2940" customFormat="false" ht="15" hidden="false" customHeight="false" outlineLevel="0" collapsed="false">
      <c r="A2940" s="2" t="s">
        <v>8113</v>
      </c>
      <c r="B2940" s="2" t="s">
        <v>2499</v>
      </c>
      <c r="C2940" s="2" t="s">
        <v>2500</v>
      </c>
      <c r="D2940" s="13" t="n">
        <v>45397.4625</v>
      </c>
      <c r="E2940" s="2" t="s">
        <v>43</v>
      </c>
      <c r="F2940" s="2" t="s">
        <v>31</v>
      </c>
      <c r="G2940" s="2" t="n">
        <v>6141.78</v>
      </c>
      <c r="H2940" s="2" t="n">
        <v>15.26</v>
      </c>
      <c r="I2940" s="2" t="s">
        <v>26</v>
      </c>
      <c r="J2940" s="2" t="s">
        <v>8114</v>
      </c>
      <c r="K2940" s="2" t="s">
        <v>95</v>
      </c>
      <c r="L2940" s="2"/>
      <c r="M2940" s="2" t="s">
        <v>273</v>
      </c>
    </row>
    <row r="2941" customFormat="false" ht="15" hidden="false" customHeight="false" outlineLevel="0" collapsed="false">
      <c r="A2941" s="2" t="s">
        <v>8115</v>
      </c>
      <c r="B2941" s="2" t="s">
        <v>3292</v>
      </c>
      <c r="C2941" s="2" t="s">
        <v>3293</v>
      </c>
      <c r="D2941" s="13" t="n">
        <v>45835.6229166667</v>
      </c>
      <c r="E2941" s="2" t="s">
        <v>39</v>
      </c>
      <c r="F2941" s="2" t="s">
        <v>32</v>
      </c>
      <c r="G2941" s="2" t="n">
        <v>1711.46</v>
      </c>
      <c r="H2941" s="2" t="n">
        <v>12.54</v>
      </c>
      <c r="I2941" s="2" t="s">
        <v>26</v>
      </c>
      <c r="J2941" s="2" t="s">
        <v>8116</v>
      </c>
      <c r="K2941" s="2" t="s">
        <v>101</v>
      </c>
      <c r="L2941" s="2" t="s">
        <v>1152</v>
      </c>
      <c r="M2941" s="2"/>
    </row>
    <row r="2942" customFormat="false" ht="15" hidden="false" customHeight="false" outlineLevel="0" collapsed="false">
      <c r="A2942" s="2" t="s">
        <v>8117</v>
      </c>
      <c r="B2942" s="2" t="s">
        <v>4878</v>
      </c>
      <c r="C2942" s="2" t="s">
        <v>4879</v>
      </c>
      <c r="D2942" s="13" t="n">
        <v>45686.7090277778</v>
      </c>
      <c r="E2942" s="2" t="s">
        <v>43</v>
      </c>
      <c r="F2942" s="2" t="s">
        <v>27</v>
      </c>
      <c r="G2942" s="2" t="n">
        <v>2294.91</v>
      </c>
      <c r="H2942" s="2" t="n">
        <v>16.63</v>
      </c>
      <c r="I2942" s="2" t="s">
        <v>28</v>
      </c>
      <c r="J2942" s="2" t="s">
        <v>8118</v>
      </c>
      <c r="K2942" s="2" t="s">
        <v>89</v>
      </c>
      <c r="L2942" s="2"/>
      <c r="M2942" s="2" t="s">
        <v>1157</v>
      </c>
    </row>
    <row r="2943" customFormat="false" ht="15" hidden="false" customHeight="false" outlineLevel="0" collapsed="false">
      <c r="A2943" s="2" t="s">
        <v>8119</v>
      </c>
      <c r="B2943" s="2" t="s">
        <v>2159</v>
      </c>
      <c r="C2943" s="2" t="s">
        <v>2160</v>
      </c>
      <c r="D2943" s="13" t="n">
        <v>45373.5388888889</v>
      </c>
      <c r="E2943" s="2" t="s">
        <v>41</v>
      </c>
      <c r="F2943" s="2" t="s">
        <v>29</v>
      </c>
      <c r="G2943" s="2" t="n">
        <v>2367.48</v>
      </c>
      <c r="H2943" s="2" t="n">
        <v>26.19</v>
      </c>
      <c r="I2943" s="2" t="s">
        <v>26</v>
      </c>
      <c r="J2943" s="2" t="s">
        <v>8120</v>
      </c>
      <c r="K2943" s="2" t="s">
        <v>101</v>
      </c>
      <c r="L2943" s="2" t="s">
        <v>1160</v>
      </c>
      <c r="M2943" s="2"/>
    </row>
    <row r="2944" customFormat="false" ht="15" hidden="false" customHeight="false" outlineLevel="0" collapsed="false">
      <c r="A2944" s="2" t="s">
        <v>8121</v>
      </c>
      <c r="B2944" s="2" t="s">
        <v>4750</v>
      </c>
      <c r="C2944" s="2" t="s">
        <v>4751</v>
      </c>
      <c r="D2944" s="13" t="n">
        <v>45417.7361111111</v>
      </c>
      <c r="E2944" s="2" t="s">
        <v>41</v>
      </c>
      <c r="F2944" s="2" t="s">
        <v>27</v>
      </c>
      <c r="G2944" s="2" t="n">
        <v>3447.08</v>
      </c>
      <c r="H2944" s="2" t="n">
        <v>16.09</v>
      </c>
      <c r="I2944" s="2" t="s">
        <v>26</v>
      </c>
      <c r="J2944" s="2" t="s">
        <v>8122</v>
      </c>
      <c r="K2944" s="2" t="s">
        <v>122</v>
      </c>
      <c r="L2944" s="2"/>
      <c r="M2944" s="2" t="s">
        <v>762</v>
      </c>
    </row>
    <row r="2945" customFormat="false" ht="15" hidden="false" customHeight="false" outlineLevel="0" collapsed="false">
      <c r="A2945" s="2" t="s">
        <v>8123</v>
      </c>
      <c r="B2945" s="2" t="s">
        <v>899</v>
      </c>
      <c r="C2945" s="2" t="s">
        <v>900</v>
      </c>
      <c r="D2945" s="13" t="n">
        <v>45387.5208333333</v>
      </c>
      <c r="E2945" s="2" t="s">
        <v>43</v>
      </c>
      <c r="F2945" s="2" t="s">
        <v>32</v>
      </c>
      <c r="G2945" s="2" t="n">
        <v>1400.92</v>
      </c>
      <c r="H2945" s="2" t="n">
        <v>16.18</v>
      </c>
      <c r="I2945" s="2" t="s">
        <v>26</v>
      </c>
      <c r="J2945" s="2" t="s">
        <v>8124</v>
      </c>
      <c r="K2945" s="2" t="s">
        <v>95</v>
      </c>
      <c r="L2945" s="2"/>
      <c r="M2945" s="2" t="s">
        <v>298</v>
      </c>
    </row>
    <row r="2946" customFormat="false" ht="15" hidden="false" customHeight="false" outlineLevel="0" collapsed="false">
      <c r="A2946" s="2" t="s">
        <v>8125</v>
      </c>
      <c r="B2946" s="2" t="s">
        <v>3265</v>
      </c>
      <c r="C2946" s="2" t="s">
        <v>3266</v>
      </c>
      <c r="D2946" s="13" t="n">
        <v>45628.8701388889</v>
      </c>
      <c r="E2946" s="2" t="s">
        <v>43</v>
      </c>
      <c r="F2946" s="2" t="s">
        <v>29</v>
      </c>
      <c r="G2946" s="2" t="n">
        <v>32076.34</v>
      </c>
      <c r="H2946" s="2" t="n">
        <v>70.54</v>
      </c>
      <c r="I2946" s="2" t="s">
        <v>26</v>
      </c>
      <c r="J2946" s="2" t="s">
        <v>8126</v>
      </c>
      <c r="K2946" s="2" t="s">
        <v>101</v>
      </c>
      <c r="L2946" s="2"/>
      <c r="M2946" s="2" t="s">
        <v>1174</v>
      </c>
    </row>
    <row r="2947" customFormat="false" ht="15" hidden="false" customHeight="false" outlineLevel="0" collapsed="false">
      <c r="A2947" s="2" t="s">
        <v>8127</v>
      </c>
      <c r="B2947" s="2" t="s">
        <v>1583</v>
      </c>
      <c r="C2947" s="2" t="s">
        <v>1584</v>
      </c>
      <c r="D2947" s="13" t="n">
        <v>45695.7951388889</v>
      </c>
      <c r="E2947" s="2" t="s">
        <v>41</v>
      </c>
      <c r="F2947" s="2" t="s">
        <v>29</v>
      </c>
      <c r="G2947" s="2" t="n">
        <v>1723.95</v>
      </c>
      <c r="H2947" s="2" t="n">
        <v>14.97</v>
      </c>
      <c r="I2947" s="2" t="s">
        <v>26</v>
      </c>
      <c r="J2947" s="2" t="s">
        <v>8128</v>
      </c>
      <c r="K2947" s="2" t="s">
        <v>122</v>
      </c>
      <c r="L2947" s="2" t="s">
        <v>556</v>
      </c>
      <c r="M2947" s="2"/>
    </row>
    <row r="2948" customFormat="false" ht="15" hidden="false" customHeight="false" outlineLevel="0" collapsed="false">
      <c r="A2948" s="2" t="s">
        <v>8129</v>
      </c>
      <c r="B2948" s="2" t="s">
        <v>6736</v>
      </c>
      <c r="C2948" s="2" t="s">
        <v>6737</v>
      </c>
      <c r="D2948" s="13" t="n">
        <v>45358.3006944444</v>
      </c>
      <c r="E2948" s="2" t="s">
        <v>37</v>
      </c>
      <c r="F2948" s="2" t="s">
        <v>32</v>
      </c>
      <c r="G2948" s="2" t="n">
        <v>1415.15</v>
      </c>
      <c r="H2948" s="2" t="n">
        <v>11.84</v>
      </c>
      <c r="I2948" s="2" t="s">
        <v>30</v>
      </c>
      <c r="J2948" s="2" t="s">
        <v>8130</v>
      </c>
      <c r="K2948" s="2" t="s">
        <v>95</v>
      </c>
      <c r="L2948" s="2" t="s">
        <v>1183</v>
      </c>
      <c r="M2948" s="2"/>
    </row>
    <row r="2949" customFormat="false" ht="15" hidden="false" customHeight="false" outlineLevel="0" collapsed="false">
      <c r="A2949" s="2" t="s">
        <v>8131</v>
      </c>
      <c r="B2949" s="2" t="s">
        <v>2392</v>
      </c>
      <c r="C2949" s="2" t="s">
        <v>2393</v>
      </c>
      <c r="D2949" s="13" t="n">
        <v>45709.7861111111</v>
      </c>
      <c r="E2949" s="2" t="s">
        <v>35</v>
      </c>
      <c r="F2949" s="2" t="s">
        <v>29</v>
      </c>
      <c r="G2949" s="2" t="n">
        <v>1757.4</v>
      </c>
      <c r="H2949" s="2" t="n">
        <v>21.07</v>
      </c>
      <c r="I2949" s="2" t="s">
        <v>26</v>
      </c>
      <c r="J2949" s="2" t="s">
        <v>8132</v>
      </c>
      <c r="K2949" s="2" t="s">
        <v>122</v>
      </c>
      <c r="L2949" s="2" t="s">
        <v>566</v>
      </c>
      <c r="M2949" s="2"/>
    </row>
    <row r="2950" customFormat="false" ht="15" hidden="false" customHeight="false" outlineLevel="0" collapsed="false">
      <c r="A2950" s="2" t="s">
        <v>8133</v>
      </c>
      <c r="B2950" s="2" t="s">
        <v>3686</v>
      </c>
      <c r="C2950" s="2" t="s">
        <v>3687</v>
      </c>
      <c r="D2950" s="13" t="n">
        <v>45357.4944444444</v>
      </c>
      <c r="E2950" s="2" t="s">
        <v>43</v>
      </c>
      <c r="F2950" s="2" t="s">
        <v>29</v>
      </c>
      <c r="G2950" s="2" t="n">
        <v>5382.05</v>
      </c>
      <c r="H2950" s="2" t="n">
        <v>51.71</v>
      </c>
      <c r="I2950" s="2" t="s">
        <v>30</v>
      </c>
      <c r="J2950" s="2" t="s">
        <v>8134</v>
      </c>
      <c r="K2950" s="2" t="s">
        <v>122</v>
      </c>
      <c r="L2950" s="2"/>
      <c r="M2950" s="2" t="s">
        <v>323</v>
      </c>
    </row>
    <row r="2951" customFormat="false" ht="15" hidden="false" customHeight="false" outlineLevel="0" collapsed="false">
      <c r="A2951" s="2" t="s">
        <v>8135</v>
      </c>
      <c r="B2951" s="2" t="s">
        <v>510</v>
      </c>
      <c r="C2951" s="2" t="s">
        <v>511</v>
      </c>
      <c r="D2951" s="13" t="n">
        <v>45983.51875</v>
      </c>
      <c r="E2951" s="2" t="s">
        <v>43</v>
      </c>
      <c r="F2951" s="2" t="s">
        <v>32</v>
      </c>
      <c r="G2951" s="2" t="n">
        <v>1136.04</v>
      </c>
      <c r="H2951" s="2" t="n">
        <v>5</v>
      </c>
      <c r="I2951" s="2" t="s">
        <v>30</v>
      </c>
      <c r="J2951" s="2" t="s">
        <v>8136</v>
      </c>
      <c r="K2951" s="2" t="s">
        <v>89</v>
      </c>
      <c r="L2951" s="2"/>
      <c r="M2951" s="2" t="s">
        <v>328</v>
      </c>
    </row>
    <row r="2952" customFormat="false" ht="15" hidden="false" customHeight="false" outlineLevel="0" collapsed="false">
      <c r="A2952" s="2" t="s">
        <v>8137</v>
      </c>
      <c r="B2952" s="2" t="s">
        <v>805</v>
      </c>
      <c r="C2952" s="2" t="s">
        <v>806</v>
      </c>
      <c r="D2952" s="13" t="n">
        <v>45599.5777777778</v>
      </c>
      <c r="E2952" s="2" t="s">
        <v>35</v>
      </c>
      <c r="F2952" s="2" t="s">
        <v>32</v>
      </c>
      <c r="G2952" s="2" t="n">
        <v>2803.1</v>
      </c>
      <c r="H2952" s="2" t="n">
        <v>30.17</v>
      </c>
      <c r="I2952" s="2" t="s">
        <v>26</v>
      </c>
      <c r="J2952" s="2" t="s">
        <v>8138</v>
      </c>
      <c r="K2952" s="2" t="s">
        <v>122</v>
      </c>
      <c r="L2952" s="2" t="s">
        <v>1199</v>
      </c>
      <c r="M2952" s="2"/>
    </row>
    <row r="2953" customFormat="false" ht="15" hidden="false" customHeight="false" outlineLevel="0" collapsed="false">
      <c r="A2953" s="2" t="s">
        <v>8139</v>
      </c>
      <c r="B2953" s="2" t="s">
        <v>4870</v>
      </c>
      <c r="C2953" s="2" t="s">
        <v>4871</v>
      </c>
      <c r="D2953" s="13" t="n">
        <v>45837.86875</v>
      </c>
      <c r="E2953" s="2" t="s">
        <v>41</v>
      </c>
      <c r="F2953" s="2" t="s">
        <v>29</v>
      </c>
      <c r="G2953" s="2" t="n">
        <v>7937.25</v>
      </c>
      <c r="H2953" s="2" t="n">
        <v>82.21</v>
      </c>
      <c r="I2953" s="2" t="s">
        <v>30</v>
      </c>
      <c r="J2953" s="2" t="s">
        <v>8140</v>
      </c>
      <c r="K2953" s="2" t="s">
        <v>122</v>
      </c>
      <c r="L2953" s="2" t="s">
        <v>584</v>
      </c>
      <c r="M2953" s="2"/>
    </row>
    <row r="2954" customFormat="false" ht="15" hidden="false" customHeight="false" outlineLevel="0" collapsed="false">
      <c r="A2954" s="2" t="s">
        <v>8141</v>
      </c>
      <c r="B2954" s="2" t="s">
        <v>3233</v>
      </c>
      <c r="C2954" s="2" t="s">
        <v>3234</v>
      </c>
      <c r="D2954" s="13" t="n">
        <v>45633.3854166667</v>
      </c>
      <c r="E2954" s="2" t="s">
        <v>35</v>
      </c>
      <c r="F2954" s="2" t="s">
        <v>31</v>
      </c>
      <c r="G2954" s="2" t="n">
        <v>6988.37</v>
      </c>
      <c r="H2954" s="2" t="n">
        <v>17.01</v>
      </c>
      <c r="I2954" s="2" t="s">
        <v>28</v>
      </c>
      <c r="J2954" s="2" t="s">
        <v>8142</v>
      </c>
      <c r="K2954" s="2" t="s">
        <v>101</v>
      </c>
      <c r="L2954" s="2" t="s">
        <v>589</v>
      </c>
      <c r="M2954" s="2"/>
    </row>
    <row r="2955" customFormat="false" ht="15" hidden="false" customHeight="false" outlineLevel="0" collapsed="false">
      <c r="A2955" s="2" t="s">
        <v>8143</v>
      </c>
      <c r="B2955" s="2" t="s">
        <v>4814</v>
      </c>
      <c r="C2955" s="2" t="s">
        <v>4815</v>
      </c>
      <c r="D2955" s="13" t="n">
        <v>45675.4875</v>
      </c>
      <c r="E2955" s="2" t="s">
        <v>35</v>
      </c>
      <c r="F2955" s="2" t="s">
        <v>29</v>
      </c>
      <c r="G2955" s="2" t="n">
        <v>735.28</v>
      </c>
      <c r="H2955" s="2" t="n">
        <v>6.41</v>
      </c>
      <c r="I2955" s="2" t="s">
        <v>26</v>
      </c>
      <c r="J2955" s="2" t="s">
        <v>8144</v>
      </c>
      <c r="K2955" s="2" t="s">
        <v>101</v>
      </c>
      <c r="L2955" s="2" t="s">
        <v>1212</v>
      </c>
      <c r="M2955" s="2"/>
    </row>
    <row r="2956" customFormat="false" ht="15" hidden="false" customHeight="false" outlineLevel="0" collapsed="false">
      <c r="A2956" s="2" t="s">
        <v>8145</v>
      </c>
      <c r="B2956" s="2" t="s">
        <v>735</v>
      </c>
      <c r="C2956" s="2" t="s">
        <v>736</v>
      </c>
      <c r="D2956" s="13" t="n">
        <v>45426.3506944445</v>
      </c>
      <c r="E2956" s="2" t="s">
        <v>39</v>
      </c>
      <c r="F2956" s="2" t="s">
        <v>31</v>
      </c>
      <c r="G2956" s="2" t="n">
        <v>7278.72</v>
      </c>
      <c r="H2956" s="2" t="n">
        <v>61.48</v>
      </c>
      <c r="I2956" s="2" t="s">
        <v>28</v>
      </c>
      <c r="J2956" s="2" t="s">
        <v>8146</v>
      </c>
      <c r="K2956" s="2" t="s">
        <v>101</v>
      </c>
      <c r="L2956" s="2" t="s">
        <v>599</v>
      </c>
      <c r="M2956" s="2"/>
    </row>
    <row r="2957" customFormat="false" ht="15" hidden="false" customHeight="false" outlineLevel="0" collapsed="false">
      <c r="A2957" s="2" t="s">
        <v>8147</v>
      </c>
      <c r="B2957" s="2" t="s">
        <v>2906</v>
      </c>
      <c r="C2957" s="2" t="s">
        <v>2907</v>
      </c>
      <c r="D2957" s="13" t="n">
        <v>45898.8840277778</v>
      </c>
      <c r="E2957" s="2" t="s">
        <v>39</v>
      </c>
      <c r="F2957" s="2" t="s">
        <v>32</v>
      </c>
      <c r="G2957" s="2" t="n">
        <v>5338.7</v>
      </c>
      <c r="H2957" s="2" t="n">
        <v>23.4</v>
      </c>
      <c r="I2957" s="2" t="s">
        <v>26</v>
      </c>
      <c r="J2957" s="2" t="s">
        <v>8148</v>
      </c>
      <c r="K2957" s="2" t="s">
        <v>101</v>
      </c>
      <c r="L2957" s="2" t="s">
        <v>604</v>
      </c>
      <c r="M2957" s="2"/>
    </row>
    <row r="2958" customFormat="false" ht="15" hidden="false" customHeight="false" outlineLevel="0" collapsed="false">
      <c r="A2958" s="2" t="s">
        <v>8149</v>
      </c>
      <c r="B2958" s="2" t="s">
        <v>1018</v>
      </c>
      <c r="C2958" s="2" t="s">
        <v>1019</v>
      </c>
      <c r="D2958" s="13" t="n">
        <v>45571.8048611111</v>
      </c>
      <c r="E2958" s="2" t="s">
        <v>35</v>
      </c>
      <c r="F2958" s="2" t="s">
        <v>32</v>
      </c>
      <c r="G2958" s="2" t="n">
        <v>557.55</v>
      </c>
      <c r="H2958" s="2" t="n">
        <v>5.48</v>
      </c>
      <c r="I2958" s="2" t="s">
        <v>28</v>
      </c>
      <c r="J2958" s="2" t="s">
        <v>8150</v>
      </c>
      <c r="K2958" s="2" t="s">
        <v>89</v>
      </c>
      <c r="L2958" s="2" t="s">
        <v>607</v>
      </c>
      <c r="M2958" s="2"/>
    </row>
    <row r="2959" customFormat="false" ht="15" hidden="false" customHeight="false" outlineLevel="0" collapsed="false">
      <c r="A2959" s="2" t="s">
        <v>8151</v>
      </c>
      <c r="B2959" s="2" t="s">
        <v>992</v>
      </c>
      <c r="C2959" s="2" t="s">
        <v>993</v>
      </c>
      <c r="D2959" s="13" t="n">
        <v>45620.6548611111</v>
      </c>
      <c r="E2959" s="2" t="s">
        <v>39</v>
      </c>
      <c r="F2959" s="2" t="s">
        <v>27</v>
      </c>
      <c r="G2959" s="2" t="n">
        <v>6558.88</v>
      </c>
      <c r="H2959" s="2" t="n">
        <v>36.4</v>
      </c>
      <c r="I2959" s="2" t="s">
        <v>28</v>
      </c>
      <c r="J2959" s="2" t="s">
        <v>8152</v>
      </c>
      <c r="K2959" s="2" t="s">
        <v>122</v>
      </c>
      <c r="L2959" s="2"/>
      <c r="M2959" s="2" t="s">
        <v>1606</v>
      </c>
    </row>
    <row r="2960" customFormat="false" ht="15" hidden="false" customHeight="false" outlineLevel="0" collapsed="false">
      <c r="A2960" s="2" t="s">
        <v>8153</v>
      </c>
      <c r="B2960" s="2" t="s">
        <v>1730</v>
      </c>
      <c r="C2960" s="2" t="s">
        <v>1731</v>
      </c>
      <c r="D2960" s="13" t="n">
        <v>45307.7381944444</v>
      </c>
      <c r="E2960" s="2" t="s">
        <v>41</v>
      </c>
      <c r="F2960" s="2" t="s">
        <v>32</v>
      </c>
      <c r="G2960" s="2" t="n">
        <v>10640.65</v>
      </c>
      <c r="H2960" s="2" t="n">
        <v>43.54</v>
      </c>
      <c r="I2960" s="2" t="s">
        <v>26</v>
      </c>
      <c r="J2960" s="2" t="s">
        <v>8154</v>
      </c>
      <c r="K2960" s="2" t="s">
        <v>95</v>
      </c>
      <c r="L2960" s="2" t="s">
        <v>1232</v>
      </c>
      <c r="M2960" s="2"/>
    </row>
    <row r="2961" customFormat="false" ht="15" hidden="false" customHeight="false" outlineLevel="0" collapsed="false">
      <c r="A2961" s="2" t="s">
        <v>8155</v>
      </c>
      <c r="B2961" s="2" t="s">
        <v>2127</v>
      </c>
      <c r="C2961" s="2" t="s">
        <v>2128</v>
      </c>
      <c r="D2961" s="13" t="n">
        <v>45630.7840277778</v>
      </c>
      <c r="E2961" s="2" t="s">
        <v>37</v>
      </c>
      <c r="F2961" s="2" t="s">
        <v>32</v>
      </c>
      <c r="G2961" s="2" t="n">
        <v>13671.95</v>
      </c>
      <c r="H2961" s="2" t="n">
        <v>155.77</v>
      </c>
      <c r="I2961" s="2" t="s">
        <v>28</v>
      </c>
      <c r="J2961" s="2" t="s">
        <v>8156</v>
      </c>
      <c r="K2961" s="2" t="s">
        <v>101</v>
      </c>
      <c r="L2961" s="2" t="s">
        <v>622</v>
      </c>
      <c r="M2961" s="2"/>
    </row>
    <row r="2962" customFormat="false" ht="15" hidden="false" customHeight="false" outlineLevel="0" collapsed="false">
      <c r="A2962" s="2" t="s">
        <v>8157</v>
      </c>
      <c r="B2962" s="2" t="s">
        <v>1845</v>
      </c>
      <c r="C2962" s="2" t="s">
        <v>1846</v>
      </c>
      <c r="D2962" s="13" t="n">
        <v>45801.7666666667</v>
      </c>
      <c r="E2962" s="2" t="s">
        <v>41</v>
      </c>
      <c r="F2962" s="2" t="s">
        <v>32</v>
      </c>
      <c r="G2962" s="2" t="n">
        <v>27112.95</v>
      </c>
      <c r="H2962" s="2" t="n">
        <v>174.22</v>
      </c>
      <c r="I2962" s="2" t="s">
        <v>28</v>
      </c>
      <c r="J2962" s="2" t="s">
        <v>8158</v>
      </c>
      <c r="K2962" s="2" t="s">
        <v>95</v>
      </c>
      <c r="L2962" s="2" t="s">
        <v>1241</v>
      </c>
      <c r="M2962" s="2"/>
    </row>
    <row r="2963" customFormat="false" ht="15" hidden="false" customHeight="false" outlineLevel="0" collapsed="false">
      <c r="A2963" s="2" t="s">
        <v>8159</v>
      </c>
      <c r="B2963" s="2" t="s">
        <v>415</v>
      </c>
      <c r="C2963" s="2" t="s">
        <v>416</v>
      </c>
      <c r="D2963" s="13" t="n">
        <v>45886.6756944444</v>
      </c>
      <c r="E2963" s="2" t="s">
        <v>43</v>
      </c>
      <c r="F2963" s="2" t="s">
        <v>29</v>
      </c>
      <c r="G2963" s="2" t="n">
        <v>704.27</v>
      </c>
      <c r="H2963" s="2" t="n">
        <v>5</v>
      </c>
      <c r="I2963" s="2" t="s">
        <v>26</v>
      </c>
      <c r="J2963" s="2" t="s">
        <v>8160</v>
      </c>
      <c r="K2963" s="2" t="s">
        <v>122</v>
      </c>
      <c r="L2963" s="2"/>
      <c r="M2963" s="2" t="s">
        <v>388</v>
      </c>
    </row>
    <row r="2964" customFormat="false" ht="15" hidden="false" customHeight="false" outlineLevel="0" collapsed="false">
      <c r="A2964" s="2" t="s">
        <v>8161</v>
      </c>
      <c r="B2964" s="2" t="s">
        <v>5238</v>
      </c>
      <c r="C2964" s="2" t="s">
        <v>5239</v>
      </c>
      <c r="D2964" s="13" t="n">
        <v>45483.3215277778</v>
      </c>
      <c r="E2964" s="2" t="s">
        <v>43</v>
      </c>
      <c r="F2964" s="2" t="s">
        <v>32</v>
      </c>
      <c r="G2964" s="2" t="n">
        <v>9904.55</v>
      </c>
      <c r="H2964" s="2" t="n">
        <v>37.65</v>
      </c>
      <c r="I2964" s="2" t="s">
        <v>28</v>
      </c>
      <c r="J2964" s="2" t="s">
        <v>8162</v>
      </c>
      <c r="K2964" s="2" t="s">
        <v>122</v>
      </c>
      <c r="L2964" s="2"/>
      <c r="M2964" s="2" t="s">
        <v>1623</v>
      </c>
    </row>
    <row r="2965" customFormat="false" ht="15" hidden="false" customHeight="false" outlineLevel="0" collapsed="false">
      <c r="A2965" s="2" t="s">
        <v>8163</v>
      </c>
      <c r="B2965" s="2" t="s">
        <v>3160</v>
      </c>
      <c r="C2965" s="2" t="s">
        <v>3161</v>
      </c>
      <c r="D2965" s="13" t="n">
        <v>45495.3215277778</v>
      </c>
      <c r="E2965" s="2" t="s">
        <v>35</v>
      </c>
      <c r="F2965" s="2" t="s">
        <v>29</v>
      </c>
      <c r="G2965" s="2" t="n">
        <v>16037.23</v>
      </c>
      <c r="H2965" s="2" t="n">
        <v>122.28</v>
      </c>
      <c r="I2965" s="2" t="s">
        <v>26</v>
      </c>
      <c r="J2965" s="2" t="s">
        <v>8164</v>
      </c>
      <c r="K2965" s="2" t="s">
        <v>89</v>
      </c>
      <c r="L2965" s="2" t="s">
        <v>640</v>
      </c>
      <c r="M2965" s="2"/>
    </row>
    <row r="2966" customFormat="false" ht="15" hidden="false" customHeight="false" outlineLevel="0" collapsed="false">
      <c r="A2966" s="2" t="s">
        <v>8165</v>
      </c>
      <c r="B2966" s="2" t="s">
        <v>3164</v>
      </c>
      <c r="C2966" s="2" t="s">
        <v>3165</v>
      </c>
      <c r="D2966" s="13" t="n">
        <v>45753.68125</v>
      </c>
      <c r="E2966" s="2" t="s">
        <v>37</v>
      </c>
      <c r="F2966" s="2" t="s">
        <v>27</v>
      </c>
      <c r="G2966" s="2" t="n">
        <v>8531.05</v>
      </c>
      <c r="H2966" s="2" t="n">
        <v>44.31</v>
      </c>
      <c r="I2966" s="2" t="s">
        <v>26</v>
      </c>
      <c r="J2966" s="2" t="s">
        <v>8166</v>
      </c>
      <c r="K2966" s="2" t="s">
        <v>95</v>
      </c>
      <c r="L2966" s="2"/>
      <c r="M2966" s="2" t="s">
        <v>852</v>
      </c>
    </row>
    <row r="2967" customFormat="false" ht="15" hidden="false" customHeight="false" outlineLevel="0" collapsed="false">
      <c r="A2967" s="2" t="s">
        <v>8167</v>
      </c>
      <c r="B2967" s="2" t="s">
        <v>4724</v>
      </c>
      <c r="C2967" s="2" t="s">
        <v>4725</v>
      </c>
      <c r="D2967" s="13" t="n">
        <v>45452.8791666667</v>
      </c>
      <c r="E2967" s="2" t="s">
        <v>35</v>
      </c>
      <c r="F2967" s="2" t="s">
        <v>31</v>
      </c>
      <c r="G2967" s="2" t="n">
        <v>4105.98</v>
      </c>
      <c r="H2967" s="2" t="n">
        <v>26.77</v>
      </c>
      <c r="I2967" s="2" t="s">
        <v>28</v>
      </c>
      <c r="J2967" s="2" t="s">
        <v>8168</v>
      </c>
      <c r="K2967" s="2" t="s">
        <v>89</v>
      </c>
      <c r="L2967" s="2" t="s">
        <v>648</v>
      </c>
      <c r="M2967" s="2"/>
    </row>
    <row r="2968" customFormat="false" ht="15" hidden="false" customHeight="false" outlineLevel="0" collapsed="false">
      <c r="A2968" s="2" t="s">
        <v>8169</v>
      </c>
      <c r="B2968" s="2" t="s">
        <v>4098</v>
      </c>
      <c r="C2968" s="2" t="s">
        <v>4099</v>
      </c>
      <c r="D2968" s="13" t="n">
        <v>45427.3548611111</v>
      </c>
      <c r="E2968" s="2" t="s">
        <v>37</v>
      </c>
      <c r="F2968" s="2" t="s">
        <v>29</v>
      </c>
      <c r="G2968" s="2" t="n">
        <v>799.97</v>
      </c>
      <c r="H2968" s="2" t="n">
        <v>8.89</v>
      </c>
      <c r="I2968" s="2" t="s">
        <v>26</v>
      </c>
      <c r="J2968" s="2" t="s">
        <v>8170</v>
      </c>
      <c r="K2968" s="2" t="s">
        <v>89</v>
      </c>
      <c r="L2968" s="2" t="s">
        <v>1262</v>
      </c>
      <c r="M2968" s="2"/>
    </row>
    <row r="2969" customFormat="false" ht="15" hidden="false" customHeight="false" outlineLevel="0" collapsed="false">
      <c r="A2969" s="2" t="s">
        <v>8171</v>
      </c>
      <c r="B2969" s="2" t="s">
        <v>3500</v>
      </c>
      <c r="C2969" s="2" t="s">
        <v>3501</v>
      </c>
      <c r="D2969" s="13" t="n">
        <v>45700.6652777778</v>
      </c>
      <c r="E2969" s="2" t="s">
        <v>43</v>
      </c>
      <c r="F2969" s="2" t="s">
        <v>32</v>
      </c>
      <c r="G2969" s="2" t="n">
        <v>4486.21</v>
      </c>
      <c r="H2969" s="2" t="n">
        <v>31.18</v>
      </c>
      <c r="I2969" s="2" t="s">
        <v>26</v>
      </c>
      <c r="J2969" s="2" t="s">
        <v>8172</v>
      </c>
      <c r="K2969" s="2" t="s">
        <v>95</v>
      </c>
      <c r="L2969" s="2"/>
      <c r="M2969" s="2" t="s">
        <v>2325</v>
      </c>
    </row>
    <row r="2970" customFormat="false" ht="15" hidden="false" customHeight="false" outlineLevel="0" collapsed="false">
      <c r="A2970" s="2" t="s">
        <v>8173</v>
      </c>
      <c r="B2970" s="2" t="s">
        <v>1354</v>
      </c>
      <c r="C2970" s="2" t="s">
        <v>1355</v>
      </c>
      <c r="D2970" s="13" t="n">
        <v>45936.6611111111</v>
      </c>
      <c r="E2970" s="2" t="s">
        <v>41</v>
      </c>
      <c r="F2970" s="2" t="s">
        <v>31</v>
      </c>
      <c r="G2970" s="2" t="n">
        <v>10193.38</v>
      </c>
      <c r="H2970" s="2" t="n">
        <v>89.91</v>
      </c>
      <c r="I2970" s="2" t="s">
        <v>28</v>
      </c>
      <c r="J2970" s="2" t="s">
        <v>8174</v>
      </c>
      <c r="K2970" s="2" t="s">
        <v>122</v>
      </c>
      <c r="L2970" s="2" t="s">
        <v>1272</v>
      </c>
      <c r="M2970" s="2"/>
    </row>
    <row r="2971" customFormat="false" ht="15" hidden="false" customHeight="false" outlineLevel="0" collapsed="false">
      <c r="A2971" s="2" t="s">
        <v>8175</v>
      </c>
      <c r="B2971" s="2" t="s">
        <v>1890</v>
      </c>
      <c r="C2971" s="2" t="s">
        <v>1891</v>
      </c>
      <c r="D2971" s="13" t="n">
        <v>45846.2965277778</v>
      </c>
      <c r="E2971" s="2" t="s">
        <v>43</v>
      </c>
      <c r="F2971" s="2" t="s">
        <v>31</v>
      </c>
      <c r="G2971" s="2" t="n">
        <v>1692.41</v>
      </c>
      <c r="H2971" s="2" t="n">
        <v>18.78</v>
      </c>
      <c r="I2971" s="2" t="s">
        <v>30</v>
      </c>
      <c r="J2971" s="2" t="s">
        <v>8176</v>
      </c>
      <c r="K2971" s="2" t="s">
        <v>122</v>
      </c>
      <c r="L2971" s="2"/>
      <c r="M2971" s="2" t="s">
        <v>871</v>
      </c>
    </row>
    <row r="2972" customFormat="false" ht="15" hidden="false" customHeight="false" outlineLevel="0" collapsed="false">
      <c r="A2972" s="2" t="s">
        <v>8177</v>
      </c>
      <c r="B2972" s="2" t="s">
        <v>3794</v>
      </c>
      <c r="C2972" s="2" t="s">
        <v>3795</v>
      </c>
      <c r="D2972" s="13" t="n">
        <v>45937.6659722222</v>
      </c>
      <c r="E2972" s="2" t="s">
        <v>37</v>
      </c>
      <c r="F2972" s="2" t="s">
        <v>27</v>
      </c>
      <c r="G2972" s="2" t="n">
        <v>1293.7</v>
      </c>
      <c r="H2972" s="2" t="n">
        <v>15.25</v>
      </c>
      <c r="I2972" s="2" t="s">
        <v>30</v>
      </c>
      <c r="J2972" s="2" t="s">
        <v>8178</v>
      </c>
      <c r="K2972" s="2" t="s">
        <v>122</v>
      </c>
      <c r="L2972" s="2"/>
      <c r="M2972" s="2" t="s">
        <v>1282</v>
      </c>
    </row>
    <row r="2973" customFormat="false" ht="15" hidden="false" customHeight="false" outlineLevel="0" collapsed="false">
      <c r="A2973" s="2" t="s">
        <v>8179</v>
      </c>
      <c r="B2973" s="2" t="s">
        <v>4466</v>
      </c>
      <c r="C2973" s="2" t="s">
        <v>4467</v>
      </c>
      <c r="D2973" s="13" t="n">
        <v>45787.3756944445</v>
      </c>
      <c r="E2973" s="2" t="s">
        <v>37</v>
      </c>
      <c r="F2973" s="2" t="s">
        <v>29</v>
      </c>
      <c r="G2973" s="2" t="n">
        <v>3845.43</v>
      </c>
      <c r="H2973" s="2" t="n">
        <v>21.02</v>
      </c>
      <c r="I2973" s="2" t="s">
        <v>26</v>
      </c>
      <c r="J2973" s="2" t="s">
        <v>8180</v>
      </c>
      <c r="K2973" s="2" t="s">
        <v>101</v>
      </c>
      <c r="L2973" s="2" t="s">
        <v>676</v>
      </c>
      <c r="M2973" s="2"/>
    </row>
    <row r="2974" customFormat="false" ht="15" hidden="false" customHeight="false" outlineLevel="0" collapsed="false">
      <c r="A2974" s="2" t="s">
        <v>8181</v>
      </c>
      <c r="B2974" s="2" t="s">
        <v>1752</v>
      </c>
      <c r="C2974" s="2" t="s">
        <v>1753</v>
      </c>
      <c r="D2974" s="13" t="n">
        <v>46009.3152777778</v>
      </c>
      <c r="E2974" s="2" t="s">
        <v>37</v>
      </c>
      <c r="F2974" s="2" t="s">
        <v>31</v>
      </c>
      <c r="G2974" s="2" t="n">
        <v>887.14</v>
      </c>
      <c r="H2974" s="2" t="n">
        <v>5</v>
      </c>
      <c r="I2974" s="2" t="s">
        <v>30</v>
      </c>
      <c r="J2974" s="2" t="s">
        <v>8182</v>
      </c>
      <c r="K2974" s="2" t="s">
        <v>95</v>
      </c>
      <c r="L2974" s="2" t="s">
        <v>681</v>
      </c>
      <c r="M2974" s="2"/>
    </row>
    <row r="2975" customFormat="false" ht="15" hidden="false" customHeight="false" outlineLevel="0" collapsed="false">
      <c r="A2975" s="2" t="s">
        <v>8183</v>
      </c>
      <c r="B2975" s="2" t="s">
        <v>2333</v>
      </c>
      <c r="C2975" s="2" t="s">
        <v>2334</v>
      </c>
      <c r="D2975" s="13" t="n">
        <v>45384.7152777778</v>
      </c>
      <c r="E2975" s="2" t="s">
        <v>37</v>
      </c>
      <c r="F2975" s="2" t="s">
        <v>29</v>
      </c>
      <c r="G2975" s="2" t="n">
        <v>649.66</v>
      </c>
      <c r="H2975" s="2" t="n">
        <v>5</v>
      </c>
      <c r="I2975" s="2" t="s">
        <v>26</v>
      </c>
      <c r="J2975" s="2" t="s">
        <v>8184</v>
      </c>
      <c r="K2975" s="2" t="s">
        <v>89</v>
      </c>
      <c r="L2975" s="2" t="s">
        <v>1294</v>
      </c>
      <c r="M2975" s="2"/>
    </row>
    <row r="2976" customFormat="false" ht="15" hidden="false" customHeight="false" outlineLevel="0" collapsed="false">
      <c r="A2976" s="2" t="s">
        <v>8185</v>
      </c>
      <c r="B2976" s="2" t="s">
        <v>5416</v>
      </c>
      <c r="C2976" s="2" t="s">
        <v>5417</v>
      </c>
      <c r="D2976" s="13" t="n">
        <v>45678.3270833333</v>
      </c>
      <c r="E2976" s="2" t="s">
        <v>39</v>
      </c>
      <c r="F2976" s="2" t="s">
        <v>27</v>
      </c>
      <c r="G2976" s="2" t="n">
        <v>1834.18</v>
      </c>
      <c r="H2976" s="2" t="n">
        <v>15.84</v>
      </c>
      <c r="I2976" s="2" t="s">
        <v>26</v>
      </c>
      <c r="J2976" s="2" t="s">
        <v>8186</v>
      </c>
      <c r="K2976" s="2" t="s">
        <v>95</v>
      </c>
      <c r="L2976" s="2"/>
      <c r="M2976" s="2" t="s">
        <v>3272</v>
      </c>
    </row>
    <row r="2977" customFormat="false" ht="15" hidden="false" customHeight="false" outlineLevel="0" collapsed="false">
      <c r="A2977" s="2" t="s">
        <v>8187</v>
      </c>
      <c r="B2977" s="2" t="s">
        <v>2475</v>
      </c>
      <c r="C2977" s="2" t="s">
        <v>2476</v>
      </c>
      <c r="D2977" s="13" t="n">
        <v>45425.6833333333</v>
      </c>
      <c r="E2977" s="2" t="s">
        <v>39</v>
      </c>
      <c r="F2977" s="2" t="s">
        <v>31</v>
      </c>
      <c r="G2977" s="2" t="n">
        <v>8712.63</v>
      </c>
      <c r="H2977" s="2" t="n">
        <v>41.89</v>
      </c>
      <c r="I2977" s="2" t="s">
        <v>26</v>
      </c>
      <c r="J2977" s="2" t="s">
        <v>8188</v>
      </c>
      <c r="K2977" s="2" t="s">
        <v>89</v>
      </c>
      <c r="L2977" s="2" t="s">
        <v>1854</v>
      </c>
      <c r="M2977" s="2"/>
    </row>
    <row r="2978" customFormat="false" ht="15" hidden="false" customHeight="false" outlineLevel="0" collapsed="false">
      <c r="A2978" s="2" t="s">
        <v>8189</v>
      </c>
      <c r="B2978" s="2" t="s">
        <v>2805</v>
      </c>
      <c r="C2978" s="2" t="s">
        <v>2806</v>
      </c>
      <c r="D2978" s="13" t="n">
        <v>45694.3520833333</v>
      </c>
      <c r="E2978" s="2" t="s">
        <v>37</v>
      </c>
      <c r="F2978" s="2" t="s">
        <v>32</v>
      </c>
      <c r="G2978" s="2" t="n">
        <v>3227.49</v>
      </c>
      <c r="H2978" s="2" t="n">
        <v>22.32</v>
      </c>
      <c r="I2978" s="2" t="s">
        <v>26</v>
      </c>
      <c r="J2978" s="2" t="s">
        <v>8190</v>
      </c>
      <c r="K2978" s="2" t="s">
        <v>101</v>
      </c>
      <c r="L2978" s="2" t="s">
        <v>697</v>
      </c>
      <c r="M2978" s="2"/>
    </row>
    <row r="2979" customFormat="false" ht="15" hidden="false" customHeight="false" outlineLevel="0" collapsed="false">
      <c r="A2979" s="2" t="s">
        <v>8191</v>
      </c>
      <c r="B2979" s="2" t="s">
        <v>5520</v>
      </c>
      <c r="C2979" s="2" t="s">
        <v>5521</v>
      </c>
      <c r="D2979" s="13" t="n">
        <v>45848.4180555556</v>
      </c>
      <c r="E2979" s="2" t="s">
        <v>43</v>
      </c>
      <c r="F2979" s="2" t="s">
        <v>31</v>
      </c>
      <c r="G2979" s="2" t="n">
        <v>5846.76</v>
      </c>
      <c r="H2979" s="2" t="n">
        <v>26.73</v>
      </c>
      <c r="I2979" s="2" t="s">
        <v>30</v>
      </c>
      <c r="J2979" s="2" t="s">
        <v>8192</v>
      </c>
      <c r="K2979" s="2" t="s">
        <v>89</v>
      </c>
      <c r="L2979" s="2"/>
      <c r="M2979" s="2" t="s">
        <v>1677</v>
      </c>
    </row>
    <row r="2980" customFormat="false" ht="15" hidden="false" customHeight="false" outlineLevel="0" collapsed="false">
      <c r="A2980" s="2" t="s">
        <v>8193</v>
      </c>
      <c r="B2980" s="2" t="s">
        <v>2171</v>
      </c>
      <c r="C2980" s="2" t="s">
        <v>2172</v>
      </c>
      <c r="D2980" s="13" t="n">
        <v>45389.8770833333</v>
      </c>
      <c r="E2980" s="2" t="s">
        <v>37</v>
      </c>
      <c r="F2980" s="2" t="s">
        <v>29</v>
      </c>
      <c r="G2980" s="2" t="n">
        <v>22744.76</v>
      </c>
      <c r="H2980" s="2" t="n">
        <v>107.22</v>
      </c>
      <c r="I2980" s="2" t="s">
        <v>28</v>
      </c>
      <c r="J2980" s="2" t="s">
        <v>8194</v>
      </c>
      <c r="K2980" s="2" t="s">
        <v>101</v>
      </c>
      <c r="L2980" s="2" t="s">
        <v>703</v>
      </c>
      <c r="M2980" s="2"/>
    </row>
    <row r="2981" customFormat="false" ht="15" hidden="false" customHeight="false" outlineLevel="0" collapsed="false">
      <c r="A2981" s="2" t="s">
        <v>8195</v>
      </c>
      <c r="B2981" s="2" t="s">
        <v>510</v>
      </c>
      <c r="C2981" s="2" t="s">
        <v>511</v>
      </c>
      <c r="D2981" s="13" t="n">
        <v>45665.9006944444</v>
      </c>
      <c r="E2981" s="2" t="s">
        <v>35</v>
      </c>
      <c r="F2981" s="2" t="s">
        <v>29</v>
      </c>
      <c r="G2981" s="2" t="n">
        <v>7787.14</v>
      </c>
      <c r="H2981" s="2" t="n">
        <v>51.49</v>
      </c>
      <c r="I2981" s="2" t="s">
        <v>26</v>
      </c>
      <c r="J2981" s="2" t="s">
        <v>8196</v>
      </c>
      <c r="K2981" s="2" t="s">
        <v>89</v>
      </c>
      <c r="L2981" s="2" t="s">
        <v>1320</v>
      </c>
      <c r="M2981" s="2"/>
    </row>
    <row r="2982" customFormat="false" ht="15" hidden="false" customHeight="false" outlineLevel="0" collapsed="false">
      <c r="A2982" s="2" t="s">
        <v>8197</v>
      </c>
      <c r="B2982" s="2" t="s">
        <v>1264</v>
      </c>
      <c r="C2982" s="2" t="s">
        <v>1265</v>
      </c>
      <c r="D2982" s="13" t="n">
        <v>45313.5743055556</v>
      </c>
      <c r="E2982" s="2" t="s">
        <v>37</v>
      </c>
      <c r="F2982" s="2" t="s">
        <v>29</v>
      </c>
      <c r="G2982" s="2" t="n">
        <v>11817.37</v>
      </c>
      <c r="H2982" s="2" t="n">
        <v>57</v>
      </c>
      <c r="I2982" s="2" t="s">
        <v>26</v>
      </c>
      <c r="J2982" s="2" t="s">
        <v>8198</v>
      </c>
      <c r="K2982" s="2" t="s">
        <v>95</v>
      </c>
      <c r="L2982" s="2" t="s">
        <v>1325</v>
      </c>
      <c r="M2982" s="2"/>
    </row>
    <row r="2983" customFormat="false" ht="15" hidden="false" customHeight="false" outlineLevel="0" collapsed="false">
      <c r="A2983" s="2" t="s">
        <v>8199</v>
      </c>
      <c r="B2983" s="2" t="s">
        <v>2906</v>
      </c>
      <c r="C2983" s="2" t="s">
        <v>2907</v>
      </c>
      <c r="D2983" s="13" t="n">
        <v>45336.3041666667</v>
      </c>
      <c r="E2983" s="2" t="s">
        <v>41</v>
      </c>
      <c r="F2983" s="2" t="s">
        <v>31</v>
      </c>
      <c r="G2983" s="2" t="n">
        <v>2691.88</v>
      </c>
      <c r="H2983" s="2" t="n">
        <v>12.51</v>
      </c>
      <c r="I2983" s="2" t="s">
        <v>26</v>
      </c>
      <c r="J2983" s="2" t="s">
        <v>8200</v>
      </c>
      <c r="K2983" s="2" t="s">
        <v>95</v>
      </c>
      <c r="L2983" s="2" t="s">
        <v>1330</v>
      </c>
      <c r="M2983" s="2"/>
    </row>
    <row r="2984" customFormat="false" ht="15" hidden="false" customHeight="false" outlineLevel="0" collapsed="false">
      <c r="A2984" s="2" t="s">
        <v>8201</v>
      </c>
      <c r="B2984" s="2" t="s">
        <v>2689</v>
      </c>
      <c r="C2984" s="2" t="s">
        <v>2690</v>
      </c>
      <c r="D2984" s="13" t="n">
        <v>45766.3333333333</v>
      </c>
      <c r="E2984" s="2" t="s">
        <v>35</v>
      </c>
      <c r="F2984" s="2" t="s">
        <v>29</v>
      </c>
      <c r="G2984" s="2" t="n">
        <v>1047.28</v>
      </c>
      <c r="H2984" s="2" t="n">
        <v>10.15</v>
      </c>
      <c r="I2984" s="2" t="s">
        <v>26</v>
      </c>
      <c r="J2984" s="2" t="s">
        <v>8202</v>
      </c>
      <c r="K2984" s="2" t="s">
        <v>122</v>
      </c>
      <c r="L2984" s="2" t="s">
        <v>1877</v>
      </c>
      <c r="M2984" s="2"/>
    </row>
    <row r="2985" customFormat="false" ht="15" hidden="false" customHeight="false" outlineLevel="0" collapsed="false">
      <c r="A2985" s="2" t="s">
        <v>8203</v>
      </c>
      <c r="B2985" s="2" t="s">
        <v>8204</v>
      </c>
      <c r="C2985" s="2" t="s">
        <v>8205</v>
      </c>
      <c r="D2985" s="13" t="n">
        <v>45499.86875</v>
      </c>
      <c r="E2985" s="2" t="s">
        <v>41</v>
      </c>
      <c r="F2985" s="2" t="s">
        <v>32</v>
      </c>
      <c r="G2985" s="2" t="n">
        <v>1158.93</v>
      </c>
      <c r="H2985" s="2" t="n">
        <v>13.31</v>
      </c>
      <c r="I2985" s="2" t="s">
        <v>26</v>
      </c>
      <c r="J2985" s="2" t="s">
        <v>8206</v>
      </c>
      <c r="K2985" s="2" t="s">
        <v>89</v>
      </c>
      <c r="L2985" s="2" t="s">
        <v>1339</v>
      </c>
      <c r="M2985" s="2"/>
    </row>
    <row r="2986" customFormat="false" ht="15" hidden="false" customHeight="false" outlineLevel="0" collapsed="false">
      <c r="A2986" s="2" t="s">
        <v>8207</v>
      </c>
      <c r="B2986" s="2" t="s">
        <v>3400</v>
      </c>
      <c r="C2986" s="2" t="s">
        <v>3401</v>
      </c>
      <c r="D2986" s="13" t="n">
        <v>45774.4944444444</v>
      </c>
      <c r="E2986" s="2" t="s">
        <v>41</v>
      </c>
      <c r="F2986" s="2" t="s">
        <v>27</v>
      </c>
      <c r="G2986" s="2" t="n">
        <v>4076.98</v>
      </c>
      <c r="H2986" s="2" t="n">
        <v>40.83</v>
      </c>
      <c r="I2986" s="2" t="s">
        <v>26</v>
      </c>
      <c r="J2986" s="2" t="s">
        <v>8208</v>
      </c>
      <c r="K2986" s="2" t="s">
        <v>95</v>
      </c>
      <c r="L2986" s="2"/>
      <c r="M2986" s="2" t="s">
        <v>1703</v>
      </c>
    </row>
    <row r="2987" customFormat="false" ht="15" hidden="false" customHeight="false" outlineLevel="0" collapsed="false">
      <c r="A2987" s="2" t="s">
        <v>8209</v>
      </c>
      <c r="B2987" s="2" t="s">
        <v>3282</v>
      </c>
      <c r="C2987" s="2" t="s">
        <v>3283</v>
      </c>
      <c r="D2987" s="13" t="n">
        <v>45321.3680555556</v>
      </c>
      <c r="E2987" s="2" t="s">
        <v>39</v>
      </c>
      <c r="F2987" s="2" t="s">
        <v>27</v>
      </c>
      <c r="G2987" s="2" t="n">
        <v>125422.09</v>
      </c>
      <c r="H2987" s="2" t="n">
        <v>1271.39</v>
      </c>
      <c r="I2987" s="2" t="s">
        <v>30</v>
      </c>
      <c r="J2987" s="2" t="s">
        <v>8210</v>
      </c>
      <c r="K2987" s="2" t="s">
        <v>89</v>
      </c>
      <c r="L2987" s="2"/>
      <c r="M2987" s="2" t="s">
        <v>2706</v>
      </c>
    </row>
    <row r="2988" customFormat="false" ht="15" hidden="false" customHeight="false" outlineLevel="0" collapsed="false">
      <c r="A2988" s="2" t="s">
        <v>8211</v>
      </c>
      <c r="B2988" s="2" t="s">
        <v>2777</v>
      </c>
      <c r="C2988" s="2" t="s">
        <v>2778</v>
      </c>
      <c r="D2988" s="13" t="n">
        <v>45462.7722222222</v>
      </c>
      <c r="E2988" s="2" t="s">
        <v>39</v>
      </c>
      <c r="F2988" s="2" t="s">
        <v>27</v>
      </c>
      <c r="G2988" s="2" t="n">
        <v>1233.57</v>
      </c>
      <c r="H2988" s="2" t="n">
        <v>13.32</v>
      </c>
      <c r="I2988" s="2" t="s">
        <v>26</v>
      </c>
      <c r="J2988" s="2" t="s">
        <v>8212</v>
      </c>
      <c r="K2988" s="2" t="s">
        <v>122</v>
      </c>
      <c r="L2988" s="2"/>
      <c r="M2988" s="2" t="s">
        <v>513</v>
      </c>
    </row>
    <row r="2989" customFormat="false" ht="15" hidden="false" customHeight="false" outlineLevel="0" collapsed="false">
      <c r="A2989" s="2" t="s">
        <v>8213</v>
      </c>
      <c r="B2989" s="2" t="s">
        <v>2845</v>
      </c>
      <c r="C2989" s="2" t="s">
        <v>2846</v>
      </c>
      <c r="D2989" s="13" t="n">
        <v>45787.4618055556</v>
      </c>
      <c r="E2989" s="2" t="s">
        <v>43</v>
      </c>
      <c r="F2989" s="2" t="s">
        <v>31</v>
      </c>
      <c r="G2989" s="2" t="n">
        <v>1167.77</v>
      </c>
      <c r="H2989" s="2" t="n">
        <v>10.54</v>
      </c>
      <c r="I2989" s="2" t="s">
        <v>26</v>
      </c>
      <c r="J2989" s="2" t="s">
        <v>8214</v>
      </c>
      <c r="K2989" s="2" t="s">
        <v>89</v>
      </c>
      <c r="L2989" s="2"/>
      <c r="M2989" s="2" t="s">
        <v>2390</v>
      </c>
    </row>
    <row r="2990" customFormat="false" ht="15" hidden="false" customHeight="false" outlineLevel="0" collapsed="false">
      <c r="A2990" s="2" t="s">
        <v>8215</v>
      </c>
      <c r="B2990" s="2" t="s">
        <v>1433</v>
      </c>
      <c r="C2990" s="2" t="s">
        <v>1434</v>
      </c>
      <c r="D2990" s="13" t="n">
        <v>45967.8930555556</v>
      </c>
      <c r="E2990" s="2" t="s">
        <v>39</v>
      </c>
      <c r="F2990" s="2" t="s">
        <v>31</v>
      </c>
      <c r="G2990" s="2" t="n">
        <v>3429.75</v>
      </c>
      <c r="H2990" s="2" t="n">
        <v>22.35</v>
      </c>
      <c r="I2990" s="2" t="s">
        <v>26</v>
      </c>
      <c r="J2990" s="2" t="s">
        <v>8216</v>
      </c>
      <c r="K2990" s="2" t="s">
        <v>89</v>
      </c>
      <c r="L2990" s="2" t="s">
        <v>743</v>
      </c>
      <c r="M2990" s="2"/>
    </row>
    <row r="2991" customFormat="false" ht="15" hidden="false" customHeight="false" outlineLevel="0" collapsed="false">
      <c r="A2991" s="2" t="s">
        <v>8217</v>
      </c>
      <c r="B2991" s="2" t="s">
        <v>3229</v>
      </c>
      <c r="C2991" s="2" t="s">
        <v>3230</v>
      </c>
      <c r="D2991" s="13" t="n">
        <v>45696.85625</v>
      </c>
      <c r="E2991" s="2" t="s">
        <v>35</v>
      </c>
      <c r="F2991" s="2" t="s">
        <v>31</v>
      </c>
      <c r="G2991" s="2" t="n">
        <v>5665.51</v>
      </c>
      <c r="H2991" s="2" t="n">
        <v>67.54</v>
      </c>
      <c r="I2991" s="2" t="s">
        <v>26</v>
      </c>
      <c r="J2991" s="2" t="s">
        <v>8218</v>
      </c>
      <c r="K2991" s="2" t="s">
        <v>122</v>
      </c>
      <c r="L2991" s="2" t="s">
        <v>1901</v>
      </c>
      <c r="M2991" s="2"/>
    </row>
    <row r="2992" customFormat="false" ht="15" hidden="false" customHeight="false" outlineLevel="0" collapsed="false">
      <c r="A2992" s="2" t="s">
        <v>8219</v>
      </c>
      <c r="B2992" s="2" t="s">
        <v>175</v>
      </c>
      <c r="C2992" s="2" t="s">
        <v>176</v>
      </c>
      <c r="D2992" s="13" t="n">
        <v>45532.7881944445</v>
      </c>
      <c r="E2992" s="2" t="s">
        <v>35</v>
      </c>
      <c r="F2992" s="2" t="s">
        <v>32</v>
      </c>
      <c r="G2992" s="2" t="n">
        <v>5250.39</v>
      </c>
      <c r="H2992" s="2" t="n">
        <v>39.34</v>
      </c>
      <c r="I2992" s="2" t="s">
        <v>30</v>
      </c>
      <c r="J2992" s="2" t="s">
        <v>8220</v>
      </c>
      <c r="K2992" s="2" t="s">
        <v>122</v>
      </c>
      <c r="L2992" s="2" t="s">
        <v>752</v>
      </c>
      <c r="M2992" s="2"/>
    </row>
    <row r="2993" customFormat="false" ht="15" hidden="false" customHeight="false" outlineLevel="0" collapsed="false">
      <c r="A2993" s="2" t="s">
        <v>8221</v>
      </c>
      <c r="B2993" s="2" t="s">
        <v>3432</v>
      </c>
      <c r="C2993" s="2" t="s">
        <v>3433</v>
      </c>
      <c r="D2993" s="13" t="n">
        <v>45482.7159722222</v>
      </c>
      <c r="E2993" s="2" t="s">
        <v>43</v>
      </c>
      <c r="F2993" s="2" t="s">
        <v>27</v>
      </c>
      <c r="G2993" s="2" t="n">
        <v>2290.82</v>
      </c>
      <c r="H2993" s="2" t="n">
        <v>13.28</v>
      </c>
      <c r="I2993" s="2" t="s">
        <v>30</v>
      </c>
      <c r="J2993" s="2" t="s">
        <v>8222</v>
      </c>
      <c r="K2993" s="2" t="s">
        <v>122</v>
      </c>
      <c r="L2993" s="2"/>
      <c r="M2993" s="2" t="s">
        <v>536</v>
      </c>
    </row>
    <row r="2994" customFormat="false" ht="15" hidden="false" customHeight="false" outlineLevel="0" collapsed="false">
      <c r="A2994" s="2" t="s">
        <v>8223</v>
      </c>
      <c r="B2994" s="2" t="s">
        <v>1162</v>
      </c>
      <c r="C2994" s="2" t="s">
        <v>1163</v>
      </c>
      <c r="D2994" s="13" t="n">
        <v>45518.7534722222</v>
      </c>
      <c r="E2994" s="2" t="s">
        <v>41</v>
      </c>
      <c r="F2994" s="2" t="s">
        <v>32</v>
      </c>
      <c r="G2994" s="2" t="n">
        <v>583.62</v>
      </c>
      <c r="H2994" s="2" t="n">
        <v>5</v>
      </c>
      <c r="I2994" s="2" t="s">
        <v>30</v>
      </c>
      <c r="J2994" s="2" t="s">
        <v>8224</v>
      </c>
      <c r="K2994" s="2" t="s">
        <v>122</v>
      </c>
      <c r="L2994" s="2" t="s">
        <v>1912</v>
      </c>
      <c r="M2994" s="2"/>
    </row>
    <row r="2995" customFormat="false" ht="15" hidden="false" customHeight="false" outlineLevel="0" collapsed="false">
      <c r="A2995" s="2" t="s">
        <v>8225</v>
      </c>
      <c r="B2995" s="2" t="s">
        <v>2072</v>
      </c>
      <c r="C2995" s="2" t="s">
        <v>2073</v>
      </c>
      <c r="D2995" s="13" t="n">
        <v>45322.4277777778</v>
      </c>
      <c r="E2995" s="2" t="s">
        <v>37</v>
      </c>
      <c r="F2995" s="2" t="s">
        <v>31</v>
      </c>
      <c r="G2995" s="2" t="n">
        <v>7993.45</v>
      </c>
      <c r="H2995" s="2" t="n">
        <v>93.22</v>
      </c>
      <c r="I2995" s="2" t="s">
        <v>26</v>
      </c>
      <c r="J2995" s="2" t="s">
        <v>8226</v>
      </c>
      <c r="K2995" s="2" t="s">
        <v>89</v>
      </c>
      <c r="L2995" s="2" t="s">
        <v>1374</v>
      </c>
      <c r="M2995" s="2"/>
    </row>
    <row r="2996" customFormat="false" ht="15" hidden="false" customHeight="false" outlineLevel="0" collapsed="false">
      <c r="A2996" s="2" t="s">
        <v>8227</v>
      </c>
      <c r="B2996" s="2" t="s">
        <v>694</v>
      </c>
      <c r="C2996" s="2" t="s">
        <v>695</v>
      </c>
      <c r="D2996" s="13" t="n">
        <v>45916.8236111111</v>
      </c>
      <c r="E2996" s="2" t="s">
        <v>39</v>
      </c>
      <c r="F2996" s="2" t="s">
        <v>29</v>
      </c>
      <c r="G2996" s="2" t="n">
        <v>12014.77</v>
      </c>
      <c r="H2996" s="2" t="n">
        <v>40.95</v>
      </c>
      <c r="I2996" s="2" t="s">
        <v>26</v>
      </c>
      <c r="J2996" s="2" t="s">
        <v>8228</v>
      </c>
      <c r="K2996" s="2" t="s">
        <v>122</v>
      </c>
      <c r="L2996" s="2" t="s">
        <v>769</v>
      </c>
      <c r="M2996" s="2"/>
    </row>
    <row r="2997" customFormat="false" ht="15" hidden="false" customHeight="false" outlineLevel="0" collapsed="false">
      <c r="A2997" s="2" t="s">
        <v>8229</v>
      </c>
      <c r="B2997" s="2" t="s">
        <v>8230</v>
      </c>
      <c r="C2997" s="2" t="s">
        <v>8231</v>
      </c>
      <c r="D2997" s="13" t="n">
        <v>45636.8361111111</v>
      </c>
      <c r="E2997" s="2" t="s">
        <v>43</v>
      </c>
      <c r="F2997" s="2" t="s">
        <v>29</v>
      </c>
      <c r="G2997" s="2" t="n">
        <v>6923.65</v>
      </c>
      <c r="H2997" s="2" t="n">
        <v>80.63</v>
      </c>
      <c r="I2997" s="2" t="s">
        <v>30</v>
      </c>
      <c r="J2997" s="2" t="s">
        <v>8232</v>
      </c>
      <c r="K2997" s="2" t="s">
        <v>95</v>
      </c>
      <c r="L2997" s="2"/>
      <c r="M2997" s="2" t="s">
        <v>981</v>
      </c>
    </row>
    <row r="2998" customFormat="false" ht="15" hidden="false" customHeight="false" outlineLevel="0" collapsed="false">
      <c r="A2998" s="2" t="s">
        <v>8233</v>
      </c>
      <c r="B2998" s="2" t="s">
        <v>2294</v>
      </c>
      <c r="C2998" s="2" t="s">
        <v>2295</v>
      </c>
      <c r="D2998" s="13" t="n">
        <v>45809.6701388889</v>
      </c>
      <c r="E2998" s="2" t="s">
        <v>43</v>
      </c>
      <c r="F2998" s="2" t="s">
        <v>31</v>
      </c>
      <c r="G2998" s="2" t="n">
        <v>363.17</v>
      </c>
      <c r="H2998" s="2" t="n">
        <v>5</v>
      </c>
      <c r="I2998" s="2" t="s">
        <v>26</v>
      </c>
      <c r="J2998" s="2" t="s">
        <v>8234</v>
      </c>
      <c r="K2998" s="2" t="s">
        <v>95</v>
      </c>
      <c r="L2998" s="2"/>
      <c r="M2998" s="2" t="s">
        <v>561</v>
      </c>
    </row>
    <row r="2999" customFormat="false" ht="15" hidden="false" customHeight="false" outlineLevel="0" collapsed="false">
      <c r="A2999" s="2" t="s">
        <v>8235</v>
      </c>
      <c r="B2999" s="2" t="s">
        <v>1820</v>
      </c>
      <c r="C2999" s="2" t="s">
        <v>1821</v>
      </c>
      <c r="D2999" s="13" t="n">
        <v>45813.3888888889</v>
      </c>
      <c r="E2999" s="2" t="s">
        <v>41</v>
      </c>
      <c r="F2999" s="2" t="s">
        <v>31</v>
      </c>
      <c r="G2999" s="2" t="n">
        <v>16177.1</v>
      </c>
      <c r="H2999" s="2" t="n">
        <v>96.68</v>
      </c>
      <c r="I2999" s="2" t="s">
        <v>28</v>
      </c>
      <c r="J2999" s="2" t="s">
        <v>8236</v>
      </c>
      <c r="K2999" s="2" t="s">
        <v>89</v>
      </c>
      <c r="L2999" s="2" t="s">
        <v>1389</v>
      </c>
      <c r="M2999" s="2"/>
    </row>
    <row r="3000" customFormat="false" ht="15" hidden="false" customHeight="false" outlineLevel="0" collapsed="false">
      <c r="A3000" s="2" t="s">
        <v>8237</v>
      </c>
      <c r="B3000" s="2" t="s">
        <v>5516</v>
      </c>
      <c r="C3000" s="2" t="s">
        <v>5517</v>
      </c>
      <c r="D3000" s="13" t="n">
        <v>45377.5527777778</v>
      </c>
      <c r="E3000" s="2" t="s">
        <v>37</v>
      </c>
      <c r="F3000" s="2" t="s">
        <v>32</v>
      </c>
      <c r="G3000" s="2" t="n">
        <v>11144.93</v>
      </c>
      <c r="H3000" s="2" t="n">
        <v>85.53</v>
      </c>
      <c r="I3000" s="2" t="s">
        <v>26</v>
      </c>
      <c r="J3000" s="2" t="s">
        <v>8238</v>
      </c>
      <c r="K3000" s="2" t="s">
        <v>122</v>
      </c>
      <c r="L3000" s="2" t="s">
        <v>1935</v>
      </c>
      <c r="M3000" s="2"/>
    </row>
    <row r="3001" customFormat="false" ht="15" hidden="false" customHeight="false" outlineLevel="0" collapsed="false">
      <c r="A3001" s="2" t="s">
        <v>8239</v>
      </c>
      <c r="B3001" s="2" t="s">
        <v>1269</v>
      </c>
      <c r="C3001" s="2" t="s">
        <v>1270</v>
      </c>
      <c r="D3001" s="13" t="n">
        <v>45354.9361111111</v>
      </c>
      <c r="E3001" s="2" t="s">
        <v>41</v>
      </c>
      <c r="F3001" s="2" t="s">
        <v>29</v>
      </c>
      <c r="G3001" s="2" t="n">
        <v>46689.86</v>
      </c>
      <c r="H3001" s="2" t="n">
        <v>544.38</v>
      </c>
      <c r="I3001" s="2" t="s">
        <v>26</v>
      </c>
      <c r="J3001" s="2" t="s">
        <v>8240</v>
      </c>
      <c r="K3001" s="2" t="s">
        <v>95</v>
      </c>
      <c r="L3001" s="2" t="s">
        <v>1396</v>
      </c>
      <c r="M3001" s="2"/>
    </row>
    <row r="3002" customFormat="false" ht="15" hidden="false" customHeight="false" outlineLevel="0" collapsed="false">
      <c r="A3002" s="2" t="s">
        <v>8241</v>
      </c>
      <c r="B3002" s="2" t="s">
        <v>8072</v>
      </c>
      <c r="C3002" s="2" t="s">
        <v>8073</v>
      </c>
      <c r="D3002" s="13" t="n">
        <v>46010.6291666667</v>
      </c>
      <c r="E3002" s="2" t="s">
        <v>43</v>
      </c>
      <c r="F3002" s="2" t="s">
        <v>27</v>
      </c>
      <c r="G3002" s="2" t="n">
        <v>7724.1</v>
      </c>
      <c r="H3002" s="2" t="n">
        <v>26.59</v>
      </c>
      <c r="I3002" s="2" t="s">
        <v>30</v>
      </c>
      <c r="J3002" s="2" t="s">
        <v>8242</v>
      </c>
      <c r="K3002" s="2" t="s">
        <v>101</v>
      </c>
      <c r="L3002" s="2"/>
      <c r="M3002" s="2" t="s">
        <v>581</v>
      </c>
    </row>
    <row r="3003" customFormat="false" ht="15" hidden="false" customHeight="false" outlineLevel="0" collapsed="false">
      <c r="A3003" s="2" t="s">
        <v>8243</v>
      </c>
      <c r="B3003" s="2" t="s">
        <v>3354</v>
      </c>
      <c r="C3003" s="2" t="s">
        <v>3355</v>
      </c>
      <c r="D3003" s="13" t="n">
        <v>45313.8458333333</v>
      </c>
      <c r="E3003" s="2" t="s">
        <v>41</v>
      </c>
      <c r="F3003" s="2" t="s">
        <v>27</v>
      </c>
      <c r="G3003" s="2" t="n">
        <v>4022.1</v>
      </c>
      <c r="H3003" s="2" t="n">
        <v>33.8</v>
      </c>
      <c r="I3003" s="2" t="s">
        <v>28</v>
      </c>
      <c r="J3003" s="2" t="s">
        <v>8244</v>
      </c>
      <c r="K3003" s="2" t="s">
        <v>95</v>
      </c>
      <c r="L3003" s="2"/>
      <c r="M3003" s="2" t="s">
        <v>1007</v>
      </c>
    </row>
    <row r="3004" customFormat="false" ht="15" hidden="false" customHeight="false" outlineLevel="0" collapsed="false">
      <c r="A3004" s="2" t="s">
        <v>8245</v>
      </c>
      <c r="B3004" s="2" t="s">
        <v>1930</v>
      </c>
      <c r="C3004" s="2" t="s">
        <v>1931</v>
      </c>
      <c r="D3004" s="13" t="n">
        <v>45601.9173611111</v>
      </c>
      <c r="E3004" s="2" t="s">
        <v>43</v>
      </c>
      <c r="F3004" s="2" t="s">
        <v>31</v>
      </c>
      <c r="G3004" s="2" t="n">
        <v>507.76</v>
      </c>
      <c r="H3004" s="2" t="n">
        <v>5</v>
      </c>
      <c r="I3004" s="2" t="s">
        <v>28</v>
      </c>
      <c r="J3004" s="2" t="s">
        <v>8246</v>
      </c>
      <c r="K3004" s="2" t="s">
        <v>101</v>
      </c>
      <c r="L3004" s="2"/>
      <c r="M3004" s="2" t="s">
        <v>2435</v>
      </c>
    </row>
    <row r="3005" customFormat="false" ht="15" hidden="false" customHeight="false" outlineLevel="0" collapsed="false">
      <c r="A3005" s="2" t="s">
        <v>8247</v>
      </c>
      <c r="B3005" s="2" t="s">
        <v>2406</v>
      </c>
      <c r="C3005" s="2" t="s">
        <v>2407</v>
      </c>
      <c r="D3005" s="13" t="n">
        <v>45563.475</v>
      </c>
      <c r="E3005" s="2" t="s">
        <v>39</v>
      </c>
      <c r="F3005" s="2" t="s">
        <v>32</v>
      </c>
      <c r="G3005" s="2" t="n">
        <v>1235.43</v>
      </c>
      <c r="H3005" s="2" t="n">
        <v>5.01</v>
      </c>
      <c r="I3005" s="2" t="s">
        <v>26</v>
      </c>
      <c r="J3005" s="2" t="s">
        <v>8248</v>
      </c>
      <c r="K3005" s="2" t="s">
        <v>89</v>
      </c>
      <c r="L3005" s="2" t="s">
        <v>107</v>
      </c>
      <c r="M3005" s="2"/>
    </row>
    <row r="3006" customFormat="false" ht="15" hidden="false" customHeight="false" outlineLevel="0" collapsed="false">
      <c r="A3006" s="2" t="s">
        <v>8249</v>
      </c>
      <c r="B3006" s="2" t="s">
        <v>195</v>
      </c>
      <c r="C3006" s="2" t="s">
        <v>196</v>
      </c>
      <c r="D3006" s="13" t="n">
        <v>45978.8923611111</v>
      </c>
      <c r="E3006" s="2" t="s">
        <v>37</v>
      </c>
      <c r="F3006" s="2" t="s">
        <v>29</v>
      </c>
      <c r="G3006" s="2" t="n">
        <v>7063</v>
      </c>
      <c r="H3006" s="2" t="n">
        <v>83.86</v>
      </c>
      <c r="I3006" s="2" t="s">
        <v>30</v>
      </c>
      <c r="J3006" s="2" t="s">
        <v>8250</v>
      </c>
      <c r="K3006" s="2" t="s">
        <v>95</v>
      </c>
      <c r="L3006" s="2" t="s">
        <v>812</v>
      </c>
      <c r="M3006" s="2"/>
    </row>
    <row r="3007" customFormat="false" ht="15" hidden="false" customHeight="false" outlineLevel="0" collapsed="false">
      <c r="A3007" s="2" t="s">
        <v>8251</v>
      </c>
      <c r="B3007" s="2" t="s">
        <v>3237</v>
      </c>
      <c r="C3007" s="2" t="s">
        <v>3238</v>
      </c>
      <c r="D3007" s="13" t="n">
        <v>45424.6840277778</v>
      </c>
      <c r="E3007" s="2" t="s">
        <v>39</v>
      </c>
      <c r="F3007" s="2" t="s">
        <v>27</v>
      </c>
      <c r="G3007" s="2" t="n">
        <v>10804.32</v>
      </c>
      <c r="H3007" s="2" t="n">
        <v>107.86</v>
      </c>
      <c r="I3007" s="2" t="s">
        <v>28</v>
      </c>
      <c r="J3007" s="2" t="s">
        <v>8252</v>
      </c>
      <c r="K3007" s="2" t="s">
        <v>95</v>
      </c>
      <c r="L3007" s="2"/>
      <c r="M3007" s="2" t="s">
        <v>1778</v>
      </c>
    </row>
    <row r="3008" customFormat="false" ht="15" hidden="false" customHeight="false" outlineLevel="0" collapsed="false">
      <c r="A3008" s="2" t="s">
        <v>8253</v>
      </c>
      <c r="B3008" s="2" t="s">
        <v>543</v>
      </c>
      <c r="C3008" s="2" t="s">
        <v>544</v>
      </c>
      <c r="D3008" s="13" t="n">
        <v>45780.7527777778</v>
      </c>
      <c r="E3008" s="2" t="s">
        <v>41</v>
      </c>
      <c r="F3008" s="2" t="s">
        <v>29</v>
      </c>
      <c r="G3008" s="2" t="n">
        <v>3684.68</v>
      </c>
      <c r="H3008" s="2" t="n">
        <v>32.71</v>
      </c>
      <c r="I3008" s="2" t="s">
        <v>26</v>
      </c>
      <c r="J3008" s="2" t="s">
        <v>8254</v>
      </c>
      <c r="K3008" s="2" t="s">
        <v>101</v>
      </c>
      <c r="L3008" s="2" t="s">
        <v>123</v>
      </c>
      <c r="M3008" s="2"/>
    </row>
    <row r="3009" customFormat="false" ht="15" hidden="false" customHeight="false" outlineLevel="0" collapsed="false">
      <c r="A3009" s="2" t="s">
        <v>8255</v>
      </c>
      <c r="B3009" s="2" t="s">
        <v>3626</v>
      </c>
      <c r="C3009" s="2" t="s">
        <v>3627</v>
      </c>
      <c r="D3009" s="13" t="n">
        <v>45757.3229166667</v>
      </c>
      <c r="E3009" s="2" t="s">
        <v>35</v>
      </c>
      <c r="F3009" s="2" t="s">
        <v>27</v>
      </c>
      <c r="G3009" s="2" t="n">
        <v>5550.73</v>
      </c>
      <c r="H3009" s="2" t="n">
        <v>45.83</v>
      </c>
      <c r="I3009" s="2" t="s">
        <v>26</v>
      </c>
      <c r="J3009" s="2" t="s">
        <v>8256</v>
      </c>
      <c r="K3009" s="2" t="s">
        <v>101</v>
      </c>
      <c r="L3009" s="2"/>
      <c r="M3009" s="2" t="s">
        <v>1425</v>
      </c>
    </row>
    <row r="3010" customFormat="false" ht="15" hidden="false" customHeight="false" outlineLevel="0" collapsed="false">
      <c r="A3010" s="2" t="s">
        <v>8257</v>
      </c>
      <c r="B3010" s="2" t="s">
        <v>3274</v>
      </c>
      <c r="C3010" s="2" t="s">
        <v>3275</v>
      </c>
      <c r="D3010" s="13" t="n">
        <v>45831.3548611111</v>
      </c>
      <c r="E3010" s="2" t="s">
        <v>35</v>
      </c>
      <c r="F3010" s="2" t="s">
        <v>31</v>
      </c>
      <c r="G3010" s="2" t="n">
        <v>3262.97</v>
      </c>
      <c r="H3010" s="2" t="n">
        <v>21.52</v>
      </c>
      <c r="I3010" s="2" t="s">
        <v>26</v>
      </c>
      <c r="J3010" s="2" t="s">
        <v>8258</v>
      </c>
      <c r="K3010" s="2" t="s">
        <v>95</v>
      </c>
      <c r="L3010" s="2" t="s">
        <v>133</v>
      </c>
      <c r="M3010" s="2"/>
    </row>
    <row r="3011" customFormat="false" ht="15" hidden="false" customHeight="false" outlineLevel="0" collapsed="false">
      <c r="A3011" s="2" t="s">
        <v>8259</v>
      </c>
      <c r="B3011" s="2" t="s">
        <v>2461</v>
      </c>
      <c r="C3011" s="2" t="s">
        <v>2462</v>
      </c>
      <c r="D3011" s="13" t="n">
        <v>45475.89375</v>
      </c>
      <c r="E3011" s="2" t="s">
        <v>35</v>
      </c>
      <c r="F3011" s="2" t="s">
        <v>29</v>
      </c>
      <c r="G3011" s="2" t="n">
        <v>752.93</v>
      </c>
      <c r="H3011" s="2" t="n">
        <v>5</v>
      </c>
      <c r="I3011" s="2" t="s">
        <v>28</v>
      </c>
      <c r="J3011" s="2" t="s">
        <v>8260</v>
      </c>
      <c r="K3011" s="2" t="s">
        <v>95</v>
      </c>
      <c r="L3011" s="2" t="s">
        <v>138</v>
      </c>
      <c r="M3011" s="2"/>
    </row>
    <row r="3012" customFormat="false" ht="15" hidden="false" customHeight="false" outlineLevel="0" collapsed="false">
      <c r="A3012" s="2" t="s">
        <v>8261</v>
      </c>
      <c r="B3012" s="2" t="s">
        <v>1985</v>
      </c>
      <c r="C3012" s="2" t="s">
        <v>1986</v>
      </c>
      <c r="D3012" s="13" t="n">
        <v>45422.6409722222</v>
      </c>
      <c r="E3012" s="2" t="s">
        <v>39</v>
      </c>
      <c r="F3012" s="2" t="s">
        <v>32</v>
      </c>
      <c r="G3012" s="2" t="n">
        <v>12512.04</v>
      </c>
      <c r="H3012" s="2" t="n">
        <v>39.88</v>
      </c>
      <c r="I3012" s="2" t="s">
        <v>26</v>
      </c>
      <c r="J3012" s="2" t="s">
        <v>8262</v>
      </c>
      <c r="K3012" s="2" t="s">
        <v>95</v>
      </c>
      <c r="L3012" s="2" t="s">
        <v>141</v>
      </c>
      <c r="M3012" s="2"/>
    </row>
    <row r="3013" customFormat="false" ht="15" hidden="false" customHeight="false" outlineLevel="0" collapsed="false">
      <c r="A3013" s="2" t="s">
        <v>8263</v>
      </c>
      <c r="B3013" s="2" t="s">
        <v>1828</v>
      </c>
      <c r="C3013" s="2" t="s">
        <v>1829</v>
      </c>
      <c r="D3013" s="13" t="n">
        <v>45402.9354166667</v>
      </c>
      <c r="E3013" s="2" t="s">
        <v>35</v>
      </c>
      <c r="F3013" s="2" t="s">
        <v>31</v>
      </c>
      <c r="G3013" s="2" t="n">
        <v>6840.52</v>
      </c>
      <c r="H3013" s="2" t="n">
        <v>41.55</v>
      </c>
      <c r="I3013" s="2" t="s">
        <v>26</v>
      </c>
      <c r="J3013" s="2" t="s">
        <v>8264</v>
      </c>
      <c r="K3013" s="2" t="s">
        <v>89</v>
      </c>
      <c r="L3013" s="2" t="s">
        <v>841</v>
      </c>
      <c r="M3013" s="2"/>
    </row>
    <row r="3014" customFormat="false" ht="15" hidden="false" customHeight="false" outlineLevel="0" collapsed="false">
      <c r="A3014" s="2" t="s">
        <v>8265</v>
      </c>
      <c r="B3014" s="2" t="s">
        <v>2222</v>
      </c>
      <c r="C3014" s="2" t="s">
        <v>2223</v>
      </c>
      <c r="D3014" s="13" t="n">
        <v>45961.4291666667</v>
      </c>
      <c r="E3014" s="2" t="s">
        <v>39</v>
      </c>
      <c r="F3014" s="2" t="s">
        <v>32</v>
      </c>
      <c r="G3014" s="2" t="n">
        <v>7002.31</v>
      </c>
      <c r="H3014" s="2" t="n">
        <v>29.58</v>
      </c>
      <c r="I3014" s="2" t="s">
        <v>28</v>
      </c>
      <c r="J3014" s="2" t="s">
        <v>8266</v>
      </c>
      <c r="K3014" s="2" t="s">
        <v>95</v>
      </c>
      <c r="L3014" s="2" t="s">
        <v>147</v>
      </c>
      <c r="M3014" s="2"/>
    </row>
    <row r="3015" customFormat="false" ht="15" hidden="false" customHeight="false" outlineLevel="0" collapsed="false">
      <c r="A3015" s="2" t="s">
        <v>8267</v>
      </c>
      <c r="B3015" s="2" t="s">
        <v>2942</v>
      </c>
      <c r="C3015" s="2" t="s">
        <v>2943</v>
      </c>
      <c r="D3015" s="13" t="n">
        <v>45612.6375</v>
      </c>
      <c r="E3015" s="2" t="s">
        <v>39</v>
      </c>
      <c r="F3015" s="2" t="s">
        <v>32</v>
      </c>
      <c r="G3015" s="2" t="n">
        <v>10750.32</v>
      </c>
      <c r="H3015" s="2" t="n">
        <v>22.38</v>
      </c>
      <c r="I3015" s="2" t="s">
        <v>26</v>
      </c>
      <c r="J3015" s="2" t="s">
        <v>8268</v>
      </c>
      <c r="K3015" s="2" t="s">
        <v>122</v>
      </c>
      <c r="L3015" s="2" t="s">
        <v>150</v>
      </c>
      <c r="M3015" s="2"/>
    </row>
    <row r="3016" customFormat="false" ht="15" hidden="false" customHeight="false" outlineLevel="0" collapsed="false">
      <c r="A3016" s="2" t="s">
        <v>8269</v>
      </c>
      <c r="B3016" s="2" t="s">
        <v>1679</v>
      </c>
      <c r="C3016" s="2" t="s">
        <v>1680</v>
      </c>
      <c r="D3016" s="13" t="n">
        <v>45430.8965277778</v>
      </c>
      <c r="E3016" s="2" t="s">
        <v>43</v>
      </c>
      <c r="F3016" s="2" t="s">
        <v>31</v>
      </c>
      <c r="G3016" s="2" t="n">
        <v>2709.52</v>
      </c>
      <c r="H3016" s="2" t="n">
        <v>14.58</v>
      </c>
      <c r="I3016" s="2" t="s">
        <v>28</v>
      </c>
      <c r="J3016" s="2" t="s">
        <v>8270</v>
      </c>
      <c r="K3016" s="2" t="s">
        <v>89</v>
      </c>
      <c r="L3016" s="2"/>
      <c r="M3016" s="2" t="s">
        <v>1448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17"/>
  </cols>
  <sheetData>
    <row r="1" customFormat="false" ht="15" hidden="false" customHeight="false" outlineLevel="0" collapsed="false">
      <c r="A1" s="10" t="s">
        <v>8271</v>
      </c>
      <c r="B1" s="10" t="s">
        <v>74</v>
      </c>
      <c r="C1" s="10" t="s">
        <v>8272</v>
      </c>
      <c r="D1" s="10" t="s">
        <v>8273</v>
      </c>
      <c r="E1" s="10" t="s">
        <v>8274</v>
      </c>
      <c r="F1" s="10" t="s">
        <v>8275</v>
      </c>
      <c r="G1" s="10" t="s">
        <v>8276</v>
      </c>
      <c r="H1" s="10" t="s">
        <v>8277</v>
      </c>
      <c r="I1" s="10" t="s">
        <v>8278</v>
      </c>
      <c r="J1" s="10" t="s">
        <v>8279</v>
      </c>
      <c r="K1" s="10" t="s">
        <v>8280</v>
      </c>
      <c r="L1" s="10" t="s">
        <v>8281</v>
      </c>
      <c r="M1" s="9" t="s">
        <v>8282</v>
      </c>
    </row>
    <row r="2" customFormat="false" ht="15" hidden="false" customHeight="false" outlineLevel="0" collapsed="false">
      <c r="A2" s="2" t="s">
        <v>8283</v>
      </c>
      <c r="B2" s="2" t="s">
        <v>4437</v>
      </c>
      <c r="C2" s="13" t="n">
        <v>45753</v>
      </c>
      <c r="D2" s="13" t="n">
        <v>45755</v>
      </c>
      <c r="E2" s="2" t="s">
        <v>54</v>
      </c>
      <c r="F2" s="2" t="n">
        <v>139348.46</v>
      </c>
      <c r="G2" s="2" t="n">
        <v>112379.63</v>
      </c>
      <c r="H2" s="2" t="n">
        <v>17.034</v>
      </c>
      <c r="I2" s="2" t="n">
        <v>30</v>
      </c>
      <c r="J2" s="2" t="s">
        <v>38</v>
      </c>
      <c r="K2" s="2" t="n">
        <v>0</v>
      </c>
      <c r="L2" s="2" t="n">
        <v>0</v>
      </c>
      <c r="M2" s="0" t="str">
        <f aca="false">IF(J2="Active",L2+(ROW()/1000000),"")</f>
        <v/>
      </c>
    </row>
    <row r="3" customFormat="false" ht="15" hidden="false" customHeight="false" outlineLevel="0" collapsed="false">
      <c r="A3" s="2" t="s">
        <v>8284</v>
      </c>
      <c r="B3" s="2" t="s">
        <v>441</v>
      </c>
      <c r="C3" s="13" t="n">
        <v>45488</v>
      </c>
      <c r="D3" s="13" t="n">
        <v>45492</v>
      </c>
      <c r="E3" s="2" t="s">
        <v>54</v>
      </c>
      <c r="F3" s="2" t="n">
        <v>397699.36</v>
      </c>
      <c r="G3" s="2" t="n">
        <v>392476.19</v>
      </c>
      <c r="H3" s="2" t="n">
        <v>13.228</v>
      </c>
      <c r="I3" s="2" t="n">
        <v>30</v>
      </c>
      <c r="J3" s="2" t="s">
        <v>36</v>
      </c>
      <c r="K3" s="2" t="n">
        <v>229830.58</v>
      </c>
      <c r="L3" s="2" t="n">
        <v>1</v>
      </c>
      <c r="M3" s="9" t="n">
        <f aca="false">IF(J3="Active",L3+(ROW()/1000000),"")</f>
        <v>1.000003</v>
      </c>
    </row>
    <row r="4" customFormat="false" ht="15" hidden="false" customHeight="false" outlineLevel="0" collapsed="false">
      <c r="A4" s="2" t="s">
        <v>8285</v>
      </c>
      <c r="B4" s="2" t="s">
        <v>211</v>
      </c>
      <c r="C4" s="13" t="n">
        <v>45704</v>
      </c>
      <c r="D4" s="13" t="n">
        <v>45707</v>
      </c>
      <c r="E4" s="2" t="s">
        <v>53</v>
      </c>
      <c r="F4" s="2" t="n">
        <v>414918.05</v>
      </c>
      <c r="G4" s="2" t="n">
        <v>341170.45</v>
      </c>
      <c r="H4" s="2" t="n">
        <v>13.114</v>
      </c>
      <c r="I4" s="2" t="n">
        <v>90</v>
      </c>
      <c r="J4" s="2" t="s">
        <v>38</v>
      </c>
      <c r="K4" s="2" t="n">
        <v>0</v>
      </c>
      <c r="L4" s="2" t="n">
        <v>0</v>
      </c>
      <c r="M4" s="0" t="str">
        <f aca="false">IF(J4="Active",L4+(ROW()/1000000),"")</f>
        <v/>
      </c>
    </row>
    <row r="5" customFormat="false" ht="15" hidden="false" customHeight="false" outlineLevel="0" collapsed="false">
      <c r="A5" s="2" t="s">
        <v>8286</v>
      </c>
      <c r="B5" s="2" t="s">
        <v>2223</v>
      </c>
      <c r="C5" s="13" t="n">
        <v>45450</v>
      </c>
      <c r="D5" s="13" t="n">
        <v>45452</v>
      </c>
      <c r="E5" s="2" t="s">
        <v>55</v>
      </c>
      <c r="F5" s="2" t="n">
        <v>284697.31</v>
      </c>
      <c r="G5" s="2" t="n">
        <v>216103.07</v>
      </c>
      <c r="H5" s="2" t="n">
        <v>10.509</v>
      </c>
      <c r="I5" s="2" t="n">
        <v>120</v>
      </c>
      <c r="J5" s="2" t="s">
        <v>40</v>
      </c>
      <c r="K5" s="2" t="n">
        <v>73422.53</v>
      </c>
      <c r="L5" s="2" t="n">
        <v>15</v>
      </c>
      <c r="M5" s="0" t="str">
        <f aca="false">IF(J5="Active",L5+(ROW()/1000000),"")</f>
        <v/>
      </c>
    </row>
    <row r="6" customFormat="false" ht="15" hidden="false" customHeight="false" outlineLevel="0" collapsed="false">
      <c r="A6" s="2" t="s">
        <v>8287</v>
      </c>
      <c r="B6" s="2" t="s">
        <v>2144</v>
      </c>
      <c r="C6" s="13" t="n">
        <v>45424</v>
      </c>
      <c r="D6" s="13"/>
      <c r="E6" s="2" t="s">
        <v>54</v>
      </c>
      <c r="F6" s="2" t="n">
        <v>12056.42</v>
      </c>
      <c r="G6" s="2" t="n">
        <v>0</v>
      </c>
      <c r="H6" s="2" t="n">
        <v>9.618</v>
      </c>
      <c r="I6" s="2" t="n">
        <v>120</v>
      </c>
      <c r="J6" s="2" t="s">
        <v>42</v>
      </c>
      <c r="K6" s="2" t="n">
        <v>0</v>
      </c>
      <c r="L6" s="2" t="n">
        <v>0</v>
      </c>
      <c r="M6" s="0" t="str">
        <f aca="false">IF(J6="Active",L6+(ROW()/1000000),"")</f>
        <v/>
      </c>
    </row>
    <row r="7" customFormat="false" ht="15" hidden="false" customHeight="false" outlineLevel="0" collapsed="false">
      <c r="A7" s="2" t="s">
        <v>8288</v>
      </c>
      <c r="B7" s="2" t="s">
        <v>564</v>
      </c>
      <c r="C7" s="13" t="n">
        <v>45721</v>
      </c>
      <c r="D7" s="13" t="n">
        <v>45721</v>
      </c>
      <c r="E7" s="2" t="s">
        <v>55</v>
      </c>
      <c r="F7" s="2" t="n">
        <v>495392.38</v>
      </c>
      <c r="G7" s="2" t="n">
        <v>282218.42</v>
      </c>
      <c r="H7" s="2" t="n">
        <v>12.981</v>
      </c>
      <c r="I7" s="2" t="n">
        <v>30</v>
      </c>
      <c r="J7" s="2" t="s">
        <v>36</v>
      </c>
      <c r="K7" s="2" t="n">
        <v>154932.61</v>
      </c>
      <c r="L7" s="2" t="n">
        <v>10</v>
      </c>
      <c r="M7" s="9" t="n">
        <f aca="false">IF(J7="Active",L7+(ROW()/1000000),"")</f>
        <v>10.000007</v>
      </c>
    </row>
    <row r="8" customFormat="false" ht="15" hidden="false" customHeight="false" outlineLevel="0" collapsed="false">
      <c r="A8" s="2" t="s">
        <v>8289</v>
      </c>
      <c r="B8" s="2" t="s">
        <v>1471</v>
      </c>
      <c r="C8" s="13" t="n">
        <v>45830</v>
      </c>
      <c r="D8" s="13"/>
      <c r="E8" s="2" t="s">
        <v>54</v>
      </c>
      <c r="F8" s="2" t="n">
        <v>258171.49</v>
      </c>
      <c r="G8" s="2" t="n">
        <v>0</v>
      </c>
      <c r="H8" s="2" t="n">
        <v>14.689</v>
      </c>
      <c r="I8" s="2" t="n">
        <v>30</v>
      </c>
      <c r="J8" s="2" t="s">
        <v>42</v>
      </c>
      <c r="K8" s="2" t="n">
        <v>0</v>
      </c>
      <c r="L8" s="2" t="n">
        <v>0</v>
      </c>
      <c r="M8" s="0" t="str">
        <f aca="false">IF(J8="Active",L8+(ROW()/1000000),"")</f>
        <v/>
      </c>
    </row>
    <row r="9" customFormat="false" ht="15" hidden="false" customHeight="false" outlineLevel="0" collapsed="false">
      <c r="A9" s="2" t="s">
        <v>8290</v>
      </c>
      <c r="B9" s="2" t="s">
        <v>87</v>
      </c>
      <c r="C9" s="13" t="n">
        <v>45632</v>
      </c>
      <c r="D9" s="13" t="n">
        <v>45635</v>
      </c>
      <c r="E9" s="2" t="s">
        <v>55</v>
      </c>
      <c r="F9" s="2" t="n">
        <v>230751.99</v>
      </c>
      <c r="G9" s="2" t="n">
        <v>142881.48</v>
      </c>
      <c r="H9" s="2" t="n">
        <v>8.763</v>
      </c>
      <c r="I9" s="2" t="n">
        <v>60</v>
      </c>
      <c r="J9" s="2" t="s">
        <v>36</v>
      </c>
      <c r="K9" s="2" t="n">
        <v>118411.61</v>
      </c>
      <c r="L9" s="2" t="n">
        <v>30</v>
      </c>
      <c r="M9" s="9" t="n">
        <f aca="false">IF(J9="Active",L9+(ROW()/1000000),"")</f>
        <v>30.000009</v>
      </c>
    </row>
    <row r="10" customFormat="false" ht="15" hidden="false" customHeight="false" outlineLevel="0" collapsed="false">
      <c r="A10" s="2" t="s">
        <v>8291</v>
      </c>
      <c r="B10" s="2" t="s">
        <v>630</v>
      </c>
      <c r="C10" s="13" t="n">
        <v>45487</v>
      </c>
      <c r="D10" s="13" t="n">
        <v>45491</v>
      </c>
      <c r="E10" s="2" t="s">
        <v>55</v>
      </c>
      <c r="F10" s="2" t="n">
        <v>229880.17</v>
      </c>
      <c r="G10" s="2" t="n">
        <v>132787.15</v>
      </c>
      <c r="H10" s="2" t="n">
        <v>15.117</v>
      </c>
      <c r="I10" s="2" t="n">
        <v>60</v>
      </c>
      <c r="J10" s="2" t="s">
        <v>36</v>
      </c>
      <c r="K10" s="2" t="n">
        <v>14111.16</v>
      </c>
      <c r="L10" s="2" t="n">
        <v>15</v>
      </c>
      <c r="M10" s="9" t="n">
        <f aca="false">IF(J10="Active",L10+(ROW()/1000000),"")</f>
        <v>15.00001</v>
      </c>
    </row>
    <row r="11" customFormat="false" ht="15" hidden="false" customHeight="false" outlineLevel="0" collapsed="false">
      <c r="A11" s="2" t="s">
        <v>8292</v>
      </c>
      <c r="B11" s="2" t="s">
        <v>8293</v>
      </c>
      <c r="C11" s="13" t="n">
        <v>46016</v>
      </c>
      <c r="D11" s="13"/>
      <c r="E11" s="2" t="s">
        <v>55</v>
      </c>
      <c r="F11" s="2" t="n">
        <v>236351.63</v>
      </c>
      <c r="G11" s="2" t="n">
        <v>0</v>
      </c>
      <c r="H11" s="2" t="n">
        <v>11.307</v>
      </c>
      <c r="I11" s="2" t="n">
        <v>30</v>
      </c>
      <c r="J11" s="2" t="s">
        <v>42</v>
      </c>
      <c r="K11" s="2" t="n">
        <v>0</v>
      </c>
      <c r="L11" s="2" t="n">
        <v>0</v>
      </c>
      <c r="M11" s="0" t="str">
        <f aca="false">IF(J11="Active",L11+(ROW()/1000000),"")</f>
        <v/>
      </c>
    </row>
    <row r="12" customFormat="false" ht="15" hidden="false" customHeight="false" outlineLevel="0" collapsed="false">
      <c r="A12" s="2" t="s">
        <v>8294</v>
      </c>
      <c r="B12" s="2" t="s">
        <v>539</v>
      </c>
      <c r="C12" s="13" t="n">
        <v>45567</v>
      </c>
      <c r="D12" s="13" t="n">
        <v>45567</v>
      </c>
      <c r="E12" s="2" t="s">
        <v>54</v>
      </c>
      <c r="F12" s="2" t="n">
        <v>177456.52</v>
      </c>
      <c r="G12" s="2" t="n">
        <v>175689.78</v>
      </c>
      <c r="H12" s="2" t="n">
        <v>11.899</v>
      </c>
      <c r="I12" s="2" t="n">
        <v>60</v>
      </c>
      <c r="J12" s="2" t="s">
        <v>36</v>
      </c>
      <c r="K12" s="2" t="n">
        <v>163037.51</v>
      </c>
      <c r="L12" s="2" t="n">
        <v>60</v>
      </c>
      <c r="M12" s="9" t="n">
        <f aca="false">IF(J12="Active",L12+(ROW()/1000000),"")</f>
        <v>60.000012</v>
      </c>
    </row>
    <row r="13" customFormat="false" ht="15" hidden="false" customHeight="false" outlineLevel="0" collapsed="false">
      <c r="A13" s="2" t="s">
        <v>8295</v>
      </c>
      <c r="B13" s="2" t="s">
        <v>511</v>
      </c>
      <c r="C13" s="13" t="n">
        <v>45429</v>
      </c>
      <c r="D13" s="13"/>
      <c r="E13" s="2" t="s">
        <v>55</v>
      </c>
      <c r="F13" s="2" t="n">
        <v>333260.89</v>
      </c>
      <c r="G13" s="2" t="n">
        <v>0</v>
      </c>
      <c r="H13" s="2" t="n">
        <v>13.538</v>
      </c>
      <c r="I13" s="2" t="n">
        <v>60</v>
      </c>
      <c r="J13" s="2" t="s">
        <v>42</v>
      </c>
      <c r="K13" s="2" t="n">
        <v>0</v>
      </c>
      <c r="L13" s="2" t="n">
        <v>0</v>
      </c>
      <c r="M13" s="0" t="str">
        <f aca="false">IF(J13="Active",L13+(ROW()/1000000),"")</f>
        <v/>
      </c>
    </row>
    <row r="14" customFormat="false" ht="15" hidden="false" customHeight="false" outlineLevel="0" collapsed="false">
      <c r="A14" s="2" t="s">
        <v>8296</v>
      </c>
      <c r="B14" s="2" t="s">
        <v>7521</v>
      </c>
      <c r="C14" s="13" t="n">
        <v>45864</v>
      </c>
      <c r="D14" s="13" t="n">
        <v>45865</v>
      </c>
      <c r="E14" s="2" t="s">
        <v>53</v>
      </c>
      <c r="F14" s="2" t="n">
        <v>112246.72</v>
      </c>
      <c r="G14" s="2" t="n">
        <v>88907.48</v>
      </c>
      <c r="H14" s="2" t="n">
        <v>13.421</v>
      </c>
      <c r="I14" s="2" t="n">
        <v>120</v>
      </c>
      <c r="J14" s="2" t="s">
        <v>38</v>
      </c>
      <c r="K14" s="2" t="n">
        <v>0</v>
      </c>
      <c r="L14" s="2" t="n">
        <v>0</v>
      </c>
      <c r="M14" s="0" t="str">
        <f aca="false">IF(J14="Active",L14+(ROW()/1000000),"")</f>
        <v/>
      </c>
    </row>
    <row r="15" customFormat="false" ht="15" hidden="false" customHeight="false" outlineLevel="0" collapsed="false">
      <c r="A15" s="2" t="s">
        <v>8297</v>
      </c>
      <c r="B15" s="2" t="s">
        <v>2077</v>
      </c>
      <c r="C15" s="13" t="n">
        <v>45864</v>
      </c>
      <c r="D15" s="13"/>
      <c r="E15" s="2" t="s">
        <v>55</v>
      </c>
      <c r="F15" s="2" t="n">
        <v>386822.5</v>
      </c>
      <c r="G15" s="2" t="n">
        <v>0</v>
      </c>
      <c r="H15" s="2" t="n">
        <v>16.02</v>
      </c>
      <c r="I15" s="2" t="n">
        <v>120</v>
      </c>
      <c r="J15" s="2" t="s">
        <v>42</v>
      </c>
      <c r="K15" s="2" t="n">
        <v>0</v>
      </c>
      <c r="L15" s="2" t="n">
        <v>0</v>
      </c>
      <c r="M15" s="0" t="str">
        <f aca="false">IF(J15="Active",L15+(ROW()/1000000),"")</f>
        <v/>
      </c>
    </row>
    <row r="16" customFormat="false" ht="15" hidden="false" customHeight="false" outlineLevel="0" collapsed="false">
      <c r="A16" s="2" t="s">
        <v>8298</v>
      </c>
      <c r="B16" s="2" t="s">
        <v>371</v>
      </c>
      <c r="C16" s="13" t="n">
        <v>45962</v>
      </c>
      <c r="D16" s="13" t="n">
        <v>45962</v>
      </c>
      <c r="E16" s="2" t="s">
        <v>54</v>
      </c>
      <c r="F16" s="2" t="n">
        <v>309803.99</v>
      </c>
      <c r="G16" s="2" t="n">
        <v>219346.29</v>
      </c>
      <c r="H16" s="2" t="n">
        <v>13.703</v>
      </c>
      <c r="I16" s="2" t="n">
        <v>60</v>
      </c>
      <c r="J16" s="2" t="s">
        <v>38</v>
      </c>
      <c r="K16" s="2" t="n">
        <v>0</v>
      </c>
      <c r="L16" s="2" t="n">
        <v>0</v>
      </c>
      <c r="M16" s="0" t="str">
        <f aca="false">IF(J16="Active",L16+(ROW()/1000000),"")</f>
        <v/>
      </c>
    </row>
    <row r="17" customFormat="false" ht="15" hidden="false" customHeight="false" outlineLevel="0" collapsed="false">
      <c r="A17" s="2" t="s">
        <v>8299</v>
      </c>
      <c r="B17" s="2" t="s">
        <v>1867</v>
      </c>
      <c r="C17" s="13" t="n">
        <v>45537</v>
      </c>
      <c r="D17" s="13" t="n">
        <v>45539</v>
      </c>
      <c r="E17" s="2" t="s">
        <v>53</v>
      </c>
      <c r="F17" s="2" t="n">
        <v>184805.11</v>
      </c>
      <c r="G17" s="2" t="n">
        <v>145259.23</v>
      </c>
      <c r="H17" s="2" t="n">
        <v>16.298</v>
      </c>
      <c r="I17" s="2" t="n">
        <v>60</v>
      </c>
      <c r="J17" s="2" t="s">
        <v>38</v>
      </c>
      <c r="K17" s="2" t="n">
        <v>0</v>
      </c>
      <c r="L17" s="2" t="n">
        <v>0</v>
      </c>
      <c r="M17" s="0" t="str">
        <f aca="false">IF(J17="Active",L17+(ROW()/1000000),"")</f>
        <v/>
      </c>
    </row>
    <row r="18" customFormat="false" ht="15" hidden="false" customHeight="false" outlineLevel="0" collapsed="false">
      <c r="A18" s="2" t="s">
        <v>8300</v>
      </c>
      <c r="B18" s="2" t="s">
        <v>4751</v>
      </c>
      <c r="C18" s="13" t="n">
        <v>45819</v>
      </c>
      <c r="D18" s="13" t="n">
        <v>45820</v>
      </c>
      <c r="E18" s="2" t="s">
        <v>54</v>
      </c>
      <c r="F18" s="2" t="n">
        <v>114427.43</v>
      </c>
      <c r="G18" s="2" t="n">
        <v>83532.14</v>
      </c>
      <c r="H18" s="2" t="n">
        <v>16.762</v>
      </c>
      <c r="I18" s="2" t="n">
        <v>30</v>
      </c>
      <c r="J18" s="2" t="s">
        <v>40</v>
      </c>
      <c r="K18" s="2" t="n">
        <v>52865.44</v>
      </c>
      <c r="L18" s="2" t="n">
        <v>90</v>
      </c>
      <c r="M18" s="0" t="str">
        <f aca="false">IF(J18="Active",L18+(ROW()/1000000),"")</f>
        <v/>
      </c>
    </row>
    <row r="19" customFormat="false" ht="15" hidden="false" customHeight="false" outlineLevel="0" collapsed="false">
      <c r="A19" s="2" t="s">
        <v>8301</v>
      </c>
      <c r="B19" s="2" t="s">
        <v>7521</v>
      </c>
      <c r="C19" s="13" t="n">
        <v>45906</v>
      </c>
      <c r="D19" s="13" t="n">
        <v>45910</v>
      </c>
      <c r="E19" s="2" t="s">
        <v>54</v>
      </c>
      <c r="F19" s="2" t="n">
        <v>178321.65</v>
      </c>
      <c r="G19" s="2" t="n">
        <v>175113.89</v>
      </c>
      <c r="H19" s="2" t="n">
        <v>14.68</v>
      </c>
      <c r="I19" s="2" t="n">
        <v>60</v>
      </c>
      <c r="J19" s="2" t="s">
        <v>36</v>
      </c>
      <c r="K19" s="2" t="n">
        <v>85705.07</v>
      </c>
      <c r="L19" s="2" t="n">
        <v>3</v>
      </c>
      <c r="M19" s="9" t="n">
        <f aca="false">IF(J19="Active",L19+(ROW()/1000000),"")</f>
        <v>3.000019</v>
      </c>
    </row>
    <row r="20" customFormat="false" ht="15" hidden="false" customHeight="false" outlineLevel="0" collapsed="false">
      <c r="A20" s="2" t="s">
        <v>8302</v>
      </c>
      <c r="B20" s="2" t="s">
        <v>1146</v>
      </c>
      <c r="C20" s="13" t="n">
        <v>45711</v>
      </c>
      <c r="D20" s="13" t="n">
        <v>45716</v>
      </c>
      <c r="E20" s="2" t="s">
        <v>53</v>
      </c>
      <c r="F20" s="2" t="n">
        <v>139577.58</v>
      </c>
      <c r="G20" s="2" t="n">
        <v>113523.18</v>
      </c>
      <c r="H20" s="2" t="n">
        <v>7.709</v>
      </c>
      <c r="I20" s="2" t="n">
        <v>120</v>
      </c>
      <c r="J20" s="2" t="s">
        <v>36</v>
      </c>
      <c r="K20" s="2" t="n">
        <v>83121.39</v>
      </c>
      <c r="L20" s="2" t="n">
        <v>90</v>
      </c>
      <c r="M20" s="9" t="n">
        <f aca="false">IF(J20="Active",L20+(ROW()/1000000),"")</f>
        <v>90.00002</v>
      </c>
    </row>
    <row r="21" customFormat="false" ht="15" hidden="false" customHeight="false" outlineLevel="0" collapsed="false">
      <c r="A21" s="2" t="s">
        <v>8303</v>
      </c>
      <c r="B21" s="2" t="s">
        <v>574</v>
      </c>
      <c r="C21" s="13" t="n">
        <v>45627</v>
      </c>
      <c r="D21" s="13" t="n">
        <v>45628</v>
      </c>
      <c r="E21" s="2" t="s">
        <v>55</v>
      </c>
      <c r="F21" s="2" t="n">
        <v>331027.28</v>
      </c>
      <c r="G21" s="2" t="n">
        <v>279200.73</v>
      </c>
      <c r="H21" s="2" t="n">
        <v>14.505</v>
      </c>
      <c r="I21" s="2" t="n">
        <v>30</v>
      </c>
      <c r="J21" s="2" t="s">
        <v>40</v>
      </c>
      <c r="K21" s="2" t="n">
        <v>130604.9</v>
      </c>
      <c r="L21" s="2" t="n">
        <v>60</v>
      </c>
      <c r="M21" s="0" t="str">
        <f aca="false">IF(J21="Active",L21+(ROW()/1000000),"")</f>
        <v/>
      </c>
    </row>
    <row r="22" customFormat="false" ht="15" hidden="false" customHeight="false" outlineLevel="0" collapsed="false">
      <c r="A22" s="2" t="s">
        <v>8304</v>
      </c>
      <c r="B22" s="2" t="s">
        <v>4467</v>
      </c>
      <c r="C22" s="13" t="n">
        <v>45628</v>
      </c>
      <c r="D22" s="13" t="n">
        <v>45628</v>
      </c>
      <c r="E22" s="2" t="s">
        <v>55</v>
      </c>
      <c r="F22" s="2" t="n">
        <v>461458.18</v>
      </c>
      <c r="G22" s="2" t="n">
        <v>270596.65</v>
      </c>
      <c r="H22" s="2" t="n">
        <v>17.476</v>
      </c>
      <c r="I22" s="2" t="n">
        <v>30</v>
      </c>
      <c r="J22" s="2" t="s">
        <v>38</v>
      </c>
      <c r="K22" s="2" t="n">
        <v>0</v>
      </c>
      <c r="L22" s="2" t="n">
        <v>0</v>
      </c>
      <c r="M22" s="0" t="str">
        <f aca="false">IF(J22="Active",L22+(ROW()/1000000),"")</f>
        <v/>
      </c>
    </row>
    <row r="23" customFormat="false" ht="15" hidden="false" customHeight="false" outlineLevel="0" collapsed="false">
      <c r="A23" s="2" t="s">
        <v>8305</v>
      </c>
      <c r="B23" s="2" t="s">
        <v>5281</v>
      </c>
      <c r="C23" s="13" t="n">
        <v>45933</v>
      </c>
      <c r="D23" s="13" t="n">
        <v>45937</v>
      </c>
      <c r="E23" s="2" t="s">
        <v>53</v>
      </c>
      <c r="F23" s="2" t="n">
        <v>259094.93</v>
      </c>
      <c r="G23" s="2" t="n">
        <v>181815.77</v>
      </c>
      <c r="H23" s="2" t="n">
        <v>13.456</v>
      </c>
      <c r="I23" s="2" t="n">
        <v>30</v>
      </c>
      <c r="J23" s="2" t="s">
        <v>36</v>
      </c>
      <c r="K23" s="2" t="n">
        <v>58320.39</v>
      </c>
      <c r="L23" s="2" t="n">
        <v>30</v>
      </c>
      <c r="M23" s="9" t="n">
        <f aca="false">IF(J23="Active",L23+(ROW()/1000000),"")</f>
        <v>30.000023</v>
      </c>
    </row>
    <row r="24" customFormat="false" ht="15" hidden="false" customHeight="false" outlineLevel="0" collapsed="false">
      <c r="A24" s="2" t="s">
        <v>8306</v>
      </c>
      <c r="B24" s="2" t="s">
        <v>835</v>
      </c>
      <c r="C24" s="13" t="n">
        <v>45337</v>
      </c>
      <c r="D24" s="13"/>
      <c r="E24" s="2" t="s">
        <v>53</v>
      </c>
      <c r="F24" s="2" t="n">
        <v>435031.25</v>
      </c>
      <c r="G24" s="2" t="n">
        <v>0</v>
      </c>
      <c r="H24" s="2" t="n">
        <v>9.022</v>
      </c>
      <c r="I24" s="2" t="n">
        <v>180</v>
      </c>
      <c r="J24" s="2" t="s">
        <v>42</v>
      </c>
      <c r="K24" s="2" t="n">
        <v>0</v>
      </c>
      <c r="L24" s="2" t="n">
        <v>0</v>
      </c>
      <c r="M24" s="0" t="str">
        <f aca="false">IF(J24="Active",L24+(ROW()/1000000),"")</f>
        <v/>
      </c>
    </row>
    <row r="25" customFormat="false" ht="15" hidden="false" customHeight="false" outlineLevel="0" collapsed="false">
      <c r="A25" s="2" t="s">
        <v>8307</v>
      </c>
      <c r="B25" s="2" t="s">
        <v>2790</v>
      </c>
      <c r="C25" s="13" t="n">
        <v>45699</v>
      </c>
      <c r="D25" s="13" t="n">
        <v>45702</v>
      </c>
      <c r="E25" s="2" t="s">
        <v>55</v>
      </c>
      <c r="F25" s="2" t="n">
        <v>368834.49</v>
      </c>
      <c r="G25" s="2" t="n">
        <v>342326.73</v>
      </c>
      <c r="H25" s="2" t="n">
        <v>9.039</v>
      </c>
      <c r="I25" s="2" t="n">
        <v>30</v>
      </c>
      <c r="J25" s="2" t="s">
        <v>38</v>
      </c>
      <c r="K25" s="2" t="n">
        <v>0</v>
      </c>
      <c r="L25" s="2" t="n">
        <v>0</v>
      </c>
      <c r="M25" s="0" t="str">
        <f aca="false">IF(J25="Active",L25+(ROW()/1000000),"")</f>
        <v/>
      </c>
    </row>
    <row r="26" customFormat="false" ht="15" hidden="false" customHeight="false" outlineLevel="0" collapsed="false">
      <c r="A26" s="2" t="s">
        <v>8308</v>
      </c>
      <c r="B26" s="2" t="s">
        <v>1056</v>
      </c>
      <c r="C26" s="13" t="n">
        <v>45349</v>
      </c>
      <c r="D26" s="13"/>
      <c r="E26" s="2" t="s">
        <v>54</v>
      </c>
      <c r="F26" s="2" t="n">
        <v>320678.63</v>
      </c>
      <c r="G26" s="2" t="n">
        <v>0</v>
      </c>
      <c r="H26" s="2" t="n">
        <v>10.91</v>
      </c>
      <c r="I26" s="2" t="n">
        <v>30</v>
      </c>
      <c r="J26" s="2" t="s">
        <v>42</v>
      </c>
      <c r="K26" s="2" t="n">
        <v>0</v>
      </c>
      <c r="L26" s="2" t="n">
        <v>0</v>
      </c>
      <c r="M26" s="0" t="str">
        <f aca="false">IF(J26="Active",L26+(ROW()/1000000),"")</f>
        <v/>
      </c>
    </row>
    <row r="27" customFormat="false" ht="15" hidden="false" customHeight="false" outlineLevel="0" collapsed="false">
      <c r="A27" s="2" t="s">
        <v>8309</v>
      </c>
      <c r="B27" s="2" t="s">
        <v>1891</v>
      </c>
      <c r="C27" s="13" t="n">
        <v>45875</v>
      </c>
      <c r="D27" s="13" t="n">
        <v>45880</v>
      </c>
      <c r="E27" s="2" t="s">
        <v>55</v>
      </c>
      <c r="F27" s="2" t="n">
        <v>146186.18</v>
      </c>
      <c r="G27" s="2" t="n">
        <v>94238.13</v>
      </c>
      <c r="H27" s="2" t="n">
        <v>17.938</v>
      </c>
      <c r="I27" s="2" t="n">
        <v>120</v>
      </c>
      <c r="J27" s="2" t="s">
        <v>38</v>
      </c>
      <c r="K27" s="2" t="n">
        <v>0</v>
      </c>
      <c r="L27" s="2" t="n">
        <v>0</v>
      </c>
      <c r="M27" s="0" t="str">
        <f aca="false">IF(J27="Active",L27+(ROW()/1000000),"")</f>
        <v/>
      </c>
    </row>
    <row r="28" customFormat="false" ht="15" hidden="false" customHeight="false" outlineLevel="0" collapsed="false">
      <c r="A28" s="2" t="s">
        <v>8310</v>
      </c>
      <c r="B28" s="2" t="s">
        <v>2762</v>
      </c>
      <c r="C28" s="13" t="n">
        <v>45994</v>
      </c>
      <c r="D28" s="13" t="n">
        <v>45996</v>
      </c>
      <c r="E28" s="2" t="s">
        <v>55</v>
      </c>
      <c r="F28" s="2" t="n">
        <v>330509.93</v>
      </c>
      <c r="G28" s="2" t="n">
        <v>273532.81</v>
      </c>
      <c r="H28" s="2" t="n">
        <v>11.638</v>
      </c>
      <c r="I28" s="2" t="n">
        <v>30</v>
      </c>
      <c r="J28" s="2" t="s">
        <v>36</v>
      </c>
      <c r="K28" s="2" t="n">
        <v>98323.85</v>
      </c>
      <c r="L28" s="2" t="n">
        <v>10</v>
      </c>
      <c r="M28" s="9" t="n">
        <f aca="false">IF(J28="Active",L28+(ROW()/1000000),"")</f>
        <v>10.000028</v>
      </c>
    </row>
    <row r="29" customFormat="false" ht="15" hidden="false" customHeight="false" outlineLevel="0" collapsed="false">
      <c r="A29" s="2" t="s">
        <v>8311</v>
      </c>
      <c r="B29" s="2" t="s">
        <v>236</v>
      </c>
      <c r="C29" s="13" t="n">
        <v>45996</v>
      </c>
      <c r="D29" s="13"/>
      <c r="E29" s="2" t="s">
        <v>55</v>
      </c>
      <c r="F29" s="2" t="n">
        <v>137924.88</v>
      </c>
      <c r="G29" s="2" t="n">
        <v>0</v>
      </c>
      <c r="H29" s="2" t="n">
        <v>15.018</v>
      </c>
      <c r="I29" s="2" t="n">
        <v>30</v>
      </c>
      <c r="J29" s="2" t="s">
        <v>42</v>
      </c>
      <c r="K29" s="2" t="n">
        <v>0</v>
      </c>
      <c r="L29" s="2" t="n">
        <v>0</v>
      </c>
      <c r="M29" s="0" t="str">
        <f aca="false">IF(J29="Active",L29+(ROW()/1000000),"")</f>
        <v/>
      </c>
    </row>
    <row r="30" customFormat="false" ht="15" hidden="false" customHeight="false" outlineLevel="0" collapsed="false">
      <c r="A30" s="2" t="s">
        <v>8312</v>
      </c>
      <c r="B30" s="2" t="s">
        <v>3401</v>
      </c>
      <c r="C30" s="13" t="n">
        <v>45639</v>
      </c>
      <c r="D30" s="13" t="n">
        <v>45640</v>
      </c>
      <c r="E30" s="2" t="s">
        <v>53</v>
      </c>
      <c r="F30" s="2" t="n">
        <v>328389.34</v>
      </c>
      <c r="G30" s="2" t="n">
        <v>197049.63</v>
      </c>
      <c r="H30" s="2" t="n">
        <v>14.741</v>
      </c>
      <c r="I30" s="2" t="n">
        <v>90</v>
      </c>
      <c r="J30" s="2" t="s">
        <v>40</v>
      </c>
      <c r="K30" s="2" t="n">
        <v>77275.42</v>
      </c>
      <c r="L30" s="2" t="n">
        <v>1</v>
      </c>
      <c r="M30" s="0" t="str">
        <f aca="false">IF(J30="Active",L30+(ROW()/1000000),"")</f>
        <v/>
      </c>
    </row>
    <row r="31" customFormat="false" ht="15" hidden="false" customHeight="false" outlineLevel="0" collapsed="false">
      <c r="A31" s="2" t="s">
        <v>8313</v>
      </c>
      <c r="B31" s="2" t="s">
        <v>695</v>
      </c>
      <c r="C31" s="13" t="n">
        <v>45953</v>
      </c>
      <c r="D31" s="13" t="n">
        <v>45953</v>
      </c>
      <c r="E31" s="2" t="s">
        <v>54</v>
      </c>
      <c r="F31" s="2" t="n">
        <v>146294.4</v>
      </c>
      <c r="G31" s="2" t="n">
        <v>112291.68</v>
      </c>
      <c r="H31" s="2" t="n">
        <v>13.294</v>
      </c>
      <c r="I31" s="2" t="n">
        <v>30</v>
      </c>
      <c r="J31" s="2" t="s">
        <v>40</v>
      </c>
      <c r="K31" s="2" t="n">
        <v>6086.42</v>
      </c>
      <c r="L31" s="2" t="n">
        <v>10</v>
      </c>
      <c r="M31" s="0" t="str">
        <f aca="false">IF(J31="Active",L31+(ROW()/1000000),"")</f>
        <v/>
      </c>
    </row>
    <row r="32" customFormat="false" ht="15" hidden="false" customHeight="false" outlineLevel="0" collapsed="false">
      <c r="A32" s="2" t="s">
        <v>8314</v>
      </c>
      <c r="B32" s="2" t="s">
        <v>3835</v>
      </c>
      <c r="C32" s="13" t="n">
        <v>45958</v>
      </c>
      <c r="D32" s="13" t="n">
        <v>45960</v>
      </c>
      <c r="E32" s="2" t="s">
        <v>53</v>
      </c>
      <c r="F32" s="2" t="n">
        <v>452552.99</v>
      </c>
      <c r="G32" s="2" t="n">
        <v>311682</v>
      </c>
      <c r="H32" s="2" t="n">
        <v>7.557</v>
      </c>
      <c r="I32" s="2" t="n">
        <v>90</v>
      </c>
      <c r="J32" s="2" t="s">
        <v>38</v>
      </c>
      <c r="K32" s="2" t="n">
        <v>0</v>
      </c>
      <c r="L32" s="2" t="n">
        <v>0</v>
      </c>
      <c r="M32" s="0" t="str">
        <f aca="false">IF(J32="Active",L32+(ROW()/1000000),"")</f>
        <v/>
      </c>
    </row>
    <row r="33" customFormat="false" ht="15" hidden="false" customHeight="false" outlineLevel="0" collapsed="false">
      <c r="A33" s="2" t="s">
        <v>8315</v>
      </c>
      <c r="B33" s="2" t="s">
        <v>7751</v>
      </c>
      <c r="C33" s="13" t="n">
        <v>45776</v>
      </c>
      <c r="D33" s="13" t="n">
        <v>45778</v>
      </c>
      <c r="E33" s="2" t="s">
        <v>53</v>
      </c>
      <c r="F33" s="2" t="n">
        <v>244872.54</v>
      </c>
      <c r="G33" s="2" t="n">
        <v>152237.51</v>
      </c>
      <c r="H33" s="2" t="n">
        <v>12.039</v>
      </c>
      <c r="I33" s="2" t="n">
        <v>60</v>
      </c>
      <c r="J33" s="2" t="s">
        <v>40</v>
      </c>
      <c r="K33" s="2" t="n">
        <v>80593.37</v>
      </c>
      <c r="L33" s="2" t="n">
        <v>30</v>
      </c>
      <c r="M33" s="0" t="str">
        <f aca="false">IF(J33="Active",L33+(ROW()/1000000),"")</f>
        <v/>
      </c>
    </row>
    <row r="34" customFormat="false" ht="15" hidden="false" customHeight="false" outlineLevel="0" collapsed="false">
      <c r="A34" s="2" t="s">
        <v>8316</v>
      </c>
      <c r="B34" s="2" t="s">
        <v>286</v>
      </c>
      <c r="C34" s="13" t="n">
        <v>45347</v>
      </c>
      <c r="D34" s="13" t="n">
        <v>45348</v>
      </c>
      <c r="E34" s="2" t="s">
        <v>54</v>
      </c>
      <c r="F34" s="2" t="n">
        <v>268055.76</v>
      </c>
      <c r="G34" s="2" t="n">
        <v>187635.08</v>
      </c>
      <c r="H34" s="2" t="n">
        <v>17.392</v>
      </c>
      <c r="I34" s="2" t="n">
        <v>30</v>
      </c>
      <c r="J34" s="2" t="s">
        <v>40</v>
      </c>
      <c r="K34" s="2" t="n">
        <v>122418.16</v>
      </c>
      <c r="L34" s="2" t="n">
        <v>90</v>
      </c>
      <c r="M34" s="0" t="str">
        <f aca="false">IF(J34="Active",L34+(ROW()/1000000),"")</f>
        <v/>
      </c>
    </row>
    <row r="35" customFormat="false" ht="15" hidden="false" customHeight="false" outlineLevel="0" collapsed="false">
      <c r="A35" s="2" t="s">
        <v>8317</v>
      </c>
      <c r="B35" s="2" t="s">
        <v>5799</v>
      </c>
      <c r="C35" s="13" t="n">
        <v>45982</v>
      </c>
      <c r="D35" s="13" t="n">
        <v>45985</v>
      </c>
      <c r="E35" s="2" t="s">
        <v>53</v>
      </c>
      <c r="F35" s="2" t="n">
        <v>23292.01</v>
      </c>
      <c r="G35" s="2" t="n">
        <v>20051.09</v>
      </c>
      <c r="H35" s="2" t="n">
        <v>13.903</v>
      </c>
      <c r="I35" s="2" t="n">
        <v>30</v>
      </c>
      <c r="J35" s="2" t="s">
        <v>36</v>
      </c>
      <c r="K35" s="2" t="n">
        <v>5511.27</v>
      </c>
      <c r="L35" s="2" t="n">
        <v>30</v>
      </c>
      <c r="M35" s="9" t="n">
        <f aca="false">IF(J35="Active",L35+(ROW()/1000000),"")</f>
        <v>30.000035</v>
      </c>
    </row>
    <row r="36" customFormat="false" ht="15" hidden="false" customHeight="false" outlineLevel="0" collapsed="false">
      <c r="A36" s="2" t="s">
        <v>8318</v>
      </c>
      <c r="B36" s="2" t="s">
        <v>3095</v>
      </c>
      <c r="C36" s="13" t="n">
        <v>45306</v>
      </c>
      <c r="D36" s="13" t="n">
        <v>45311</v>
      </c>
      <c r="E36" s="2" t="s">
        <v>54</v>
      </c>
      <c r="F36" s="2" t="n">
        <v>445241.57</v>
      </c>
      <c r="G36" s="2" t="n">
        <v>271854.09</v>
      </c>
      <c r="H36" s="2" t="n">
        <v>8.726</v>
      </c>
      <c r="I36" s="2" t="n">
        <v>30</v>
      </c>
      <c r="J36" s="2" t="s">
        <v>38</v>
      </c>
      <c r="K36" s="2" t="n">
        <v>0</v>
      </c>
      <c r="L36" s="2" t="n">
        <v>0</v>
      </c>
      <c r="M36" s="0" t="str">
        <f aca="false">IF(J36="Active",L36+(ROW()/1000000),"")</f>
        <v/>
      </c>
    </row>
    <row r="37" customFormat="false" ht="15" hidden="false" customHeight="false" outlineLevel="0" collapsed="false">
      <c r="A37" s="2" t="s">
        <v>8319</v>
      </c>
      <c r="B37" s="2" t="s">
        <v>7331</v>
      </c>
      <c r="C37" s="13" t="n">
        <v>45869</v>
      </c>
      <c r="D37" s="13" t="n">
        <v>45870</v>
      </c>
      <c r="E37" s="2" t="s">
        <v>53</v>
      </c>
      <c r="F37" s="2" t="n">
        <v>438438.12</v>
      </c>
      <c r="G37" s="2" t="n">
        <v>331244.1</v>
      </c>
      <c r="H37" s="2" t="n">
        <v>17.919</v>
      </c>
      <c r="I37" s="2" t="n">
        <v>60</v>
      </c>
      <c r="J37" s="2" t="s">
        <v>38</v>
      </c>
      <c r="K37" s="2" t="n">
        <v>0</v>
      </c>
      <c r="L37" s="2" t="n">
        <v>0</v>
      </c>
      <c r="M37" s="0" t="str">
        <f aca="false">IF(J37="Active",L37+(ROW()/1000000),"")</f>
        <v/>
      </c>
    </row>
    <row r="38" customFormat="false" ht="15" hidden="false" customHeight="false" outlineLevel="0" collapsed="false">
      <c r="A38" s="2" t="s">
        <v>8320</v>
      </c>
      <c r="B38" s="2" t="s">
        <v>877</v>
      </c>
      <c r="C38" s="13" t="n">
        <v>45805</v>
      </c>
      <c r="D38" s="13" t="n">
        <v>45807</v>
      </c>
      <c r="E38" s="2" t="s">
        <v>55</v>
      </c>
      <c r="F38" s="2" t="n">
        <v>192182.42</v>
      </c>
      <c r="G38" s="2" t="n">
        <v>188511.24</v>
      </c>
      <c r="H38" s="2" t="n">
        <v>10.93</v>
      </c>
      <c r="I38" s="2" t="n">
        <v>60</v>
      </c>
      <c r="J38" s="2" t="s">
        <v>38</v>
      </c>
      <c r="K38" s="2" t="n">
        <v>0</v>
      </c>
      <c r="L38" s="2" t="n">
        <v>0</v>
      </c>
      <c r="M38" s="0" t="str">
        <f aca="false">IF(J38="Active",L38+(ROW()/1000000),"")</f>
        <v/>
      </c>
    </row>
    <row r="39" customFormat="false" ht="15" hidden="false" customHeight="false" outlineLevel="0" collapsed="false">
      <c r="A39" s="2" t="s">
        <v>8321</v>
      </c>
      <c r="B39" s="2" t="s">
        <v>2020</v>
      </c>
      <c r="C39" s="13" t="n">
        <v>45813</v>
      </c>
      <c r="D39" s="13" t="n">
        <v>45817</v>
      </c>
      <c r="E39" s="2" t="s">
        <v>53</v>
      </c>
      <c r="F39" s="2" t="n">
        <v>280937.14</v>
      </c>
      <c r="G39" s="2" t="n">
        <v>273443.88</v>
      </c>
      <c r="H39" s="2" t="n">
        <v>7.269</v>
      </c>
      <c r="I39" s="2" t="n">
        <v>120</v>
      </c>
      <c r="J39" s="2" t="s">
        <v>38</v>
      </c>
      <c r="K39" s="2" t="n">
        <v>0</v>
      </c>
      <c r="L39" s="2" t="n">
        <v>0</v>
      </c>
      <c r="M39" s="0" t="str">
        <f aca="false">IF(J39="Active",L39+(ROW()/1000000),"")</f>
        <v/>
      </c>
    </row>
    <row r="40" customFormat="false" ht="15" hidden="false" customHeight="false" outlineLevel="0" collapsed="false">
      <c r="A40" s="2" t="s">
        <v>8322</v>
      </c>
      <c r="B40" s="2" t="s">
        <v>1556</v>
      </c>
      <c r="C40" s="13" t="n">
        <v>45685</v>
      </c>
      <c r="D40" s="13" t="n">
        <v>45689</v>
      </c>
      <c r="E40" s="2" t="s">
        <v>54</v>
      </c>
      <c r="F40" s="2" t="n">
        <v>492951.87</v>
      </c>
      <c r="G40" s="2" t="n">
        <v>382251.53</v>
      </c>
      <c r="H40" s="2" t="n">
        <v>14.236</v>
      </c>
      <c r="I40" s="2" t="n">
        <v>90</v>
      </c>
      <c r="J40" s="2" t="s">
        <v>38</v>
      </c>
      <c r="K40" s="2" t="n">
        <v>0</v>
      </c>
      <c r="L40" s="2" t="n">
        <v>0</v>
      </c>
      <c r="M40" s="0" t="str">
        <f aca="false">IF(J40="Active",L40+(ROW()/1000000),"")</f>
        <v/>
      </c>
    </row>
    <row r="41" customFormat="false" ht="15" hidden="false" customHeight="false" outlineLevel="0" collapsed="false">
      <c r="A41" s="2" t="s">
        <v>8323</v>
      </c>
      <c r="B41" s="2" t="s">
        <v>1193</v>
      </c>
      <c r="C41" s="13" t="n">
        <v>45814</v>
      </c>
      <c r="D41" s="13" t="n">
        <v>45814</v>
      </c>
      <c r="E41" s="2" t="s">
        <v>54</v>
      </c>
      <c r="F41" s="2" t="n">
        <v>60225.55</v>
      </c>
      <c r="G41" s="2" t="n">
        <v>34342.6</v>
      </c>
      <c r="H41" s="2" t="n">
        <v>10.777</v>
      </c>
      <c r="I41" s="2" t="n">
        <v>90</v>
      </c>
      <c r="J41" s="2" t="s">
        <v>38</v>
      </c>
      <c r="K41" s="2" t="n">
        <v>0</v>
      </c>
      <c r="L41" s="2" t="n">
        <v>0</v>
      </c>
      <c r="M41" s="0" t="str">
        <f aca="false">IF(J41="Active",L41+(ROW()/1000000),"")</f>
        <v/>
      </c>
    </row>
    <row r="42" customFormat="false" ht="15" hidden="false" customHeight="false" outlineLevel="0" collapsed="false">
      <c r="A42" s="2" t="s">
        <v>8324</v>
      </c>
      <c r="B42" s="2" t="s">
        <v>1103</v>
      </c>
      <c r="C42" s="13" t="n">
        <v>45948</v>
      </c>
      <c r="D42" s="13" t="n">
        <v>45950</v>
      </c>
      <c r="E42" s="2" t="s">
        <v>53</v>
      </c>
      <c r="F42" s="2" t="n">
        <v>173583.09</v>
      </c>
      <c r="G42" s="2" t="n">
        <v>114946.16</v>
      </c>
      <c r="H42" s="2" t="n">
        <v>13.839</v>
      </c>
      <c r="I42" s="2" t="n">
        <v>90</v>
      </c>
      <c r="J42" s="2" t="s">
        <v>38</v>
      </c>
      <c r="K42" s="2" t="n">
        <v>0</v>
      </c>
      <c r="L42" s="2" t="n">
        <v>0</v>
      </c>
      <c r="M42" s="0" t="str">
        <f aca="false">IF(J42="Active",L42+(ROW()/1000000),"")</f>
        <v/>
      </c>
    </row>
    <row r="43" customFormat="false" ht="15" hidden="false" customHeight="false" outlineLevel="0" collapsed="false">
      <c r="A43" s="2" t="s">
        <v>8325</v>
      </c>
      <c r="B43" s="2" t="s">
        <v>712</v>
      </c>
      <c r="C43" s="13" t="n">
        <v>45891</v>
      </c>
      <c r="D43" s="13" t="n">
        <v>45893</v>
      </c>
      <c r="E43" s="2" t="s">
        <v>53</v>
      </c>
      <c r="F43" s="2" t="n">
        <v>319540.23</v>
      </c>
      <c r="G43" s="2" t="n">
        <v>316057.08</v>
      </c>
      <c r="H43" s="2" t="n">
        <v>12.006</v>
      </c>
      <c r="I43" s="2" t="n">
        <v>90</v>
      </c>
      <c r="J43" s="2" t="s">
        <v>38</v>
      </c>
      <c r="K43" s="2" t="n">
        <v>0</v>
      </c>
      <c r="L43" s="2" t="n">
        <v>0</v>
      </c>
      <c r="M43" s="0" t="str">
        <f aca="false">IF(J43="Active",L43+(ROW()/1000000),"")</f>
        <v/>
      </c>
    </row>
    <row r="44" customFormat="false" ht="15" hidden="false" customHeight="false" outlineLevel="0" collapsed="false">
      <c r="A44" s="2" t="s">
        <v>8326</v>
      </c>
      <c r="B44" s="2" t="s">
        <v>1940</v>
      </c>
      <c r="C44" s="13" t="n">
        <v>45413</v>
      </c>
      <c r="D44" s="13" t="n">
        <v>45415</v>
      </c>
      <c r="E44" s="2" t="s">
        <v>54</v>
      </c>
      <c r="F44" s="2" t="n">
        <v>351079.12</v>
      </c>
      <c r="G44" s="2" t="n">
        <v>251844.82</v>
      </c>
      <c r="H44" s="2" t="n">
        <v>15.417</v>
      </c>
      <c r="I44" s="2" t="n">
        <v>120</v>
      </c>
      <c r="J44" s="2" t="s">
        <v>40</v>
      </c>
      <c r="K44" s="2" t="n">
        <v>163629.27</v>
      </c>
      <c r="L44" s="2" t="n">
        <v>15</v>
      </c>
      <c r="M44" s="0" t="str">
        <f aca="false">IF(J44="Active",L44+(ROW()/1000000),"")</f>
        <v/>
      </c>
    </row>
    <row r="45" customFormat="false" ht="15" hidden="false" customHeight="false" outlineLevel="0" collapsed="false">
      <c r="A45" s="2" t="s">
        <v>8327</v>
      </c>
      <c r="B45" s="2" t="s">
        <v>1099</v>
      </c>
      <c r="C45" s="13" t="n">
        <v>45729</v>
      </c>
      <c r="D45" s="13"/>
      <c r="E45" s="2" t="s">
        <v>55</v>
      </c>
      <c r="F45" s="2" t="n">
        <v>455208.89</v>
      </c>
      <c r="G45" s="2" t="n">
        <v>0</v>
      </c>
      <c r="H45" s="2" t="n">
        <v>8.165</v>
      </c>
      <c r="I45" s="2" t="n">
        <v>30</v>
      </c>
      <c r="J45" s="2" t="s">
        <v>42</v>
      </c>
      <c r="K45" s="2" t="n">
        <v>0</v>
      </c>
      <c r="L45" s="2" t="n">
        <v>0</v>
      </c>
      <c r="M45" s="0" t="str">
        <f aca="false">IF(J45="Active",L45+(ROW()/1000000),"")</f>
        <v/>
      </c>
    </row>
    <row r="46" customFormat="false" ht="15" hidden="false" customHeight="false" outlineLevel="0" collapsed="false">
      <c r="A46" s="2" t="s">
        <v>8328</v>
      </c>
      <c r="B46" s="2" t="s">
        <v>361</v>
      </c>
      <c r="C46" s="13" t="n">
        <v>45398</v>
      </c>
      <c r="D46" s="13"/>
      <c r="E46" s="2" t="s">
        <v>54</v>
      </c>
      <c r="F46" s="2" t="n">
        <v>199981.25</v>
      </c>
      <c r="G46" s="2" t="n">
        <v>0</v>
      </c>
      <c r="H46" s="2" t="n">
        <v>9.176</v>
      </c>
      <c r="I46" s="2" t="n">
        <v>120</v>
      </c>
      <c r="J46" s="2" t="s">
        <v>42</v>
      </c>
      <c r="K46" s="2" t="n">
        <v>0</v>
      </c>
      <c r="L46" s="2" t="n">
        <v>0</v>
      </c>
      <c r="M46" s="0" t="str">
        <f aca="false">IF(J46="Active",L46+(ROW()/1000000),"")</f>
        <v/>
      </c>
    </row>
    <row r="47" customFormat="false" ht="15" hidden="false" customHeight="false" outlineLevel="0" collapsed="false">
      <c r="A47" s="2" t="s">
        <v>8329</v>
      </c>
      <c r="B47" s="2" t="s">
        <v>2433</v>
      </c>
      <c r="C47" s="13" t="n">
        <v>45664</v>
      </c>
      <c r="D47" s="13" t="n">
        <v>45666</v>
      </c>
      <c r="E47" s="2" t="s">
        <v>55</v>
      </c>
      <c r="F47" s="2" t="n">
        <v>310336.03</v>
      </c>
      <c r="G47" s="2" t="n">
        <v>216168.14</v>
      </c>
      <c r="H47" s="2" t="n">
        <v>17.331</v>
      </c>
      <c r="I47" s="2" t="n">
        <v>60</v>
      </c>
      <c r="J47" s="2" t="s">
        <v>40</v>
      </c>
      <c r="K47" s="2" t="n">
        <v>42623.78</v>
      </c>
      <c r="L47" s="2" t="n">
        <v>90</v>
      </c>
      <c r="M47" s="0" t="str">
        <f aca="false">IF(J47="Active",L47+(ROW()/1000000),"")</f>
        <v/>
      </c>
    </row>
    <row r="48" customFormat="false" ht="15" hidden="false" customHeight="false" outlineLevel="0" collapsed="false">
      <c r="A48" s="2" t="s">
        <v>8330</v>
      </c>
      <c r="B48" s="2" t="s">
        <v>4879</v>
      </c>
      <c r="C48" s="13" t="n">
        <v>45955</v>
      </c>
      <c r="D48" s="13" t="n">
        <v>45959</v>
      </c>
      <c r="E48" s="2" t="s">
        <v>55</v>
      </c>
      <c r="F48" s="2" t="n">
        <v>147961.42</v>
      </c>
      <c r="G48" s="2" t="n">
        <v>122393.6</v>
      </c>
      <c r="H48" s="2" t="n">
        <v>7.958</v>
      </c>
      <c r="I48" s="2" t="n">
        <v>180</v>
      </c>
      <c r="J48" s="2" t="s">
        <v>36</v>
      </c>
      <c r="K48" s="2" t="n">
        <v>56819.78</v>
      </c>
      <c r="L48" s="2" t="n">
        <v>30</v>
      </c>
      <c r="M48" s="9" t="n">
        <f aca="false">IF(J48="Active",L48+(ROW()/1000000),"")</f>
        <v>30.000048</v>
      </c>
    </row>
    <row r="49" customFormat="false" ht="15" hidden="false" customHeight="false" outlineLevel="0" collapsed="false">
      <c r="A49" s="2" t="s">
        <v>8331</v>
      </c>
      <c r="B49" s="2" t="s">
        <v>115</v>
      </c>
      <c r="C49" s="13" t="n">
        <v>45402</v>
      </c>
      <c r="D49" s="13" t="n">
        <v>45405</v>
      </c>
      <c r="E49" s="2" t="s">
        <v>53</v>
      </c>
      <c r="F49" s="2" t="n">
        <v>348304.1</v>
      </c>
      <c r="G49" s="2" t="n">
        <v>260764.47</v>
      </c>
      <c r="H49" s="2" t="n">
        <v>7.568</v>
      </c>
      <c r="I49" s="2" t="n">
        <v>90</v>
      </c>
      <c r="J49" s="2" t="s">
        <v>40</v>
      </c>
      <c r="K49" s="2" t="n">
        <v>82156.68</v>
      </c>
      <c r="L49" s="2" t="n">
        <v>3</v>
      </c>
      <c r="M49" s="0" t="str">
        <f aca="false">IF(J49="Active",L49+(ROW()/1000000),"")</f>
        <v/>
      </c>
    </row>
    <row r="50" customFormat="false" ht="15" hidden="false" customHeight="false" outlineLevel="0" collapsed="false">
      <c r="A50" s="2" t="s">
        <v>8332</v>
      </c>
      <c r="B50" s="2" t="s">
        <v>8333</v>
      </c>
      <c r="C50" s="13" t="n">
        <v>45930</v>
      </c>
      <c r="D50" s="13" t="n">
        <v>45934</v>
      </c>
      <c r="E50" s="2" t="s">
        <v>53</v>
      </c>
      <c r="F50" s="2" t="n">
        <v>433703.84</v>
      </c>
      <c r="G50" s="2" t="n">
        <v>339978.44</v>
      </c>
      <c r="H50" s="2" t="n">
        <v>9.457</v>
      </c>
      <c r="I50" s="2" t="n">
        <v>120</v>
      </c>
      <c r="J50" s="2" t="s">
        <v>36</v>
      </c>
      <c r="K50" s="2" t="n">
        <v>64502.54</v>
      </c>
      <c r="L50" s="2" t="n">
        <v>0</v>
      </c>
      <c r="M50" s="9" t="n">
        <f aca="false">IF(J50="Active",L50+(ROW()/1000000),"")</f>
        <v>5E-005</v>
      </c>
    </row>
    <row r="51" customFormat="false" ht="15" hidden="false" customHeight="false" outlineLevel="0" collapsed="false">
      <c r="A51" s="2" t="s">
        <v>8334</v>
      </c>
      <c r="B51" s="2" t="s">
        <v>1220</v>
      </c>
      <c r="C51" s="13" t="n">
        <v>45569</v>
      </c>
      <c r="D51" s="13" t="n">
        <v>45574</v>
      </c>
      <c r="E51" s="2" t="s">
        <v>53</v>
      </c>
      <c r="F51" s="2" t="n">
        <v>130182.31</v>
      </c>
      <c r="G51" s="2" t="n">
        <v>107010.6</v>
      </c>
      <c r="H51" s="2" t="n">
        <v>15.531</v>
      </c>
      <c r="I51" s="2" t="n">
        <v>120</v>
      </c>
      <c r="J51" s="2" t="s">
        <v>38</v>
      </c>
      <c r="K51" s="2" t="n">
        <v>0</v>
      </c>
      <c r="L51" s="2" t="n">
        <v>0</v>
      </c>
      <c r="M51" s="0" t="str">
        <f aca="false">IF(J51="Active",L51+(ROW()/1000000),"")</f>
        <v/>
      </c>
    </row>
    <row r="52" customFormat="false" ht="15" hidden="false" customHeight="false" outlineLevel="0" collapsed="false">
      <c r="A52" s="2" t="s">
        <v>8335</v>
      </c>
      <c r="B52" s="2" t="s">
        <v>2866</v>
      </c>
      <c r="C52" s="13" t="n">
        <v>45821</v>
      </c>
      <c r="D52" s="13"/>
      <c r="E52" s="2" t="s">
        <v>55</v>
      </c>
      <c r="F52" s="2" t="n">
        <v>293239.97</v>
      </c>
      <c r="G52" s="2" t="n">
        <v>0</v>
      </c>
      <c r="H52" s="2" t="n">
        <v>12.562</v>
      </c>
      <c r="I52" s="2" t="n">
        <v>30</v>
      </c>
      <c r="J52" s="2" t="s">
        <v>42</v>
      </c>
      <c r="K52" s="2" t="n">
        <v>0</v>
      </c>
      <c r="L52" s="2" t="n">
        <v>0</v>
      </c>
      <c r="M52" s="0" t="str">
        <f aca="false">IF(J52="Active",L52+(ROW()/1000000),"")</f>
        <v/>
      </c>
    </row>
    <row r="53" customFormat="false" ht="15" hidden="false" customHeight="false" outlineLevel="0" collapsed="false">
      <c r="A53" s="2" t="s">
        <v>8336</v>
      </c>
      <c r="B53" s="2" t="s">
        <v>3089</v>
      </c>
      <c r="C53" s="13" t="n">
        <v>45939</v>
      </c>
      <c r="D53" s="13" t="n">
        <v>45944</v>
      </c>
      <c r="E53" s="2" t="s">
        <v>53</v>
      </c>
      <c r="F53" s="2" t="n">
        <v>49887.29</v>
      </c>
      <c r="G53" s="2" t="n">
        <v>48147.85</v>
      </c>
      <c r="H53" s="2" t="n">
        <v>10.378</v>
      </c>
      <c r="I53" s="2" t="n">
        <v>90</v>
      </c>
      <c r="J53" s="2" t="s">
        <v>40</v>
      </c>
      <c r="K53" s="2" t="n">
        <v>23229.54</v>
      </c>
      <c r="L53" s="2" t="n">
        <v>30</v>
      </c>
      <c r="M53" s="0" t="str">
        <f aca="false">IF(J53="Active",L53+(ROW()/1000000),"")</f>
        <v/>
      </c>
    </row>
    <row r="54" customFormat="false" ht="15" hidden="false" customHeight="false" outlineLevel="0" collapsed="false">
      <c r="A54" s="2" t="s">
        <v>8337</v>
      </c>
      <c r="B54" s="2" t="s">
        <v>3731</v>
      </c>
      <c r="C54" s="13" t="n">
        <v>45982</v>
      </c>
      <c r="D54" s="13" t="n">
        <v>45986</v>
      </c>
      <c r="E54" s="2" t="s">
        <v>54</v>
      </c>
      <c r="F54" s="2" t="n">
        <v>272135.11</v>
      </c>
      <c r="G54" s="2" t="n">
        <v>172825.75</v>
      </c>
      <c r="H54" s="2" t="n">
        <v>14.982</v>
      </c>
      <c r="I54" s="2" t="n">
        <v>120</v>
      </c>
      <c r="J54" s="2" t="s">
        <v>36</v>
      </c>
      <c r="K54" s="2" t="n">
        <v>73076.54</v>
      </c>
      <c r="L54" s="2" t="n">
        <v>10</v>
      </c>
      <c r="M54" s="9" t="n">
        <f aca="false">IF(J54="Active",L54+(ROW()/1000000),"")</f>
        <v>10.000054</v>
      </c>
    </row>
    <row r="55" customFormat="false" ht="15" hidden="false" customHeight="false" outlineLevel="0" collapsed="false">
      <c r="A55" s="2" t="s">
        <v>8338</v>
      </c>
      <c r="B55" s="2" t="s">
        <v>1369</v>
      </c>
      <c r="C55" s="13" t="n">
        <v>45869</v>
      </c>
      <c r="D55" s="13" t="n">
        <v>45871</v>
      </c>
      <c r="E55" s="2" t="s">
        <v>54</v>
      </c>
      <c r="F55" s="2" t="n">
        <v>22958.9</v>
      </c>
      <c r="G55" s="2" t="n">
        <v>20769.92</v>
      </c>
      <c r="H55" s="2" t="n">
        <v>17.921</v>
      </c>
      <c r="I55" s="2" t="n">
        <v>30</v>
      </c>
      <c r="J55" s="2" t="s">
        <v>40</v>
      </c>
      <c r="K55" s="2" t="n">
        <v>4659.61</v>
      </c>
      <c r="L55" s="2" t="n">
        <v>0</v>
      </c>
      <c r="M55" s="0" t="str">
        <f aca="false">IF(J55="Active",L55+(ROW()/1000000),"")</f>
        <v/>
      </c>
    </row>
    <row r="56" customFormat="false" ht="15" hidden="false" customHeight="false" outlineLevel="0" collapsed="false">
      <c r="A56" s="2" t="s">
        <v>8339</v>
      </c>
      <c r="B56" s="2" t="s">
        <v>3641</v>
      </c>
      <c r="C56" s="13" t="n">
        <v>45618</v>
      </c>
      <c r="D56" s="13" t="n">
        <v>45619</v>
      </c>
      <c r="E56" s="2" t="s">
        <v>53</v>
      </c>
      <c r="F56" s="2" t="n">
        <v>423718.2</v>
      </c>
      <c r="G56" s="2" t="n">
        <v>290092.86</v>
      </c>
      <c r="H56" s="2" t="n">
        <v>17.191</v>
      </c>
      <c r="I56" s="2" t="n">
        <v>180</v>
      </c>
      <c r="J56" s="2" t="s">
        <v>40</v>
      </c>
      <c r="K56" s="2" t="n">
        <v>251224.29</v>
      </c>
      <c r="L56" s="2" t="n">
        <v>60</v>
      </c>
      <c r="M56" s="0" t="str">
        <f aca="false">IF(J56="Active",L56+(ROW()/1000000),"")</f>
        <v/>
      </c>
    </row>
    <row r="57" customFormat="false" ht="15" hidden="false" customHeight="false" outlineLevel="0" collapsed="false">
      <c r="A57" s="2" t="s">
        <v>8340</v>
      </c>
      <c r="B57" s="2" t="s">
        <v>1842</v>
      </c>
      <c r="C57" s="13" t="n">
        <v>45842</v>
      </c>
      <c r="D57" s="13" t="n">
        <v>45846</v>
      </c>
      <c r="E57" s="2" t="s">
        <v>54</v>
      </c>
      <c r="F57" s="2" t="n">
        <v>214612.26</v>
      </c>
      <c r="G57" s="2" t="n">
        <v>149037.17</v>
      </c>
      <c r="H57" s="2" t="n">
        <v>14.044</v>
      </c>
      <c r="I57" s="2" t="n">
        <v>120</v>
      </c>
      <c r="J57" s="2" t="s">
        <v>38</v>
      </c>
      <c r="K57" s="2" t="n">
        <v>0</v>
      </c>
      <c r="L57" s="2" t="n">
        <v>0</v>
      </c>
      <c r="M57" s="0" t="str">
        <f aca="false">IF(J57="Active",L57+(ROW()/1000000),"")</f>
        <v/>
      </c>
    </row>
    <row r="58" customFormat="false" ht="15" hidden="false" customHeight="false" outlineLevel="0" collapsed="false">
      <c r="A58" s="2" t="s">
        <v>8341</v>
      </c>
      <c r="B58" s="2" t="s">
        <v>5195</v>
      </c>
      <c r="C58" s="13" t="n">
        <v>45384</v>
      </c>
      <c r="D58" s="13" t="n">
        <v>45387</v>
      </c>
      <c r="E58" s="2" t="s">
        <v>55</v>
      </c>
      <c r="F58" s="2" t="n">
        <v>22197.79</v>
      </c>
      <c r="G58" s="2" t="n">
        <v>17387.37</v>
      </c>
      <c r="H58" s="2" t="n">
        <v>14.644</v>
      </c>
      <c r="I58" s="2" t="n">
        <v>60</v>
      </c>
      <c r="J58" s="2" t="s">
        <v>36</v>
      </c>
      <c r="K58" s="2" t="n">
        <v>14433.93</v>
      </c>
      <c r="L58" s="2" t="n">
        <v>0</v>
      </c>
      <c r="M58" s="9" t="n">
        <f aca="false">IF(J58="Active",L58+(ROW()/1000000),"")</f>
        <v>5.8E-005</v>
      </c>
    </row>
    <row r="59" customFormat="false" ht="15" hidden="false" customHeight="false" outlineLevel="0" collapsed="false">
      <c r="A59" s="2" t="s">
        <v>8342</v>
      </c>
      <c r="B59" s="2" t="s">
        <v>2407</v>
      </c>
      <c r="C59" s="13" t="n">
        <v>45887</v>
      </c>
      <c r="D59" s="13" t="n">
        <v>45892</v>
      </c>
      <c r="E59" s="2" t="s">
        <v>53</v>
      </c>
      <c r="F59" s="2" t="n">
        <v>59011</v>
      </c>
      <c r="G59" s="2" t="n">
        <v>52015.82</v>
      </c>
      <c r="H59" s="2" t="n">
        <v>10.606</v>
      </c>
      <c r="I59" s="2" t="n">
        <v>60</v>
      </c>
      <c r="J59" s="2" t="s">
        <v>38</v>
      </c>
      <c r="K59" s="2" t="n">
        <v>0</v>
      </c>
      <c r="L59" s="2" t="n">
        <v>0</v>
      </c>
      <c r="M59" s="0" t="str">
        <f aca="false">IF(J59="Active",L59+(ROW()/1000000),"")</f>
        <v/>
      </c>
    </row>
    <row r="60" customFormat="false" ht="15" hidden="false" customHeight="false" outlineLevel="0" collapsed="false">
      <c r="A60" s="2" t="s">
        <v>8343</v>
      </c>
      <c r="B60" s="2" t="s">
        <v>2748</v>
      </c>
      <c r="C60" s="13" t="n">
        <v>45472</v>
      </c>
      <c r="D60" s="13" t="n">
        <v>45477</v>
      </c>
      <c r="E60" s="2" t="s">
        <v>54</v>
      </c>
      <c r="F60" s="2" t="n">
        <v>348053.04</v>
      </c>
      <c r="G60" s="2" t="n">
        <v>200167.92</v>
      </c>
      <c r="H60" s="2" t="n">
        <v>10.179</v>
      </c>
      <c r="I60" s="2" t="n">
        <v>90</v>
      </c>
      <c r="J60" s="2" t="s">
        <v>38</v>
      </c>
      <c r="K60" s="2" t="n">
        <v>0</v>
      </c>
      <c r="L60" s="2" t="n">
        <v>0</v>
      </c>
      <c r="M60" s="0" t="str">
        <f aca="false">IF(J60="Active",L60+(ROW()/1000000),"")</f>
        <v/>
      </c>
    </row>
    <row r="61" customFormat="false" ht="15" hidden="false" customHeight="false" outlineLevel="0" collapsed="false">
      <c r="A61" s="2" t="s">
        <v>8344</v>
      </c>
      <c r="B61" s="2" t="s">
        <v>1578</v>
      </c>
      <c r="C61" s="13" t="n">
        <v>45803</v>
      </c>
      <c r="D61" s="13" t="n">
        <v>45804</v>
      </c>
      <c r="E61" s="2" t="s">
        <v>53</v>
      </c>
      <c r="F61" s="2" t="n">
        <v>458946.31</v>
      </c>
      <c r="G61" s="2" t="n">
        <v>410589.63</v>
      </c>
      <c r="H61" s="2" t="n">
        <v>15.486</v>
      </c>
      <c r="I61" s="2" t="n">
        <v>90</v>
      </c>
      <c r="J61" s="2" t="s">
        <v>36</v>
      </c>
      <c r="K61" s="2" t="n">
        <v>320204.3</v>
      </c>
      <c r="L61" s="2" t="n">
        <v>30</v>
      </c>
      <c r="M61" s="9" t="n">
        <f aca="false">IF(J61="Active",L61+(ROW()/1000000),"")</f>
        <v>30.000061</v>
      </c>
    </row>
    <row r="62" customFormat="false" ht="15" hidden="false" customHeight="false" outlineLevel="0" collapsed="false">
      <c r="A62" s="2" t="s">
        <v>8345</v>
      </c>
      <c r="B62" s="2" t="s">
        <v>4367</v>
      </c>
      <c r="C62" s="13" t="n">
        <v>45581</v>
      </c>
      <c r="D62" s="13"/>
      <c r="E62" s="2" t="s">
        <v>53</v>
      </c>
      <c r="F62" s="2" t="n">
        <v>67152.27</v>
      </c>
      <c r="G62" s="2" t="n">
        <v>0</v>
      </c>
      <c r="H62" s="2" t="n">
        <v>9.213</v>
      </c>
      <c r="I62" s="2" t="n">
        <v>120</v>
      </c>
      <c r="J62" s="2" t="s">
        <v>42</v>
      </c>
      <c r="K62" s="2" t="n">
        <v>0</v>
      </c>
      <c r="L62" s="2" t="n">
        <v>0</v>
      </c>
      <c r="M62" s="0" t="str">
        <f aca="false">IF(J62="Active",L62+(ROW()/1000000),"")</f>
        <v/>
      </c>
    </row>
    <row r="63" customFormat="false" ht="15" hidden="false" customHeight="false" outlineLevel="0" collapsed="false">
      <c r="A63" s="2" t="s">
        <v>8346</v>
      </c>
      <c r="B63" s="2" t="s">
        <v>4627</v>
      </c>
      <c r="C63" s="13" t="n">
        <v>45348</v>
      </c>
      <c r="D63" s="13" t="n">
        <v>45353</v>
      </c>
      <c r="E63" s="2" t="s">
        <v>54</v>
      </c>
      <c r="F63" s="2" t="n">
        <v>106739.45</v>
      </c>
      <c r="G63" s="2" t="n">
        <v>81026.17</v>
      </c>
      <c r="H63" s="2" t="n">
        <v>12.771</v>
      </c>
      <c r="I63" s="2" t="n">
        <v>30</v>
      </c>
      <c r="J63" s="2" t="s">
        <v>36</v>
      </c>
      <c r="K63" s="2" t="n">
        <v>69884.93</v>
      </c>
      <c r="L63" s="2" t="n">
        <v>0</v>
      </c>
      <c r="M63" s="9" t="n">
        <f aca="false">IF(J63="Active",L63+(ROW()/1000000),"")</f>
        <v>6.3E-005</v>
      </c>
    </row>
    <row r="64" customFormat="false" ht="15" hidden="false" customHeight="false" outlineLevel="0" collapsed="false">
      <c r="A64" s="2" t="s">
        <v>8347</v>
      </c>
      <c r="B64" s="2" t="s">
        <v>860</v>
      </c>
      <c r="C64" s="13" t="n">
        <v>45681</v>
      </c>
      <c r="D64" s="13" t="n">
        <v>45684</v>
      </c>
      <c r="E64" s="2" t="s">
        <v>53</v>
      </c>
      <c r="F64" s="2" t="n">
        <v>391681.77</v>
      </c>
      <c r="G64" s="2" t="n">
        <v>365800.25</v>
      </c>
      <c r="H64" s="2" t="n">
        <v>9.286</v>
      </c>
      <c r="I64" s="2" t="n">
        <v>90</v>
      </c>
      <c r="J64" s="2" t="s">
        <v>36</v>
      </c>
      <c r="K64" s="2" t="n">
        <v>94806.09</v>
      </c>
      <c r="L64" s="2" t="n">
        <v>5</v>
      </c>
      <c r="M64" s="9" t="n">
        <f aca="false">IF(J64="Active",L64+(ROW()/1000000),"")</f>
        <v>5.000064</v>
      </c>
    </row>
    <row r="65" customFormat="false" ht="15" hidden="false" customHeight="false" outlineLevel="0" collapsed="false">
      <c r="A65" s="2" t="s">
        <v>8348</v>
      </c>
      <c r="B65" s="2" t="s">
        <v>4651</v>
      </c>
      <c r="C65" s="13" t="n">
        <v>45717</v>
      </c>
      <c r="D65" s="13" t="n">
        <v>45722</v>
      </c>
      <c r="E65" s="2" t="s">
        <v>54</v>
      </c>
      <c r="F65" s="2" t="n">
        <v>94821.65</v>
      </c>
      <c r="G65" s="2" t="n">
        <v>94811.45</v>
      </c>
      <c r="H65" s="2" t="n">
        <v>14.97</v>
      </c>
      <c r="I65" s="2" t="n">
        <v>120</v>
      </c>
      <c r="J65" s="2" t="s">
        <v>36</v>
      </c>
      <c r="K65" s="2" t="n">
        <v>36770.28</v>
      </c>
      <c r="L65" s="2" t="n">
        <v>3</v>
      </c>
      <c r="M65" s="9" t="n">
        <f aca="false">IF(J65="Active",L65+(ROW()/1000000),"")</f>
        <v>3.000065</v>
      </c>
    </row>
    <row r="66" customFormat="false" ht="15" hidden="false" customHeight="false" outlineLevel="0" collapsed="false">
      <c r="A66" s="2" t="s">
        <v>8349</v>
      </c>
      <c r="B66" s="2" t="s">
        <v>1560</v>
      </c>
      <c r="C66" s="13" t="n">
        <v>45367</v>
      </c>
      <c r="D66" s="13" t="n">
        <v>45371</v>
      </c>
      <c r="E66" s="2" t="s">
        <v>54</v>
      </c>
      <c r="F66" s="2" t="n">
        <v>204713.38</v>
      </c>
      <c r="G66" s="2" t="n">
        <v>129103.04</v>
      </c>
      <c r="H66" s="2" t="n">
        <v>15.927</v>
      </c>
      <c r="I66" s="2" t="n">
        <v>90</v>
      </c>
      <c r="J66" s="2" t="s">
        <v>40</v>
      </c>
      <c r="K66" s="2" t="n">
        <v>83603.61</v>
      </c>
      <c r="L66" s="2" t="n">
        <v>30</v>
      </c>
      <c r="M66" s="0" t="str">
        <f aca="false">IF(J66="Active",L66+(ROW()/1000000),"")</f>
        <v/>
      </c>
    </row>
    <row r="67" customFormat="false" ht="15" hidden="false" customHeight="false" outlineLevel="0" collapsed="false">
      <c r="A67" s="2" t="s">
        <v>8350</v>
      </c>
      <c r="B67" s="2" t="s">
        <v>8231</v>
      </c>
      <c r="C67" s="13" t="n">
        <v>45388</v>
      </c>
      <c r="D67" s="13" t="n">
        <v>45390</v>
      </c>
      <c r="E67" s="2" t="s">
        <v>55</v>
      </c>
      <c r="F67" s="2" t="n">
        <v>361941.3</v>
      </c>
      <c r="G67" s="2" t="n">
        <v>341720.98</v>
      </c>
      <c r="H67" s="2" t="n">
        <v>14.038</v>
      </c>
      <c r="I67" s="2" t="n">
        <v>60</v>
      </c>
      <c r="J67" s="2" t="s">
        <v>38</v>
      </c>
      <c r="K67" s="2" t="n">
        <v>0</v>
      </c>
      <c r="L67" s="2" t="n">
        <v>0</v>
      </c>
      <c r="M67" s="0" t="str">
        <f aca="false">IF(J67="Active",L67+(ROW()/1000000),"")</f>
        <v/>
      </c>
    </row>
    <row r="68" customFormat="false" ht="15" hidden="false" customHeight="false" outlineLevel="0" collapsed="false">
      <c r="A68" s="2" t="s">
        <v>8351</v>
      </c>
      <c r="B68" s="2" t="s">
        <v>2504</v>
      </c>
      <c r="C68" s="13" t="n">
        <v>45651</v>
      </c>
      <c r="D68" s="13" t="n">
        <v>45656</v>
      </c>
      <c r="E68" s="2" t="s">
        <v>53</v>
      </c>
      <c r="F68" s="2" t="n">
        <v>240049.58</v>
      </c>
      <c r="G68" s="2" t="n">
        <v>202200.81</v>
      </c>
      <c r="H68" s="2" t="n">
        <v>7.479</v>
      </c>
      <c r="I68" s="2" t="n">
        <v>90</v>
      </c>
      <c r="J68" s="2" t="s">
        <v>36</v>
      </c>
      <c r="K68" s="2" t="n">
        <v>79504.16</v>
      </c>
      <c r="L68" s="2" t="n">
        <v>60</v>
      </c>
      <c r="M68" s="9" t="n">
        <f aca="false">IF(J68="Active",L68+(ROW()/1000000),"")</f>
        <v>60.000068</v>
      </c>
    </row>
    <row r="69" customFormat="false" ht="15" hidden="false" customHeight="false" outlineLevel="0" collapsed="false">
      <c r="A69" s="2" t="s">
        <v>8352</v>
      </c>
      <c r="B69" s="2" t="s">
        <v>5783</v>
      </c>
      <c r="C69" s="13" t="n">
        <v>45664</v>
      </c>
      <c r="D69" s="13" t="n">
        <v>45665</v>
      </c>
      <c r="E69" s="2" t="s">
        <v>53</v>
      </c>
      <c r="F69" s="2" t="n">
        <v>197287.69</v>
      </c>
      <c r="G69" s="2" t="n">
        <v>164750.06</v>
      </c>
      <c r="H69" s="2" t="n">
        <v>10.16</v>
      </c>
      <c r="I69" s="2" t="n">
        <v>120</v>
      </c>
      <c r="J69" s="2" t="s">
        <v>36</v>
      </c>
      <c r="K69" s="2" t="n">
        <v>130111.67</v>
      </c>
      <c r="L69" s="2" t="n">
        <v>3</v>
      </c>
      <c r="M69" s="9" t="n">
        <f aca="false">IF(J69="Active",L69+(ROW()/1000000),"")</f>
        <v>3.000069</v>
      </c>
    </row>
    <row r="70" customFormat="false" ht="15" hidden="false" customHeight="false" outlineLevel="0" collapsed="false">
      <c r="A70" s="2" t="s">
        <v>8353</v>
      </c>
      <c r="B70" s="2" t="s">
        <v>789</v>
      </c>
      <c r="C70" s="13" t="n">
        <v>45464</v>
      </c>
      <c r="D70" s="13" t="n">
        <v>45469</v>
      </c>
      <c r="E70" s="2" t="s">
        <v>53</v>
      </c>
      <c r="F70" s="2" t="n">
        <v>22588.08</v>
      </c>
      <c r="G70" s="2" t="n">
        <v>15671.62</v>
      </c>
      <c r="H70" s="2" t="n">
        <v>15.83</v>
      </c>
      <c r="I70" s="2" t="n">
        <v>60</v>
      </c>
      <c r="J70" s="2" t="s">
        <v>38</v>
      </c>
      <c r="K70" s="2" t="n">
        <v>0</v>
      </c>
      <c r="L70" s="2" t="n">
        <v>0</v>
      </c>
      <c r="M70" s="0" t="str">
        <f aca="false">IF(J70="Active",L70+(ROW()/1000000),"")</f>
        <v/>
      </c>
    </row>
    <row r="71" customFormat="false" ht="15" hidden="false" customHeight="false" outlineLevel="0" collapsed="false">
      <c r="A71" s="2" t="s">
        <v>8354</v>
      </c>
      <c r="B71" s="2" t="s">
        <v>5599</v>
      </c>
      <c r="C71" s="13" t="n">
        <v>45707</v>
      </c>
      <c r="D71" s="13" t="n">
        <v>45711</v>
      </c>
      <c r="E71" s="2" t="s">
        <v>53</v>
      </c>
      <c r="F71" s="2" t="n">
        <v>480793.19</v>
      </c>
      <c r="G71" s="2" t="n">
        <v>479367.94</v>
      </c>
      <c r="H71" s="2" t="n">
        <v>14.216</v>
      </c>
      <c r="I71" s="2" t="n">
        <v>180</v>
      </c>
      <c r="J71" s="2" t="s">
        <v>36</v>
      </c>
      <c r="K71" s="2" t="n">
        <v>31304.58</v>
      </c>
      <c r="L71" s="2" t="n">
        <v>5</v>
      </c>
      <c r="M71" s="9" t="n">
        <f aca="false">IF(J71="Active",L71+(ROW()/1000000),"")</f>
        <v>5.000071</v>
      </c>
    </row>
    <row r="72" customFormat="false" ht="15" hidden="false" customHeight="false" outlineLevel="0" collapsed="false">
      <c r="A72" s="2" t="s">
        <v>8355</v>
      </c>
      <c r="B72" s="2" t="s">
        <v>1753</v>
      </c>
      <c r="C72" s="13" t="n">
        <v>45776</v>
      </c>
      <c r="D72" s="13" t="n">
        <v>45778</v>
      </c>
      <c r="E72" s="2" t="s">
        <v>54</v>
      </c>
      <c r="F72" s="2" t="n">
        <v>423592.85</v>
      </c>
      <c r="G72" s="2" t="n">
        <v>264452.7</v>
      </c>
      <c r="H72" s="2" t="n">
        <v>12.572</v>
      </c>
      <c r="I72" s="2" t="n">
        <v>30</v>
      </c>
      <c r="J72" s="2" t="s">
        <v>38</v>
      </c>
      <c r="K72" s="2" t="n">
        <v>0</v>
      </c>
      <c r="L72" s="2" t="n">
        <v>0</v>
      </c>
      <c r="M72" s="0" t="str">
        <f aca="false">IF(J72="Active",L72+(ROW()/1000000),"")</f>
        <v/>
      </c>
    </row>
    <row r="73" customFormat="false" ht="15" hidden="false" customHeight="false" outlineLevel="0" collapsed="false">
      <c r="A73" s="2" t="s">
        <v>8356</v>
      </c>
      <c r="B73" s="2" t="s">
        <v>1528</v>
      </c>
      <c r="C73" s="13" t="n">
        <v>45675</v>
      </c>
      <c r="D73" s="13" t="n">
        <v>45680</v>
      </c>
      <c r="E73" s="2" t="s">
        <v>54</v>
      </c>
      <c r="F73" s="2" t="n">
        <v>283392.38</v>
      </c>
      <c r="G73" s="2" t="n">
        <v>270968.46</v>
      </c>
      <c r="H73" s="2" t="n">
        <v>9.408</v>
      </c>
      <c r="I73" s="2" t="n">
        <v>90</v>
      </c>
      <c r="J73" s="2" t="s">
        <v>38</v>
      </c>
      <c r="K73" s="2" t="n">
        <v>0</v>
      </c>
      <c r="L73" s="2" t="n">
        <v>0</v>
      </c>
      <c r="M73" s="0" t="str">
        <f aca="false">IF(J73="Active",L73+(ROW()/1000000),"")</f>
        <v/>
      </c>
    </row>
    <row r="74" customFormat="false" ht="15" hidden="false" customHeight="false" outlineLevel="0" collapsed="false">
      <c r="A74" s="2" t="s">
        <v>8357</v>
      </c>
      <c r="B74" s="2" t="s">
        <v>3915</v>
      </c>
      <c r="C74" s="13" t="n">
        <v>45658</v>
      </c>
      <c r="D74" s="13" t="n">
        <v>45662</v>
      </c>
      <c r="E74" s="2" t="s">
        <v>54</v>
      </c>
      <c r="F74" s="2" t="n">
        <v>123731.35</v>
      </c>
      <c r="G74" s="2" t="n">
        <v>88688.85</v>
      </c>
      <c r="H74" s="2" t="n">
        <v>12.784</v>
      </c>
      <c r="I74" s="2" t="n">
        <v>60</v>
      </c>
      <c r="J74" s="2" t="s">
        <v>38</v>
      </c>
      <c r="K74" s="2" t="n">
        <v>0</v>
      </c>
      <c r="L74" s="2" t="n">
        <v>0</v>
      </c>
      <c r="M74" s="0" t="str">
        <f aca="false">IF(J74="Active",L74+(ROW()/1000000),"")</f>
        <v/>
      </c>
    </row>
    <row r="75" customFormat="false" ht="15" hidden="false" customHeight="false" outlineLevel="0" collapsed="false">
      <c r="A75" s="2" t="s">
        <v>8358</v>
      </c>
      <c r="B75" s="2" t="s">
        <v>5133</v>
      </c>
      <c r="C75" s="13" t="n">
        <v>45558</v>
      </c>
      <c r="D75" s="13" t="n">
        <v>45560</v>
      </c>
      <c r="E75" s="2" t="s">
        <v>55</v>
      </c>
      <c r="F75" s="2" t="n">
        <v>308199.51</v>
      </c>
      <c r="G75" s="2" t="n">
        <v>277397.98</v>
      </c>
      <c r="H75" s="2" t="n">
        <v>13.166</v>
      </c>
      <c r="I75" s="2" t="n">
        <v>30</v>
      </c>
      <c r="J75" s="2" t="s">
        <v>36</v>
      </c>
      <c r="K75" s="2" t="n">
        <v>146157.51</v>
      </c>
      <c r="L75" s="2" t="n">
        <v>15</v>
      </c>
      <c r="M75" s="9" t="n">
        <f aca="false">IF(J75="Active",L75+(ROW()/1000000),"")</f>
        <v>15.000075</v>
      </c>
    </row>
    <row r="76" customFormat="false" ht="15" hidden="false" customHeight="false" outlineLevel="0" collapsed="false">
      <c r="A76" s="2" t="s">
        <v>8359</v>
      </c>
      <c r="B76" s="2" t="s">
        <v>1193</v>
      </c>
      <c r="C76" s="13" t="n">
        <v>45645</v>
      </c>
      <c r="D76" s="13" t="n">
        <v>45646</v>
      </c>
      <c r="E76" s="2" t="s">
        <v>55</v>
      </c>
      <c r="F76" s="2" t="n">
        <v>182988.45</v>
      </c>
      <c r="G76" s="2" t="n">
        <v>159226.96</v>
      </c>
      <c r="H76" s="2" t="n">
        <v>7.036</v>
      </c>
      <c r="I76" s="2" t="n">
        <v>180</v>
      </c>
      <c r="J76" s="2" t="s">
        <v>40</v>
      </c>
      <c r="K76" s="2" t="n">
        <v>126275.49</v>
      </c>
      <c r="L76" s="2" t="n">
        <v>3</v>
      </c>
      <c r="M76" s="0" t="str">
        <f aca="false">IF(J76="Active",L76+(ROW()/1000000),"")</f>
        <v/>
      </c>
    </row>
    <row r="77" customFormat="false" ht="15" hidden="false" customHeight="false" outlineLevel="0" collapsed="false">
      <c r="A77" s="2" t="s">
        <v>8360</v>
      </c>
      <c r="B77" s="2" t="s">
        <v>8361</v>
      </c>
      <c r="C77" s="13" t="n">
        <v>45420</v>
      </c>
      <c r="D77" s="13" t="n">
        <v>45425</v>
      </c>
      <c r="E77" s="2" t="s">
        <v>53</v>
      </c>
      <c r="F77" s="2" t="n">
        <v>316683.39</v>
      </c>
      <c r="G77" s="2" t="n">
        <v>174313.98</v>
      </c>
      <c r="H77" s="2" t="n">
        <v>7.11</v>
      </c>
      <c r="I77" s="2" t="n">
        <v>90</v>
      </c>
      <c r="J77" s="2" t="s">
        <v>38</v>
      </c>
      <c r="K77" s="2" t="n">
        <v>0</v>
      </c>
      <c r="L77" s="2" t="n">
        <v>0</v>
      </c>
      <c r="M77" s="0" t="str">
        <f aca="false">IF(J77="Active",L77+(ROW()/1000000),"")</f>
        <v/>
      </c>
    </row>
    <row r="78" customFormat="false" ht="15" hidden="false" customHeight="false" outlineLevel="0" collapsed="false">
      <c r="A78" s="2" t="s">
        <v>8362</v>
      </c>
      <c r="B78" s="2" t="s">
        <v>1541</v>
      </c>
      <c r="C78" s="13" t="n">
        <v>45671</v>
      </c>
      <c r="D78" s="13" t="n">
        <v>45671</v>
      </c>
      <c r="E78" s="2" t="s">
        <v>53</v>
      </c>
      <c r="F78" s="2" t="n">
        <v>55781.99</v>
      </c>
      <c r="G78" s="2" t="n">
        <v>50944.98</v>
      </c>
      <c r="H78" s="2" t="n">
        <v>15.599</v>
      </c>
      <c r="I78" s="2" t="n">
        <v>180</v>
      </c>
      <c r="J78" s="2" t="s">
        <v>36</v>
      </c>
      <c r="K78" s="2" t="n">
        <v>17822.22</v>
      </c>
      <c r="L78" s="2" t="n">
        <v>15</v>
      </c>
      <c r="M78" s="9" t="n">
        <f aca="false">IF(J78="Active",L78+(ROW()/1000000),"")</f>
        <v>15.000078</v>
      </c>
    </row>
    <row r="79" customFormat="false" ht="15" hidden="false" customHeight="false" outlineLevel="0" collapsed="false">
      <c r="A79" s="2" t="s">
        <v>8363</v>
      </c>
      <c r="B79" s="2" t="s">
        <v>4897</v>
      </c>
      <c r="C79" s="13" t="n">
        <v>45918</v>
      </c>
      <c r="D79" s="13" t="n">
        <v>45921</v>
      </c>
      <c r="E79" s="2" t="s">
        <v>55</v>
      </c>
      <c r="F79" s="2" t="n">
        <v>483368.96</v>
      </c>
      <c r="G79" s="2" t="n">
        <v>274316.96</v>
      </c>
      <c r="H79" s="2" t="n">
        <v>12.465</v>
      </c>
      <c r="I79" s="2" t="n">
        <v>60</v>
      </c>
      <c r="J79" s="2" t="s">
        <v>40</v>
      </c>
      <c r="K79" s="2" t="n">
        <v>93478.23</v>
      </c>
      <c r="L79" s="2" t="n">
        <v>15</v>
      </c>
      <c r="M79" s="0" t="str">
        <f aca="false">IF(J79="Active",L79+(ROW()/1000000),"")</f>
        <v/>
      </c>
    </row>
    <row r="80" customFormat="false" ht="15" hidden="false" customHeight="false" outlineLevel="0" collapsed="false">
      <c r="A80" s="2" t="s">
        <v>8364</v>
      </c>
      <c r="B80" s="2" t="s">
        <v>2552</v>
      </c>
      <c r="C80" s="13" t="n">
        <v>45498</v>
      </c>
      <c r="D80" s="13" t="n">
        <v>45499</v>
      </c>
      <c r="E80" s="2" t="s">
        <v>54</v>
      </c>
      <c r="F80" s="2" t="n">
        <v>148289.24</v>
      </c>
      <c r="G80" s="2" t="n">
        <v>84370.48</v>
      </c>
      <c r="H80" s="2" t="n">
        <v>14.592</v>
      </c>
      <c r="I80" s="2" t="n">
        <v>180</v>
      </c>
      <c r="J80" s="2" t="s">
        <v>36</v>
      </c>
      <c r="K80" s="2" t="n">
        <v>5596.19</v>
      </c>
      <c r="L80" s="2" t="n">
        <v>15</v>
      </c>
      <c r="M80" s="9" t="n">
        <f aca="false">IF(J80="Active",L80+(ROW()/1000000),"")</f>
        <v>15.00008</v>
      </c>
    </row>
    <row r="81" customFormat="false" ht="15" hidden="false" customHeight="false" outlineLevel="0" collapsed="false">
      <c r="A81" s="2" t="s">
        <v>8365</v>
      </c>
      <c r="B81" s="2" t="s">
        <v>2423</v>
      </c>
      <c r="C81" s="13" t="n">
        <v>45330</v>
      </c>
      <c r="D81" s="13" t="n">
        <v>45330</v>
      </c>
      <c r="E81" s="2" t="s">
        <v>55</v>
      </c>
      <c r="F81" s="2" t="n">
        <v>427025.39</v>
      </c>
      <c r="G81" s="2" t="n">
        <v>325051.51</v>
      </c>
      <c r="H81" s="2" t="n">
        <v>16.325</v>
      </c>
      <c r="I81" s="2" t="n">
        <v>120</v>
      </c>
      <c r="J81" s="2" t="s">
        <v>38</v>
      </c>
      <c r="K81" s="2" t="n">
        <v>0</v>
      </c>
      <c r="L81" s="2" t="n">
        <v>0</v>
      </c>
      <c r="M81" s="0" t="str">
        <f aca="false">IF(J81="Active",L81+(ROW()/1000000),"")</f>
        <v/>
      </c>
    </row>
    <row r="82" customFormat="false" ht="15" hidden="false" customHeight="false" outlineLevel="0" collapsed="false">
      <c r="A82" s="2" t="s">
        <v>8366</v>
      </c>
      <c r="B82" s="2" t="s">
        <v>1502</v>
      </c>
      <c r="C82" s="13" t="n">
        <v>45539</v>
      </c>
      <c r="D82" s="13" t="n">
        <v>45539</v>
      </c>
      <c r="E82" s="2" t="s">
        <v>53</v>
      </c>
      <c r="F82" s="2" t="n">
        <v>297908.92</v>
      </c>
      <c r="G82" s="2" t="n">
        <v>265972.6</v>
      </c>
      <c r="H82" s="2" t="n">
        <v>17.802</v>
      </c>
      <c r="I82" s="2" t="n">
        <v>60</v>
      </c>
      <c r="J82" s="2" t="s">
        <v>38</v>
      </c>
      <c r="K82" s="2" t="n">
        <v>0</v>
      </c>
      <c r="L82" s="2" t="n">
        <v>0</v>
      </c>
      <c r="M82" s="0" t="str">
        <f aca="false">IF(J82="Active",L82+(ROW()/1000000),"")</f>
        <v/>
      </c>
    </row>
    <row r="83" customFormat="false" ht="15" hidden="false" customHeight="false" outlineLevel="0" collapsed="false">
      <c r="A83" s="2" t="s">
        <v>8367</v>
      </c>
      <c r="B83" s="2" t="s">
        <v>1265</v>
      </c>
      <c r="C83" s="13" t="n">
        <v>45342</v>
      </c>
      <c r="D83" s="13" t="n">
        <v>45343</v>
      </c>
      <c r="E83" s="2" t="s">
        <v>53</v>
      </c>
      <c r="F83" s="2" t="n">
        <v>276055.58</v>
      </c>
      <c r="G83" s="2" t="n">
        <v>165347.59</v>
      </c>
      <c r="H83" s="2" t="n">
        <v>14.473</v>
      </c>
      <c r="I83" s="2" t="n">
        <v>30</v>
      </c>
      <c r="J83" s="2" t="s">
        <v>36</v>
      </c>
      <c r="K83" s="2" t="n">
        <v>40455.28</v>
      </c>
      <c r="L83" s="2" t="n">
        <v>60</v>
      </c>
      <c r="M83" s="9" t="n">
        <f aca="false">IF(J83="Active",L83+(ROW()/1000000),"")</f>
        <v>60.000083</v>
      </c>
    </row>
    <row r="84" customFormat="false" ht="15" hidden="false" customHeight="false" outlineLevel="0" collapsed="false">
      <c r="A84" s="2" t="s">
        <v>8368</v>
      </c>
      <c r="B84" s="2" t="s">
        <v>4051</v>
      </c>
      <c r="C84" s="13" t="n">
        <v>45294</v>
      </c>
      <c r="D84" s="13" t="n">
        <v>45296</v>
      </c>
      <c r="E84" s="2" t="s">
        <v>53</v>
      </c>
      <c r="F84" s="2" t="n">
        <v>386874.83</v>
      </c>
      <c r="G84" s="2" t="n">
        <v>323507.45</v>
      </c>
      <c r="H84" s="2" t="n">
        <v>15.121</v>
      </c>
      <c r="I84" s="2" t="n">
        <v>60</v>
      </c>
      <c r="J84" s="2" t="s">
        <v>40</v>
      </c>
      <c r="K84" s="2" t="n">
        <v>102924.51</v>
      </c>
      <c r="L84" s="2" t="n">
        <v>1</v>
      </c>
      <c r="M84" s="0" t="str">
        <f aca="false">IF(J84="Active",L84+(ROW()/1000000),"")</f>
        <v/>
      </c>
    </row>
    <row r="85" customFormat="false" ht="15" hidden="false" customHeight="false" outlineLevel="0" collapsed="false">
      <c r="A85" s="2" t="s">
        <v>8369</v>
      </c>
      <c r="B85" s="2" t="s">
        <v>2717</v>
      </c>
      <c r="C85" s="13" t="n">
        <v>45586</v>
      </c>
      <c r="D85" s="13" t="n">
        <v>45587</v>
      </c>
      <c r="E85" s="2" t="s">
        <v>54</v>
      </c>
      <c r="F85" s="2" t="n">
        <v>16067.86</v>
      </c>
      <c r="G85" s="2" t="n">
        <v>10510.77</v>
      </c>
      <c r="H85" s="2" t="n">
        <v>7.3</v>
      </c>
      <c r="I85" s="2" t="n">
        <v>60</v>
      </c>
      <c r="J85" s="2" t="s">
        <v>36</v>
      </c>
      <c r="K85" s="2" t="n">
        <v>7847.32</v>
      </c>
      <c r="L85" s="2" t="n">
        <v>0</v>
      </c>
      <c r="M85" s="9" t="n">
        <f aca="false">IF(J85="Active",L85+(ROW()/1000000),"")</f>
        <v>8.5E-005</v>
      </c>
    </row>
    <row r="86" customFormat="false" ht="15" hidden="false" customHeight="false" outlineLevel="0" collapsed="false">
      <c r="A86" s="2" t="s">
        <v>8370</v>
      </c>
      <c r="B86" s="2" t="s">
        <v>1451</v>
      </c>
      <c r="C86" s="13" t="n">
        <v>45750</v>
      </c>
      <c r="D86" s="13"/>
      <c r="E86" s="2" t="s">
        <v>54</v>
      </c>
      <c r="F86" s="2" t="n">
        <v>469431.39</v>
      </c>
      <c r="G86" s="2" t="n">
        <v>0</v>
      </c>
      <c r="H86" s="2" t="n">
        <v>12.99</v>
      </c>
      <c r="I86" s="2" t="n">
        <v>60</v>
      </c>
      <c r="J86" s="2" t="s">
        <v>42</v>
      </c>
      <c r="K86" s="2" t="n">
        <v>0</v>
      </c>
      <c r="L86" s="2" t="n">
        <v>0</v>
      </c>
      <c r="M86" s="0" t="str">
        <f aca="false">IF(J86="Active",L86+(ROW()/1000000),"")</f>
        <v/>
      </c>
    </row>
    <row r="87" customFormat="false" ht="15" hidden="false" customHeight="false" outlineLevel="0" collapsed="false">
      <c r="A87" s="2" t="s">
        <v>8371</v>
      </c>
      <c r="B87" s="2" t="s">
        <v>5595</v>
      </c>
      <c r="C87" s="13" t="n">
        <v>45970</v>
      </c>
      <c r="D87" s="13" t="n">
        <v>45973</v>
      </c>
      <c r="E87" s="2" t="s">
        <v>53</v>
      </c>
      <c r="F87" s="2" t="n">
        <v>169790.85</v>
      </c>
      <c r="G87" s="2" t="n">
        <v>142337.73</v>
      </c>
      <c r="H87" s="2" t="n">
        <v>9.533</v>
      </c>
      <c r="I87" s="2" t="n">
        <v>60</v>
      </c>
      <c r="J87" s="2" t="s">
        <v>36</v>
      </c>
      <c r="K87" s="2" t="n">
        <v>79774.18</v>
      </c>
      <c r="L87" s="2" t="n">
        <v>3</v>
      </c>
      <c r="M87" s="9" t="n">
        <f aca="false">IF(J87="Active",L87+(ROW()/1000000),"")</f>
        <v>3.000087</v>
      </c>
    </row>
    <row r="88" customFormat="false" ht="15" hidden="false" customHeight="false" outlineLevel="0" collapsed="false">
      <c r="A88" s="2" t="s">
        <v>8372</v>
      </c>
      <c r="B88" s="2" t="s">
        <v>1498</v>
      </c>
      <c r="C88" s="13" t="n">
        <v>45622</v>
      </c>
      <c r="D88" s="13" t="n">
        <v>45625</v>
      </c>
      <c r="E88" s="2" t="s">
        <v>54</v>
      </c>
      <c r="F88" s="2" t="n">
        <v>62704.23</v>
      </c>
      <c r="G88" s="2" t="n">
        <v>61038.9</v>
      </c>
      <c r="H88" s="2" t="n">
        <v>13.472</v>
      </c>
      <c r="I88" s="2" t="n">
        <v>180</v>
      </c>
      <c r="J88" s="2" t="s">
        <v>38</v>
      </c>
      <c r="K88" s="2" t="n">
        <v>0</v>
      </c>
      <c r="L88" s="2" t="n">
        <v>0</v>
      </c>
      <c r="M88" s="0" t="str">
        <f aca="false">IF(J88="Active",L88+(ROW()/1000000),"")</f>
        <v/>
      </c>
    </row>
    <row r="89" customFormat="false" ht="15" hidden="false" customHeight="false" outlineLevel="0" collapsed="false">
      <c r="A89" s="2" t="s">
        <v>8373</v>
      </c>
      <c r="B89" s="2" t="s">
        <v>4467</v>
      </c>
      <c r="C89" s="13" t="n">
        <v>45709</v>
      </c>
      <c r="D89" s="13" t="n">
        <v>45709</v>
      </c>
      <c r="E89" s="2" t="s">
        <v>55</v>
      </c>
      <c r="F89" s="2" t="n">
        <v>246655.23</v>
      </c>
      <c r="G89" s="2" t="n">
        <v>177377.88</v>
      </c>
      <c r="H89" s="2" t="n">
        <v>16.55</v>
      </c>
      <c r="I89" s="2" t="n">
        <v>120</v>
      </c>
      <c r="J89" s="2" t="s">
        <v>40</v>
      </c>
      <c r="K89" s="2" t="n">
        <v>152483.08</v>
      </c>
      <c r="L89" s="2" t="n">
        <v>60</v>
      </c>
      <c r="M89" s="0" t="str">
        <f aca="false">IF(J89="Active",L89+(ROW()/1000000),"")</f>
        <v/>
      </c>
    </row>
    <row r="90" customFormat="false" ht="15" hidden="false" customHeight="false" outlineLevel="0" collapsed="false">
      <c r="A90" s="2" t="s">
        <v>8374</v>
      </c>
      <c r="B90" s="2" t="s">
        <v>8375</v>
      </c>
      <c r="C90" s="13" t="n">
        <v>45663</v>
      </c>
      <c r="D90" s="13" t="n">
        <v>45663</v>
      </c>
      <c r="E90" s="2" t="s">
        <v>55</v>
      </c>
      <c r="F90" s="2" t="n">
        <v>191102.15</v>
      </c>
      <c r="G90" s="2" t="n">
        <v>182941.57</v>
      </c>
      <c r="H90" s="2" t="n">
        <v>12.114</v>
      </c>
      <c r="I90" s="2" t="n">
        <v>180</v>
      </c>
      <c r="J90" s="2" t="s">
        <v>36</v>
      </c>
      <c r="K90" s="2" t="n">
        <v>100003.98</v>
      </c>
      <c r="L90" s="2" t="n">
        <v>0</v>
      </c>
      <c r="M90" s="9" t="n">
        <f aca="false">IF(J90="Active",L90+(ROW()/1000000),"")</f>
        <v>9E-005</v>
      </c>
    </row>
    <row r="91" customFormat="false" ht="15" hidden="false" customHeight="false" outlineLevel="0" collapsed="false">
      <c r="A91" s="2" t="s">
        <v>8376</v>
      </c>
      <c r="B91" s="2" t="s">
        <v>1735</v>
      </c>
      <c r="C91" s="13" t="n">
        <v>45693</v>
      </c>
      <c r="D91" s="13" t="n">
        <v>45693</v>
      </c>
      <c r="E91" s="2" t="s">
        <v>54</v>
      </c>
      <c r="F91" s="2" t="n">
        <v>448580.85</v>
      </c>
      <c r="G91" s="2" t="n">
        <v>294657.9</v>
      </c>
      <c r="H91" s="2" t="n">
        <v>14.935</v>
      </c>
      <c r="I91" s="2" t="n">
        <v>90</v>
      </c>
      <c r="J91" s="2" t="s">
        <v>36</v>
      </c>
      <c r="K91" s="2" t="n">
        <v>48905.62</v>
      </c>
      <c r="L91" s="2" t="n">
        <v>3</v>
      </c>
      <c r="M91" s="9" t="n">
        <f aca="false">IF(J91="Active",L91+(ROW()/1000000),"")</f>
        <v>3.000091</v>
      </c>
    </row>
    <row r="92" customFormat="false" ht="15" hidden="false" customHeight="false" outlineLevel="0" collapsed="false">
      <c r="A92" s="2" t="s">
        <v>8377</v>
      </c>
      <c r="B92" s="2" t="s">
        <v>4755</v>
      </c>
      <c r="C92" s="13" t="n">
        <v>45773</v>
      </c>
      <c r="D92" s="13" t="n">
        <v>45778</v>
      </c>
      <c r="E92" s="2" t="s">
        <v>53</v>
      </c>
      <c r="F92" s="2" t="n">
        <v>86113.7</v>
      </c>
      <c r="G92" s="2" t="n">
        <v>50030.94</v>
      </c>
      <c r="H92" s="2" t="n">
        <v>9.057</v>
      </c>
      <c r="I92" s="2" t="n">
        <v>60</v>
      </c>
      <c r="J92" s="2" t="s">
        <v>40</v>
      </c>
      <c r="K92" s="2" t="n">
        <v>44490.94</v>
      </c>
      <c r="L92" s="2" t="n">
        <v>3</v>
      </c>
      <c r="M92" s="0" t="str">
        <f aca="false">IF(J92="Active",L92+(ROW()/1000000),"")</f>
        <v/>
      </c>
    </row>
    <row r="93" customFormat="false" ht="15" hidden="false" customHeight="false" outlineLevel="0" collapsed="false">
      <c r="A93" s="2" t="s">
        <v>8378</v>
      </c>
      <c r="B93" s="2" t="s">
        <v>3433</v>
      </c>
      <c r="C93" s="13" t="n">
        <v>45620</v>
      </c>
      <c r="D93" s="13"/>
      <c r="E93" s="2" t="s">
        <v>55</v>
      </c>
      <c r="F93" s="2" t="n">
        <v>335912.86</v>
      </c>
      <c r="G93" s="2" t="n">
        <v>0</v>
      </c>
      <c r="H93" s="2" t="n">
        <v>12.178</v>
      </c>
      <c r="I93" s="2" t="n">
        <v>120</v>
      </c>
      <c r="J93" s="2" t="s">
        <v>42</v>
      </c>
      <c r="K93" s="2" t="n">
        <v>0</v>
      </c>
      <c r="L93" s="2" t="n">
        <v>0</v>
      </c>
      <c r="M93" s="0" t="str">
        <f aca="false">IF(J93="Active",L93+(ROW()/1000000),"")</f>
        <v/>
      </c>
    </row>
    <row r="94" customFormat="false" ht="15" hidden="false" customHeight="false" outlineLevel="0" collapsed="false">
      <c r="A94" s="2" t="s">
        <v>8379</v>
      </c>
      <c r="B94" s="2" t="s">
        <v>2047</v>
      </c>
      <c r="C94" s="13" t="n">
        <v>45757</v>
      </c>
      <c r="D94" s="13" t="n">
        <v>45762</v>
      </c>
      <c r="E94" s="2" t="s">
        <v>54</v>
      </c>
      <c r="F94" s="2" t="n">
        <v>274226.23</v>
      </c>
      <c r="G94" s="2" t="n">
        <v>242295.35</v>
      </c>
      <c r="H94" s="2" t="n">
        <v>7.704</v>
      </c>
      <c r="I94" s="2" t="n">
        <v>120</v>
      </c>
      <c r="J94" s="2" t="s">
        <v>36</v>
      </c>
      <c r="K94" s="2" t="n">
        <v>77692.58</v>
      </c>
      <c r="L94" s="2" t="n">
        <v>60</v>
      </c>
      <c r="M94" s="9" t="n">
        <f aca="false">IF(J94="Active",L94+(ROW()/1000000),"")</f>
        <v>60.000094</v>
      </c>
    </row>
    <row r="95" customFormat="false" ht="15" hidden="false" customHeight="false" outlineLevel="0" collapsed="false">
      <c r="A95" s="2" t="s">
        <v>8380</v>
      </c>
      <c r="B95" s="2" t="s">
        <v>5665</v>
      </c>
      <c r="C95" s="13" t="n">
        <v>45900</v>
      </c>
      <c r="D95" s="13" t="n">
        <v>45904</v>
      </c>
      <c r="E95" s="2" t="s">
        <v>55</v>
      </c>
      <c r="F95" s="2" t="n">
        <v>87048.16</v>
      </c>
      <c r="G95" s="2" t="n">
        <v>86719.52</v>
      </c>
      <c r="H95" s="2" t="n">
        <v>14.928</v>
      </c>
      <c r="I95" s="2" t="n">
        <v>30</v>
      </c>
      <c r="J95" s="2" t="s">
        <v>36</v>
      </c>
      <c r="K95" s="2" t="n">
        <v>70999.88</v>
      </c>
      <c r="L95" s="2" t="n">
        <v>3</v>
      </c>
      <c r="M95" s="9" t="n">
        <f aca="false">IF(J95="Active",L95+(ROW()/1000000),"")</f>
        <v>3.000095</v>
      </c>
    </row>
    <row r="96" customFormat="false" ht="15" hidden="false" customHeight="false" outlineLevel="0" collapsed="false">
      <c r="A96" s="2" t="s">
        <v>8381</v>
      </c>
      <c r="B96" s="2" t="s">
        <v>5989</v>
      </c>
      <c r="C96" s="13" t="n">
        <v>45804</v>
      </c>
      <c r="D96" s="13" t="n">
        <v>45806</v>
      </c>
      <c r="E96" s="2" t="s">
        <v>55</v>
      </c>
      <c r="F96" s="2" t="n">
        <v>92417.87</v>
      </c>
      <c r="G96" s="2" t="n">
        <v>57622.79</v>
      </c>
      <c r="H96" s="2" t="n">
        <v>17.938</v>
      </c>
      <c r="I96" s="2" t="n">
        <v>120</v>
      </c>
      <c r="J96" s="2" t="s">
        <v>38</v>
      </c>
      <c r="K96" s="2" t="n">
        <v>0</v>
      </c>
      <c r="L96" s="2" t="n">
        <v>0</v>
      </c>
      <c r="M96" s="0" t="str">
        <f aca="false">IF(J96="Active",L96+(ROW()/1000000),"")</f>
        <v/>
      </c>
    </row>
    <row r="97" customFormat="false" ht="15" hidden="false" customHeight="false" outlineLevel="0" collapsed="false">
      <c r="A97" s="2" t="s">
        <v>8382</v>
      </c>
      <c r="B97" s="2" t="s">
        <v>1228</v>
      </c>
      <c r="C97" s="13" t="n">
        <v>45788</v>
      </c>
      <c r="D97" s="13" t="n">
        <v>45793</v>
      </c>
      <c r="E97" s="2" t="s">
        <v>55</v>
      </c>
      <c r="F97" s="2" t="n">
        <v>18566.2</v>
      </c>
      <c r="G97" s="2" t="n">
        <v>15064.73</v>
      </c>
      <c r="H97" s="2" t="n">
        <v>14.562</v>
      </c>
      <c r="I97" s="2" t="n">
        <v>90</v>
      </c>
      <c r="J97" s="2" t="s">
        <v>40</v>
      </c>
      <c r="K97" s="2" t="n">
        <v>4702.33</v>
      </c>
      <c r="L97" s="2" t="n">
        <v>0</v>
      </c>
      <c r="M97" s="0" t="str">
        <f aca="false">IF(J97="Active",L97+(ROW()/1000000),"")</f>
        <v/>
      </c>
    </row>
    <row r="98" customFormat="false" ht="15" hidden="false" customHeight="false" outlineLevel="0" collapsed="false">
      <c r="A98" s="2" t="s">
        <v>8383</v>
      </c>
      <c r="B98" s="2" t="s">
        <v>726</v>
      </c>
      <c r="C98" s="13" t="n">
        <v>45368</v>
      </c>
      <c r="D98" s="13" t="n">
        <v>45369</v>
      </c>
      <c r="E98" s="2" t="s">
        <v>53</v>
      </c>
      <c r="F98" s="2" t="n">
        <v>159192.23</v>
      </c>
      <c r="G98" s="2" t="n">
        <v>153779.53</v>
      </c>
      <c r="H98" s="2" t="n">
        <v>15.921</v>
      </c>
      <c r="I98" s="2" t="n">
        <v>120</v>
      </c>
      <c r="J98" s="2" t="s">
        <v>36</v>
      </c>
      <c r="K98" s="2" t="n">
        <v>89382.3</v>
      </c>
      <c r="L98" s="2" t="n">
        <v>1</v>
      </c>
      <c r="M98" s="9" t="n">
        <f aca="false">IF(J98="Active",L98+(ROW()/1000000),"")</f>
        <v>1.000098</v>
      </c>
    </row>
    <row r="99" customFormat="false" ht="15" hidden="false" customHeight="false" outlineLevel="0" collapsed="false">
      <c r="A99" s="2" t="s">
        <v>8384</v>
      </c>
      <c r="B99" s="2" t="s">
        <v>4569</v>
      </c>
      <c r="C99" s="13" t="n">
        <v>45983</v>
      </c>
      <c r="D99" s="13" t="n">
        <v>45987</v>
      </c>
      <c r="E99" s="2" t="s">
        <v>55</v>
      </c>
      <c r="F99" s="2" t="n">
        <v>263589.02</v>
      </c>
      <c r="G99" s="2" t="n">
        <v>242729.89</v>
      </c>
      <c r="H99" s="2" t="n">
        <v>14.085</v>
      </c>
      <c r="I99" s="2" t="n">
        <v>30</v>
      </c>
      <c r="J99" s="2" t="s">
        <v>36</v>
      </c>
      <c r="K99" s="2" t="n">
        <v>60309.75</v>
      </c>
      <c r="L99" s="2" t="n">
        <v>3</v>
      </c>
      <c r="M99" s="9" t="n">
        <f aca="false">IF(J99="Active",L99+(ROW()/1000000),"")</f>
        <v>3.000099</v>
      </c>
    </row>
    <row r="100" customFormat="false" ht="15" hidden="false" customHeight="false" outlineLevel="0" collapsed="false">
      <c r="A100" s="2" t="s">
        <v>8385</v>
      </c>
      <c r="B100" s="2" t="s">
        <v>1430</v>
      </c>
      <c r="C100" s="13" t="n">
        <v>45716</v>
      </c>
      <c r="D100" s="13" t="n">
        <v>45717</v>
      </c>
      <c r="E100" s="2" t="s">
        <v>53</v>
      </c>
      <c r="F100" s="2" t="n">
        <v>348598.21</v>
      </c>
      <c r="G100" s="2" t="n">
        <v>287985.17</v>
      </c>
      <c r="H100" s="2" t="n">
        <v>8.242</v>
      </c>
      <c r="I100" s="2" t="n">
        <v>60</v>
      </c>
      <c r="J100" s="2" t="s">
        <v>36</v>
      </c>
      <c r="K100" s="2" t="n">
        <v>65359.47</v>
      </c>
      <c r="L100" s="2" t="n">
        <v>30</v>
      </c>
      <c r="M100" s="9" t="n">
        <f aca="false">IF(J100="Active",L100+(ROW()/1000000),"")</f>
        <v>30.0001</v>
      </c>
    </row>
    <row r="101" customFormat="false" ht="15" hidden="false" customHeight="false" outlineLevel="0" collapsed="false">
      <c r="A101" s="2" t="s">
        <v>8386</v>
      </c>
      <c r="B101" s="2" t="s">
        <v>5799</v>
      </c>
      <c r="C101" s="13" t="n">
        <v>45642</v>
      </c>
      <c r="D101" s="13"/>
      <c r="E101" s="2" t="s">
        <v>55</v>
      </c>
      <c r="F101" s="2" t="n">
        <v>410404.65</v>
      </c>
      <c r="G101" s="2" t="n">
        <v>0</v>
      </c>
      <c r="H101" s="2" t="n">
        <v>16.733</v>
      </c>
      <c r="I101" s="2" t="n">
        <v>60</v>
      </c>
      <c r="J101" s="2" t="s">
        <v>42</v>
      </c>
      <c r="K101" s="2" t="n">
        <v>0</v>
      </c>
      <c r="L101" s="2" t="n">
        <v>0</v>
      </c>
      <c r="M101" s="0" t="str">
        <f aca="false">IF(J101="Active",L101+(ROW()/1000000),"")</f>
        <v/>
      </c>
    </row>
    <row r="102" customFormat="false" ht="15" hidden="false" customHeight="false" outlineLevel="0" collapsed="false">
      <c r="A102" s="2" t="s">
        <v>8387</v>
      </c>
      <c r="B102" s="2" t="s">
        <v>670</v>
      </c>
      <c r="C102" s="13" t="n">
        <v>45826</v>
      </c>
      <c r="D102" s="13" t="n">
        <v>45828</v>
      </c>
      <c r="E102" s="2" t="s">
        <v>55</v>
      </c>
      <c r="F102" s="2" t="n">
        <v>256689.86</v>
      </c>
      <c r="G102" s="2" t="n">
        <v>250137.37</v>
      </c>
      <c r="H102" s="2" t="n">
        <v>7.877</v>
      </c>
      <c r="I102" s="2" t="n">
        <v>180</v>
      </c>
      <c r="J102" s="2" t="s">
        <v>38</v>
      </c>
      <c r="K102" s="2" t="n">
        <v>0</v>
      </c>
      <c r="L102" s="2" t="n">
        <v>0</v>
      </c>
      <c r="M102" s="0" t="str">
        <f aca="false">IF(J102="Active",L102+(ROW()/1000000),"")</f>
        <v/>
      </c>
    </row>
    <row r="103" customFormat="false" ht="15" hidden="false" customHeight="false" outlineLevel="0" collapsed="false">
      <c r="A103" s="2" t="s">
        <v>8388</v>
      </c>
      <c r="B103" s="2" t="s">
        <v>7463</v>
      </c>
      <c r="C103" s="13" t="n">
        <v>45640</v>
      </c>
      <c r="D103" s="13" t="n">
        <v>45645</v>
      </c>
      <c r="E103" s="2" t="s">
        <v>53</v>
      </c>
      <c r="F103" s="2" t="n">
        <v>382410.04</v>
      </c>
      <c r="G103" s="2" t="n">
        <v>310015.08</v>
      </c>
      <c r="H103" s="2" t="n">
        <v>10.975</v>
      </c>
      <c r="I103" s="2" t="n">
        <v>90</v>
      </c>
      <c r="J103" s="2" t="s">
        <v>36</v>
      </c>
      <c r="K103" s="2" t="n">
        <v>90267.24</v>
      </c>
      <c r="L103" s="2" t="n">
        <v>60</v>
      </c>
      <c r="M103" s="9" t="n">
        <f aca="false">IF(J103="Active",L103+(ROW()/1000000),"")</f>
        <v>60.000103</v>
      </c>
    </row>
    <row r="104" customFormat="false" ht="15" hidden="false" customHeight="false" outlineLevel="0" collapsed="false">
      <c r="A104" s="2" t="s">
        <v>8389</v>
      </c>
      <c r="B104" s="2" t="s">
        <v>1459</v>
      </c>
      <c r="C104" s="13" t="n">
        <v>45812</v>
      </c>
      <c r="D104" s="13" t="n">
        <v>45815</v>
      </c>
      <c r="E104" s="2" t="s">
        <v>55</v>
      </c>
      <c r="F104" s="2" t="n">
        <v>495693.28</v>
      </c>
      <c r="G104" s="2" t="n">
        <v>349668.8</v>
      </c>
      <c r="H104" s="2" t="n">
        <v>14.68</v>
      </c>
      <c r="I104" s="2" t="n">
        <v>60</v>
      </c>
      <c r="J104" s="2" t="s">
        <v>40</v>
      </c>
      <c r="K104" s="2" t="n">
        <v>58114.76</v>
      </c>
      <c r="L104" s="2" t="n">
        <v>1</v>
      </c>
      <c r="M104" s="0" t="str">
        <f aca="false">IF(J104="Active",L104+(ROW()/1000000),"")</f>
        <v/>
      </c>
    </row>
    <row r="105" customFormat="false" ht="15" hidden="false" customHeight="false" outlineLevel="0" collapsed="false">
      <c r="A105" s="2" t="s">
        <v>8390</v>
      </c>
      <c r="B105" s="2" t="s">
        <v>7543</v>
      </c>
      <c r="C105" s="13" t="n">
        <v>45297</v>
      </c>
      <c r="D105" s="13" t="n">
        <v>45297</v>
      </c>
      <c r="E105" s="2" t="s">
        <v>55</v>
      </c>
      <c r="F105" s="2" t="n">
        <v>7216.85</v>
      </c>
      <c r="G105" s="2" t="n">
        <v>5337.7</v>
      </c>
      <c r="H105" s="2" t="n">
        <v>11.793</v>
      </c>
      <c r="I105" s="2" t="n">
        <v>90</v>
      </c>
      <c r="J105" s="2" t="s">
        <v>38</v>
      </c>
      <c r="K105" s="2" t="n">
        <v>0</v>
      </c>
      <c r="L105" s="2" t="n">
        <v>0</v>
      </c>
      <c r="M105" s="0" t="str">
        <f aca="false">IF(J105="Active",L105+(ROW()/1000000),"")</f>
        <v/>
      </c>
    </row>
    <row r="106" customFormat="false" ht="15" hidden="false" customHeight="false" outlineLevel="0" collapsed="false">
      <c r="A106" s="2" t="s">
        <v>8391</v>
      </c>
      <c r="B106" s="2" t="s">
        <v>4741</v>
      </c>
      <c r="C106" s="13" t="n">
        <v>45597</v>
      </c>
      <c r="D106" s="13" t="n">
        <v>45602</v>
      </c>
      <c r="E106" s="2" t="s">
        <v>55</v>
      </c>
      <c r="F106" s="2" t="n">
        <v>342229.31</v>
      </c>
      <c r="G106" s="2" t="n">
        <v>232136.84</v>
      </c>
      <c r="H106" s="2" t="n">
        <v>15.286</v>
      </c>
      <c r="I106" s="2" t="n">
        <v>60</v>
      </c>
      <c r="J106" s="2" t="s">
        <v>38</v>
      </c>
      <c r="K106" s="2" t="n">
        <v>0</v>
      </c>
      <c r="L106" s="2" t="n">
        <v>0</v>
      </c>
      <c r="M106" s="0" t="str">
        <f aca="false">IF(J106="Active",L106+(ROW()/1000000),"")</f>
        <v/>
      </c>
    </row>
    <row r="107" customFormat="false" ht="15" hidden="false" customHeight="false" outlineLevel="0" collapsed="false">
      <c r="A107" s="2" t="s">
        <v>8392</v>
      </c>
      <c r="B107" s="2" t="s">
        <v>256</v>
      </c>
      <c r="C107" s="13" t="n">
        <v>45926</v>
      </c>
      <c r="D107" s="13" t="n">
        <v>45928</v>
      </c>
      <c r="E107" s="2" t="s">
        <v>53</v>
      </c>
      <c r="F107" s="2" t="n">
        <v>138094.21</v>
      </c>
      <c r="G107" s="2" t="n">
        <v>91463.34</v>
      </c>
      <c r="H107" s="2" t="n">
        <v>7.455</v>
      </c>
      <c r="I107" s="2" t="n">
        <v>120</v>
      </c>
      <c r="J107" s="2" t="s">
        <v>36</v>
      </c>
      <c r="K107" s="2" t="n">
        <v>83115.08</v>
      </c>
      <c r="L107" s="2" t="n">
        <v>15</v>
      </c>
      <c r="M107" s="9" t="n">
        <f aca="false">IF(J107="Active",L107+(ROW()/1000000),"")</f>
        <v>15.000107</v>
      </c>
    </row>
    <row r="108" customFormat="false" ht="15" hidden="false" customHeight="false" outlineLevel="0" collapsed="false">
      <c r="A108" s="2" t="s">
        <v>8393</v>
      </c>
      <c r="B108" s="2" t="s">
        <v>3337</v>
      </c>
      <c r="C108" s="13" t="n">
        <v>45431</v>
      </c>
      <c r="D108" s="13" t="n">
        <v>45436</v>
      </c>
      <c r="E108" s="2" t="s">
        <v>53</v>
      </c>
      <c r="F108" s="2" t="n">
        <v>419998.23</v>
      </c>
      <c r="G108" s="2" t="n">
        <v>317574.73</v>
      </c>
      <c r="H108" s="2" t="n">
        <v>16.006</v>
      </c>
      <c r="I108" s="2" t="n">
        <v>90</v>
      </c>
      <c r="J108" s="2" t="s">
        <v>40</v>
      </c>
      <c r="K108" s="2" t="n">
        <v>16071.88</v>
      </c>
      <c r="L108" s="2" t="n">
        <v>1</v>
      </c>
      <c r="M108" s="0" t="str">
        <f aca="false">IF(J108="Active",L108+(ROW()/1000000),"")</f>
        <v/>
      </c>
    </row>
    <row r="109" customFormat="false" ht="15" hidden="false" customHeight="false" outlineLevel="0" collapsed="false">
      <c r="A109" s="2" t="s">
        <v>8394</v>
      </c>
      <c r="B109" s="2" t="s">
        <v>7663</v>
      </c>
      <c r="C109" s="13" t="n">
        <v>45942</v>
      </c>
      <c r="D109" s="13" t="n">
        <v>45942</v>
      </c>
      <c r="E109" s="2" t="s">
        <v>53</v>
      </c>
      <c r="F109" s="2" t="n">
        <v>354861.24</v>
      </c>
      <c r="G109" s="2" t="n">
        <v>337664.58</v>
      </c>
      <c r="H109" s="2" t="n">
        <v>10.906</v>
      </c>
      <c r="I109" s="2" t="n">
        <v>120</v>
      </c>
      <c r="J109" s="2" t="s">
        <v>40</v>
      </c>
      <c r="K109" s="2" t="n">
        <v>258780.58</v>
      </c>
      <c r="L109" s="2" t="n">
        <v>0</v>
      </c>
      <c r="M109" s="0" t="str">
        <f aca="false">IF(J109="Active",L109+(ROW()/1000000),"")</f>
        <v/>
      </c>
    </row>
    <row r="110" customFormat="false" ht="15" hidden="false" customHeight="false" outlineLevel="0" collapsed="false">
      <c r="A110" s="2" t="s">
        <v>8395</v>
      </c>
      <c r="B110" s="2" t="s">
        <v>2334</v>
      </c>
      <c r="C110" s="13" t="n">
        <v>45961</v>
      </c>
      <c r="D110" s="13" t="n">
        <v>45966</v>
      </c>
      <c r="E110" s="2" t="s">
        <v>53</v>
      </c>
      <c r="F110" s="2" t="n">
        <v>489336.05</v>
      </c>
      <c r="G110" s="2" t="n">
        <v>300587.21</v>
      </c>
      <c r="H110" s="2" t="n">
        <v>11.903</v>
      </c>
      <c r="I110" s="2" t="n">
        <v>180</v>
      </c>
      <c r="J110" s="2" t="s">
        <v>38</v>
      </c>
      <c r="K110" s="2" t="n">
        <v>0</v>
      </c>
      <c r="L110" s="2" t="n">
        <v>0</v>
      </c>
      <c r="M110" s="0" t="str">
        <f aca="false">IF(J110="Active",L110+(ROW()/1000000),"")</f>
        <v/>
      </c>
    </row>
    <row r="111" customFormat="false" ht="15" hidden="false" customHeight="false" outlineLevel="0" collapsed="false">
      <c r="A111" s="2" t="s">
        <v>8396</v>
      </c>
      <c r="B111" s="2" t="s">
        <v>2690</v>
      </c>
      <c r="C111" s="13" t="n">
        <v>45954</v>
      </c>
      <c r="D111" s="13"/>
      <c r="E111" s="2" t="s">
        <v>54</v>
      </c>
      <c r="F111" s="2" t="n">
        <v>414565.01</v>
      </c>
      <c r="G111" s="2" t="n">
        <v>0</v>
      </c>
      <c r="H111" s="2" t="n">
        <v>15.129</v>
      </c>
      <c r="I111" s="2" t="n">
        <v>180</v>
      </c>
      <c r="J111" s="2" t="s">
        <v>42</v>
      </c>
      <c r="K111" s="2" t="n">
        <v>0</v>
      </c>
      <c r="L111" s="2" t="n">
        <v>0</v>
      </c>
      <c r="M111" s="0" t="str">
        <f aca="false">IF(J111="Active",L111+(ROW()/1000000),"")</f>
        <v/>
      </c>
    </row>
    <row r="112" customFormat="false" ht="15" hidden="false" customHeight="false" outlineLevel="0" collapsed="false">
      <c r="A112" s="2" t="s">
        <v>8397</v>
      </c>
      <c r="B112" s="2" t="s">
        <v>2087</v>
      </c>
      <c r="C112" s="13" t="n">
        <v>45601</v>
      </c>
      <c r="D112" s="13" t="n">
        <v>45603</v>
      </c>
      <c r="E112" s="2" t="s">
        <v>54</v>
      </c>
      <c r="F112" s="2" t="n">
        <v>22524.28</v>
      </c>
      <c r="G112" s="2" t="n">
        <v>14419.38</v>
      </c>
      <c r="H112" s="2" t="n">
        <v>16.255</v>
      </c>
      <c r="I112" s="2" t="n">
        <v>90</v>
      </c>
      <c r="J112" s="2" t="s">
        <v>38</v>
      </c>
      <c r="K112" s="2" t="n">
        <v>0</v>
      </c>
      <c r="L112" s="2" t="n">
        <v>0</v>
      </c>
      <c r="M112" s="0" t="str">
        <f aca="false">IF(J112="Active",L112+(ROW()/1000000),"")</f>
        <v/>
      </c>
    </row>
    <row r="113" customFormat="false" ht="15" hidden="false" customHeight="false" outlineLevel="0" collapsed="false">
      <c r="A113" s="2" t="s">
        <v>8398</v>
      </c>
      <c r="B113" s="2" t="s">
        <v>1502</v>
      </c>
      <c r="C113" s="13" t="n">
        <v>45495</v>
      </c>
      <c r="D113" s="13" t="n">
        <v>45497</v>
      </c>
      <c r="E113" s="2" t="s">
        <v>54</v>
      </c>
      <c r="F113" s="2" t="n">
        <v>82161.95</v>
      </c>
      <c r="G113" s="2" t="n">
        <v>61093.9</v>
      </c>
      <c r="H113" s="2" t="n">
        <v>17.761</v>
      </c>
      <c r="I113" s="2" t="n">
        <v>30</v>
      </c>
      <c r="J113" s="2" t="s">
        <v>40</v>
      </c>
      <c r="K113" s="2" t="n">
        <v>49810.55</v>
      </c>
      <c r="L113" s="2" t="n">
        <v>3</v>
      </c>
      <c r="M113" s="0" t="str">
        <f aca="false">IF(J113="Active",L113+(ROW()/1000000),"")</f>
        <v/>
      </c>
    </row>
    <row r="114" customFormat="false" ht="15" hidden="false" customHeight="false" outlineLevel="0" collapsed="false">
      <c r="A114" s="2" t="s">
        <v>8399</v>
      </c>
      <c r="B114" s="2" t="s">
        <v>3765</v>
      </c>
      <c r="C114" s="13" t="n">
        <v>45517</v>
      </c>
      <c r="D114" s="13" t="n">
        <v>45518</v>
      </c>
      <c r="E114" s="2" t="s">
        <v>53</v>
      </c>
      <c r="F114" s="2" t="n">
        <v>434895.9</v>
      </c>
      <c r="G114" s="2" t="n">
        <v>375302.05</v>
      </c>
      <c r="H114" s="2" t="n">
        <v>7.783</v>
      </c>
      <c r="I114" s="2" t="n">
        <v>60</v>
      </c>
      <c r="J114" s="2" t="s">
        <v>38</v>
      </c>
      <c r="K114" s="2" t="n">
        <v>0</v>
      </c>
      <c r="L114" s="2" t="n">
        <v>0</v>
      </c>
      <c r="M114" s="0" t="str">
        <f aca="false">IF(J114="Active",L114+(ROW()/1000000),"")</f>
        <v/>
      </c>
    </row>
    <row r="115" customFormat="false" ht="15" hidden="false" customHeight="false" outlineLevel="0" collapsed="false">
      <c r="A115" s="2" t="s">
        <v>8400</v>
      </c>
      <c r="B115" s="2" t="s">
        <v>855</v>
      </c>
      <c r="C115" s="13" t="n">
        <v>46020</v>
      </c>
      <c r="D115" s="13" t="n">
        <v>46024</v>
      </c>
      <c r="E115" s="2" t="s">
        <v>54</v>
      </c>
      <c r="F115" s="2" t="n">
        <v>99081.78</v>
      </c>
      <c r="G115" s="2" t="n">
        <v>59834.82</v>
      </c>
      <c r="H115" s="2" t="n">
        <v>10.687</v>
      </c>
      <c r="I115" s="2" t="n">
        <v>120</v>
      </c>
      <c r="J115" s="2" t="s">
        <v>38</v>
      </c>
      <c r="K115" s="2" t="n">
        <v>0</v>
      </c>
      <c r="L115" s="2" t="n">
        <v>0</v>
      </c>
      <c r="M115" s="0" t="str">
        <f aca="false">IF(J115="Active",L115+(ROW()/1000000),"")</f>
        <v/>
      </c>
    </row>
    <row r="116" customFormat="false" ht="15" hidden="false" customHeight="false" outlineLevel="0" collapsed="false">
      <c r="A116" s="2" t="s">
        <v>8401</v>
      </c>
      <c r="B116" s="2" t="s">
        <v>3270</v>
      </c>
      <c r="C116" s="13" t="n">
        <v>45545</v>
      </c>
      <c r="D116" s="13" t="n">
        <v>45550</v>
      </c>
      <c r="E116" s="2" t="s">
        <v>55</v>
      </c>
      <c r="F116" s="2" t="n">
        <v>455623.54</v>
      </c>
      <c r="G116" s="2" t="n">
        <v>377526.58</v>
      </c>
      <c r="H116" s="2" t="n">
        <v>17.863</v>
      </c>
      <c r="I116" s="2" t="n">
        <v>60</v>
      </c>
      <c r="J116" s="2" t="s">
        <v>40</v>
      </c>
      <c r="K116" s="2" t="n">
        <v>142946.96</v>
      </c>
      <c r="L116" s="2" t="n">
        <v>0</v>
      </c>
      <c r="M116" s="0" t="str">
        <f aca="false">IF(J116="Active",L116+(ROW()/1000000),"")</f>
        <v/>
      </c>
    </row>
    <row r="117" customFormat="false" ht="15" hidden="false" customHeight="false" outlineLevel="0" collapsed="false">
      <c r="A117" s="2" t="s">
        <v>8402</v>
      </c>
      <c r="B117" s="2" t="s">
        <v>2152</v>
      </c>
      <c r="C117" s="13" t="n">
        <v>45459</v>
      </c>
      <c r="D117" s="13" t="n">
        <v>45463</v>
      </c>
      <c r="E117" s="2" t="s">
        <v>55</v>
      </c>
      <c r="F117" s="2" t="n">
        <v>430655.33</v>
      </c>
      <c r="G117" s="2" t="n">
        <v>314737.22</v>
      </c>
      <c r="H117" s="2" t="n">
        <v>12.099</v>
      </c>
      <c r="I117" s="2" t="n">
        <v>120</v>
      </c>
      <c r="J117" s="2" t="s">
        <v>40</v>
      </c>
      <c r="K117" s="2" t="n">
        <v>141566.99</v>
      </c>
      <c r="L117" s="2" t="n">
        <v>30</v>
      </c>
      <c r="M117" s="0" t="str">
        <f aca="false">IF(J117="Active",L117+(ROW()/1000000),"")</f>
        <v/>
      </c>
    </row>
    <row r="118" customFormat="false" ht="15" hidden="false" customHeight="false" outlineLevel="0" collapsed="false">
      <c r="A118" s="2" t="s">
        <v>8403</v>
      </c>
      <c r="B118" s="2" t="s">
        <v>5121</v>
      </c>
      <c r="C118" s="13" t="n">
        <v>45958</v>
      </c>
      <c r="D118" s="13" t="n">
        <v>45959</v>
      </c>
      <c r="E118" s="2" t="s">
        <v>54</v>
      </c>
      <c r="F118" s="2" t="n">
        <v>335652.31</v>
      </c>
      <c r="G118" s="2" t="n">
        <v>228482.65</v>
      </c>
      <c r="H118" s="2" t="n">
        <v>12.133</v>
      </c>
      <c r="I118" s="2" t="n">
        <v>30</v>
      </c>
      <c r="J118" s="2" t="s">
        <v>40</v>
      </c>
      <c r="K118" s="2" t="n">
        <v>115529.2</v>
      </c>
      <c r="L118" s="2" t="n">
        <v>3</v>
      </c>
      <c r="M118" s="0" t="str">
        <f aca="false">IF(J118="Active",L118+(ROW()/1000000),"")</f>
        <v/>
      </c>
    </row>
    <row r="119" customFormat="false" ht="15" hidden="false" customHeight="false" outlineLevel="0" collapsed="false">
      <c r="A119" s="2" t="s">
        <v>8404</v>
      </c>
      <c r="B119" s="2" t="s">
        <v>1037</v>
      </c>
      <c r="C119" s="13" t="n">
        <v>45828</v>
      </c>
      <c r="D119" s="13" t="n">
        <v>45833</v>
      </c>
      <c r="E119" s="2" t="s">
        <v>53</v>
      </c>
      <c r="F119" s="2" t="n">
        <v>368597.79</v>
      </c>
      <c r="G119" s="2" t="n">
        <v>324101.25</v>
      </c>
      <c r="H119" s="2" t="n">
        <v>17.995</v>
      </c>
      <c r="I119" s="2" t="n">
        <v>90</v>
      </c>
      <c r="J119" s="2" t="s">
        <v>36</v>
      </c>
      <c r="K119" s="2" t="n">
        <v>26899.05</v>
      </c>
      <c r="L119" s="2" t="n">
        <v>1</v>
      </c>
      <c r="M119" s="9" t="n">
        <f aca="false">IF(J119="Active",L119+(ROW()/1000000),"")</f>
        <v>1.000119</v>
      </c>
    </row>
    <row r="120" customFormat="false" ht="15" hidden="false" customHeight="false" outlineLevel="0" collapsed="false">
      <c r="A120" s="2" t="s">
        <v>8405</v>
      </c>
      <c r="B120" s="2" t="s">
        <v>3731</v>
      </c>
      <c r="C120" s="13" t="n">
        <v>45301</v>
      </c>
      <c r="D120" s="13" t="n">
        <v>45302</v>
      </c>
      <c r="E120" s="2" t="s">
        <v>54</v>
      </c>
      <c r="F120" s="2" t="n">
        <v>198905.77</v>
      </c>
      <c r="G120" s="2" t="n">
        <v>166698.22</v>
      </c>
      <c r="H120" s="2" t="n">
        <v>8.237</v>
      </c>
      <c r="I120" s="2" t="n">
        <v>180</v>
      </c>
      <c r="J120" s="2" t="s">
        <v>38</v>
      </c>
      <c r="K120" s="2" t="n">
        <v>0</v>
      </c>
      <c r="L120" s="2" t="n">
        <v>0</v>
      </c>
      <c r="M120" s="0" t="str">
        <f aca="false">IF(J120="Active",L120+(ROW()/1000000),"")</f>
        <v/>
      </c>
    </row>
    <row r="121" customFormat="false" ht="15" hidden="false" customHeight="false" outlineLevel="0" collapsed="false">
      <c r="A121" s="2" t="s">
        <v>8406</v>
      </c>
      <c r="B121" s="2" t="s">
        <v>6207</v>
      </c>
      <c r="C121" s="13" t="n">
        <v>45606</v>
      </c>
      <c r="D121" s="13" t="n">
        <v>45608</v>
      </c>
      <c r="E121" s="2" t="s">
        <v>54</v>
      </c>
      <c r="F121" s="2" t="n">
        <v>295273.98</v>
      </c>
      <c r="G121" s="2" t="n">
        <v>165024.58</v>
      </c>
      <c r="H121" s="2" t="n">
        <v>14.237</v>
      </c>
      <c r="I121" s="2" t="n">
        <v>30</v>
      </c>
      <c r="J121" s="2" t="s">
        <v>40</v>
      </c>
      <c r="K121" s="2" t="n">
        <v>46299.19</v>
      </c>
      <c r="L121" s="2" t="n">
        <v>0</v>
      </c>
      <c r="M121" s="0" t="str">
        <f aca="false">IF(J121="Active",L121+(ROW()/1000000),"")</f>
        <v/>
      </c>
    </row>
    <row r="122" customFormat="false" ht="15" hidden="false" customHeight="false" outlineLevel="0" collapsed="false">
      <c r="A122" s="2" t="s">
        <v>8407</v>
      </c>
      <c r="B122" s="2" t="s">
        <v>4291</v>
      </c>
      <c r="C122" s="13" t="n">
        <v>45465</v>
      </c>
      <c r="D122" s="13" t="n">
        <v>45467</v>
      </c>
      <c r="E122" s="2" t="s">
        <v>54</v>
      </c>
      <c r="F122" s="2" t="n">
        <v>100209.54</v>
      </c>
      <c r="G122" s="2" t="n">
        <v>58334.37</v>
      </c>
      <c r="H122" s="2" t="n">
        <v>10.116</v>
      </c>
      <c r="I122" s="2" t="n">
        <v>180</v>
      </c>
      <c r="J122" s="2" t="s">
        <v>40</v>
      </c>
      <c r="K122" s="2" t="n">
        <v>51087.13</v>
      </c>
      <c r="L122" s="2" t="n">
        <v>1</v>
      </c>
      <c r="M122" s="0" t="str">
        <f aca="false">IF(J122="Active",L122+(ROW()/1000000),"")</f>
        <v/>
      </c>
    </row>
    <row r="123" customFormat="false" ht="15" hidden="false" customHeight="false" outlineLevel="0" collapsed="false">
      <c r="A123" s="2" t="s">
        <v>8408</v>
      </c>
      <c r="B123" s="2" t="s">
        <v>670</v>
      </c>
      <c r="C123" s="13" t="n">
        <v>45308</v>
      </c>
      <c r="D123" s="13" t="n">
        <v>45310</v>
      </c>
      <c r="E123" s="2" t="s">
        <v>54</v>
      </c>
      <c r="F123" s="2" t="n">
        <v>479020.77</v>
      </c>
      <c r="G123" s="2" t="n">
        <v>325793.26</v>
      </c>
      <c r="H123" s="2" t="n">
        <v>12.043</v>
      </c>
      <c r="I123" s="2" t="n">
        <v>90</v>
      </c>
      <c r="J123" s="2" t="s">
        <v>40</v>
      </c>
      <c r="K123" s="2" t="n">
        <v>41388.34</v>
      </c>
      <c r="L123" s="2" t="n">
        <v>0</v>
      </c>
      <c r="M123" s="0" t="str">
        <f aca="false">IF(J123="Active",L123+(ROW()/1000000),"")</f>
        <v/>
      </c>
    </row>
    <row r="124" customFormat="false" ht="15" hidden="false" customHeight="false" outlineLevel="0" collapsed="false">
      <c r="A124" s="2" t="s">
        <v>8409</v>
      </c>
      <c r="B124" s="2" t="s">
        <v>3497</v>
      </c>
      <c r="C124" s="13" t="n">
        <v>45503</v>
      </c>
      <c r="D124" s="13" t="n">
        <v>45503</v>
      </c>
      <c r="E124" s="2" t="s">
        <v>55</v>
      </c>
      <c r="F124" s="2" t="n">
        <v>19464.67</v>
      </c>
      <c r="G124" s="2" t="n">
        <v>13753.87</v>
      </c>
      <c r="H124" s="2" t="n">
        <v>12.744</v>
      </c>
      <c r="I124" s="2" t="n">
        <v>120</v>
      </c>
      <c r="J124" s="2" t="s">
        <v>36</v>
      </c>
      <c r="K124" s="2" t="n">
        <v>3374.16</v>
      </c>
      <c r="L124" s="2" t="n">
        <v>10</v>
      </c>
      <c r="M124" s="9" t="n">
        <f aca="false">IF(J124="Active",L124+(ROW()/1000000),"")</f>
        <v>10.000124</v>
      </c>
    </row>
    <row r="125" customFormat="false" ht="15" hidden="false" customHeight="false" outlineLevel="0" collapsed="false">
      <c r="A125" s="2" t="s">
        <v>8410</v>
      </c>
      <c r="B125" s="2" t="s">
        <v>1248</v>
      </c>
      <c r="C125" s="13" t="n">
        <v>45616</v>
      </c>
      <c r="D125" s="13" t="n">
        <v>45619</v>
      </c>
      <c r="E125" s="2" t="s">
        <v>55</v>
      </c>
      <c r="F125" s="2" t="n">
        <v>196583.55</v>
      </c>
      <c r="G125" s="2" t="n">
        <v>109484.98</v>
      </c>
      <c r="H125" s="2" t="n">
        <v>8.273</v>
      </c>
      <c r="I125" s="2" t="n">
        <v>30</v>
      </c>
      <c r="J125" s="2" t="s">
        <v>36</v>
      </c>
      <c r="K125" s="2" t="n">
        <v>49310.39</v>
      </c>
      <c r="L125" s="2" t="n">
        <v>10</v>
      </c>
      <c r="M125" s="9" t="n">
        <f aca="false">IF(J125="Active",L125+(ROW()/1000000),"")</f>
        <v>10.000125</v>
      </c>
    </row>
    <row r="126" customFormat="false" ht="15" hidden="false" customHeight="false" outlineLevel="0" collapsed="false">
      <c r="A126" s="2" t="s">
        <v>8411</v>
      </c>
      <c r="B126" s="2" t="s">
        <v>5595</v>
      </c>
      <c r="C126" s="13" t="n">
        <v>45826</v>
      </c>
      <c r="D126" s="13" t="n">
        <v>45829</v>
      </c>
      <c r="E126" s="2" t="s">
        <v>54</v>
      </c>
      <c r="F126" s="2" t="n">
        <v>176053.75</v>
      </c>
      <c r="G126" s="2" t="n">
        <v>102531.62</v>
      </c>
      <c r="H126" s="2" t="n">
        <v>9.924</v>
      </c>
      <c r="I126" s="2" t="n">
        <v>60</v>
      </c>
      <c r="J126" s="2" t="s">
        <v>36</v>
      </c>
      <c r="K126" s="2" t="n">
        <v>7066.23</v>
      </c>
      <c r="L126" s="2" t="n">
        <v>10</v>
      </c>
      <c r="M126" s="9" t="n">
        <f aca="false">IF(J126="Active",L126+(ROW()/1000000),"")</f>
        <v>10.000126</v>
      </c>
    </row>
    <row r="127" customFormat="false" ht="15" hidden="false" customHeight="false" outlineLevel="0" collapsed="false">
      <c r="A127" s="2" t="s">
        <v>8412</v>
      </c>
      <c r="B127" s="2" t="s">
        <v>877</v>
      </c>
      <c r="C127" s="13" t="n">
        <v>45760</v>
      </c>
      <c r="D127" s="13" t="n">
        <v>45762</v>
      </c>
      <c r="E127" s="2" t="s">
        <v>54</v>
      </c>
      <c r="F127" s="2" t="n">
        <v>30616.46</v>
      </c>
      <c r="G127" s="2" t="n">
        <v>18989.46</v>
      </c>
      <c r="H127" s="2" t="n">
        <v>12.939</v>
      </c>
      <c r="I127" s="2" t="n">
        <v>30</v>
      </c>
      <c r="J127" s="2" t="s">
        <v>38</v>
      </c>
      <c r="K127" s="2" t="n">
        <v>0</v>
      </c>
      <c r="L127" s="2" t="n">
        <v>0</v>
      </c>
      <c r="M127" s="0" t="str">
        <f aca="false">IF(J127="Active",L127+(ROW()/1000000),"")</f>
        <v/>
      </c>
    </row>
    <row r="128" customFormat="false" ht="15" hidden="false" customHeight="false" outlineLevel="0" collapsed="false">
      <c r="A128" s="2" t="s">
        <v>8413</v>
      </c>
      <c r="B128" s="2" t="s">
        <v>2423</v>
      </c>
      <c r="C128" s="13" t="n">
        <v>45634</v>
      </c>
      <c r="D128" s="13" t="n">
        <v>45637</v>
      </c>
      <c r="E128" s="2" t="s">
        <v>54</v>
      </c>
      <c r="F128" s="2" t="n">
        <v>63153.49</v>
      </c>
      <c r="G128" s="2" t="n">
        <v>60516.63</v>
      </c>
      <c r="H128" s="2" t="n">
        <v>9.817</v>
      </c>
      <c r="I128" s="2" t="n">
        <v>90</v>
      </c>
      <c r="J128" s="2" t="s">
        <v>36</v>
      </c>
      <c r="K128" s="2" t="n">
        <v>12511.77</v>
      </c>
      <c r="L128" s="2" t="n">
        <v>30</v>
      </c>
      <c r="M128" s="9" t="n">
        <f aca="false">IF(J128="Active",L128+(ROW()/1000000),"")</f>
        <v>30.000128</v>
      </c>
    </row>
    <row r="129" customFormat="false" ht="15" hidden="false" customHeight="false" outlineLevel="0" collapsed="false">
      <c r="A129" s="2" t="s">
        <v>8414</v>
      </c>
      <c r="B129" s="2" t="s">
        <v>2227</v>
      </c>
      <c r="C129" s="13" t="n">
        <v>45489</v>
      </c>
      <c r="D129" s="13" t="n">
        <v>45494</v>
      </c>
      <c r="E129" s="2" t="s">
        <v>53</v>
      </c>
      <c r="F129" s="2" t="n">
        <v>60371.83</v>
      </c>
      <c r="G129" s="2" t="n">
        <v>43878.18</v>
      </c>
      <c r="H129" s="2" t="n">
        <v>17.598</v>
      </c>
      <c r="I129" s="2" t="n">
        <v>30</v>
      </c>
      <c r="J129" s="2" t="s">
        <v>38</v>
      </c>
      <c r="K129" s="2" t="n">
        <v>0</v>
      </c>
      <c r="L129" s="2" t="n">
        <v>0</v>
      </c>
      <c r="M129" s="0" t="str">
        <f aca="false">IF(J129="Active",L129+(ROW()/1000000),"")</f>
        <v/>
      </c>
    </row>
    <row r="130" customFormat="false" ht="15" hidden="false" customHeight="false" outlineLevel="0" collapsed="false">
      <c r="A130" s="2" t="s">
        <v>8415</v>
      </c>
      <c r="B130" s="2" t="s">
        <v>3169</v>
      </c>
      <c r="C130" s="13" t="n">
        <v>45552</v>
      </c>
      <c r="D130" s="13" t="n">
        <v>45554</v>
      </c>
      <c r="E130" s="2" t="s">
        <v>55</v>
      </c>
      <c r="F130" s="2" t="n">
        <v>437266.5</v>
      </c>
      <c r="G130" s="2" t="n">
        <v>277248.26</v>
      </c>
      <c r="H130" s="2" t="n">
        <v>7.396</v>
      </c>
      <c r="I130" s="2" t="n">
        <v>60</v>
      </c>
      <c r="J130" s="2" t="s">
        <v>40</v>
      </c>
      <c r="K130" s="2" t="n">
        <v>100637.43</v>
      </c>
      <c r="L130" s="2" t="n">
        <v>0</v>
      </c>
      <c r="M130" s="0" t="str">
        <f aca="false">IF(J130="Active",L130+(ROW()/1000000),"")</f>
        <v/>
      </c>
    </row>
    <row r="131" customFormat="false" ht="15" hidden="false" customHeight="false" outlineLevel="0" collapsed="false">
      <c r="A131" s="2" t="s">
        <v>8416</v>
      </c>
      <c r="B131" s="2" t="s">
        <v>665</v>
      </c>
      <c r="C131" s="13" t="n">
        <v>45368</v>
      </c>
      <c r="D131" s="13" t="n">
        <v>45370</v>
      </c>
      <c r="E131" s="2" t="s">
        <v>55</v>
      </c>
      <c r="F131" s="2" t="n">
        <v>77084.69</v>
      </c>
      <c r="G131" s="2" t="n">
        <v>57614.65</v>
      </c>
      <c r="H131" s="2" t="n">
        <v>17.873</v>
      </c>
      <c r="I131" s="2" t="n">
        <v>90</v>
      </c>
      <c r="J131" s="2" t="s">
        <v>36</v>
      </c>
      <c r="K131" s="2" t="n">
        <v>40923.47</v>
      </c>
      <c r="L131" s="2" t="n">
        <v>60</v>
      </c>
      <c r="M131" s="9" t="n">
        <f aca="false">IF(J131="Active",L131+(ROW()/1000000),"")</f>
        <v>60.000131</v>
      </c>
    </row>
    <row r="132" customFormat="false" ht="15" hidden="false" customHeight="false" outlineLevel="0" collapsed="false">
      <c r="A132" s="2" t="s">
        <v>8417</v>
      </c>
      <c r="B132" s="2" t="s">
        <v>3579</v>
      </c>
      <c r="C132" s="13" t="n">
        <v>45473</v>
      </c>
      <c r="D132" s="13" t="n">
        <v>45476</v>
      </c>
      <c r="E132" s="2" t="s">
        <v>55</v>
      </c>
      <c r="F132" s="2" t="n">
        <v>463570.61</v>
      </c>
      <c r="G132" s="2" t="n">
        <v>369445.9</v>
      </c>
      <c r="H132" s="2" t="n">
        <v>15.703</v>
      </c>
      <c r="I132" s="2" t="n">
        <v>180</v>
      </c>
      <c r="J132" s="2" t="s">
        <v>38</v>
      </c>
      <c r="K132" s="2" t="n">
        <v>0</v>
      </c>
      <c r="L132" s="2" t="n">
        <v>0</v>
      </c>
      <c r="M132" s="0" t="str">
        <f aca="false">IF(J132="Active",L132+(ROW()/1000000),"")</f>
        <v/>
      </c>
    </row>
    <row r="133" customFormat="false" ht="15" hidden="false" customHeight="false" outlineLevel="0" collapsed="false">
      <c r="A133" s="2" t="s">
        <v>8418</v>
      </c>
      <c r="B133" s="2" t="s">
        <v>2191</v>
      </c>
      <c r="C133" s="13" t="n">
        <v>45982</v>
      </c>
      <c r="D133" s="13"/>
      <c r="E133" s="2" t="s">
        <v>54</v>
      </c>
      <c r="F133" s="2" t="n">
        <v>68522.79</v>
      </c>
      <c r="G133" s="2" t="n">
        <v>0</v>
      </c>
      <c r="H133" s="2" t="n">
        <v>15.938</v>
      </c>
      <c r="I133" s="2" t="n">
        <v>120</v>
      </c>
      <c r="J133" s="2" t="s">
        <v>42</v>
      </c>
      <c r="K133" s="2" t="n">
        <v>0</v>
      </c>
      <c r="L133" s="2" t="n">
        <v>0</v>
      </c>
      <c r="M133" s="0" t="str">
        <f aca="false">IF(J133="Active",L133+(ROW()/1000000),"")</f>
        <v/>
      </c>
    </row>
    <row r="134" customFormat="false" ht="15" hidden="false" customHeight="false" outlineLevel="0" collapsed="false">
      <c r="A134" s="2" t="s">
        <v>8419</v>
      </c>
      <c r="B134" s="2" t="s">
        <v>2160</v>
      </c>
      <c r="C134" s="13" t="n">
        <v>45393</v>
      </c>
      <c r="D134" s="13" t="n">
        <v>45398</v>
      </c>
      <c r="E134" s="2" t="s">
        <v>54</v>
      </c>
      <c r="F134" s="2" t="n">
        <v>12392.56</v>
      </c>
      <c r="G134" s="2" t="n">
        <v>12005.97</v>
      </c>
      <c r="H134" s="2" t="n">
        <v>15.604</v>
      </c>
      <c r="I134" s="2" t="n">
        <v>180</v>
      </c>
      <c r="J134" s="2" t="s">
        <v>40</v>
      </c>
      <c r="K134" s="2" t="n">
        <v>7676.61</v>
      </c>
      <c r="L134" s="2" t="n">
        <v>90</v>
      </c>
      <c r="M134" s="0" t="str">
        <f aca="false">IF(J134="Active",L134+(ROW()/1000000),"")</f>
        <v/>
      </c>
    </row>
    <row r="135" customFormat="false" ht="15" hidden="false" customHeight="false" outlineLevel="0" collapsed="false">
      <c r="A135" s="2" t="s">
        <v>8420</v>
      </c>
      <c r="B135" s="2" t="s">
        <v>4131</v>
      </c>
      <c r="C135" s="13" t="n">
        <v>46014</v>
      </c>
      <c r="D135" s="13" t="n">
        <v>46018</v>
      </c>
      <c r="E135" s="2" t="s">
        <v>55</v>
      </c>
      <c r="F135" s="2" t="n">
        <v>387433.43</v>
      </c>
      <c r="G135" s="2" t="n">
        <v>217576.08</v>
      </c>
      <c r="H135" s="2" t="n">
        <v>14.513</v>
      </c>
      <c r="I135" s="2" t="n">
        <v>30</v>
      </c>
      <c r="J135" s="2" t="s">
        <v>38</v>
      </c>
      <c r="K135" s="2" t="n">
        <v>0</v>
      </c>
      <c r="L135" s="2" t="n">
        <v>0</v>
      </c>
      <c r="M135" s="0" t="str">
        <f aca="false">IF(J135="Active",L135+(ROW()/1000000),"")</f>
        <v/>
      </c>
    </row>
    <row r="136" customFormat="false" ht="15" hidden="false" customHeight="false" outlineLevel="0" collapsed="false">
      <c r="A136" s="2" t="s">
        <v>8421</v>
      </c>
      <c r="B136" s="2" t="s">
        <v>2933</v>
      </c>
      <c r="C136" s="13" t="n">
        <v>45931</v>
      </c>
      <c r="D136" s="13" t="n">
        <v>45935</v>
      </c>
      <c r="E136" s="2" t="s">
        <v>54</v>
      </c>
      <c r="F136" s="2" t="n">
        <v>471038.98</v>
      </c>
      <c r="G136" s="2" t="n">
        <v>282514.32</v>
      </c>
      <c r="H136" s="2" t="n">
        <v>14.279</v>
      </c>
      <c r="I136" s="2" t="n">
        <v>60</v>
      </c>
      <c r="J136" s="2" t="s">
        <v>38</v>
      </c>
      <c r="K136" s="2" t="n">
        <v>0</v>
      </c>
      <c r="L136" s="2" t="n">
        <v>0</v>
      </c>
      <c r="M136" s="0" t="str">
        <f aca="false">IF(J136="Active",L136+(ROW()/1000000),"")</f>
        <v/>
      </c>
    </row>
    <row r="137" customFormat="false" ht="15" hidden="false" customHeight="false" outlineLevel="0" collapsed="false">
      <c r="A137" s="2" t="s">
        <v>8422</v>
      </c>
      <c r="B137" s="2" t="s">
        <v>5195</v>
      </c>
      <c r="C137" s="13" t="n">
        <v>45825</v>
      </c>
      <c r="D137" s="13" t="n">
        <v>45825</v>
      </c>
      <c r="E137" s="2" t="s">
        <v>53</v>
      </c>
      <c r="F137" s="2" t="n">
        <v>429522.04</v>
      </c>
      <c r="G137" s="2" t="n">
        <v>295363.72</v>
      </c>
      <c r="H137" s="2" t="n">
        <v>14.81</v>
      </c>
      <c r="I137" s="2" t="n">
        <v>90</v>
      </c>
      <c r="J137" s="2" t="s">
        <v>38</v>
      </c>
      <c r="K137" s="2" t="n">
        <v>0</v>
      </c>
      <c r="L137" s="2" t="n">
        <v>0</v>
      </c>
      <c r="M137" s="0" t="str">
        <f aca="false">IF(J137="Active",L137+(ROW()/1000000),"")</f>
        <v/>
      </c>
    </row>
    <row r="138" customFormat="false" ht="15" hidden="false" customHeight="false" outlineLevel="0" collapsed="false">
      <c r="A138" s="2" t="s">
        <v>8423</v>
      </c>
      <c r="B138" s="2" t="s">
        <v>2656</v>
      </c>
      <c r="C138" s="13" t="n">
        <v>45445</v>
      </c>
      <c r="D138" s="13" t="n">
        <v>45450</v>
      </c>
      <c r="E138" s="2" t="s">
        <v>53</v>
      </c>
      <c r="F138" s="2" t="n">
        <v>136020.8</v>
      </c>
      <c r="G138" s="2" t="n">
        <v>86546.38</v>
      </c>
      <c r="H138" s="2" t="n">
        <v>16.029</v>
      </c>
      <c r="I138" s="2" t="n">
        <v>60</v>
      </c>
      <c r="J138" s="2" t="s">
        <v>38</v>
      </c>
      <c r="K138" s="2" t="n">
        <v>0</v>
      </c>
      <c r="L138" s="2" t="n">
        <v>0</v>
      </c>
      <c r="M138" s="0" t="str">
        <f aca="false">IF(J138="Active",L138+(ROW()/1000000),"")</f>
        <v/>
      </c>
    </row>
    <row r="139" customFormat="false" ht="15" hidden="false" customHeight="false" outlineLevel="0" collapsed="false">
      <c r="A139" s="2" t="s">
        <v>8424</v>
      </c>
      <c r="B139" s="2" t="s">
        <v>1103</v>
      </c>
      <c r="C139" s="13" t="n">
        <v>45728</v>
      </c>
      <c r="D139" s="13" t="n">
        <v>45732</v>
      </c>
      <c r="E139" s="2" t="s">
        <v>55</v>
      </c>
      <c r="F139" s="2" t="n">
        <v>324163.77</v>
      </c>
      <c r="G139" s="2" t="n">
        <v>248193.27</v>
      </c>
      <c r="H139" s="2" t="n">
        <v>11.768</v>
      </c>
      <c r="I139" s="2" t="n">
        <v>180</v>
      </c>
      <c r="J139" s="2" t="s">
        <v>38</v>
      </c>
      <c r="K139" s="2" t="n">
        <v>0</v>
      </c>
      <c r="L139" s="2" t="n">
        <v>0</v>
      </c>
      <c r="M139" s="0" t="str">
        <f aca="false">IF(J139="Active",L139+(ROW()/1000000),"")</f>
        <v/>
      </c>
    </row>
    <row r="140" customFormat="false" ht="15" hidden="false" customHeight="false" outlineLevel="0" collapsed="false">
      <c r="A140" s="2" t="s">
        <v>8425</v>
      </c>
      <c r="B140" s="2" t="s">
        <v>8426</v>
      </c>
      <c r="C140" s="13" t="n">
        <v>45695</v>
      </c>
      <c r="D140" s="13" t="n">
        <v>45695</v>
      </c>
      <c r="E140" s="2" t="s">
        <v>54</v>
      </c>
      <c r="F140" s="2" t="n">
        <v>447646.54</v>
      </c>
      <c r="G140" s="2" t="n">
        <v>356737.2</v>
      </c>
      <c r="H140" s="2" t="n">
        <v>10.677</v>
      </c>
      <c r="I140" s="2" t="n">
        <v>60</v>
      </c>
      <c r="J140" s="2" t="s">
        <v>38</v>
      </c>
      <c r="K140" s="2" t="n">
        <v>0</v>
      </c>
      <c r="L140" s="2" t="n">
        <v>0</v>
      </c>
      <c r="M140" s="0" t="str">
        <f aca="false">IF(J140="Active",L140+(ROW()/1000000),"")</f>
        <v/>
      </c>
    </row>
    <row r="141" customFormat="false" ht="15" hidden="false" customHeight="false" outlineLevel="0" collapsed="false">
      <c r="A141" s="2" t="s">
        <v>8427</v>
      </c>
      <c r="B141" s="2" t="s">
        <v>574</v>
      </c>
      <c r="C141" s="13" t="n">
        <v>45947</v>
      </c>
      <c r="D141" s="13" t="n">
        <v>45948</v>
      </c>
      <c r="E141" s="2" t="s">
        <v>54</v>
      </c>
      <c r="F141" s="2" t="n">
        <v>72156.85</v>
      </c>
      <c r="G141" s="2" t="n">
        <v>68194.39</v>
      </c>
      <c r="H141" s="2" t="n">
        <v>15.095</v>
      </c>
      <c r="I141" s="2" t="n">
        <v>120</v>
      </c>
      <c r="J141" s="2" t="s">
        <v>40</v>
      </c>
      <c r="K141" s="2" t="n">
        <v>53687.67</v>
      </c>
      <c r="L141" s="2" t="n">
        <v>3</v>
      </c>
      <c r="M141" s="0" t="str">
        <f aca="false">IF(J141="Active",L141+(ROW()/1000000),"")</f>
        <v/>
      </c>
    </row>
    <row r="142" customFormat="false" ht="15" hidden="false" customHeight="false" outlineLevel="0" collapsed="false">
      <c r="A142" s="2" t="s">
        <v>8428</v>
      </c>
      <c r="B142" s="2" t="s">
        <v>1015</v>
      </c>
      <c r="C142" s="13" t="n">
        <v>45801</v>
      </c>
      <c r="D142" s="13"/>
      <c r="E142" s="2" t="s">
        <v>55</v>
      </c>
      <c r="F142" s="2" t="n">
        <v>260744.1</v>
      </c>
      <c r="G142" s="2" t="n">
        <v>0</v>
      </c>
      <c r="H142" s="2" t="n">
        <v>11.24</v>
      </c>
      <c r="I142" s="2" t="n">
        <v>120</v>
      </c>
      <c r="J142" s="2" t="s">
        <v>42</v>
      </c>
      <c r="K142" s="2" t="n">
        <v>0</v>
      </c>
      <c r="L142" s="2" t="n">
        <v>0</v>
      </c>
      <c r="M142" s="0" t="str">
        <f aca="false">IF(J142="Active",L142+(ROW()/1000000),"")</f>
        <v/>
      </c>
    </row>
    <row r="143" customFormat="false" ht="15" hidden="false" customHeight="false" outlineLevel="0" collapsed="false">
      <c r="A143" s="2" t="s">
        <v>8429</v>
      </c>
      <c r="B143" s="2" t="s">
        <v>231</v>
      </c>
      <c r="C143" s="13" t="n">
        <v>45360</v>
      </c>
      <c r="D143" s="13" t="n">
        <v>45361</v>
      </c>
      <c r="E143" s="2" t="s">
        <v>55</v>
      </c>
      <c r="F143" s="2" t="n">
        <v>249118.79</v>
      </c>
      <c r="G143" s="2" t="n">
        <v>194264.39</v>
      </c>
      <c r="H143" s="2" t="n">
        <v>13.706</v>
      </c>
      <c r="I143" s="2" t="n">
        <v>60</v>
      </c>
      <c r="J143" s="2" t="s">
        <v>36</v>
      </c>
      <c r="K143" s="2" t="n">
        <v>53675.18</v>
      </c>
      <c r="L143" s="2" t="n">
        <v>0</v>
      </c>
      <c r="M143" s="9" t="n">
        <f aca="false">IF(J143="Active",L143+(ROW()/1000000),"")</f>
        <v>0.000143</v>
      </c>
    </row>
    <row r="144" customFormat="false" ht="15" hidden="false" customHeight="false" outlineLevel="0" collapsed="false">
      <c r="A144" s="2" t="s">
        <v>8430</v>
      </c>
      <c r="B144" s="2" t="s">
        <v>4477</v>
      </c>
      <c r="C144" s="13" t="n">
        <v>45659</v>
      </c>
      <c r="D144" s="13" t="n">
        <v>45660</v>
      </c>
      <c r="E144" s="2" t="s">
        <v>53</v>
      </c>
      <c r="F144" s="2" t="n">
        <v>359349.9</v>
      </c>
      <c r="G144" s="2" t="n">
        <v>336911.05</v>
      </c>
      <c r="H144" s="2" t="n">
        <v>11.998</v>
      </c>
      <c r="I144" s="2" t="n">
        <v>60</v>
      </c>
      <c r="J144" s="2" t="s">
        <v>36</v>
      </c>
      <c r="K144" s="2" t="n">
        <v>74759.16</v>
      </c>
      <c r="L144" s="2" t="n">
        <v>0</v>
      </c>
      <c r="M144" s="9" t="n">
        <f aca="false">IF(J144="Active",L144+(ROW()/1000000),"")</f>
        <v>0.000144</v>
      </c>
    </row>
    <row r="145" customFormat="false" ht="15" hidden="false" customHeight="false" outlineLevel="0" collapsed="false">
      <c r="A145" s="2" t="s">
        <v>8431</v>
      </c>
      <c r="B145" s="2" t="s">
        <v>3485</v>
      </c>
      <c r="C145" s="13" t="n">
        <v>45867</v>
      </c>
      <c r="D145" s="13" t="n">
        <v>45870</v>
      </c>
      <c r="E145" s="2" t="s">
        <v>55</v>
      </c>
      <c r="F145" s="2" t="n">
        <v>337557.52</v>
      </c>
      <c r="G145" s="2" t="n">
        <v>305879.07</v>
      </c>
      <c r="H145" s="2" t="n">
        <v>8.804</v>
      </c>
      <c r="I145" s="2" t="n">
        <v>30</v>
      </c>
      <c r="J145" s="2" t="s">
        <v>36</v>
      </c>
      <c r="K145" s="2" t="n">
        <v>38389.96</v>
      </c>
      <c r="L145" s="2" t="n">
        <v>15</v>
      </c>
      <c r="M145" s="9" t="n">
        <f aca="false">IF(J145="Active",L145+(ROW()/1000000),"")</f>
        <v>15.000145</v>
      </c>
    </row>
    <row r="146" customFormat="false" ht="15" hidden="false" customHeight="false" outlineLevel="0" collapsed="false">
      <c r="A146" s="2" t="s">
        <v>8432</v>
      </c>
      <c r="B146" s="2" t="s">
        <v>655</v>
      </c>
      <c r="C146" s="13" t="n">
        <v>45446</v>
      </c>
      <c r="D146" s="13"/>
      <c r="E146" s="2" t="s">
        <v>53</v>
      </c>
      <c r="F146" s="2" t="n">
        <v>406714.04</v>
      </c>
      <c r="G146" s="2" t="n">
        <v>0</v>
      </c>
      <c r="H146" s="2" t="n">
        <v>15.068</v>
      </c>
      <c r="I146" s="2" t="n">
        <v>60</v>
      </c>
      <c r="J146" s="2" t="s">
        <v>42</v>
      </c>
      <c r="K146" s="2" t="n">
        <v>0</v>
      </c>
      <c r="L146" s="2" t="n">
        <v>0</v>
      </c>
      <c r="M146" s="0" t="str">
        <f aca="false">IF(J146="Active",L146+(ROW()/1000000),"")</f>
        <v/>
      </c>
    </row>
    <row r="147" customFormat="false" ht="15" hidden="false" customHeight="false" outlineLevel="0" collapsed="false">
      <c r="A147" s="2" t="s">
        <v>8433</v>
      </c>
      <c r="B147" s="2" t="s">
        <v>2279</v>
      </c>
      <c r="C147" s="13" t="n">
        <v>45951</v>
      </c>
      <c r="D147" s="13" t="n">
        <v>45954</v>
      </c>
      <c r="E147" s="2" t="s">
        <v>55</v>
      </c>
      <c r="F147" s="2" t="n">
        <v>33683.16</v>
      </c>
      <c r="G147" s="2" t="n">
        <v>28862.77</v>
      </c>
      <c r="H147" s="2" t="n">
        <v>11.656</v>
      </c>
      <c r="I147" s="2" t="n">
        <v>30</v>
      </c>
      <c r="J147" s="2" t="s">
        <v>38</v>
      </c>
      <c r="K147" s="2" t="n">
        <v>0</v>
      </c>
      <c r="L147" s="2" t="n">
        <v>0</v>
      </c>
      <c r="M147" s="0" t="str">
        <f aca="false">IF(J147="Active",L147+(ROW()/1000000),"")</f>
        <v/>
      </c>
    </row>
    <row r="148" customFormat="false" ht="15" hidden="false" customHeight="false" outlineLevel="0" collapsed="false">
      <c r="A148" s="2" t="s">
        <v>8434</v>
      </c>
      <c r="B148" s="2" t="s">
        <v>1994</v>
      </c>
      <c r="C148" s="13" t="n">
        <v>45312</v>
      </c>
      <c r="D148" s="13"/>
      <c r="E148" s="2" t="s">
        <v>55</v>
      </c>
      <c r="F148" s="2" t="n">
        <v>139079.91</v>
      </c>
      <c r="G148" s="2" t="n">
        <v>0</v>
      </c>
      <c r="H148" s="2" t="n">
        <v>9.633</v>
      </c>
      <c r="I148" s="2" t="n">
        <v>30</v>
      </c>
      <c r="J148" s="2" t="s">
        <v>42</v>
      </c>
      <c r="K148" s="2" t="n">
        <v>0</v>
      </c>
      <c r="L148" s="2" t="n">
        <v>0</v>
      </c>
      <c r="M148" s="0" t="str">
        <f aca="false">IF(J148="Active",L148+(ROW()/1000000),"")</f>
        <v/>
      </c>
    </row>
    <row r="149" customFormat="false" ht="15" hidden="false" customHeight="false" outlineLevel="0" collapsed="false">
      <c r="A149" s="2" t="s">
        <v>8435</v>
      </c>
      <c r="B149" s="2" t="s">
        <v>256</v>
      </c>
      <c r="C149" s="13" t="n">
        <v>45873</v>
      </c>
      <c r="D149" s="13" t="n">
        <v>45876</v>
      </c>
      <c r="E149" s="2" t="s">
        <v>54</v>
      </c>
      <c r="F149" s="2" t="n">
        <v>330853.07</v>
      </c>
      <c r="G149" s="2" t="n">
        <v>281961</v>
      </c>
      <c r="H149" s="2" t="n">
        <v>15.332</v>
      </c>
      <c r="I149" s="2" t="n">
        <v>30</v>
      </c>
      <c r="J149" s="2" t="s">
        <v>36</v>
      </c>
      <c r="K149" s="2" t="n">
        <v>113340.49</v>
      </c>
      <c r="L149" s="2" t="n">
        <v>30</v>
      </c>
      <c r="M149" s="9" t="n">
        <f aca="false">IF(J149="Active",L149+(ROW()/1000000),"")</f>
        <v>30.000149</v>
      </c>
    </row>
    <row r="150" customFormat="false" ht="15" hidden="false" customHeight="false" outlineLevel="0" collapsed="false">
      <c r="A150" s="2" t="s">
        <v>8436</v>
      </c>
      <c r="B150" s="2" t="s">
        <v>2215</v>
      </c>
      <c r="C150" s="13" t="n">
        <v>45833</v>
      </c>
      <c r="D150" s="13" t="n">
        <v>45834</v>
      </c>
      <c r="E150" s="2" t="s">
        <v>55</v>
      </c>
      <c r="F150" s="2" t="n">
        <v>118120.61</v>
      </c>
      <c r="G150" s="2" t="n">
        <v>107718.27</v>
      </c>
      <c r="H150" s="2" t="n">
        <v>13.551</v>
      </c>
      <c r="I150" s="2" t="n">
        <v>90</v>
      </c>
      <c r="J150" s="2" t="s">
        <v>38</v>
      </c>
      <c r="K150" s="2" t="n">
        <v>0</v>
      </c>
      <c r="L150" s="2" t="n">
        <v>0</v>
      </c>
      <c r="M150" s="0" t="str">
        <f aca="false">IF(J150="Active",L150+(ROW()/1000000),"")</f>
        <v/>
      </c>
    </row>
    <row r="151" customFormat="false" ht="15" hidden="false" customHeight="false" outlineLevel="0" collapsed="false">
      <c r="A151" s="2" t="s">
        <v>8437</v>
      </c>
      <c r="B151" s="2" t="s">
        <v>860</v>
      </c>
      <c r="C151" s="13" t="n">
        <v>45692</v>
      </c>
      <c r="D151" s="13" t="n">
        <v>45695</v>
      </c>
      <c r="E151" s="2" t="s">
        <v>53</v>
      </c>
      <c r="F151" s="2" t="n">
        <v>352593.57</v>
      </c>
      <c r="G151" s="2" t="n">
        <v>295912.54</v>
      </c>
      <c r="H151" s="2" t="n">
        <v>7.094</v>
      </c>
      <c r="I151" s="2" t="n">
        <v>90</v>
      </c>
      <c r="J151" s="2" t="s">
        <v>38</v>
      </c>
      <c r="K151" s="2" t="n">
        <v>0</v>
      </c>
      <c r="L151" s="2" t="n">
        <v>0</v>
      </c>
      <c r="M151" s="0" t="str">
        <f aca="false">IF(J151="Active",L151+(ROW()/1000000),"")</f>
        <v/>
      </c>
    </row>
    <row r="152" customFormat="false" ht="15" hidden="false" customHeight="false" outlineLevel="0" collapsed="false">
      <c r="A152" s="2" t="s">
        <v>8438</v>
      </c>
      <c r="B152" s="2" t="s">
        <v>3659</v>
      </c>
      <c r="C152" s="13" t="n">
        <v>45312</v>
      </c>
      <c r="D152" s="13"/>
      <c r="E152" s="2" t="s">
        <v>55</v>
      </c>
      <c r="F152" s="2" t="n">
        <v>324567.81</v>
      </c>
      <c r="G152" s="2" t="n">
        <v>0</v>
      </c>
      <c r="H152" s="2" t="n">
        <v>7.406</v>
      </c>
      <c r="I152" s="2" t="n">
        <v>30</v>
      </c>
      <c r="J152" s="2" t="s">
        <v>42</v>
      </c>
      <c r="K152" s="2" t="n">
        <v>0</v>
      </c>
      <c r="L152" s="2" t="n">
        <v>0</v>
      </c>
      <c r="M152" s="0" t="str">
        <f aca="false">IF(J152="Active",L152+(ROW()/1000000),"")</f>
        <v/>
      </c>
    </row>
    <row r="153" customFormat="false" ht="15" hidden="false" customHeight="false" outlineLevel="0" collapsed="false">
      <c r="A153" s="2" t="s">
        <v>8439</v>
      </c>
      <c r="B153" s="2" t="s">
        <v>501</v>
      </c>
      <c r="C153" s="13" t="n">
        <v>45915</v>
      </c>
      <c r="D153" s="13" t="n">
        <v>45920</v>
      </c>
      <c r="E153" s="2" t="s">
        <v>54</v>
      </c>
      <c r="F153" s="2" t="n">
        <v>276457.38</v>
      </c>
      <c r="G153" s="2" t="n">
        <v>157407.37</v>
      </c>
      <c r="H153" s="2" t="n">
        <v>14.61</v>
      </c>
      <c r="I153" s="2" t="n">
        <v>180</v>
      </c>
      <c r="J153" s="2" t="s">
        <v>36</v>
      </c>
      <c r="K153" s="2" t="n">
        <v>95972.58</v>
      </c>
      <c r="L153" s="2" t="n">
        <v>10</v>
      </c>
      <c r="M153" s="9" t="n">
        <f aca="false">IF(J153="Active",L153+(ROW()/1000000),"")</f>
        <v>10.000153</v>
      </c>
    </row>
    <row r="154" customFormat="false" ht="15" hidden="false" customHeight="false" outlineLevel="0" collapsed="false">
      <c r="A154" s="2" t="s">
        <v>8440</v>
      </c>
      <c r="B154" s="2" t="s">
        <v>2929</v>
      </c>
      <c r="C154" s="13" t="n">
        <v>45809</v>
      </c>
      <c r="D154" s="13" t="n">
        <v>45811</v>
      </c>
      <c r="E154" s="2" t="s">
        <v>53</v>
      </c>
      <c r="F154" s="2" t="n">
        <v>178984.93</v>
      </c>
      <c r="G154" s="2" t="n">
        <v>177059.69</v>
      </c>
      <c r="H154" s="2" t="n">
        <v>15.8</v>
      </c>
      <c r="I154" s="2" t="n">
        <v>180</v>
      </c>
      <c r="J154" s="2" t="s">
        <v>36</v>
      </c>
      <c r="K154" s="2" t="n">
        <v>150859.43</v>
      </c>
      <c r="L154" s="2" t="n">
        <v>5</v>
      </c>
      <c r="M154" s="9" t="n">
        <f aca="false">IF(J154="Active",L154+(ROW()/1000000),"")</f>
        <v>5.000154</v>
      </c>
    </row>
    <row r="155" customFormat="false" ht="15" hidden="false" customHeight="false" outlineLevel="0" collapsed="false">
      <c r="A155" s="2" t="s">
        <v>8441</v>
      </c>
      <c r="B155" s="2" t="s">
        <v>1220</v>
      </c>
      <c r="C155" s="13" t="n">
        <v>45586</v>
      </c>
      <c r="D155" s="13" t="n">
        <v>45589</v>
      </c>
      <c r="E155" s="2" t="s">
        <v>53</v>
      </c>
      <c r="F155" s="2" t="n">
        <v>422890.52</v>
      </c>
      <c r="G155" s="2" t="n">
        <v>282305.72</v>
      </c>
      <c r="H155" s="2" t="n">
        <v>7.141</v>
      </c>
      <c r="I155" s="2" t="n">
        <v>60</v>
      </c>
      <c r="J155" s="2" t="s">
        <v>36</v>
      </c>
      <c r="K155" s="2" t="n">
        <v>30841.66</v>
      </c>
      <c r="L155" s="2" t="n">
        <v>0</v>
      </c>
      <c r="M155" s="9" t="n">
        <f aca="false">IF(J155="Active",L155+(ROW()/1000000),"")</f>
        <v>0.000155</v>
      </c>
    </row>
    <row r="156" customFormat="false" ht="15" hidden="false" customHeight="false" outlineLevel="0" collapsed="false">
      <c r="A156" s="2" t="s">
        <v>8442</v>
      </c>
      <c r="B156" s="2" t="s">
        <v>1548</v>
      </c>
      <c r="C156" s="13" t="n">
        <v>45942</v>
      </c>
      <c r="D156" s="13"/>
      <c r="E156" s="2" t="s">
        <v>54</v>
      </c>
      <c r="F156" s="2" t="n">
        <v>306960.1</v>
      </c>
      <c r="G156" s="2" t="n">
        <v>0</v>
      </c>
      <c r="H156" s="2" t="n">
        <v>11.842</v>
      </c>
      <c r="I156" s="2" t="n">
        <v>30</v>
      </c>
      <c r="J156" s="2" t="s">
        <v>42</v>
      </c>
      <c r="K156" s="2" t="n">
        <v>0</v>
      </c>
      <c r="L156" s="2" t="n">
        <v>0</v>
      </c>
      <c r="M156" s="0" t="str">
        <f aca="false">IF(J156="Active",L156+(ROW()/1000000),"")</f>
        <v/>
      </c>
    </row>
    <row r="157" customFormat="false" ht="15" hidden="false" customHeight="false" outlineLevel="0" collapsed="false">
      <c r="A157" s="2" t="s">
        <v>8443</v>
      </c>
      <c r="B157" s="2" t="s">
        <v>2061</v>
      </c>
      <c r="C157" s="13" t="n">
        <v>45412</v>
      </c>
      <c r="D157" s="13" t="n">
        <v>45414</v>
      </c>
      <c r="E157" s="2" t="s">
        <v>54</v>
      </c>
      <c r="F157" s="2" t="n">
        <v>254852.9</v>
      </c>
      <c r="G157" s="2" t="n">
        <v>225261.65</v>
      </c>
      <c r="H157" s="2" t="n">
        <v>11.544</v>
      </c>
      <c r="I157" s="2" t="n">
        <v>180</v>
      </c>
      <c r="J157" s="2" t="s">
        <v>40</v>
      </c>
      <c r="K157" s="2" t="n">
        <v>135195.06</v>
      </c>
      <c r="L157" s="2" t="n">
        <v>60</v>
      </c>
      <c r="M157" s="0" t="str">
        <f aca="false">IF(J157="Active",L157+(ROW()/1000000),"")</f>
        <v/>
      </c>
    </row>
    <row r="158" customFormat="false" ht="15" hidden="false" customHeight="false" outlineLevel="0" collapsed="false">
      <c r="A158" s="2" t="s">
        <v>8444</v>
      </c>
      <c r="B158" s="2" t="s">
        <v>7387</v>
      </c>
      <c r="C158" s="13" t="n">
        <v>45916</v>
      </c>
      <c r="D158" s="13" t="n">
        <v>45916</v>
      </c>
      <c r="E158" s="2" t="s">
        <v>55</v>
      </c>
      <c r="F158" s="2" t="n">
        <v>122320.06</v>
      </c>
      <c r="G158" s="2" t="n">
        <v>113380.1</v>
      </c>
      <c r="H158" s="2" t="n">
        <v>16.169</v>
      </c>
      <c r="I158" s="2" t="n">
        <v>30</v>
      </c>
      <c r="J158" s="2" t="s">
        <v>36</v>
      </c>
      <c r="K158" s="2" t="n">
        <v>51579.65</v>
      </c>
      <c r="L158" s="2" t="n">
        <v>5</v>
      </c>
      <c r="M158" s="9" t="n">
        <f aca="false">IF(J158="Active",L158+(ROW()/1000000),"")</f>
        <v>5.000158</v>
      </c>
    </row>
    <row r="159" customFormat="false" ht="15" hidden="false" customHeight="false" outlineLevel="0" collapsed="false">
      <c r="A159" s="2" t="s">
        <v>8445</v>
      </c>
      <c r="B159" s="2" t="s">
        <v>2028</v>
      </c>
      <c r="C159" s="13" t="n">
        <v>45413</v>
      </c>
      <c r="D159" s="13" t="n">
        <v>45413</v>
      </c>
      <c r="E159" s="2" t="s">
        <v>55</v>
      </c>
      <c r="F159" s="2" t="n">
        <v>220549.48</v>
      </c>
      <c r="G159" s="2" t="n">
        <v>154335.71</v>
      </c>
      <c r="H159" s="2" t="n">
        <v>17.965</v>
      </c>
      <c r="I159" s="2" t="n">
        <v>30</v>
      </c>
      <c r="J159" s="2" t="s">
        <v>38</v>
      </c>
      <c r="K159" s="2" t="n">
        <v>0</v>
      </c>
      <c r="L159" s="2" t="n">
        <v>0</v>
      </c>
      <c r="M159" s="0" t="str">
        <f aca="false">IF(J159="Active",L159+(ROW()/1000000),"")</f>
        <v/>
      </c>
    </row>
    <row r="160" customFormat="false" ht="15" hidden="false" customHeight="false" outlineLevel="0" collapsed="false">
      <c r="A160" s="2" t="s">
        <v>8446</v>
      </c>
      <c r="B160" s="2" t="s">
        <v>8447</v>
      </c>
      <c r="C160" s="13" t="n">
        <v>45484</v>
      </c>
      <c r="D160" s="13" t="n">
        <v>45489</v>
      </c>
      <c r="E160" s="2" t="s">
        <v>54</v>
      </c>
      <c r="F160" s="2" t="n">
        <v>172800.39</v>
      </c>
      <c r="G160" s="2" t="n">
        <v>162753.66</v>
      </c>
      <c r="H160" s="2" t="n">
        <v>10.656</v>
      </c>
      <c r="I160" s="2" t="n">
        <v>120</v>
      </c>
      <c r="J160" s="2" t="s">
        <v>38</v>
      </c>
      <c r="K160" s="2" t="n">
        <v>0</v>
      </c>
      <c r="L160" s="2" t="n">
        <v>0</v>
      </c>
      <c r="M160" s="0" t="str">
        <f aca="false">IF(J160="Active",L160+(ROW()/1000000),"")</f>
        <v/>
      </c>
    </row>
    <row r="161" customFormat="false" ht="15" hidden="false" customHeight="false" outlineLevel="0" collapsed="false">
      <c r="A161" s="2" t="s">
        <v>8448</v>
      </c>
      <c r="B161" s="2" t="s">
        <v>3659</v>
      </c>
      <c r="C161" s="13" t="n">
        <v>45952</v>
      </c>
      <c r="D161" s="13" t="n">
        <v>45956</v>
      </c>
      <c r="E161" s="2" t="s">
        <v>54</v>
      </c>
      <c r="F161" s="2" t="n">
        <v>430538.77</v>
      </c>
      <c r="G161" s="2" t="n">
        <v>409834.13</v>
      </c>
      <c r="H161" s="2" t="n">
        <v>16.056</v>
      </c>
      <c r="I161" s="2" t="n">
        <v>120</v>
      </c>
      <c r="J161" s="2" t="s">
        <v>40</v>
      </c>
      <c r="K161" s="2" t="n">
        <v>139350.91</v>
      </c>
      <c r="L161" s="2" t="n">
        <v>60</v>
      </c>
      <c r="M161" s="0" t="str">
        <f aca="false">IF(J161="Active",L161+(ROW()/1000000),"")</f>
        <v/>
      </c>
    </row>
    <row r="162" customFormat="false" ht="15" hidden="false" customHeight="false" outlineLevel="0" collapsed="false">
      <c r="A162" s="2" t="s">
        <v>8449</v>
      </c>
      <c r="B162" s="2" t="s">
        <v>5835</v>
      </c>
      <c r="C162" s="13" t="n">
        <v>45494</v>
      </c>
      <c r="D162" s="13"/>
      <c r="E162" s="2" t="s">
        <v>53</v>
      </c>
      <c r="F162" s="2" t="n">
        <v>34149.5</v>
      </c>
      <c r="G162" s="2" t="n">
        <v>0</v>
      </c>
      <c r="H162" s="2" t="n">
        <v>12.453</v>
      </c>
      <c r="I162" s="2" t="n">
        <v>180</v>
      </c>
      <c r="J162" s="2" t="s">
        <v>42</v>
      </c>
      <c r="K162" s="2" t="n">
        <v>0</v>
      </c>
      <c r="L162" s="2" t="n">
        <v>0</v>
      </c>
      <c r="M162" s="0" t="str">
        <f aca="false">IF(J162="Active",L162+(ROW()/1000000),"")</f>
        <v/>
      </c>
    </row>
    <row r="163" customFormat="false" ht="15" hidden="false" customHeight="false" outlineLevel="0" collapsed="false">
      <c r="A163" s="2" t="s">
        <v>8450</v>
      </c>
      <c r="B163" s="2" t="s">
        <v>8451</v>
      </c>
      <c r="C163" s="13" t="n">
        <v>45744</v>
      </c>
      <c r="D163" s="13" t="n">
        <v>45746</v>
      </c>
      <c r="E163" s="2" t="s">
        <v>54</v>
      </c>
      <c r="F163" s="2" t="n">
        <v>441832.25</v>
      </c>
      <c r="G163" s="2" t="n">
        <v>336849.25</v>
      </c>
      <c r="H163" s="2" t="n">
        <v>15.492</v>
      </c>
      <c r="I163" s="2" t="n">
        <v>90</v>
      </c>
      <c r="J163" s="2" t="s">
        <v>38</v>
      </c>
      <c r="K163" s="2" t="n">
        <v>0</v>
      </c>
      <c r="L163" s="2" t="n">
        <v>0</v>
      </c>
      <c r="M163" s="0" t="str">
        <f aca="false">IF(J163="Active",L163+(ROW()/1000000),"")</f>
        <v/>
      </c>
    </row>
    <row r="164" customFormat="false" ht="15" hidden="false" customHeight="false" outlineLevel="0" collapsed="false">
      <c r="A164" s="2" t="s">
        <v>8452</v>
      </c>
      <c r="B164" s="2" t="s">
        <v>2752</v>
      </c>
      <c r="C164" s="13" t="n">
        <v>45368</v>
      </c>
      <c r="D164" s="13" t="n">
        <v>45371</v>
      </c>
      <c r="E164" s="2" t="s">
        <v>53</v>
      </c>
      <c r="F164" s="2" t="n">
        <v>127924.82</v>
      </c>
      <c r="G164" s="2" t="n">
        <v>108432.47</v>
      </c>
      <c r="H164" s="2" t="n">
        <v>9.221</v>
      </c>
      <c r="I164" s="2" t="n">
        <v>60</v>
      </c>
      <c r="J164" s="2" t="s">
        <v>38</v>
      </c>
      <c r="K164" s="2" t="n">
        <v>0</v>
      </c>
      <c r="L164" s="2" t="n">
        <v>0</v>
      </c>
      <c r="M164" s="0" t="str">
        <f aca="false">IF(J164="Active",L164+(ROW()/1000000),"")</f>
        <v/>
      </c>
    </row>
    <row r="165" customFormat="false" ht="15" hidden="false" customHeight="false" outlineLevel="0" collapsed="false">
      <c r="A165" s="2" t="s">
        <v>8453</v>
      </c>
      <c r="B165" s="2" t="s">
        <v>815</v>
      </c>
      <c r="C165" s="13" t="n">
        <v>45293</v>
      </c>
      <c r="D165" s="13"/>
      <c r="E165" s="2" t="s">
        <v>54</v>
      </c>
      <c r="F165" s="2" t="n">
        <v>56803.55</v>
      </c>
      <c r="G165" s="2" t="n">
        <v>0</v>
      </c>
      <c r="H165" s="2" t="n">
        <v>12.04</v>
      </c>
      <c r="I165" s="2" t="n">
        <v>30</v>
      </c>
      <c r="J165" s="2" t="s">
        <v>42</v>
      </c>
      <c r="K165" s="2" t="n">
        <v>0</v>
      </c>
      <c r="L165" s="2" t="n">
        <v>0</v>
      </c>
      <c r="M165" s="0" t="str">
        <f aca="false">IF(J165="Active",L165+(ROW()/1000000),"")</f>
        <v/>
      </c>
    </row>
    <row r="166" customFormat="false" ht="15" hidden="false" customHeight="false" outlineLevel="0" collapsed="false">
      <c r="A166" s="2" t="s">
        <v>8454</v>
      </c>
      <c r="B166" s="2" t="s">
        <v>1556</v>
      </c>
      <c r="C166" s="13" t="n">
        <v>45318</v>
      </c>
      <c r="D166" s="13" t="n">
        <v>45318</v>
      </c>
      <c r="E166" s="2" t="s">
        <v>55</v>
      </c>
      <c r="F166" s="2" t="n">
        <v>248826.83</v>
      </c>
      <c r="G166" s="2" t="n">
        <v>146819.99</v>
      </c>
      <c r="H166" s="2" t="n">
        <v>8.576</v>
      </c>
      <c r="I166" s="2" t="n">
        <v>30</v>
      </c>
      <c r="J166" s="2" t="s">
        <v>36</v>
      </c>
      <c r="K166" s="2" t="n">
        <v>22626.23</v>
      </c>
      <c r="L166" s="2" t="n">
        <v>3</v>
      </c>
      <c r="M166" s="9" t="n">
        <f aca="false">IF(J166="Active",L166+(ROW()/1000000),"")</f>
        <v>3.000166</v>
      </c>
    </row>
    <row r="167" customFormat="false" ht="15" hidden="false" customHeight="false" outlineLevel="0" collapsed="false">
      <c r="A167" s="2" t="s">
        <v>8455</v>
      </c>
      <c r="B167" s="2" t="s">
        <v>2516</v>
      </c>
      <c r="C167" s="13" t="n">
        <v>45447</v>
      </c>
      <c r="D167" s="13" t="n">
        <v>45450</v>
      </c>
      <c r="E167" s="2" t="s">
        <v>54</v>
      </c>
      <c r="F167" s="2" t="n">
        <v>132256.03</v>
      </c>
      <c r="G167" s="2" t="n">
        <v>78504.09</v>
      </c>
      <c r="H167" s="2" t="n">
        <v>13.345</v>
      </c>
      <c r="I167" s="2" t="n">
        <v>90</v>
      </c>
      <c r="J167" s="2" t="s">
        <v>36</v>
      </c>
      <c r="K167" s="2" t="n">
        <v>4605.54</v>
      </c>
      <c r="L167" s="2" t="n">
        <v>90</v>
      </c>
      <c r="M167" s="9" t="n">
        <f aca="false">IF(J167="Active",L167+(ROW()/1000000),"")</f>
        <v>90.000167</v>
      </c>
    </row>
    <row r="168" customFormat="false" ht="15" hidden="false" customHeight="false" outlineLevel="0" collapsed="false">
      <c r="A168" s="2" t="s">
        <v>8456</v>
      </c>
      <c r="B168" s="2" t="s">
        <v>4529</v>
      </c>
      <c r="C168" s="13" t="n">
        <v>46013</v>
      </c>
      <c r="D168" s="13"/>
      <c r="E168" s="2" t="s">
        <v>53</v>
      </c>
      <c r="F168" s="2" t="n">
        <v>269710.47</v>
      </c>
      <c r="G168" s="2" t="n">
        <v>0</v>
      </c>
      <c r="H168" s="2" t="n">
        <v>8.251</v>
      </c>
      <c r="I168" s="2" t="n">
        <v>120</v>
      </c>
      <c r="J168" s="2" t="s">
        <v>42</v>
      </c>
      <c r="K168" s="2" t="n">
        <v>0</v>
      </c>
      <c r="L168" s="2" t="n">
        <v>0</v>
      </c>
      <c r="M168" s="0" t="str">
        <f aca="false">IF(J168="Active",L168+(ROW()/1000000),"")</f>
        <v/>
      </c>
    </row>
    <row r="169" customFormat="false" ht="15" hidden="false" customHeight="false" outlineLevel="0" collapsed="false">
      <c r="A169" s="2" t="s">
        <v>8457</v>
      </c>
      <c r="B169" s="2" t="s">
        <v>1258</v>
      </c>
      <c r="C169" s="13" t="n">
        <v>45378</v>
      </c>
      <c r="D169" s="13"/>
      <c r="E169" s="2" t="s">
        <v>53</v>
      </c>
      <c r="F169" s="2" t="n">
        <v>14145.77</v>
      </c>
      <c r="G169" s="2" t="n">
        <v>0</v>
      </c>
      <c r="H169" s="2" t="n">
        <v>9.868</v>
      </c>
      <c r="I169" s="2" t="n">
        <v>90</v>
      </c>
      <c r="J169" s="2" t="s">
        <v>42</v>
      </c>
      <c r="K169" s="2" t="n">
        <v>0</v>
      </c>
      <c r="L169" s="2" t="n">
        <v>0</v>
      </c>
      <c r="M169" s="0" t="str">
        <f aca="false">IF(J169="Active",L169+(ROW()/1000000),"")</f>
        <v/>
      </c>
    </row>
    <row r="170" customFormat="false" ht="15" hidden="false" customHeight="false" outlineLevel="0" collapsed="false">
      <c r="A170" s="2" t="s">
        <v>8458</v>
      </c>
      <c r="B170" s="2" t="s">
        <v>6717</v>
      </c>
      <c r="C170" s="13" t="n">
        <v>45905</v>
      </c>
      <c r="D170" s="13" t="n">
        <v>45907</v>
      </c>
      <c r="E170" s="2" t="s">
        <v>55</v>
      </c>
      <c r="F170" s="2" t="n">
        <v>143944.76</v>
      </c>
      <c r="G170" s="2" t="n">
        <v>129958.3</v>
      </c>
      <c r="H170" s="2" t="n">
        <v>7.824</v>
      </c>
      <c r="I170" s="2" t="n">
        <v>60</v>
      </c>
      <c r="J170" s="2" t="s">
        <v>36</v>
      </c>
      <c r="K170" s="2" t="n">
        <v>93618.14</v>
      </c>
      <c r="L170" s="2" t="n">
        <v>15</v>
      </c>
      <c r="M170" s="9" t="n">
        <f aca="false">IF(J170="Active",L170+(ROW()/1000000),"")</f>
        <v>15.00017</v>
      </c>
    </row>
    <row r="171" customFormat="false" ht="15" hidden="false" customHeight="false" outlineLevel="0" collapsed="false">
      <c r="A171" s="2" t="s">
        <v>8459</v>
      </c>
      <c r="B171" s="2" t="s">
        <v>4871</v>
      </c>
      <c r="C171" s="13" t="n">
        <v>45998</v>
      </c>
      <c r="D171" s="13" t="n">
        <v>46001</v>
      </c>
      <c r="E171" s="2" t="s">
        <v>54</v>
      </c>
      <c r="F171" s="2" t="n">
        <v>492669.42</v>
      </c>
      <c r="G171" s="2" t="n">
        <v>423901.65</v>
      </c>
      <c r="H171" s="2" t="n">
        <v>10.745</v>
      </c>
      <c r="I171" s="2" t="n">
        <v>30</v>
      </c>
      <c r="J171" s="2" t="s">
        <v>36</v>
      </c>
      <c r="K171" s="2" t="n">
        <v>71643.74</v>
      </c>
      <c r="L171" s="2" t="n">
        <v>0</v>
      </c>
      <c r="M171" s="9" t="n">
        <f aca="false">IF(J171="Active",L171+(ROW()/1000000),"")</f>
        <v>0.000171</v>
      </c>
    </row>
    <row r="172" customFormat="false" ht="15" hidden="false" customHeight="false" outlineLevel="0" collapsed="false">
      <c r="A172" s="2" t="s">
        <v>8460</v>
      </c>
      <c r="B172" s="2" t="s">
        <v>3387</v>
      </c>
      <c r="C172" s="13" t="n">
        <v>45682</v>
      </c>
      <c r="D172" s="13" t="n">
        <v>45687</v>
      </c>
      <c r="E172" s="2" t="s">
        <v>53</v>
      </c>
      <c r="F172" s="2" t="n">
        <v>374104.75</v>
      </c>
      <c r="G172" s="2" t="n">
        <v>236073.57</v>
      </c>
      <c r="H172" s="2" t="n">
        <v>14.931</v>
      </c>
      <c r="I172" s="2" t="n">
        <v>180</v>
      </c>
      <c r="J172" s="2" t="s">
        <v>36</v>
      </c>
      <c r="K172" s="2" t="n">
        <v>76026.7</v>
      </c>
      <c r="L172" s="2" t="n">
        <v>15</v>
      </c>
      <c r="M172" s="9" t="n">
        <f aca="false">IF(J172="Active",L172+(ROW()/1000000),"")</f>
        <v>15.000172</v>
      </c>
    </row>
    <row r="173" customFormat="false" ht="15" hidden="false" customHeight="false" outlineLevel="0" collapsed="false">
      <c r="A173" s="2" t="s">
        <v>8461</v>
      </c>
      <c r="B173" s="2" t="s">
        <v>690</v>
      </c>
      <c r="C173" s="13" t="n">
        <v>45385</v>
      </c>
      <c r="D173" s="13" t="n">
        <v>45389</v>
      </c>
      <c r="E173" s="2" t="s">
        <v>53</v>
      </c>
      <c r="F173" s="2" t="n">
        <v>267548.62</v>
      </c>
      <c r="G173" s="2" t="n">
        <v>185325.23</v>
      </c>
      <c r="H173" s="2" t="n">
        <v>16.609</v>
      </c>
      <c r="I173" s="2" t="n">
        <v>180</v>
      </c>
      <c r="J173" s="2" t="s">
        <v>40</v>
      </c>
      <c r="K173" s="2" t="n">
        <v>93853.94</v>
      </c>
      <c r="L173" s="2" t="n">
        <v>15</v>
      </c>
      <c r="M173" s="0" t="str">
        <f aca="false">IF(J173="Active",L173+(ROW()/1000000),"")</f>
        <v/>
      </c>
    </row>
    <row r="174" customFormat="false" ht="15" hidden="false" customHeight="false" outlineLevel="0" collapsed="false">
      <c r="A174" s="2" t="s">
        <v>8462</v>
      </c>
      <c r="B174" s="2" t="s">
        <v>2247</v>
      </c>
      <c r="C174" s="13" t="n">
        <v>45514</v>
      </c>
      <c r="D174" s="13" t="n">
        <v>45516</v>
      </c>
      <c r="E174" s="2" t="s">
        <v>54</v>
      </c>
      <c r="F174" s="2" t="n">
        <v>335994.34</v>
      </c>
      <c r="G174" s="2" t="n">
        <v>252803.81</v>
      </c>
      <c r="H174" s="2" t="n">
        <v>12.855</v>
      </c>
      <c r="I174" s="2" t="n">
        <v>60</v>
      </c>
      <c r="J174" s="2" t="s">
        <v>36</v>
      </c>
      <c r="K174" s="2" t="n">
        <v>92791.51</v>
      </c>
      <c r="L174" s="2" t="n">
        <v>90</v>
      </c>
      <c r="M174" s="9" t="n">
        <f aca="false">IF(J174="Active",L174+(ROW()/1000000),"")</f>
        <v>90.000174</v>
      </c>
    </row>
    <row r="175" customFormat="false" ht="15" hidden="false" customHeight="false" outlineLevel="0" collapsed="false">
      <c r="A175" s="2" t="s">
        <v>8463</v>
      </c>
      <c r="B175" s="2" t="s">
        <v>6451</v>
      </c>
      <c r="C175" s="13" t="n">
        <v>45846</v>
      </c>
      <c r="D175" s="13" t="n">
        <v>45851</v>
      </c>
      <c r="E175" s="2" t="s">
        <v>53</v>
      </c>
      <c r="F175" s="2" t="n">
        <v>280446.82</v>
      </c>
      <c r="G175" s="2" t="n">
        <v>206066.37</v>
      </c>
      <c r="H175" s="2" t="n">
        <v>10.34</v>
      </c>
      <c r="I175" s="2" t="n">
        <v>60</v>
      </c>
      <c r="J175" s="2" t="s">
        <v>38</v>
      </c>
      <c r="K175" s="2" t="n">
        <v>0</v>
      </c>
      <c r="L175" s="2" t="n">
        <v>0</v>
      </c>
      <c r="M175" s="0" t="str">
        <f aca="false">IF(J175="Active",L175+(ROW()/1000000),"")</f>
        <v/>
      </c>
    </row>
    <row r="176" customFormat="false" ht="15" hidden="false" customHeight="false" outlineLevel="0" collapsed="false">
      <c r="A176" s="2" t="s">
        <v>8464</v>
      </c>
      <c r="B176" s="2" t="s">
        <v>8465</v>
      </c>
      <c r="C176" s="13" t="n">
        <v>45521</v>
      </c>
      <c r="D176" s="13" t="n">
        <v>45522</v>
      </c>
      <c r="E176" s="2" t="s">
        <v>55</v>
      </c>
      <c r="F176" s="2" t="n">
        <v>339546.58</v>
      </c>
      <c r="G176" s="2" t="n">
        <v>254159.2</v>
      </c>
      <c r="H176" s="2" t="n">
        <v>17.661</v>
      </c>
      <c r="I176" s="2" t="n">
        <v>30</v>
      </c>
      <c r="J176" s="2" t="s">
        <v>40</v>
      </c>
      <c r="K176" s="2" t="n">
        <v>99114.05</v>
      </c>
      <c r="L176" s="2" t="n">
        <v>0</v>
      </c>
      <c r="M176" s="0" t="str">
        <f aca="false">IF(J176="Active",L176+(ROW()/1000000),"")</f>
        <v/>
      </c>
    </row>
    <row r="177" customFormat="false" ht="15" hidden="false" customHeight="false" outlineLevel="0" collapsed="false">
      <c r="A177" s="2" t="s">
        <v>8466</v>
      </c>
      <c r="B177" s="2" t="s">
        <v>5751</v>
      </c>
      <c r="C177" s="13" t="n">
        <v>45629</v>
      </c>
      <c r="D177" s="13" t="n">
        <v>45632</v>
      </c>
      <c r="E177" s="2" t="s">
        <v>55</v>
      </c>
      <c r="F177" s="2" t="n">
        <v>173028.06</v>
      </c>
      <c r="G177" s="2" t="n">
        <v>155735.86</v>
      </c>
      <c r="H177" s="2" t="n">
        <v>10.366</v>
      </c>
      <c r="I177" s="2" t="n">
        <v>120</v>
      </c>
      <c r="J177" s="2" t="s">
        <v>38</v>
      </c>
      <c r="K177" s="2" t="n">
        <v>0</v>
      </c>
      <c r="L177" s="2" t="n">
        <v>0</v>
      </c>
      <c r="M177" s="0" t="str">
        <f aca="false">IF(J177="Active",L177+(ROW()/1000000),"")</f>
        <v/>
      </c>
    </row>
    <row r="178" customFormat="false" ht="15" hidden="false" customHeight="false" outlineLevel="0" collapsed="false">
      <c r="A178" s="2" t="s">
        <v>8467</v>
      </c>
      <c r="B178" s="2" t="s">
        <v>4077</v>
      </c>
      <c r="C178" s="13" t="n">
        <v>45513</v>
      </c>
      <c r="D178" s="13" t="n">
        <v>45515</v>
      </c>
      <c r="E178" s="2" t="s">
        <v>54</v>
      </c>
      <c r="F178" s="2" t="n">
        <v>266670.57</v>
      </c>
      <c r="G178" s="2" t="n">
        <v>172807.25</v>
      </c>
      <c r="H178" s="2" t="n">
        <v>7.143</v>
      </c>
      <c r="I178" s="2" t="n">
        <v>90</v>
      </c>
      <c r="J178" s="2" t="s">
        <v>36</v>
      </c>
      <c r="K178" s="2" t="n">
        <v>36591.83</v>
      </c>
      <c r="L178" s="2" t="n">
        <v>90</v>
      </c>
      <c r="M178" s="9" t="n">
        <f aca="false">IF(J178="Active",L178+(ROW()/1000000),"")</f>
        <v>90.000178</v>
      </c>
    </row>
    <row r="179" customFormat="false" ht="15" hidden="false" customHeight="false" outlineLevel="0" collapsed="false">
      <c r="A179" s="2" t="s">
        <v>8468</v>
      </c>
      <c r="B179" s="2" t="s">
        <v>2110</v>
      </c>
      <c r="C179" s="13" t="n">
        <v>45899</v>
      </c>
      <c r="D179" s="13" t="n">
        <v>45901</v>
      </c>
      <c r="E179" s="2" t="s">
        <v>53</v>
      </c>
      <c r="F179" s="2" t="n">
        <v>322928.89</v>
      </c>
      <c r="G179" s="2" t="n">
        <v>255678.58</v>
      </c>
      <c r="H179" s="2" t="n">
        <v>11.394</v>
      </c>
      <c r="I179" s="2" t="n">
        <v>30</v>
      </c>
      <c r="J179" s="2" t="s">
        <v>36</v>
      </c>
      <c r="K179" s="2" t="n">
        <v>48927.38</v>
      </c>
      <c r="L179" s="2" t="n">
        <v>3</v>
      </c>
      <c r="M179" s="9" t="n">
        <f aca="false">IF(J179="Active",L179+(ROW()/1000000),"")</f>
        <v>3.000179</v>
      </c>
    </row>
    <row r="180" customFormat="false" ht="15" hidden="false" customHeight="false" outlineLevel="0" collapsed="false">
      <c r="A180" s="2" t="s">
        <v>8469</v>
      </c>
      <c r="B180" s="2" t="s">
        <v>4001</v>
      </c>
      <c r="C180" s="13" t="n">
        <v>45363</v>
      </c>
      <c r="D180" s="13" t="n">
        <v>45366</v>
      </c>
      <c r="E180" s="2" t="s">
        <v>55</v>
      </c>
      <c r="F180" s="2" t="n">
        <v>60124.05</v>
      </c>
      <c r="G180" s="2" t="n">
        <v>55098.59</v>
      </c>
      <c r="H180" s="2" t="n">
        <v>17.245</v>
      </c>
      <c r="I180" s="2" t="n">
        <v>120</v>
      </c>
      <c r="J180" s="2" t="s">
        <v>36</v>
      </c>
      <c r="K180" s="2" t="n">
        <v>22751.18</v>
      </c>
      <c r="L180" s="2" t="n">
        <v>0</v>
      </c>
      <c r="M180" s="9" t="n">
        <f aca="false">IF(J180="Active",L180+(ROW()/1000000),"")</f>
        <v>0.00018</v>
      </c>
    </row>
    <row r="181" customFormat="false" ht="15" hidden="false" customHeight="false" outlineLevel="0" collapsed="false">
      <c r="A181" s="2" t="s">
        <v>8470</v>
      </c>
      <c r="B181" s="2" t="s">
        <v>860</v>
      </c>
      <c r="C181" s="13" t="n">
        <v>45382</v>
      </c>
      <c r="D181" s="13" t="n">
        <v>45384</v>
      </c>
      <c r="E181" s="2" t="s">
        <v>53</v>
      </c>
      <c r="F181" s="2" t="n">
        <v>192156.73</v>
      </c>
      <c r="G181" s="2" t="n">
        <v>182831.76</v>
      </c>
      <c r="H181" s="2" t="n">
        <v>12.522</v>
      </c>
      <c r="I181" s="2" t="n">
        <v>60</v>
      </c>
      <c r="J181" s="2" t="s">
        <v>36</v>
      </c>
      <c r="K181" s="2" t="n">
        <v>92349.6</v>
      </c>
      <c r="L181" s="2" t="n">
        <v>90</v>
      </c>
      <c r="M181" s="9" t="n">
        <f aca="false">IF(J181="Active",L181+(ROW()/1000000),"")</f>
        <v>90.000181</v>
      </c>
    </row>
    <row r="182" customFormat="false" ht="15" hidden="false" customHeight="false" outlineLevel="0" collapsed="false">
      <c r="A182" s="2" t="s">
        <v>8471</v>
      </c>
      <c r="B182" s="2" t="s">
        <v>4359</v>
      </c>
      <c r="C182" s="13" t="n">
        <v>45609</v>
      </c>
      <c r="D182" s="13" t="n">
        <v>45611</v>
      </c>
      <c r="E182" s="2" t="s">
        <v>54</v>
      </c>
      <c r="F182" s="2" t="n">
        <v>368848.55</v>
      </c>
      <c r="G182" s="2" t="n">
        <v>343541.54</v>
      </c>
      <c r="H182" s="2" t="n">
        <v>13.125</v>
      </c>
      <c r="I182" s="2" t="n">
        <v>90</v>
      </c>
      <c r="J182" s="2" t="s">
        <v>36</v>
      </c>
      <c r="K182" s="2" t="n">
        <v>187961.17</v>
      </c>
      <c r="L182" s="2" t="n">
        <v>90</v>
      </c>
      <c r="M182" s="9" t="n">
        <f aca="false">IF(J182="Active",L182+(ROW()/1000000),"")</f>
        <v>90.000182</v>
      </c>
    </row>
    <row r="183" customFormat="false" ht="15" hidden="false" customHeight="false" outlineLevel="0" collapsed="false">
      <c r="A183" s="2" t="s">
        <v>8472</v>
      </c>
      <c r="B183" s="2" t="s">
        <v>8473</v>
      </c>
      <c r="C183" s="13" t="n">
        <v>46011</v>
      </c>
      <c r="D183" s="13" t="n">
        <v>46013</v>
      </c>
      <c r="E183" s="2" t="s">
        <v>54</v>
      </c>
      <c r="F183" s="2" t="n">
        <v>458692.81</v>
      </c>
      <c r="G183" s="2" t="n">
        <v>381898.05</v>
      </c>
      <c r="H183" s="2" t="n">
        <v>14.584</v>
      </c>
      <c r="I183" s="2" t="n">
        <v>180</v>
      </c>
      <c r="J183" s="2" t="s">
        <v>40</v>
      </c>
      <c r="K183" s="2" t="n">
        <v>267217.54</v>
      </c>
      <c r="L183" s="2" t="n">
        <v>10</v>
      </c>
      <c r="M183" s="0" t="str">
        <f aca="false">IF(J183="Active",L183+(ROW()/1000000),"")</f>
        <v/>
      </c>
    </row>
    <row r="184" customFormat="false" ht="15" hidden="false" customHeight="false" outlineLevel="0" collapsed="false">
      <c r="A184" s="2" t="s">
        <v>8474</v>
      </c>
      <c r="B184" s="2" t="s">
        <v>5417</v>
      </c>
      <c r="C184" s="13" t="n">
        <v>45700</v>
      </c>
      <c r="D184" s="13" t="n">
        <v>45705</v>
      </c>
      <c r="E184" s="2" t="s">
        <v>55</v>
      </c>
      <c r="F184" s="2" t="n">
        <v>265867.7</v>
      </c>
      <c r="G184" s="2" t="n">
        <v>254521.39</v>
      </c>
      <c r="H184" s="2" t="n">
        <v>15.31</v>
      </c>
      <c r="I184" s="2" t="n">
        <v>180</v>
      </c>
      <c r="J184" s="2" t="s">
        <v>36</v>
      </c>
      <c r="K184" s="2" t="n">
        <v>70854.94</v>
      </c>
      <c r="L184" s="2" t="n">
        <v>15</v>
      </c>
      <c r="M184" s="9" t="n">
        <f aca="false">IF(J184="Active",L184+(ROW()/1000000),"")</f>
        <v>15.000184</v>
      </c>
    </row>
    <row r="185" customFormat="false" ht="15" hidden="false" customHeight="false" outlineLevel="0" collapsed="false">
      <c r="A185" s="2" t="s">
        <v>8475</v>
      </c>
      <c r="B185" s="2" t="s">
        <v>2698</v>
      </c>
      <c r="C185" s="13" t="n">
        <v>45555</v>
      </c>
      <c r="D185" s="13" t="n">
        <v>45555</v>
      </c>
      <c r="E185" s="2" t="s">
        <v>54</v>
      </c>
      <c r="F185" s="2" t="n">
        <v>305543.95</v>
      </c>
      <c r="G185" s="2" t="n">
        <v>221851.21</v>
      </c>
      <c r="H185" s="2" t="n">
        <v>13.655</v>
      </c>
      <c r="I185" s="2" t="n">
        <v>120</v>
      </c>
      <c r="J185" s="2" t="s">
        <v>38</v>
      </c>
      <c r="K185" s="2" t="n">
        <v>0</v>
      </c>
      <c r="L185" s="2" t="n">
        <v>0</v>
      </c>
      <c r="M185" s="0" t="str">
        <f aca="false">IF(J185="Active",L185+(ROW()/1000000),"")</f>
        <v/>
      </c>
    </row>
    <row r="186" customFormat="false" ht="15" hidden="false" customHeight="false" outlineLevel="0" collapsed="false">
      <c r="A186" s="2" t="s">
        <v>8476</v>
      </c>
      <c r="B186" s="2" t="s">
        <v>3803</v>
      </c>
      <c r="C186" s="13" t="n">
        <v>45630</v>
      </c>
      <c r="D186" s="13" t="n">
        <v>45631</v>
      </c>
      <c r="E186" s="2" t="s">
        <v>55</v>
      </c>
      <c r="F186" s="2" t="n">
        <v>95737.61</v>
      </c>
      <c r="G186" s="2" t="n">
        <v>76604.62</v>
      </c>
      <c r="H186" s="2" t="n">
        <v>17.291</v>
      </c>
      <c r="I186" s="2" t="n">
        <v>30</v>
      </c>
      <c r="J186" s="2" t="s">
        <v>36</v>
      </c>
      <c r="K186" s="2" t="n">
        <v>63521.24</v>
      </c>
      <c r="L186" s="2" t="n">
        <v>10</v>
      </c>
      <c r="M186" s="9" t="n">
        <f aca="false">IF(J186="Active",L186+(ROW()/1000000),"")</f>
        <v>10.000186</v>
      </c>
    </row>
    <row r="187" customFormat="false" ht="15" hidden="false" customHeight="false" outlineLevel="0" collapsed="false">
      <c r="A187" s="2" t="s">
        <v>8477</v>
      </c>
      <c r="B187" s="2" t="s">
        <v>2016</v>
      </c>
      <c r="C187" s="13" t="n">
        <v>45309</v>
      </c>
      <c r="D187" s="13" t="n">
        <v>45309</v>
      </c>
      <c r="E187" s="2" t="s">
        <v>55</v>
      </c>
      <c r="F187" s="2" t="n">
        <v>446554.4</v>
      </c>
      <c r="G187" s="2" t="n">
        <v>405944.06</v>
      </c>
      <c r="H187" s="2" t="n">
        <v>7.467</v>
      </c>
      <c r="I187" s="2" t="n">
        <v>90</v>
      </c>
      <c r="J187" s="2" t="s">
        <v>38</v>
      </c>
      <c r="K187" s="2" t="n">
        <v>0</v>
      </c>
      <c r="L187" s="2" t="n">
        <v>0</v>
      </c>
      <c r="M187" s="0" t="str">
        <f aca="false">IF(J187="Active",L187+(ROW()/1000000),"")</f>
        <v/>
      </c>
    </row>
    <row r="188" customFormat="false" ht="15" hidden="false" customHeight="false" outlineLevel="0" collapsed="false">
      <c r="A188" s="2" t="s">
        <v>8478</v>
      </c>
      <c r="B188" s="2" t="s">
        <v>4359</v>
      </c>
      <c r="C188" s="13" t="n">
        <v>45831</v>
      </c>
      <c r="D188" s="13" t="n">
        <v>45831</v>
      </c>
      <c r="E188" s="2" t="s">
        <v>55</v>
      </c>
      <c r="F188" s="2" t="n">
        <v>250614.19</v>
      </c>
      <c r="G188" s="2" t="n">
        <v>185748.64</v>
      </c>
      <c r="H188" s="2" t="n">
        <v>14.819</v>
      </c>
      <c r="I188" s="2" t="n">
        <v>60</v>
      </c>
      <c r="J188" s="2" t="s">
        <v>40</v>
      </c>
      <c r="K188" s="2" t="n">
        <v>21942.94</v>
      </c>
      <c r="L188" s="2" t="n">
        <v>0</v>
      </c>
      <c r="M188" s="0" t="str">
        <f aca="false">IF(J188="Active",L188+(ROW()/1000000),"")</f>
        <v/>
      </c>
    </row>
    <row r="189" customFormat="false" ht="15" hidden="false" customHeight="false" outlineLevel="0" collapsed="false">
      <c r="A189" s="2" t="s">
        <v>8479</v>
      </c>
      <c r="B189" s="2" t="s">
        <v>684</v>
      </c>
      <c r="C189" s="13" t="n">
        <v>45536</v>
      </c>
      <c r="D189" s="13" t="n">
        <v>45540</v>
      </c>
      <c r="E189" s="2" t="s">
        <v>55</v>
      </c>
      <c r="F189" s="2" t="n">
        <v>405638.69</v>
      </c>
      <c r="G189" s="2" t="n">
        <v>235959.1</v>
      </c>
      <c r="H189" s="2" t="n">
        <v>8.639</v>
      </c>
      <c r="I189" s="2" t="n">
        <v>90</v>
      </c>
      <c r="J189" s="2" t="s">
        <v>38</v>
      </c>
      <c r="K189" s="2" t="n">
        <v>0</v>
      </c>
      <c r="L189" s="2" t="n">
        <v>0</v>
      </c>
      <c r="M189" s="0" t="str">
        <f aca="false">IF(J189="Active",L189+(ROW()/1000000),"")</f>
        <v/>
      </c>
    </row>
    <row r="190" customFormat="false" ht="15" hidden="false" customHeight="false" outlineLevel="0" collapsed="false">
      <c r="A190" s="2" t="s">
        <v>8480</v>
      </c>
      <c r="B190" s="2" t="s">
        <v>8205</v>
      </c>
      <c r="C190" s="13" t="n">
        <v>45571</v>
      </c>
      <c r="D190" s="13" t="n">
        <v>45574</v>
      </c>
      <c r="E190" s="2" t="s">
        <v>53</v>
      </c>
      <c r="F190" s="2" t="n">
        <v>256436.35</v>
      </c>
      <c r="G190" s="2" t="n">
        <v>164038.68</v>
      </c>
      <c r="H190" s="2" t="n">
        <v>14.157</v>
      </c>
      <c r="I190" s="2" t="n">
        <v>90</v>
      </c>
      <c r="J190" s="2" t="s">
        <v>36</v>
      </c>
      <c r="K190" s="2" t="n">
        <v>90887.45</v>
      </c>
      <c r="L190" s="2" t="n">
        <v>0</v>
      </c>
      <c r="M190" s="9" t="n">
        <f aca="false">IF(J190="Active",L190+(ROW()/1000000),"")</f>
        <v>0.00019</v>
      </c>
    </row>
    <row r="191" customFormat="false" ht="15" hidden="false" customHeight="false" outlineLevel="0" collapsed="false">
      <c r="A191" s="2" t="s">
        <v>8481</v>
      </c>
      <c r="B191" s="2" t="s">
        <v>1228</v>
      </c>
      <c r="C191" s="13" t="n">
        <v>45650</v>
      </c>
      <c r="D191" s="13" t="n">
        <v>45651</v>
      </c>
      <c r="E191" s="2" t="s">
        <v>54</v>
      </c>
      <c r="F191" s="2" t="n">
        <v>231638.82</v>
      </c>
      <c r="G191" s="2" t="n">
        <v>222766.02</v>
      </c>
      <c r="H191" s="2" t="n">
        <v>16.029</v>
      </c>
      <c r="I191" s="2" t="n">
        <v>180</v>
      </c>
      <c r="J191" s="2" t="s">
        <v>36</v>
      </c>
      <c r="K191" s="2" t="n">
        <v>116668.14</v>
      </c>
      <c r="L191" s="2" t="n">
        <v>1</v>
      </c>
      <c r="M191" s="9" t="n">
        <f aca="false">IF(J191="Active",L191+(ROW()/1000000),"")</f>
        <v>1.000191</v>
      </c>
    </row>
    <row r="192" customFormat="false" ht="15" hidden="false" customHeight="false" outlineLevel="0" collapsed="false">
      <c r="A192" s="2" t="s">
        <v>8482</v>
      </c>
      <c r="B192" s="2" t="s">
        <v>4451</v>
      </c>
      <c r="C192" s="13" t="n">
        <v>45981</v>
      </c>
      <c r="D192" s="13" t="n">
        <v>45984</v>
      </c>
      <c r="E192" s="2" t="s">
        <v>53</v>
      </c>
      <c r="F192" s="2" t="n">
        <v>326930.7</v>
      </c>
      <c r="G192" s="2" t="n">
        <v>297879.28</v>
      </c>
      <c r="H192" s="2" t="n">
        <v>16.539</v>
      </c>
      <c r="I192" s="2" t="n">
        <v>90</v>
      </c>
      <c r="J192" s="2" t="s">
        <v>36</v>
      </c>
      <c r="K192" s="2" t="n">
        <v>151181.45</v>
      </c>
      <c r="L192" s="2" t="n">
        <v>30</v>
      </c>
      <c r="M192" s="9" t="n">
        <f aca="false">IF(J192="Active",L192+(ROW()/1000000),"")</f>
        <v>30.000192</v>
      </c>
    </row>
    <row r="193" customFormat="false" ht="15" hidden="false" customHeight="false" outlineLevel="0" collapsed="false">
      <c r="A193" s="2" t="s">
        <v>8483</v>
      </c>
      <c r="B193" s="2" t="s">
        <v>87</v>
      </c>
      <c r="C193" s="13" t="n">
        <v>45327</v>
      </c>
      <c r="D193" s="13" t="n">
        <v>45330</v>
      </c>
      <c r="E193" s="2" t="s">
        <v>55</v>
      </c>
      <c r="F193" s="2" t="n">
        <v>99104.58</v>
      </c>
      <c r="G193" s="2" t="n">
        <v>87951.01</v>
      </c>
      <c r="H193" s="2" t="n">
        <v>13.955</v>
      </c>
      <c r="I193" s="2" t="n">
        <v>120</v>
      </c>
      <c r="J193" s="2" t="s">
        <v>38</v>
      </c>
      <c r="K193" s="2" t="n">
        <v>0</v>
      </c>
      <c r="L193" s="2" t="n">
        <v>0</v>
      </c>
      <c r="M193" s="0" t="str">
        <f aca="false">IF(J193="Active",L193+(ROW()/1000000),"")</f>
        <v/>
      </c>
    </row>
    <row r="194" customFormat="false" ht="15" hidden="false" customHeight="false" outlineLevel="0" collapsed="false">
      <c r="A194" s="2" t="s">
        <v>8484</v>
      </c>
      <c r="B194" s="2" t="s">
        <v>6791</v>
      </c>
      <c r="C194" s="13" t="n">
        <v>45353</v>
      </c>
      <c r="D194" s="13" t="n">
        <v>45354</v>
      </c>
      <c r="E194" s="2" t="s">
        <v>54</v>
      </c>
      <c r="F194" s="2" t="n">
        <v>113873.37</v>
      </c>
      <c r="G194" s="2" t="n">
        <v>106629.06</v>
      </c>
      <c r="H194" s="2" t="n">
        <v>9.96</v>
      </c>
      <c r="I194" s="2" t="n">
        <v>90</v>
      </c>
      <c r="J194" s="2" t="s">
        <v>40</v>
      </c>
      <c r="K194" s="2" t="n">
        <v>26182.69</v>
      </c>
      <c r="L194" s="2" t="n">
        <v>15</v>
      </c>
      <c r="M194" s="0" t="str">
        <f aca="false">IF(J194="Active",L194+(ROW()/1000000),"")</f>
        <v/>
      </c>
    </row>
    <row r="195" customFormat="false" ht="15" hidden="false" customHeight="false" outlineLevel="0" collapsed="false">
      <c r="A195" s="2" t="s">
        <v>8485</v>
      </c>
      <c r="B195" s="2" t="s">
        <v>2886</v>
      </c>
      <c r="C195" s="13" t="n">
        <v>45579</v>
      </c>
      <c r="D195" s="13" t="n">
        <v>45579</v>
      </c>
      <c r="E195" s="2" t="s">
        <v>54</v>
      </c>
      <c r="F195" s="2" t="n">
        <v>497570.84</v>
      </c>
      <c r="G195" s="2" t="n">
        <v>444836.49</v>
      </c>
      <c r="H195" s="2" t="n">
        <v>13.774</v>
      </c>
      <c r="I195" s="2" t="n">
        <v>120</v>
      </c>
      <c r="J195" s="2" t="s">
        <v>36</v>
      </c>
      <c r="K195" s="2" t="n">
        <v>354925.04</v>
      </c>
      <c r="L195" s="2" t="n">
        <v>3</v>
      </c>
      <c r="M195" s="9" t="n">
        <f aca="false">IF(J195="Active",L195+(ROW()/1000000),"")</f>
        <v>3.000195</v>
      </c>
    </row>
    <row r="196" customFormat="false" ht="15" hidden="false" customHeight="false" outlineLevel="0" collapsed="false">
      <c r="A196" s="2" t="s">
        <v>8486</v>
      </c>
      <c r="B196" s="2" t="s">
        <v>1051</v>
      </c>
      <c r="C196" s="13" t="n">
        <v>46017</v>
      </c>
      <c r="D196" s="13" t="n">
        <v>46022</v>
      </c>
      <c r="E196" s="2" t="s">
        <v>55</v>
      </c>
      <c r="F196" s="2" t="n">
        <v>322426.02</v>
      </c>
      <c r="G196" s="2" t="n">
        <v>251085.09</v>
      </c>
      <c r="H196" s="2" t="n">
        <v>9.663</v>
      </c>
      <c r="I196" s="2" t="n">
        <v>90</v>
      </c>
      <c r="J196" s="2" t="s">
        <v>36</v>
      </c>
      <c r="K196" s="2" t="n">
        <v>47866.35</v>
      </c>
      <c r="L196" s="2" t="n">
        <v>5</v>
      </c>
      <c r="M196" s="9" t="n">
        <f aca="false">IF(J196="Active",L196+(ROW()/1000000),"")</f>
        <v>5.000196</v>
      </c>
    </row>
    <row r="197" customFormat="false" ht="15" hidden="false" customHeight="false" outlineLevel="0" collapsed="false">
      <c r="A197" s="2" t="s">
        <v>8487</v>
      </c>
      <c r="B197" s="2" t="s">
        <v>8333</v>
      </c>
      <c r="C197" s="13" t="n">
        <v>45642</v>
      </c>
      <c r="D197" s="13" t="n">
        <v>45645</v>
      </c>
      <c r="E197" s="2" t="s">
        <v>53</v>
      </c>
      <c r="F197" s="2" t="n">
        <v>224589.37</v>
      </c>
      <c r="G197" s="2" t="n">
        <v>139892.99</v>
      </c>
      <c r="H197" s="2" t="n">
        <v>9.233</v>
      </c>
      <c r="I197" s="2" t="n">
        <v>120</v>
      </c>
      <c r="J197" s="2" t="s">
        <v>36</v>
      </c>
      <c r="K197" s="2" t="n">
        <v>92758.96</v>
      </c>
      <c r="L197" s="2" t="n">
        <v>30</v>
      </c>
      <c r="M197" s="9" t="n">
        <f aca="false">IF(J197="Active",L197+(ROW()/1000000),"")</f>
        <v>30.000197</v>
      </c>
    </row>
    <row r="198" customFormat="false" ht="15" hidden="false" customHeight="false" outlineLevel="0" collapsed="false">
      <c r="A198" s="2" t="s">
        <v>8488</v>
      </c>
      <c r="B198" s="2" t="s">
        <v>3333</v>
      </c>
      <c r="C198" s="13" t="n">
        <v>45558</v>
      </c>
      <c r="D198" s="13" t="n">
        <v>45560</v>
      </c>
      <c r="E198" s="2" t="s">
        <v>54</v>
      </c>
      <c r="F198" s="2" t="n">
        <v>19593.93</v>
      </c>
      <c r="G198" s="2" t="n">
        <v>15120.06</v>
      </c>
      <c r="H198" s="2" t="n">
        <v>13.55</v>
      </c>
      <c r="I198" s="2" t="n">
        <v>90</v>
      </c>
      <c r="J198" s="2" t="s">
        <v>38</v>
      </c>
      <c r="K198" s="2" t="n">
        <v>0</v>
      </c>
      <c r="L198" s="2" t="n">
        <v>0</v>
      </c>
      <c r="M198" s="0" t="str">
        <f aca="false">IF(J198="Active",L198+(ROW()/1000000),"")</f>
        <v/>
      </c>
    </row>
    <row r="199" customFormat="false" ht="15" hidden="false" customHeight="false" outlineLevel="0" collapsed="false">
      <c r="A199" s="2" t="s">
        <v>8489</v>
      </c>
      <c r="B199" s="2" t="s">
        <v>2690</v>
      </c>
      <c r="C199" s="13" t="n">
        <v>45353</v>
      </c>
      <c r="D199" s="13" t="n">
        <v>45355</v>
      </c>
      <c r="E199" s="2" t="s">
        <v>54</v>
      </c>
      <c r="F199" s="2" t="n">
        <v>413477.43</v>
      </c>
      <c r="G199" s="2" t="n">
        <v>336850.66</v>
      </c>
      <c r="H199" s="2" t="n">
        <v>16.954</v>
      </c>
      <c r="I199" s="2" t="n">
        <v>90</v>
      </c>
      <c r="J199" s="2" t="s">
        <v>36</v>
      </c>
      <c r="K199" s="2" t="n">
        <v>141843.47</v>
      </c>
      <c r="L199" s="2" t="n">
        <v>60</v>
      </c>
      <c r="M199" s="9" t="n">
        <f aca="false">IF(J199="Active",L199+(ROW()/1000000),"")</f>
        <v>60.000199</v>
      </c>
    </row>
    <row r="200" customFormat="false" ht="15" hidden="false" customHeight="false" outlineLevel="0" collapsed="false">
      <c r="A200" s="2" t="s">
        <v>8490</v>
      </c>
      <c r="B200" s="2" t="s">
        <v>1318</v>
      </c>
      <c r="C200" s="13" t="n">
        <v>45906</v>
      </c>
      <c r="D200" s="13" t="n">
        <v>45909</v>
      </c>
      <c r="E200" s="2" t="s">
        <v>53</v>
      </c>
      <c r="F200" s="2" t="n">
        <v>460807.65</v>
      </c>
      <c r="G200" s="2" t="n">
        <v>425345.29</v>
      </c>
      <c r="H200" s="2" t="n">
        <v>12.253</v>
      </c>
      <c r="I200" s="2" t="n">
        <v>120</v>
      </c>
      <c r="J200" s="2" t="s">
        <v>40</v>
      </c>
      <c r="K200" s="2" t="n">
        <v>220438.38</v>
      </c>
      <c r="L200" s="2" t="n">
        <v>60</v>
      </c>
      <c r="M200" s="0" t="str">
        <f aca="false">IF(J200="Active",L200+(ROW()/1000000),"")</f>
        <v/>
      </c>
    </row>
    <row r="201" customFormat="false" ht="15" hidden="false" customHeight="false" outlineLevel="0" collapsed="false">
      <c r="A201" s="2" t="s">
        <v>8491</v>
      </c>
      <c r="B201" s="2" t="s">
        <v>777</v>
      </c>
      <c r="C201" s="13" t="n">
        <v>45558</v>
      </c>
      <c r="D201" s="13" t="n">
        <v>45561</v>
      </c>
      <c r="E201" s="2" t="s">
        <v>53</v>
      </c>
      <c r="F201" s="2" t="n">
        <v>71362.76</v>
      </c>
      <c r="G201" s="2" t="n">
        <v>48808.39</v>
      </c>
      <c r="H201" s="2" t="n">
        <v>8.259</v>
      </c>
      <c r="I201" s="2" t="n">
        <v>60</v>
      </c>
      <c r="J201" s="2" t="s">
        <v>36</v>
      </c>
      <c r="K201" s="2" t="n">
        <v>35909.12</v>
      </c>
      <c r="L201" s="2" t="n">
        <v>5</v>
      </c>
      <c r="M201" s="9" t="n">
        <f aca="false">IF(J201="Active",L201+(ROW()/1000000),"")</f>
        <v>5.000201</v>
      </c>
    </row>
    <row r="202" customFormat="false" ht="15" hidden="false" customHeight="false" outlineLevel="0" collapsed="false">
      <c r="A202" s="2" t="s">
        <v>8492</v>
      </c>
      <c r="B202" s="2" t="s">
        <v>1215</v>
      </c>
      <c r="C202" s="13" t="n">
        <v>45571</v>
      </c>
      <c r="D202" s="13" t="n">
        <v>45575</v>
      </c>
      <c r="E202" s="2" t="s">
        <v>53</v>
      </c>
      <c r="F202" s="2" t="n">
        <v>439646.25</v>
      </c>
      <c r="G202" s="2" t="n">
        <v>396033.32</v>
      </c>
      <c r="H202" s="2" t="n">
        <v>16.003</v>
      </c>
      <c r="I202" s="2" t="n">
        <v>120</v>
      </c>
      <c r="J202" s="2" t="s">
        <v>40</v>
      </c>
      <c r="K202" s="2" t="n">
        <v>250587.29</v>
      </c>
      <c r="L202" s="2" t="n">
        <v>1</v>
      </c>
      <c r="M202" s="0" t="str">
        <f aca="false">IF(J202="Active",L202+(ROW()/1000000),"")</f>
        <v/>
      </c>
    </row>
    <row r="203" customFormat="false" ht="15" hidden="false" customHeight="false" outlineLevel="0" collapsed="false">
      <c r="A203" s="2" t="s">
        <v>8493</v>
      </c>
      <c r="B203" s="2" t="s">
        <v>1434</v>
      </c>
      <c r="C203" s="13" t="n">
        <v>45642</v>
      </c>
      <c r="D203" s="13" t="n">
        <v>45645</v>
      </c>
      <c r="E203" s="2" t="s">
        <v>54</v>
      </c>
      <c r="F203" s="2" t="n">
        <v>287184.72</v>
      </c>
      <c r="G203" s="2" t="n">
        <v>275952.63</v>
      </c>
      <c r="H203" s="2" t="n">
        <v>11.997</v>
      </c>
      <c r="I203" s="2" t="n">
        <v>90</v>
      </c>
      <c r="J203" s="2" t="s">
        <v>36</v>
      </c>
      <c r="K203" s="2" t="n">
        <v>132680.85</v>
      </c>
      <c r="L203" s="2" t="n">
        <v>15</v>
      </c>
      <c r="M203" s="9" t="n">
        <f aca="false">IF(J203="Active",L203+(ROW()/1000000),"")</f>
        <v>15.000203</v>
      </c>
    </row>
    <row r="204" customFormat="false" ht="15" hidden="false" customHeight="false" outlineLevel="0" collapsed="false">
      <c r="A204" s="2" t="s">
        <v>8494</v>
      </c>
      <c r="B204" s="2" t="s">
        <v>296</v>
      </c>
      <c r="C204" s="13" t="n">
        <v>45982</v>
      </c>
      <c r="D204" s="13" t="n">
        <v>45986</v>
      </c>
      <c r="E204" s="2" t="s">
        <v>55</v>
      </c>
      <c r="F204" s="2" t="n">
        <v>11868.62</v>
      </c>
      <c r="G204" s="2" t="n">
        <v>10688.72</v>
      </c>
      <c r="H204" s="2" t="n">
        <v>17.655</v>
      </c>
      <c r="I204" s="2" t="n">
        <v>180</v>
      </c>
      <c r="J204" s="2" t="s">
        <v>38</v>
      </c>
      <c r="K204" s="2" t="n">
        <v>0</v>
      </c>
      <c r="L204" s="2" t="n">
        <v>0</v>
      </c>
      <c r="M204" s="0" t="str">
        <f aca="false">IF(J204="Active",L204+(ROW()/1000000),"")</f>
        <v/>
      </c>
    </row>
    <row r="205" customFormat="false" ht="15" hidden="false" customHeight="false" outlineLevel="0" collapsed="false">
      <c r="A205" s="2" t="s">
        <v>8495</v>
      </c>
      <c r="B205" s="2" t="s">
        <v>4879</v>
      </c>
      <c r="C205" s="13" t="n">
        <v>45911</v>
      </c>
      <c r="D205" s="13" t="n">
        <v>45912</v>
      </c>
      <c r="E205" s="2" t="s">
        <v>53</v>
      </c>
      <c r="F205" s="2" t="n">
        <v>183818.14</v>
      </c>
      <c r="G205" s="2" t="n">
        <v>130715.63</v>
      </c>
      <c r="H205" s="2" t="n">
        <v>14.224</v>
      </c>
      <c r="I205" s="2" t="n">
        <v>60</v>
      </c>
      <c r="J205" s="2" t="s">
        <v>38</v>
      </c>
      <c r="K205" s="2" t="n">
        <v>0</v>
      </c>
      <c r="L205" s="2" t="n">
        <v>0</v>
      </c>
      <c r="M205" s="0" t="str">
        <f aca="false">IF(J205="Active",L205+(ROW()/1000000),"")</f>
        <v/>
      </c>
    </row>
    <row r="206" customFormat="false" ht="15" hidden="false" customHeight="false" outlineLevel="0" collapsed="false">
      <c r="A206" s="2" t="s">
        <v>8496</v>
      </c>
      <c r="B206" s="2" t="s">
        <v>6217</v>
      </c>
      <c r="C206" s="13" t="n">
        <v>45994</v>
      </c>
      <c r="D206" s="13" t="n">
        <v>45994</v>
      </c>
      <c r="E206" s="2" t="s">
        <v>53</v>
      </c>
      <c r="F206" s="2" t="n">
        <v>428738.8</v>
      </c>
      <c r="G206" s="2" t="n">
        <v>286355.36</v>
      </c>
      <c r="H206" s="2" t="n">
        <v>16.522</v>
      </c>
      <c r="I206" s="2" t="n">
        <v>90</v>
      </c>
      <c r="J206" s="2" t="s">
        <v>36</v>
      </c>
      <c r="K206" s="2" t="n">
        <v>99801.75</v>
      </c>
      <c r="L206" s="2" t="n">
        <v>5</v>
      </c>
      <c r="M206" s="9" t="n">
        <f aca="false">IF(J206="Active",L206+(ROW()/1000000),"")</f>
        <v>5.000206</v>
      </c>
    </row>
    <row r="207" customFormat="false" ht="15" hidden="false" customHeight="false" outlineLevel="0" collapsed="false">
      <c r="A207" s="2" t="s">
        <v>8497</v>
      </c>
      <c r="B207" s="2" t="s">
        <v>3941</v>
      </c>
      <c r="C207" s="13" t="n">
        <v>46017</v>
      </c>
      <c r="D207" s="13" t="n">
        <v>46022</v>
      </c>
      <c r="E207" s="2" t="s">
        <v>54</v>
      </c>
      <c r="F207" s="2" t="n">
        <v>104439.19</v>
      </c>
      <c r="G207" s="2" t="n">
        <v>88533.69</v>
      </c>
      <c r="H207" s="2" t="n">
        <v>17.394</v>
      </c>
      <c r="I207" s="2" t="n">
        <v>120</v>
      </c>
      <c r="J207" s="2" t="s">
        <v>40</v>
      </c>
      <c r="K207" s="2" t="n">
        <v>72485.5</v>
      </c>
      <c r="L207" s="2" t="n">
        <v>0</v>
      </c>
      <c r="M207" s="0" t="str">
        <f aca="false">IF(J207="Active",L207+(ROW()/1000000),"")</f>
        <v/>
      </c>
    </row>
    <row r="208" customFormat="false" ht="15" hidden="false" customHeight="false" outlineLevel="0" collapsed="false">
      <c r="A208" s="2" t="s">
        <v>8498</v>
      </c>
      <c r="B208" s="2" t="s">
        <v>2100</v>
      </c>
      <c r="C208" s="13" t="n">
        <v>45999</v>
      </c>
      <c r="D208" s="13"/>
      <c r="E208" s="2" t="s">
        <v>53</v>
      </c>
      <c r="F208" s="2" t="n">
        <v>86366.8</v>
      </c>
      <c r="G208" s="2" t="n">
        <v>0</v>
      </c>
      <c r="H208" s="2" t="n">
        <v>7.687</v>
      </c>
      <c r="I208" s="2" t="n">
        <v>60</v>
      </c>
      <c r="J208" s="2" t="s">
        <v>42</v>
      </c>
      <c r="K208" s="2" t="n">
        <v>0</v>
      </c>
      <c r="L208" s="2" t="n">
        <v>0</v>
      </c>
      <c r="M208" s="0" t="str">
        <f aca="false">IF(J208="Active",L208+(ROW()/1000000),"")</f>
        <v/>
      </c>
    </row>
    <row r="209" customFormat="false" ht="15" hidden="false" customHeight="false" outlineLevel="0" collapsed="false">
      <c r="A209" s="2" t="s">
        <v>8499</v>
      </c>
      <c r="B209" s="2" t="s">
        <v>3505</v>
      </c>
      <c r="C209" s="13" t="n">
        <v>45845</v>
      </c>
      <c r="D209" s="13" t="n">
        <v>45849</v>
      </c>
      <c r="E209" s="2" t="s">
        <v>53</v>
      </c>
      <c r="F209" s="2" t="n">
        <v>452826.69</v>
      </c>
      <c r="G209" s="2" t="n">
        <v>278957.15</v>
      </c>
      <c r="H209" s="2" t="n">
        <v>7.691</v>
      </c>
      <c r="I209" s="2" t="n">
        <v>90</v>
      </c>
      <c r="J209" s="2" t="s">
        <v>38</v>
      </c>
      <c r="K209" s="2" t="n">
        <v>0</v>
      </c>
      <c r="L209" s="2" t="n">
        <v>0</v>
      </c>
      <c r="M209" s="0" t="str">
        <f aca="false">IF(J209="Active",L209+(ROW()/1000000),"")</f>
        <v/>
      </c>
    </row>
    <row r="210" customFormat="false" ht="15" hidden="false" customHeight="false" outlineLevel="0" collapsed="false">
      <c r="A210" s="2" t="s">
        <v>8500</v>
      </c>
      <c r="B210" s="2" t="s">
        <v>1292</v>
      </c>
      <c r="C210" s="13" t="n">
        <v>45998</v>
      </c>
      <c r="D210" s="13"/>
      <c r="E210" s="2" t="s">
        <v>55</v>
      </c>
      <c r="F210" s="2" t="n">
        <v>120505.02</v>
      </c>
      <c r="G210" s="2" t="n">
        <v>0</v>
      </c>
      <c r="H210" s="2" t="n">
        <v>17.696</v>
      </c>
      <c r="I210" s="2" t="n">
        <v>90</v>
      </c>
      <c r="J210" s="2" t="s">
        <v>42</v>
      </c>
      <c r="K210" s="2" t="n">
        <v>0</v>
      </c>
      <c r="L210" s="2" t="n">
        <v>0</v>
      </c>
      <c r="M210" s="0" t="str">
        <f aca="false">IF(J210="Active",L210+(ROW()/1000000),"")</f>
        <v/>
      </c>
    </row>
    <row r="211" customFormat="false" ht="15" hidden="false" customHeight="false" outlineLevel="0" collapsed="false">
      <c r="A211" s="2" t="s">
        <v>8501</v>
      </c>
      <c r="B211" s="2" t="s">
        <v>8502</v>
      </c>
      <c r="C211" s="13" t="n">
        <v>45317</v>
      </c>
      <c r="D211" s="13" t="n">
        <v>45322</v>
      </c>
      <c r="E211" s="2" t="s">
        <v>55</v>
      </c>
      <c r="F211" s="2" t="n">
        <v>412369.85</v>
      </c>
      <c r="G211" s="2" t="n">
        <v>341831.42</v>
      </c>
      <c r="H211" s="2" t="n">
        <v>10.497</v>
      </c>
      <c r="I211" s="2" t="n">
        <v>90</v>
      </c>
      <c r="J211" s="2" t="s">
        <v>36</v>
      </c>
      <c r="K211" s="2" t="n">
        <v>160501.32</v>
      </c>
      <c r="L211" s="2" t="n">
        <v>3</v>
      </c>
      <c r="M211" s="9" t="n">
        <f aca="false">IF(J211="Active",L211+(ROW()/1000000),"")</f>
        <v>3.000211</v>
      </c>
    </row>
    <row r="212" customFormat="false" ht="15" hidden="false" customHeight="false" outlineLevel="0" collapsed="false">
      <c r="A212" s="2" t="s">
        <v>8503</v>
      </c>
      <c r="B212" s="2" t="s">
        <v>1693</v>
      </c>
      <c r="C212" s="13" t="n">
        <v>45472</v>
      </c>
      <c r="D212" s="13" t="n">
        <v>45474</v>
      </c>
      <c r="E212" s="2" t="s">
        <v>55</v>
      </c>
      <c r="F212" s="2" t="n">
        <v>35040.51</v>
      </c>
      <c r="G212" s="2" t="n">
        <v>28974.33</v>
      </c>
      <c r="H212" s="2" t="n">
        <v>15.411</v>
      </c>
      <c r="I212" s="2" t="n">
        <v>90</v>
      </c>
      <c r="J212" s="2" t="s">
        <v>38</v>
      </c>
      <c r="K212" s="2" t="n">
        <v>0</v>
      </c>
      <c r="L212" s="2" t="n">
        <v>0</v>
      </c>
      <c r="M212" s="0" t="str">
        <f aca="false">IF(J212="Active",L212+(ROW()/1000000),"")</f>
        <v/>
      </c>
    </row>
    <row r="213" customFormat="false" ht="15" hidden="false" customHeight="false" outlineLevel="0" collapsed="false">
      <c r="A213" s="2" t="s">
        <v>8504</v>
      </c>
      <c r="B213" s="2" t="s">
        <v>1899</v>
      </c>
      <c r="C213" s="13" t="n">
        <v>45726</v>
      </c>
      <c r="D213" s="13"/>
      <c r="E213" s="2" t="s">
        <v>55</v>
      </c>
      <c r="F213" s="2" t="n">
        <v>264953.15</v>
      </c>
      <c r="G213" s="2" t="n">
        <v>0</v>
      </c>
      <c r="H213" s="2" t="n">
        <v>14.964</v>
      </c>
      <c r="I213" s="2" t="n">
        <v>180</v>
      </c>
      <c r="J213" s="2" t="s">
        <v>42</v>
      </c>
      <c r="K213" s="2" t="n">
        <v>0</v>
      </c>
      <c r="L213" s="2" t="n">
        <v>0</v>
      </c>
      <c r="M213" s="0" t="str">
        <f aca="false">IF(J213="Active",L213+(ROW()/1000000),"")</f>
        <v/>
      </c>
    </row>
    <row r="214" customFormat="false" ht="15" hidden="false" customHeight="false" outlineLevel="0" collapsed="false">
      <c r="A214" s="2" t="s">
        <v>8505</v>
      </c>
      <c r="B214" s="2" t="s">
        <v>1813</v>
      </c>
      <c r="C214" s="13" t="n">
        <v>45863</v>
      </c>
      <c r="D214" s="13" t="n">
        <v>45866</v>
      </c>
      <c r="E214" s="2" t="s">
        <v>55</v>
      </c>
      <c r="F214" s="2" t="n">
        <v>312797.08</v>
      </c>
      <c r="G214" s="2" t="n">
        <v>247944.32</v>
      </c>
      <c r="H214" s="2" t="n">
        <v>8.915</v>
      </c>
      <c r="I214" s="2" t="n">
        <v>60</v>
      </c>
      <c r="J214" s="2" t="s">
        <v>40</v>
      </c>
      <c r="K214" s="2" t="n">
        <v>101784.06</v>
      </c>
      <c r="L214" s="2" t="n">
        <v>5</v>
      </c>
      <c r="M214" s="0" t="str">
        <f aca="false">IF(J214="Active",L214+(ROW()/1000000),"")</f>
        <v/>
      </c>
    </row>
    <row r="215" customFormat="false" ht="15" hidden="false" customHeight="false" outlineLevel="0" collapsed="false">
      <c r="A215" s="2" t="s">
        <v>8506</v>
      </c>
      <c r="B215" s="2" t="s">
        <v>1411</v>
      </c>
      <c r="C215" s="13" t="n">
        <v>45741</v>
      </c>
      <c r="D215" s="13" t="n">
        <v>45745</v>
      </c>
      <c r="E215" s="2" t="s">
        <v>53</v>
      </c>
      <c r="F215" s="2" t="n">
        <v>56281.8</v>
      </c>
      <c r="G215" s="2" t="n">
        <v>39843.5</v>
      </c>
      <c r="H215" s="2" t="n">
        <v>9.129</v>
      </c>
      <c r="I215" s="2" t="n">
        <v>180</v>
      </c>
      <c r="J215" s="2" t="s">
        <v>38</v>
      </c>
      <c r="K215" s="2" t="n">
        <v>0</v>
      </c>
      <c r="L215" s="2" t="n">
        <v>0</v>
      </c>
      <c r="M215" s="0" t="str">
        <f aca="false">IF(J215="Active",L215+(ROW()/1000000),"")</f>
        <v/>
      </c>
    </row>
    <row r="216" customFormat="false" ht="15" hidden="false" customHeight="false" outlineLevel="0" collapsed="false">
      <c r="A216" s="2" t="s">
        <v>8507</v>
      </c>
      <c r="B216" s="2" t="s">
        <v>6771</v>
      </c>
      <c r="C216" s="13" t="n">
        <v>45641</v>
      </c>
      <c r="D216" s="13" t="n">
        <v>45642</v>
      </c>
      <c r="E216" s="2" t="s">
        <v>54</v>
      </c>
      <c r="F216" s="2" t="n">
        <v>65683.98</v>
      </c>
      <c r="G216" s="2" t="n">
        <v>62232.74</v>
      </c>
      <c r="H216" s="2" t="n">
        <v>15.146</v>
      </c>
      <c r="I216" s="2" t="n">
        <v>60</v>
      </c>
      <c r="J216" s="2" t="s">
        <v>38</v>
      </c>
      <c r="K216" s="2" t="n">
        <v>0</v>
      </c>
      <c r="L216" s="2" t="n">
        <v>0</v>
      </c>
      <c r="M216" s="0" t="str">
        <f aca="false">IF(J216="Active",L216+(ROW()/1000000),"")</f>
        <v/>
      </c>
    </row>
    <row r="217" customFormat="false" ht="15" hidden="false" customHeight="false" outlineLevel="0" collapsed="false">
      <c r="A217" s="2" t="s">
        <v>8508</v>
      </c>
      <c r="B217" s="2" t="s">
        <v>5203</v>
      </c>
      <c r="C217" s="13" t="n">
        <v>45777</v>
      </c>
      <c r="D217" s="13" t="n">
        <v>45780</v>
      </c>
      <c r="E217" s="2" t="s">
        <v>54</v>
      </c>
      <c r="F217" s="2" t="n">
        <v>121100.72</v>
      </c>
      <c r="G217" s="2" t="n">
        <v>95353.9</v>
      </c>
      <c r="H217" s="2" t="n">
        <v>14.686</v>
      </c>
      <c r="I217" s="2" t="n">
        <v>60</v>
      </c>
      <c r="J217" s="2" t="s">
        <v>36</v>
      </c>
      <c r="K217" s="2" t="n">
        <v>21715.86</v>
      </c>
      <c r="L217" s="2" t="n">
        <v>5</v>
      </c>
      <c r="M217" s="9" t="n">
        <f aca="false">IF(J217="Active",L217+(ROW()/1000000),"")</f>
        <v>5.000217</v>
      </c>
    </row>
    <row r="218" customFormat="false" ht="15" hidden="false" customHeight="false" outlineLevel="0" collapsed="false">
      <c r="A218" s="2" t="s">
        <v>8509</v>
      </c>
      <c r="B218" s="2" t="s">
        <v>3511</v>
      </c>
      <c r="C218" s="13" t="n">
        <v>45369</v>
      </c>
      <c r="D218" s="13"/>
      <c r="E218" s="2" t="s">
        <v>54</v>
      </c>
      <c r="F218" s="2" t="n">
        <v>346965.31</v>
      </c>
      <c r="G218" s="2" t="n">
        <v>0</v>
      </c>
      <c r="H218" s="2" t="n">
        <v>11.376</v>
      </c>
      <c r="I218" s="2" t="n">
        <v>120</v>
      </c>
      <c r="J218" s="2" t="s">
        <v>42</v>
      </c>
      <c r="K218" s="2" t="n">
        <v>0</v>
      </c>
      <c r="L218" s="2" t="n">
        <v>0</v>
      </c>
      <c r="M218" s="0" t="str">
        <f aca="false">IF(J218="Active",L218+(ROW()/1000000),"")</f>
        <v/>
      </c>
    </row>
    <row r="219" customFormat="false" ht="15" hidden="false" customHeight="false" outlineLevel="0" collapsed="false">
      <c r="A219" s="2" t="s">
        <v>8510</v>
      </c>
      <c r="B219" s="2" t="s">
        <v>1387</v>
      </c>
      <c r="C219" s="13" t="n">
        <v>45415</v>
      </c>
      <c r="D219" s="13" t="n">
        <v>45420</v>
      </c>
      <c r="E219" s="2" t="s">
        <v>53</v>
      </c>
      <c r="F219" s="2" t="n">
        <v>88959.95</v>
      </c>
      <c r="G219" s="2" t="n">
        <v>78821.14</v>
      </c>
      <c r="H219" s="2" t="n">
        <v>13.791</v>
      </c>
      <c r="I219" s="2" t="n">
        <v>180</v>
      </c>
      <c r="J219" s="2" t="s">
        <v>38</v>
      </c>
      <c r="K219" s="2" t="n">
        <v>0</v>
      </c>
      <c r="L219" s="2" t="n">
        <v>0</v>
      </c>
      <c r="M219" s="0" t="str">
        <f aca="false">IF(J219="Active",L219+(ROW()/1000000),"")</f>
        <v/>
      </c>
    </row>
    <row r="220" customFormat="false" ht="15" hidden="false" customHeight="false" outlineLevel="0" collapsed="false">
      <c r="A220" s="2" t="s">
        <v>8511</v>
      </c>
      <c r="B220" s="2" t="s">
        <v>361</v>
      </c>
      <c r="C220" s="13" t="n">
        <v>45883</v>
      </c>
      <c r="D220" s="13" t="n">
        <v>45886</v>
      </c>
      <c r="E220" s="2" t="s">
        <v>55</v>
      </c>
      <c r="F220" s="2" t="n">
        <v>367483.02</v>
      </c>
      <c r="G220" s="2" t="n">
        <v>281412.39</v>
      </c>
      <c r="H220" s="2" t="n">
        <v>8.525</v>
      </c>
      <c r="I220" s="2" t="n">
        <v>90</v>
      </c>
      <c r="J220" s="2" t="s">
        <v>40</v>
      </c>
      <c r="K220" s="2" t="n">
        <v>57707.4</v>
      </c>
      <c r="L220" s="2" t="n">
        <v>0</v>
      </c>
      <c r="M220" s="0" t="str">
        <f aca="false">IF(J220="Active",L220+(ROW()/1000000),"")</f>
        <v/>
      </c>
    </row>
    <row r="221" customFormat="false" ht="15" hidden="false" customHeight="false" outlineLevel="0" collapsed="false">
      <c r="A221" s="2" t="s">
        <v>8512</v>
      </c>
      <c r="B221" s="2" t="s">
        <v>4593</v>
      </c>
      <c r="C221" s="13" t="n">
        <v>45875</v>
      </c>
      <c r="D221" s="13" t="n">
        <v>45878</v>
      </c>
      <c r="E221" s="2" t="s">
        <v>53</v>
      </c>
      <c r="F221" s="2" t="n">
        <v>316848.08</v>
      </c>
      <c r="G221" s="2" t="n">
        <v>192225.84</v>
      </c>
      <c r="H221" s="2" t="n">
        <v>11.84</v>
      </c>
      <c r="I221" s="2" t="n">
        <v>120</v>
      </c>
      <c r="J221" s="2" t="s">
        <v>40</v>
      </c>
      <c r="K221" s="2" t="n">
        <v>79646.28</v>
      </c>
      <c r="L221" s="2" t="n">
        <v>60</v>
      </c>
      <c r="M221" s="0" t="str">
        <f aca="false">IF(J221="Active",L221+(ROW()/1000000),"")</f>
        <v/>
      </c>
    </row>
    <row r="222" customFormat="false" ht="15" hidden="false" customHeight="false" outlineLevel="0" collapsed="false">
      <c r="A222" s="2" t="s">
        <v>8513</v>
      </c>
      <c r="B222" s="2" t="s">
        <v>1669</v>
      </c>
      <c r="C222" s="13" t="n">
        <v>45693</v>
      </c>
      <c r="D222" s="13" t="n">
        <v>45698</v>
      </c>
      <c r="E222" s="2" t="s">
        <v>55</v>
      </c>
      <c r="F222" s="2" t="n">
        <v>50541.12</v>
      </c>
      <c r="G222" s="2" t="n">
        <v>33885.38</v>
      </c>
      <c r="H222" s="2" t="n">
        <v>10.952</v>
      </c>
      <c r="I222" s="2" t="n">
        <v>180</v>
      </c>
      <c r="J222" s="2" t="s">
        <v>38</v>
      </c>
      <c r="K222" s="2" t="n">
        <v>0</v>
      </c>
      <c r="L222" s="2" t="n">
        <v>0</v>
      </c>
      <c r="M222" s="0" t="str">
        <f aca="false">IF(J222="Active",L222+(ROW()/1000000),"")</f>
        <v/>
      </c>
    </row>
    <row r="223" customFormat="false" ht="15" hidden="false" customHeight="false" outlineLevel="0" collapsed="false">
      <c r="A223" s="2" t="s">
        <v>8514</v>
      </c>
      <c r="B223" s="2" t="s">
        <v>5555</v>
      </c>
      <c r="C223" s="13" t="n">
        <v>45633</v>
      </c>
      <c r="D223" s="13" t="n">
        <v>45634</v>
      </c>
      <c r="E223" s="2" t="s">
        <v>53</v>
      </c>
      <c r="F223" s="2" t="n">
        <v>270704.51</v>
      </c>
      <c r="G223" s="2" t="n">
        <v>233167.33</v>
      </c>
      <c r="H223" s="2" t="n">
        <v>17.962</v>
      </c>
      <c r="I223" s="2" t="n">
        <v>180</v>
      </c>
      <c r="J223" s="2" t="s">
        <v>38</v>
      </c>
      <c r="K223" s="2" t="n">
        <v>0</v>
      </c>
      <c r="L223" s="2" t="n">
        <v>0</v>
      </c>
      <c r="M223" s="0" t="str">
        <f aca="false">IF(J223="Active",L223+(ROW()/1000000),"")</f>
        <v/>
      </c>
    </row>
    <row r="224" customFormat="false" ht="15" hidden="false" customHeight="false" outlineLevel="0" collapsed="false">
      <c r="A224" s="2" t="s">
        <v>8515</v>
      </c>
      <c r="B224" s="2" t="s">
        <v>2516</v>
      </c>
      <c r="C224" s="13" t="n">
        <v>45348</v>
      </c>
      <c r="D224" s="13" t="n">
        <v>45348</v>
      </c>
      <c r="E224" s="2" t="s">
        <v>54</v>
      </c>
      <c r="F224" s="2" t="n">
        <v>393648.06</v>
      </c>
      <c r="G224" s="2" t="n">
        <v>250005.33</v>
      </c>
      <c r="H224" s="2" t="n">
        <v>9.762</v>
      </c>
      <c r="I224" s="2" t="n">
        <v>90</v>
      </c>
      <c r="J224" s="2" t="s">
        <v>36</v>
      </c>
      <c r="K224" s="2" t="n">
        <v>62609.93</v>
      </c>
      <c r="L224" s="2" t="n">
        <v>30</v>
      </c>
      <c r="M224" s="9" t="n">
        <f aca="false">IF(J224="Active",L224+(ROW()/1000000),"")</f>
        <v>30.000224</v>
      </c>
    </row>
    <row r="225" customFormat="false" ht="15" hidden="false" customHeight="false" outlineLevel="0" collapsed="false">
      <c r="A225" s="2" t="s">
        <v>8516</v>
      </c>
      <c r="B225" s="2" t="s">
        <v>1552</v>
      </c>
      <c r="C225" s="13" t="n">
        <v>45584</v>
      </c>
      <c r="D225" s="13" t="n">
        <v>45584</v>
      </c>
      <c r="E225" s="2" t="s">
        <v>54</v>
      </c>
      <c r="F225" s="2" t="n">
        <v>416991.1</v>
      </c>
      <c r="G225" s="2" t="n">
        <v>382893.5</v>
      </c>
      <c r="H225" s="2" t="n">
        <v>10.804</v>
      </c>
      <c r="I225" s="2" t="n">
        <v>90</v>
      </c>
      <c r="J225" s="2" t="s">
        <v>38</v>
      </c>
      <c r="K225" s="2" t="n">
        <v>0</v>
      </c>
      <c r="L225" s="2" t="n">
        <v>0</v>
      </c>
      <c r="M225" s="0" t="str">
        <f aca="false">IF(J225="Active",L225+(ROW()/1000000),"")</f>
        <v/>
      </c>
    </row>
    <row r="226" customFormat="false" ht="15" hidden="false" customHeight="false" outlineLevel="0" collapsed="false">
      <c r="A226" s="2" t="s">
        <v>8517</v>
      </c>
      <c r="B226" s="2" t="s">
        <v>3161</v>
      </c>
      <c r="C226" s="13" t="n">
        <v>45482</v>
      </c>
      <c r="D226" s="13" t="n">
        <v>45486</v>
      </c>
      <c r="E226" s="2" t="s">
        <v>54</v>
      </c>
      <c r="F226" s="2" t="n">
        <v>474572.69</v>
      </c>
      <c r="G226" s="2" t="n">
        <v>380045.98</v>
      </c>
      <c r="H226" s="2" t="n">
        <v>15.604</v>
      </c>
      <c r="I226" s="2" t="n">
        <v>30</v>
      </c>
      <c r="J226" s="2" t="s">
        <v>36</v>
      </c>
      <c r="K226" s="2" t="n">
        <v>132986.64</v>
      </c>
      <c r="L226" s="2" t="n">
        <v>30</v>
      </c>
      <c r="M226" s="9" t="n">
        <f aca="false">IF(J226="Active",L226+(ROW()/1000000),"")</f>
        <v>30.000226</v>
      </c>
    </row>
    <row r="227" customFormat="false" ht="15" hidden="false" customHeight="false" outlineLevel="0" collapsed="false">
      <c r="A227" s="2" t="s">
        <v>8518</v>
      </c>
      <c r="B227" s="2" t="s">
        <v>4865</v>
      </c>
      <c r="C227" s="13" t="n">
        <v>45318</v>
      </c>
      <c r="D227" s="13" t="n">
        <v>45323</v>
      </c>
      <c r="E227" s="2" t="s">
        <v>55</v>
      </c>
      <c r="F227" s="2" t="n">
        <v>230824.23</v>
      </c>
      <c r="G227" s="2" t="n">
        <v>194797.55</v>
      </c>
      <c r="H227" s="2" t="n">
        <v>9.172</v>
      </c>
      <c r="I227" s="2" t="n">
        <v>30</v>
      </c>
      <c r="J227" s="2" t="s">
        <v>38</v>
      </c>
      <c r="K227" s="2" t="n">
        <v>0</v>
      </c>
      <c r="L227" s="2" t="n">
        <v>0</v>
      </c>
      <c r="M227" s="0" t="str">
        <f aca="false">IF(J227="Active",L227+(ROW()/1000000),"")</f>
        <v/>
      </c>
    </row>
    <row r="228" customFormat="false" ht="15" hidden="false" customHeight="false" outlineLevel="0" collapsed="false">
      <c r="A228" s="2" t="s">
        <v>8519</v>
      </c>
      <c r="B228" s="2" t="s">
        <v>2114</v>
      </c>
      <c r="C228" s="13" t="n">
        <v>45391</v>
      </c>
      <c r="D228" s="13" t="n">
        <v>45392</v>
      </c>
      <c r="E228" s="2" t="s">
        <v>55</v>
      </c>
      <c r="F228" s="2" t="n">
        <v>451363.01</v>
      </c>
      <c r="G228" s="2" t="n">
        <v>308723.8</v>
      </c>
      <c r="H228" s="2" t="n">
        <v>9.161</v>
      </c>
      <c r="I228" s="2" t="n">
        <v>120</v>
      </c>
      <c r="J228" s="2" t="s">
        <v>38</v>
      </c>
      <c r="K228" s="2" t="n">
        <v>0</v>
      </c>
      <c r="L228" s="2" t="n">
        <v>0</v>
      </c>
      <c r="M228" s="0" t="str">
        <f aca="false">IF(J228="Active",L228+(ROW()/1000000),"")</f>
        <v/>
      </c>
    </row>
    <row r="229" customFormat="false" ht="15" hidden="false" customHeight="false" outlineLevel="0" collapsed="false">
      <c r="A229" s="2" t="s">
        <v>8520</v>
      </c>
      <c r="B229" s="2" t="s">
        <v>466</v>
      </c>
      <c r="C229" s="13" t="n">
        <v>45595</v>
      </c>
      <c r="D229" s="13" t="n">
        <v>45596</v>
      </c>
      <c r="E229" s="2" t="s">
        <v>54</v>
      </c>
      <c r="F229" s="2" t="n">
        <v>177646.23</v>
      </c>
      <c r="G229" s="2" t="n">
        <v>176664.52</v>
      </c>
      <c r="H229" s="2" t="n">
        <v>14.638</v>
      </c>
      <c r="I229" s="2" t="n">
        <v>60</v>
      </c>
      <c r="J229" s="2" t="s">
        <v>36</v>
      </c>
      <c r="K229" s="2" t="n">
        <v>161629.94</v>
      </c>
      <c r="L229" s="2" t="n">
        <v>3</v>
      </c>
      <c r="M229" s="9" t="n">
        <f aca="false">IF(J229="Active",L229+(ROW()/1000000),"")</f>
        <v>3.000229</v>
      </c>
    </row>
    <row r="230" customFormat="false" ht="15" hidden="false" customHeight="false" outlineLevel="0" collapsed="false">
      <c r="A230" s="2" t="s">
        <v>8521</v>
      </c>
      <c r="B230" s="2" t="s">
        <v>1637</v>
      </c>
      <c r="C230" s="13" t="n">
        <v>45382</v>
      </c>
      <c r="D230" s="13" t="n">
        <v>45384</v>
      </c>
      <c r="E230" s="2" t="s">
        <v>53</v>
      </c>
      <c r="F230" s="2" t="n">
        <v>54615.05</v>
      </c>
      <c r="G230" s="2" t="n">
        <v>38328</v>
      </c>
      <c r="H230" s="2" t="n">
        <v>15.462</v>
      </c>
      <c r="I230" s="2" t="n">
        <v>180</v>
      </c>
      <c r="J230" s="2" t="s">
        <v>36</v>
      </c>
      <c r="K230" s="2" t="n">
        <v>25997.77</v>
      </c>
      <c r="L230" s="2" t="n">
        <v>30</v>
      </c>
      <c r="M230" s="9" t="n">
        <f aca="false">IF(J230="Active",L230+(ROW()/1000000),"")</f>
        <v>30.00023</v>
      </c>
    </row>
    <row r="231" customFormat="false" ht="15" hidden="false" customHeight="false" outlineLevel="0" collapsed="false">
      <c r="A231" s="2" t="s">
        <v>8522</v>
      </c>
      <c r="B231" s="2" t="s">
        <v>1910</v>
      </c>
      <c r="C231" s="13" t="n">
        <v>45591</v>
      </c>
      <c r="D231" s="13"/>
      <c r="E231" s="2" t="s">
        <v>55</v>
      </c>
      <c r="F231" s="2" t="n">
        <v>296437.61</v>
      </c>
      <c r="G231" s="2" t="n">
        <v>0</v>
      </c>
      <c r="H231" s="2" t="n">
        <v>10.94</v>
      </c>
      <c r="I231" s="2" t="n">
        <v>180</v>
      </c>
      <c r="J231" s="2" t="s">
        <v>42</v>
      </c>
      <c r="K231" s="2" t="n">
        <v>0</v>
      </c>
      <c r="L231" s="2" t="n">
        <v>0</v>
      </c>
      <c r="M231" s="0" t="str">
        <f aca="false">IF(J231="Active",L231+(ROW()/1000000),"")</f>
        <v/>
      </c>
    </row>
    <row r="232" customFormat="false" ht="15" hidden="false" customHeight="false" outlineLevel="0" collapsed="false">
      <c r="A232" s="2" t="s">
        <v>8523</v>
      </c>
      <c r="B232" s="2" t="s">
        <v>7693</v>
      </c>
      <c r="C232" s="13" t="n">
        <v>45751</v>
      </c>
      <c r="D232" s="13" t="n">
        <v>45754</v>
      </c>
      <c r="E232" s="2" t="s">
        <v>54</v>
      </c>
      <c r="F232" s="2" t="n">
        <v>25927.74</v>
      </c>
      <c r="G232" s="2" t="n">
        <v>15372.08</v>
      </c>
      <c r="H232" s="2" t="n">
        <v>10.964</v>
      </c>
      <c r="I232" s="2" t="n">
        <v>180</v>
      </c>
      <c r="J232" s="2" t="s">
        <v>38</v>
      </c>
      <c r="K232" s="2" t="n">
        <v>0</v>
      </c>
      <c r="L232" s="2" t="n">
        <v>0</v>
      </c>
      <c r="M232" s="0" t="str">
        <f aca="false">IF(J232="Active",L232+(ROW()/1000000),"")</f>
        <v/>
      </c>
    </row>
    <row r="233" customFormat="false" ht="15" hidden="false" customHeight="false" outlineLevel="0" collapsed="false">
      <c r="A233" s="2" t="s">
        <v>8524</v>
      </c>
      <c r="B233" s="2" t="s">
        <v>4057</v>
      </c>
      <c r="C233" s="13" t="n">
        <v>45420</v>
      </c>
      <c r="D233" s="13" t="n">
        <v>45420</v>
      </c>
      <c r="E233" s="2" t="s">
        <v>53</v>
      </c>
      <c r="F233" s="2" t="n">
        <v>278170.05</v>
      </c>
      <c r="G233" s="2" t="n">
        <v>176352.77</v>
      </c>
      <c r="H233" s="2" t="n">
        <v>15.818</v>
      </c>
      <c r="I233" s="2" t="n">
        <v>60</v>
      </c>
      <c r="J233" s="2" t="s">
        <v>38</v>
      </c>
      <c r="K233" s="2" t="n">
        <v>0</v>
      </c>
      <c r="L233" s="2" t="n">
        <v>0</v>
      </c>
      <c r="M233" s="0" t="str">
        <f aca="false">IF(J233="Active",L233+(ROW()/1000000),"")</f>
        <v/>
      </c>
    </row>
    <row r="234" customFormat="false" ht="15" hidden="false" customHeight="false" outlineLevel="0" collapsed="false">
      <c r="A234" s="2" t="s">
        <v>8525</v>
      </c>
      <c r="B234" s="2" t="s">
        <v>2470</v>
      </c>
      <c r="C234" s="13" t="n">
        <v>45605</v>
      </c>
      <c r="D234" s="13" t="n">
        <v>45606</v>
      </c>
      <c r="E234" s="2" t="s">
        <v>53</v>
      </c>
      <c r="F234" s="2" t="n">
        <v>197234.43</v>
      </c>
      <c r="G234" s="2" t="n">
        <v>189640.25</v>
      </c>
      <c r="H234" s="2" t="n">
        <v>16.623</v>
      </c>
      <c r="I234" s="2" t="n">
        <v>180</v>
      </c>
      <c r="J234" s="2" t="s">
        <v>38</v>
      </c>
      <c r="K234" s="2" t="n">
        <v>0</v>
      </c>
      <c r="L234" s="2" t="n">
        <v>0</v>
      </c>
      <c r="M234" s="0" t="str">
        <f aca="false">IF(J234="Active",L234+(ROW()/1000000),"")</f>
        <v/>
      </c>
    </row>
    <row r="235" customFormat="false" ht="15" hidden="false" customHeight="false" outlineLevel="0" collapsed="false">
      <c r="A235" s="2" t="s">
        <v>8526</v>
      </c>
      <c r="B235" s="2" t="s">
        <v>5793</v>
      </c>
      <c r="C235" s="13" t="n">
        <v>45819</v>
      </c>
      <c r="D235" s="13" t="n">
        <v>45822</v>
      </c>
      <c r="E235" s="2" t="s">
        <v>53</v>
      </c>
      <c r="F235" s="2" t="n">
        <v>402743.86</v>
      </c>
      <c r="G235" s="2" t="n">
        <v>397812.24</v>
      </c>
      <c r="H235" s="2" t="n">
        <v>13.96</v>
      </c>
      <c r="I235" s="2" t="n">
        <v>90</v>
      </c>
      <c r="J235" s="2" t="s">
        <v>40</v>
      </c>
      <c r="K235" s="2" t="n">
        <v>199103.89</v>
      </c>
      <c r="L235" s="2" t="n">
        <v>3</v>
      </c>
      <c r="M235" s="0" t="str">
        <f aca="false">IF(J235="Active",L235+(ROW()/1000000),"")</f>
        <v/>
      </c>
    </row>
    <row r="236" customFormat="false" ht="15" hidden="false" customHeight="false" outlineLevel="0" collapsed="false">
      <c r="A236" s="2" t="s">
        <v>8527</v>
      </c>
      <c r="B236" s="2" t="s">
        <v>381</v>
      </c>
      <c r="C236" s="13" t="n">
        <v>45611</v>
      </c>
      <c r="D236" s="13" t="n">
        <v>45611</v>
      </c>
      <c r="E236" s="2" t="s">
        <v>54</v>
      </c>
      <c r="F236" s="2" t="n">
        <v>158166.77</v>
      </c>
      <c r="G236" s="2" t="n">
        <v>128241.09</v>
      </c>
      <c r="H236" s="2" t="n">
        <v>15.268</v>
      </c>
      <c r="I236" s="2" t="n">
        <v>120</v>
      </c>
      <c r="J236" s="2" t="s">
        <v>40</v>
      </c>
      <c r="K236" s="2" t="n">
        <v>9915.89</v>
      </c>
      <c r="L236" s="2" t="n">
        <v>15</v>
      </c>
      <c r="M236" s="0" t="str">
        <f aca="false">IF(J236="Active",L236+(ROW()/1000000),"")</f>
        <v/>
      </c>
    </row>
    <row r="237" customFormat="false" ht="15" hidden="false" customHeight="false" outlineLevel="0" collapsed="false">
      <c r="A237" s="2" t="s">
        <v>8528</v>
      </c>
      <c r="B237" s="2" t="s">
        <v>3001</v>
      </c>
      <c r="C237" s="13" t="n">
        <v>45751</v>
      </c>
      <c r="D237" s="13" t="n">
        <v>45754</v>
      </c>
      <c r="E237" s="2" t="s">
        <v>53</v>
      </c>
      <c r="F237" s="2" t="n">
        <v>284445.9</v>
      </c>
      <c r="G237" s="2" t="n">
        <v>237566.84</v>
      </c>
      <c r="H237" s="2" t="n">
        <v>8.547</v>
      </c>
      <c r="I237" s="2" t="n">
        <v>180</v>
      </c>
      <c r="J237" s="2" t="s">
        <v>36</v>
      </c>
      <c r="K237" s="2" t="n">
        <v>187349.34</v>
      </c>
      <c r="L237" s="2" t="n">
        <v>0</v>
      </c>
      <c r="M237" s="9" t="n">
        <f aca="false">IF(J237="Active",L237+(ROW()/1000000),"")</f>
        <v>0.000237</v>
      </c>
    </row>
    <row r="238" customFormat="false" ht="15" hidden="false" customHeight="false" outlineLevel="0" collapsed="false">
      <c r="A238" s="2" t="s">
        <v>8529</v>
      </c>
      <c r="B238" s="2" t="s">
        <v>8073</v>
      </c>
      <c r="C238" s="13" t="n">
        <v>45442</v>
      </c>
      <c r="D238" s="13"/>
      <c r="E238" s="2" t="s">
        <v>54</v>
      </c>
      <c r="F238" s="2" t="n">
        <v>306864.31</v>
      </c>
      <c r="G238" s="2" t="n">
        <v>0</v>
      </c>
      <c r="H238" s="2" t="n">
        <v>15.32</v>
      </c>
      <c r="I238" s="2" t="n">
        <v>30</v>
      </c>
      <c r="J238" s="2" t="s">
        <v>42</v>
      </c>
      <c r="K238" s="2" t="n">
        <v>0</v>
      </c>
      <c r="L238" s="2" t="n">
        <v>0</v>
      </c>
      <c r="M238" s="0" t="str">
        <f aca="false">IF(J238="Active",L238+(ROW()/1000000),"")</f>
        <v/>
      </c>
    </row>
    <row r="239" customFormat="false" ht="15" hidden="false" customHeight="false" outlineLevel="0" collapsed="false">
      <c r="A239" s="2" t="s">
        <v>8530</v>
      </c>
      <c r="B239" s="2" t="s">
        <v>1710</v>
      </c>
      <c r="C239" s="13" t="n">
        <v>45471</v>
      </c>
      <c r="D239" s="13" t="n">
        <v>45476</v>
      </c>
      <c r="E239" s="2" t="s">
        <v>55</v>
      </c>
      <c r="F239" s="2" t="n">
        <v>226214.76</v>
      </c>
      <c r="G239" s="2" t="n">
        <v>221838.35</v>
      </c>
      <c r="H239" s="2" t="n">
        <v>10.753</v>
      </c>
      <c r="I239" s="2" t="n">
        <v>120</v>
      </c>
      <c r="J239" s="2" t="s">
        <v>38</v>
      </c>
      <c r="K239" s="2" t="n">
        <v>0</v>
      </c>
      <c r="L239" s="2" t="n">
        <v>0</v>
      </c>
      <c r="M239" s="0" t="str">
        <f aca="false">IF(J239="Active",L239+(ROW()/1000000),"")</f>
        <v/>
      </c>
    </row>
    <row r="240" customFormat="false" ht="15" hidden="false" customHeight="false" outlineLevel="0" collapsed="false">
      <c r="A240" s="2" t="s">
        <v>8531</v>
      </c>
      <c r="B240" s="2" t="s">
        <v>416</v>
      </c>
      <c r="C240" s="13" t="n">
        <v>45971</v>
      </c>
      <c r="D240" s="13" t="n">
        <v>45975</v>
      </c>
      <c r="E240" s="2" t="s">
        <v>55</v>
      </c>
      <c r="F240" s="2" t="n">
        <v>273040.06</v>
      </c>
      <c r="G240" s="2" t="n">
        <v>170996.22</v>
      </c>
      <c r="H240" s="2" t="n">
        <v>15.116</v>
      </c>
      <c r="I240" s="2" t="n">
        <v>180</v>
      </c>
      <c r="J240" s="2" t="s">
        <v>38</v>
      </c>
      <c r="K240" s="2" t="n">
        <v>0</v>
      </c>
      <c r="L240" s="2" t="n">
        <v>0</v>
      </c>
      <c r="M240" s="0" t="str">
        <f aca="false">IF(J240="Active",L240+(ROW()/1000000),"")</f>
        <v/>
      </c>
    </row>
    <row r="241" customFormat="false" ht="15" hidden="false" customHeight="false" outlineLevel="0" collapsed="false">
      <c r="A241" s="2" t="s">
        <v>8532</v>
      </c>
      <c r="B241" s="2" t="s">
        <v>1467</v>
      </c>
      <c r="C241" s="13" t="n">
        <v>45429</v>
      </c>
      <c r="D241" s="13" t="n">
        <v>45430</v>
      </c>
      <c r="E241" s="2" t="s">
        <v>55</v>
      </c>
      <c r="F241" s="2" t="n">
        <v>51727.7</v>
      </c>
      <c r="G241" s="2" t="n">
        <v>50122.76</v>
      </c>
      <c r="H241" s="2" t="n">
        <v>12.558</v>
      </c>
      <c r="I241" s="2" t="n">
        <v>180</v>
      </c>
      <c r="J241" s="2" t="s">
        <v>36</v>
      </c>
      <c r="K241" s="2" t="n">
        <v>25584.73</v>
      </c>
      <c r="L241" s="2" t="n">
        <v>90</v>
      </c>
      <c r="M241" s="9" t="n">
        <f aca="false">IF(J241="Active",L241+(ROW()/1000000),"")</f>
        <v>90.000241</v>
      </c>
    </row>
    <row r="242" customFormat="false" ht="15" hidden="false" customHeight="false" outlineLevel="0" collapsed="false">
      <c r="A242" s="2" t="s">
        <v>8533</v>
      </c>
      <c r="B242" s="2" t="s">
        <v>1403</v>
      </c>
      <c r="C242" s="13" t="n">
        <v>45902</v>
      </c>
      <c r="D242" s="13" t="n">
        <v>45907</v>
      </c>
      <c r="E242" s="2" t="s">
        <v>55</v>
      </c>
      <c r="F242" s="2" t="n">
        <v>56902.93</v>
      </c>
      <c r="G242" s="2" t="n">
        <v>54054.76</v>
      </c>
      <c r="H242" s="2" t="n">
        <v>10.843</v>
      </c>
      <c r="I242" s="2" t="n">
        <v>90</v>
      </c>
      <c r="J242" s="2" t="s">
        <v>36</v>
      </c>
      <c r="K242" s="2" t="n">
        <v>48950.24</v>
      </c>
      <c r="L242" s="2" t="n">
        <v>10</v>
      </c>
      <c r="M242" s="9" t="n">
        <f aca="false">IF(J242="Active",L242+(ROW()/1000000),"")</f>
        <v>10.000242</v>
      </c>
    </row>
    <row r="243" customFormat="false" ht="15" hidden="false" customHeight="false" outlineLevel="0" collapsed="false">
      <c r="A243" s="2" t="s">
        <v>8534</v>
      </c>
      <c r="B243" s="2" t="s">
        <v>5701</v>
      </c>
      <c r="C243" s="13" t="n">
        <v>45728</v>
      </c>
      <c r="D243" s="13" t="n">
        <v>45728</v>
      </c>
      <c r="E243" s="2" t="s">
        <v>55</v>
      </c>
      <c r="F243" s="2" t="n">
        <v>220115.38</v>
      </c>
      <c r="G243" s="2" t="n">
        <v>218888.68</v>
      </c>
      <c r="H243" s="2" t="n">
        <v>7.379</v>
      </c>
      <c r="I243" s="2" t="n">
        <v>60</v>
      </c>
      <c r="J243" s="2" t="s">
        <v>36</v>
      </c>
      <c r="K243" s="2" t="n">
        <v>153396.71</v>
      </c>
      <c r="L243" s="2" t="n">
        <v>15</v>
      </c>
      <c r="M243" s="9" t="n">
        <f aca="false">IF(J243="Active",L243+(ROW()/1000000),"")</f>
        <v>15.000243</v>
      </c>
    </row>
    <row r="244" customFormat="false" ht="15" hidden="false" customHeight="false" outlineLevel="0" collapsed="false">
      <c r="A244" s="2" t="s">
        <v>8535</v>
      </c>
      <c r="B244" s="2" t="s">
        <v>2160</v>
      </c>
      <c r="C244" s="13" t="n">
        <v>45609</v>
      </c>
      <c r="D244" s="13" t="n">
        <v>45611</v>
      </c>
      <c r="E244" s="2" t="s">
        <v>53</v>
      </c>
      <c r="F244" s="2" t="n">
        <v>483626.46</v>
      </c>
      <c r="G244" s="2" t="n">
        <v>272698.44</v>
      </c>
      <c r="H244" s="2" t="n">
        <v>12.729</v>
      </c>
      <c r="I244" s="2" t="n">
        <v>30</v>
      </c>
      <c r="J244" s="2" t="s">
        <v>40</v>
      </c>
      <c r="K244" s="2" t="n">
        <v>181054.79</v>
      </c>
      <c r="L244" s="2" t="n">
        <v>5</v>
      </c>
      <c r="M244" s="0" t="str">
        <f aca="false">IF(J244="Active",L244+(ROW()/1000000),"")</f>
        <v/>
      </c>
    </row>
    <row r="245" customFormat="false" ht="15" hidden="false" customHeight="false" outlineLevel="0" collapsed="false">
      <c r="A245" s="2" t="s">
        <v>8536</v>
      </c>
      <c r="B245" s="2" t="s">
        <v>3535</v>
      </c>
      <c r="C245" s="13" t="n">
        <v>46009</v>
      </c>
      <c r="D245" s="13" t="n">
        <v>46011</v>
      </c>
      <c r="E245" s="2" t="s">
        <v>53</v>
      </c>
      <c r="F245" s="2" t="n">
        <v>63660.19</v>
      </c>
      <c r="G245" s="2" t="n">
        <v>59912.6</v>
      </c>
      <c r="H245" s="2" t="n">
        <v>7.011</v>
      </c>
      <c r="I245" s="2" t="n">
        <v>90</v>
      </c>
      <c r="J245" s="2" t="s">
        <v>36</v>
      </c>
      <c r="K245" s="2" t="n">
        <v>14385.09</v>
      </c>
      <c r="L245" s="2" t="n">
        <v>3</v>
      </c>
      <c r="M245" s="9" t="n">
        <f aca="false">IF(J245="Active",L245+(ROW()/1000000),"")</f>
        <v>3.000245</v>
      </c>
    </row>
    <row r="246" customFormat="false" ht="15" hidden="false" customHeight="false" outlineLevel="0" collapsed="false">
      <c r="A246" s="2" t="s">
        <v>8537</v>
      </c>
      <c r="B246" s="2" t="s">
        <v>3325</v>
      </c>
      <c r="C246" s="13" t="n">
        <v>45560</v>
      </c>
      <c r="D246" s="13" t="n">
        <v>45560</v>
      </c>
      <c r="E246" s="2" t="s">
        <v>53</v>
      </c>
      <c r="F246" s="2" t="n">
        <v>96953.68</v>
      </c>
      <c r="G246" s="2" t="n">
        <v>85407.97</v>
      </c>
      <c r="H246" s="2" t="n">
        <v>13.317</v>
      </c>
      <c r="I246" s="2" t="n">
        <v>180</v>
      </c>
      <c r="J246" s="2" t="s">
        <v>36</v>
      </c>
      <c r="K246" s="2" t="n">
        <v>13472.69</v>
      </c>
      <c r="L246" s="2" t="n">
        <v>10</v>
      </c>
      <c r="M246" s="9" t="n">
        <f aca="false">IF(J246="Active",L246+(ROW()/1000000),"")</f>
        <v>10.000246</v>
      </c>
    </row>
    <row r="247" customFormat="false" ht="15" hidden="false" customHeight="false" outlineLevel="0" collapsed="false">
      <c r="A247" s="2" t="s">
        <v>8538</v>
      </c>
      <c r="B247" s="2" t="s">
        <v>3169</v>
      </c>
      <c r="C247" s="13" t="n">
        <v>45963</v>
      </c>
      <c r="D247" s="13" t="n">
        <v>45968</v>
      </c>
      <c r="E247" s="2" t="s">
        <v>55</v>
      </c>
      <c r="F247" s="2" t="n">
        <v>313540.81</v>
      </c>
      <c r="G247" s="2" t="n">
        <v>253988.87</v>
      </c>
      <c r="H247" s="2" t="n">
        <v>11.168</v>
      </c>
      <c r="I247" s="2" t="n">
        <v>180</v>
      </c>
      <c r="J247" s="2" t="s">
        <v>40</v>
      </c>
      <c r="K247" s="2" t="n">
        <v>121045.65</v>
      </c>
      <c r="L247" s="2" t="n">
        <v>0</v>
      </c>
      <c r="M247" s="0" t="str">
        <f aca="false">IF(J247="Active",L247+(ROW()/1000000),"")</f>
        <v/>
      </c>
    </row>
    <row r="248" customFormat="false" ht="15" hidden="false" customHeight="false" outlineLevel="0" collapsed="false">
      <c r="A248" s="2" t="s">
        <v>8539</v>
      </c>
      <c r="B248" s="2" t="s">
        <v>5075</v>
      </c>
      <c r="C248" s="13" t="n">
        <v>45965</v>
      </c>
      <c r="D248" s="13" t="n">
        <v>45968</v>
      </c>
      <c r="E248" s="2" t="s">
        <v>55</v>
      </c>
      <c r="F248" s="2" t="n">
        <v>303122.45</v>
      </c>
      <c r="G248" s="2" t="n">
        <v>175782.86</v>
      </c>
      <c r="H248" s="2" t="n">
        <v>11.579</v>
      </c>
      <c r="I248" s="2" t="n">
        <v>180</v>
      </c>
      <c r="J248" s="2" t="s">
        <v>36</v>
      </c>
      <c r="K248" s="2" t="n">
        <v>55110.12</v>
      </c>
      <c r="L248" s="2" t="n">
        <v>30</v>
      </c>
      <c r="M248" s="9" t="n">
        <f aca="false">IF(J248="Active",L248+(ROW()/1000000),"")</f>
        <v>30.000248</v>
      </c>
    </row>
    <row r="249" customFormat="false" ht="15" hidden="false" customHeight="false" outlineLevel="0" collapsed="false">
      <c r="A249" s="2" t="s">
        <v>8540</v>
      </c>
      <c r="B249" s="2" t="s">
        <v>1552</v>
      </c>
      <c r="C249" s="13" t="n">
        <v>45310</v>
      </c>
      <c r="D249" s="13" t="n">
        <v>45315</v>
      </c>
      <c r="E249" s="2" t="s">
        <v>54</v>
      </c>
      <c r="F249" s="2" t="n">
        <v>489243.75</v>
      </c>
      <c r="G249" s="2" t="n">
        <v>335710.77</v>
      </c>
      <c r="H249" s="2" t="n">
        <v>15.648</v>
      </c>
      <c r="I249" s="2" t="n">
        <v>30</v>
      </c>
      <c r="J249" s="2" t="s">
        <v>38</v>
      </c>
      <c r="K249" s="2" t="n">
        <v>0</v>
      </c>
      <c r="L249" s="2" t="n">
        <v>0</v>
      </c>
      <c r="M249" s="0" t="str">
        <f aca="false">IF(J249="Active",L249+(ROW()/1000000),"")</f>
        <v/>
      </c>
    </row>
    <row r="250" customFormat="false" ht="15" hidden="false" customHeight="false" outlineLevel="0" collapsed="false">
      <c r="A250" s="2" t="s">
        <v>8541</v>
      </c>
      <c r="B250" s="2" t="s">
        <v>1064</v>
      </c>
      <c r="C250" s="13" t="n">
        <v>45875</v>
      </c>
      <c r="D250" s="13" t="n">
        <v>45878</v>
      </c>
      <c r="E250" s="2" t="s">
        <v>54</v>
      </c>
      <c r="F250" s="2" t="n">
        <v>445477.49</v>
      </c>
      <c r="G250" s="2" t="n">
        <v>442881.53</v>
      </c>
      <c r="H250" s="2" t="n">
        <v>15.32</v>
      </c>
      <c r="I250" s="2" t="n">
        <v>90</v>
      </c>
      <c r="J250" s="2" t="s">
        <v>36</v>
      </c>
      <c r="K250" s="2" t="n">
        <v>350783.7</v>
      </c>
      <c r="L250" s="2" t="n">
        <v>0</v>
      </c>
      <c r="M250" s="9" t="n">
        <f aca="false">IF(J250="Active",L250+(ROW()/1000000),"")</f>
        <v>0.00025</v>
      </c>
    </row>
    <row r="251" customFormat="false" ht="15" hidden="false" customHeight="false" outlineLevel="0" collapsed="false">
      <c r="A251" s="2" t="s">
        <v>8542</v>
      </c>
      <c r="B251" s="2" t="s">
        <v>2852</v>
      </c>
      <c r="C251" s="13" t="n">
        <v>45969</v>
      </c>
      <c r="D251" s="13" t="n">
        <v>45973</v>
      </c>
      <c r="E251" s="2" t="s">
        <v>55</v>
      </c>
      <c r="F251" s="2" t="n">
        <v>495064.33</v>
      </c>
      <c r="G251" s="2" t="n">
        <v>365040.1</v>
      </c>
      <c r="H251" s="2" t="n">
        <v>10.293</v>
      </c>
      <c r="I251" s="2" t="n">
        <v>60</v>
      </c>
      <c r="J251" s="2" t="s">
        <v>36</v>
      </c>
      <c r="K251" s="2" t="n">
        <v>144738.82</v>
      </c>
      <c r="L251" s="2" t="n">
        <v>3</v>
      </c>
      <c r="M251" s="9" t="n">
        <f aca="false">IF(J251="Active",L251+(ROW()/1000000),"")</f>
        <v>3.000251</v>
      </c>
    </row>
    <row r="252" customFormat="false" ht="15" hidden="false" customHeight="false" outlineLevel="0" collapsed="false">
      <c r="A252" s="2" t="s">
        <v>8543</v>
      </c>
      <c r="B252" s="2" t="s">
        <v>7845</v>
      </c>
      <c r="C252" s="13" t="n">
        <v>45565</v>
      </c>
      <c r="D252" s="13"/>
      <c r="E252" s="2" t="s">
        <v>54</v>
      </c>
      <c r="F252" s="2" t="n">
        <v>248986.15</v>
      </c>
      <c r="G252" s="2" t="n">
        <v>0</v>
      </c>
      <c r="H252" s="2" t="n">
        <v>7.647</v>
      </c>
      <c r="I252" s="2" t="n">
        <v>180</v>
      </c>
      <c r="J252" s="2" t="s">
        <v>42</v>
      </c>
      <c r="K252" s="2" t="n">
        <v>0</v>
      </c>
      <c r="L252" s="2" t="n">
        <v>0</v>
      </c>
      <c r="M252" s="0" t="str">
        <f aca="false">IF(J252="Active",L252+(ROW()/1000000),"")</f>
        <v/>
      </c>
    </row>
    <row r="253" customFormat="false" ht="15" hidden="false" customHeight="false" outlineLevel="0" collapsed="false">
      <c r="A253" s="2" t="s">
        <v>8544</v>
      </c>
      <c r="B253" s="2" t="s">
        <v>4829</v>
      </c>
      <c r="C253" s="13" t="n">
        <v>45326</v>
      </c>
      <c r="D253" s="13" t="n">
        <v>45331</v>
      </c>
      <c r="E253" s="2" t="s">
        <v>53</v>
      </c>
      <c r="F253" s="2" t="n">
        <v>188948.83</v>
      </c>
      <c r="G253" s="2" t="n">
        <v>132386.24</v>
      </c>
      <c r="H253" s="2" t="n">
        <v>9.425</v>
      </c>
      <c r="I253" s="2" t="n">
        <v>90</v>
      </c>
      <c r="J253" s="2" t="s">
        <v>36</v>
      </c>
      <c r="K253" s="2" t="n">
        <v>123916.16</v>
      </c>
      <c r="L253" s="2" t="n">
        <v>0</v>
      </c>
      <c r="M253" s="9" t="n">
        <f aca="false">IF(J253="Active",L253+(ROW()/1000000),"")</f>
        <v>0.000253</v>
      </c>
    </row>
    <row r="254" customFormat="false" ht="15" hidden="false" customHeight="false" outlineLevel="0" collapsed="false">
      <c r="A254" s="2" t="s">
        <v>8545</v>
      </c>
      <c r="B254" s="2" t="s">
        <v>4445</v>
      </c>
      <c r="C254" s="13" t="n">
        <v>45734</v>
      </c>
      <c r="D254" s="13" t="n">
        <v>45738</v>
      </c>
      <c r="E254" s="2" t="s">
        <v>55</v>
      </c>
      <c r="F254" s="2" t="n">
        <v>90530.59</v>
      </c>
      <c r="G254" s="2" t="n">
        <v>62350.13</v>
      </c>
      <c r="H254" s="2" t="n">
        <v>17.629</v>
      </c>
      <c r="I254" s="2" t="n">
        <v>180</v>
      </c>
      <c r="J254" s="2" t="s">
        <v>40</v>
      </c>
      <c r="K254" s="2" t="n">
        <v>33800.67</v>
      </c>
      <c r="L254" s="2" t="n">
        <v>60</v>
      </c>
      <c r="M254" s="0" t="str">
        <f aca="false">IF(J254="Active",L254+(ROW()/1000000),"")</f>
        <v/>
      </c>
    </row>
    <row r="255" customFormat="false" ht="15" hidden="false" customHeight="false" outlineLevel="0" collapsed="false">
      <c r="A255" s="2" t="s">
        <v>8546</v>
      </c>
      <c r="B255" s="2" t="s">
        <v>1516</v>
      </c>
      <c r="C255" s="13" t="n">
        <v>45599</v>
      </c>
      <c r="D255" s="13"/>
      <c r="E255" s="2" t="s">
        <v>53</v>
      </c>
      <c r="F255" s="2" t="n">
        <v>250250.49</v>
      </c>
      <c r="G255" s="2" t="n">
        <v>0</v>
      </c>
      <c r="H255" s="2" t="n">
        <v>11.53</v>
      </c>
      <c r="I255" s="2" t="n">
        <v>180</v>
      </c>
      <c r="J255" s="2" t="s">
        <v>42</v>
      </c>
      <c r="K255" s="2" t="n">
        <v>0</v>
      </c>
      <c r="L255" s="2" t="n">
        <v>0</v>
      </c>
      <c r="M255" s="0" t="str">
        <f aca="false">IF(J255="Active",L255+(ROW()/1000000),"")</f>
        <v/>
      </c>
    </row>
    <row r="256" customFormat="false" ht="15" hidden="false" customHeight="false" outlineLevel="0" collapsed="false">
      <c r="A256" s="2" t="s">
        <v>8547</v>
      </c>
      <c r="B256" s="2" t="s">
        <v>356</v>
      </c>
      <c r="C256" s="13" t="n">
        <v>46009</v>
      </c>
      <c r="D256" s="13" t="n">
        <v>46009</v>
      </c>
      <c r="E256" s="2" t="s">
        <v>55</v>
      </c>
      <c r="F256" s="2" t="n">
        <v>164738.24</v>
      </c>
      <c r="G256" s="2" t="n">
        <v>163372.68</v>
      </c>
      <c r="H256" s="2" t="n">
        <v>11.45</v>
      </c>
      <c r="I256" s="2" t="n">
        <v>60</v>
      </c>
      <c r="J256" s="2" t="s">
        <v>38</v>
      </c>
      <c r="K256" s="2" t="n">
        <v>0</v>
      </c>
      <c r="L256" s="2" t="n">
        <v>0</v>
      </c>
      <c r="M256" s="0" t="str">
        <f aca="false">IF(J256="Active",L256+(ROW()/1000000),"")</f>
        <v/>
      </c>
    </row>
    <row r="257" customFormat="false" ht="15" hidden="false" customHeight="false" outlineLevel="0" collapsed="false">
      <c r="A257" s="2" t="s">
        <v>8548</v>
      </c>
      <c r="B257" s="2" t="s">
        <v>7415</v>
      </c>
      <c r="C257" s="13" t="n">
        <v>45581</v>
      </c>
      <c r="D257" s="13" t="n">
        <v>45586</v>
      </c>
      <c r="E257" s="2" t="s">
        <v>54</v>
      </c>
      <c r="F257" s="2" t="n">
        <v>422479.57</v>
      </c>
      <c r="G257" s="2" t="n">
        <v>401996.54</v>
      </c>
      <c r="H257" s="2" t="n">
        <v>7.886</v>
      </c>
      <c r="I257" s="2" t="n">
        <v>180</v>
      </c>
      <c r="J257" s="2" t="s">
        <v>36</v>
      </c>
      <c r="K257" s="2" t="n">
        <v>343051.79</v>
      </c>
      <c r="L257" s="2" t="n">
        <v>5</v>
      </c>
      <c r="M257" s="9" t="n">
        <f aca="false">IF(J257="Active",L257+(ROW()/1000000),"")</f>
        <v>5.000257</v>
      </c>
    </row>
    <row r="258" customFormat="false" ht="15" hidden="false" customHeight="false" outlineLevel="0" collapsed="false">
      <c r="A258" s="2" t="s">
        <v>8549</v>
      </c>
      <c r="B258" s="2" t="s">
        <v>8293</v>
      </c>
      <c r="C258" s="13" t="n">
        <v>45670</v>
      </c>
      <c r="D258" s="13" t="n">
        <v>45671</v>
      </c>
      <c r="E258" s="2" t="s">
        <v>54</v>
      </c>
      <c r="F258" s="2" t="n">
        <v>285569.19</v>
      </c>
      <c r="G258" s="2" t="n">
        <v>237606.46</v>
      </c>
      <c r="H258" s="2" t="n">
        <v>14.63</v>
      </c>
      <c r="I258" s="2" t="n">
        <v>120</v>
      </c>
      <c r="J258" s="2" t="s">
        <v>36</v>
      </c>
      <c r="K258" s="2" t="n">
        <v>121603.11</v>
      </c>
      <c r="L258" s="2" t="n">
        <v>90</v>
      </c>
      <c r="M258" s="9" t="n">
        <f aca="false">IF(J258="Active",L258+(ROW()/1000000),"")</f>
        <v>90.000258</v>
      </c>
    </row>
    <row r="259" customFormat="false" ht="15" hidden="false" customHeight="false" outlineLevel="0" collapsed="false">
      <c r="A259" s="2" t="s">
        <v>8550</v>
      </c>
      <c r="B259" s="2" t="s">
        <v>3743</v>
      </c>
      <c r="C259" s="13" t="n">
        <v>45743</v>
      </c>
      <c r="D259" s="13" t="n">
        <v>45745</v>
      </c>
      <c r="E259" s="2" t="s">
        <v>53</v>
      </c>
      <c r="F259" s="2" t="n">
        <v>18144.79</v>
      </c>
      <c r="G259" s="2" t="n">
        <v>17061.9</v>
      </c>
      <c r="H259" s="2" t="n">
        <v>14.441</v>
      </c>
      <c r="I259" s="2" t="n">
        <v>120</v>
      </c>
      <c r="J259" s="2" t="s">
        <v>40</v>
      </c>
      <c r="K259" s="2" t="n">
        <v>3235.9</v>
      </c>
      <c r="L259" s="2" t="n">
        <v>60</v>
      </c>
      <c r="M259" s="0" t="str">
        <f aca="false">IF(J259="Active",L259+(ROW()/1000000),"")</f>
        <v/>
      </c>
    </row>
    <row r="260" customFormat="false" ht="15" hidden="false" customHeight="false" outlineLevel="0" collapsed="false">
      <c r="A260" s="2" t="s">
        <v>8551</v>
      </c>
      <c r="B260" s="2" t="s">
        <v>5239</v>
      </c>
      <c r="C260" s="13" t="n">
        <v>45335</v>
      </c>
      <c r="D260" s="13" t="n">
        <v>45337</v>
      </c>
      <c r="E260" s="2" t="s">
        <v>54</v>
      </c>
      <c r="F260" s="2" t="n">
        <v>349044.61</v>
      </c>
      <c r="G260" s="2" t="n">
        <v>221682.03</v>
      </c>
      <c r="H260" s="2" t="n">
        <v>13.489</v>
      </c>
      <c r="I260" s="2" t="n">
        <v>30</v>
      </c>
      <c r="J260" s="2" t="s">
        <v>38</v>
      </c>
      <c r="K260" s="2" t="n">
        <v>0</v>
      </c>
      <c r="L260" s="2" t="n">
        <v>0</v>
      </c>
      <c r="M260" s="0" t="str">
        <f aca="false">IF(J260="Active",L260+(ROW()/1000000),"")</f>
        <v/>
      </c>
    </row>
    <row r="261" customFormat="false" ht="15" hidden="false" customHeight="false" outlineLevel="0" collapsed="false">
      <c r="A261" s="2" t="s">
        <v>8552</v>
      </c>
      <c r="B261" s="2" t="s">
        <v>896</v>
      </c>
      <c r="C261" s="13" t="n">
        <v>45819</v>
      </c>
      <c r="D261" s="13" t="n">
        <v>45820</v>
      </c>
      <c r="E261" s="2" t="s">
        <v>55</v>
      </c>
      <c r="F261" s="2" t="n">
        <v>331856.15</v>
      </c>
      <c r="G261" s="2" t="n">
        <v>270176.32</v>
      </c>
      <c r="H261" s="2" t="n">
        <v>10.569</v>
      </c>
      <c r="I261" s="2" t="n">
        <v>180</v>
      </c>
      <c r="J261" s="2" t="s">
        <v>40</v>
      </c>
      <c r="K261" s="2" t="n">
        <v>92915.27</v>
      </c>
      <c r="L261" s="2" t="n">
        <v>60</v>
      </c>
      <c r="M261" s="0" t="str">
        <f aca="false">IF(J261="Active",L261+(ROW()/1000000),"")</f>
        <v/>
      </c>
    </row>
    <row r="262" customFormat="false" ht="15" hidden="false" customHeight="false" outlineLevel="0" collapsed="false">
      <c r="A262" s="2" t="s">
        <v>8553</v>
      </c>
      <c r="B262" s="2" t="s">
        <v>2806</v>
      </c>
      <c r="C262" s="13" t="n">
        <v>45496</v>
      </c>
      <c r="D262" s="13"/>
      <c r="E262" s="2" t="s">
        <v>55</v>
      </c>
      <c r="F262" s="2" t="n">
        <v>358951.96</v>
      </c>
      <c r="G262" s="2" t="n">
        <v>0</v>
      </c>
      <c r="H262" s="2" t="n">
        <v>7.496</v>
      </c>
      <c r="I262" s="2" t="n">
        <v>120</v>
      </c>
      <c r="J262" s="2" t="s">
        <v>42</v>
      </c>
      <c r="K262" s="2" t="n">
        <v>0</v>
      </c>
      <c r="L262" s="2" t="n">
        <v>0</v>
      </c>
      <c r="M262" s="0" t="str">
        <f aca="false">IF(J262="Active",L262+(ROW()/1000000),"")</f>
        <v/>
      </c>
    </row>
    <row r="263" customFormat="false" ht="15" hidden="false" customHeight="false" outlineLevel="0" collapsed="false">
      <c r="A263" s="2" t="s">
        <v>8554</v>
      </c>
      <c r="B263" s="2" t="s">
        <v>549</v>
      </c>
      <c r="C263" s="13" t="n">
        <v>45511</v>
      </c>
      <c r="D263" s="13" t="n">
        <v>45512</v>
      </c>
      <c r="E263" s="2" t="s">
        <v>54</v>
      </c>
      <c r="F263" s="2" t="n">
        <v>238388.8</v>
      </c>
      <c r="G263" s="2" t="n">
        <v>211733.46</v>
      </c>
      <c r="H263" s="2" t="n">
        <v>11.05</v>
      </c>
      <c r="I263" s="2" t="n">
        <v>180</v>
      </c>
      <c r="J263" s="2" t="s">
        <v>38</v>
      </c>
      <c r="K263" s="2" t="n">
        <v>0</v>
      </c>
      <c r="L263" s="2" t="n">
        <v>0</v>
      </c>
      <c r="M263" s="0" t="str">
        <f aca="false">IF(J263="Active",L263+(ROW()/1000000),"")</f>
        <v/>
      </c>
    </row>
    <row r="264" customFormat="false" ht="15" hidden="false" customHeight="false" outlineLevel="0" collapsed="false">
      <c r="A264" s="2" t="s">
        <v>8555</v>
      </c>
      <c r="B264" s="2" t="s">
        <v>2806</v>
      </c>
      <c r="C264" s="13" t="n">
        <v>45860</v>
      </c>
      <c r="D264" s="13" t="n">
        <v>45864</v>
      </c>
      <c r="E264" s="2" t="s">
        <v>53</v>
      </c>
      <c r="F264" s="2" t="n">
        <v>285601.39</v>
      </c>
      <c r="G264" s="2" t="n">
        <v>245474.34</v>
      </c>
      <c r="H264" s="2" t="n">
        <v>9.258</v>
      </c>
      <c r="I264" s="2" t="n">
        <v>30</v>
      </c>
      <c r="J264" s="2" t="s">
        <v>38</v>
      </c>
      <c r="K264" s="2" t="n">
        <v>0</v>
      </c>
      <c r="L264" s="2" t="n">
        <v>0</v>
      </c>
      <c r="M264" s="0" t="str">
        <f aca="false">IF(J264="Active",L264+(ROW()/1000000),"")</f>
        <v/>
      </c>
    </row>
    <row r="265" customFormat="false" ht="15" hidden="false" customHeight="false" outlineLevel="0" collapsed="false">
      <c r="A265" s="2" t="s">
        <v>8556</v>
      </c>
      <c r="B265" s="2" t="s">
        <v>431</v>
      </c>
      <c r="C265" s="13" t="n">
        <v>45550</v>
      </c>
      <c r="D265" s="13"/>
      <c r="E265" s="2" t="s">
        <v>55</v>
      </c>
      <c r="F265" s="2" t="n">
        <v>232083.34</v>
      </c>
      <c r="G265" s="2" t="n">
        <v>0</v>
      </c>
      <c r="H265" s="2" t="n">
        <v>7.854</v>
      </c>
      <c r="I265" s="2" t="n">
        <v>60</v>
      </c>
      <c r="J265" s="2" t="s">
        <v>42</v>
      </c>
      <c r="K265" s="2" t="n">
        <v>0</v>
      </c>
      <c r="L265" s="2" t="n">
        <v>0</v>
      </c>
      <c r="M265" s="0" t="str">
        <f aca="false">IF(J265="Active",L265+(ROW()/1000000),"")</f>
        <v/>
      </c>
    </row>
    <row r="266" customFormat="false" ht="15" hidden="false" customHeight="false" outlineLevel="0" collapsed="false">
      <c r="A266" s="2" t="s">
        <v>8557</v>
      </c>
      <c r="B266" s="2" t="s">
        <v>4659</v>
      </c>
      <c r="C266" s="13" t="n">
        <v>45314</v>
      </c>
      <c r="D266" s="13" t="n">
        <v>45314</v>
      </c>
      <c r="E266" s="2" t="s">
        <v>53</v>
      </c>
      <c r="F266" s="2" t="n">
        <v>298300.59</v>
      </c>
      <c r="G266" s="2" t="n">
        <v>256870.41</v>
      </c>
      <c r="H266" s="2" t="n">
        <v>7.63</v>
      </c>
      <c r="I266" s="2" t="n">
        <v>30</v>
      </c>
      <c r="J266" s="2" t="s">
        <v>40</v>
      </c>
      <c r="K266" s="2" t="n">
        <v>226503.28</v>
      </c>
      <c r="L266" s="2" t="n">
        <v>0</v>
      </c>
      <c r="M266" s="0" t="str">
        <f aca="false">IF(J266="Active",L266+(ROW()/1000000),"")</f>
        <v/>
      </c>
    </row>
    <row r="267" customFormat="false" ht="15" hidden="false" customHeight="false" outlineLevel="0" collapsed="false">
      <c r="A267" s="2" t="s">
        <v>8558</v>
      </c>
      <c r="B267" s="2" t="s">
        <v>569</v>
      </c>
      <c r="C267" s="13" t="n">
        <v>45395</v>
      </c>
      <c r="D267" s="13" t="n">
        <v>45395</v>
      </c>
      <c r="E267" s="2" t="s">
        <v>54</v>
      </c>
      <c r="F267" s="2" t="n">
        <v>356656.35</v>
      </c>
      <c r="G267" s="2" t="n">
        <v>310030</v>
      </c>
      <c r="H267" s="2" t="n">
        <v>7.409</v>
      </c>
      <c r="I267" s="2" t="n">
        <v>90</v>
      </c>
      <c r="J267" s="2" t="s">
        <v>36</v>
      </c>
      <c r="K267" s="2" t="n">
        <v>153415.22</v>
      </c>
      <c r="L267" s="2" t="n">
        <v>0</v>
      </c>
      <c r="M267" s="9" t="n">
        <f aca="false">IF(J267="Active",L267+(ROW()/1000000),"")</f>
        <v>0.000267</v>
      </c>
    </row>
    <row r="268" customFormat="false" ht="15" hidden="false" customHeight="false" outlineLevel="0" collapsed="false">
      <c r="A268" s="2" t="s">
        <v>8559</v>
      </c>
      <c r="B268" s="2" t="s">
        <v>4371</v>
      </c>
      <c r="C268" s="13" t="n">
        <v>45658</v>
      </c>
      <c r="D268" s="13" t="n">
        <v>45663</v>
      </c>
      <c r="E268" s="2" t="s">
        <v>54</v>
      </c>
      <c r="F268" s="2" t="n">
        <v>365437.15</v>
      </c>
      <c r="G268" s="2" t="n">
        <v>218940.77</v>
      </c>
      <c r="H268" s="2" t="n">
        <v>14.502</v>
      </c>
      <c r="I268" s="2" t="n">
        <v>90</v>
      </c>
      <c r="J268" s="2" t="s">
        <v>38</v>
      </c>
      <c r="K268" s="2" t="n">
        <v>0</v>
      </c>
      <c r="L268" s="2" t="n">
        <v>0</v>
      </c>
      <c r="M268" s="0" t="str">
        <f aca="false">IF(J268="Active",L268+(ROW()/1000000),"")</f>
        <v/>
      </c>
    </row>
    <row r="269" customFormat="false" ht="15" hidden="false" customHeight="false" outlineLevel="0" collapsed="false">
      <c r="A269" s="2" t="s">
        <v>8560</v>
      </c>
      <c r="B269" s="2" t="s">
        <v>5007</v>
      </c>
      <c r="C269" s="13" t="n">
        <v>45398</v>
      </c>
      <c r="D269" s="13" t="n">
        <v>45403</v>
      </c>
      <c r="E269" s="2" t="s">
        <v>53</v>
      </c>
      <c r="F269" s="2" t="n">
        <v>437969.91</v>
      </c>
      <c r="G269" s="2" t="n">
        <v>355718.82</v>
      </c>
      <c r="H269" s="2" t="n">
        <v>16.725</v>
      </c>
      <c r="I269" s="2" t="n">
        <v>180</v>
      </c>
      <c r="J269" s="2" t="s">
        <v>36</v>
      </c>
      <c r="K269" s="2" t="n">
        <v>121948.6</v>
      </c>
      <c r="L269" s="2" t="n">
        <v>10</v>
      </c>
      <c r="M269" s="9" t="n">
        <f aca="false">IF(J269="Active",L269+(ROW()/1000000),"")</f>
        <v>10.000269</v>
      </c>
    </row>
    <row r="270" customFormat="false" ht="15" hidden="false" customHeight="false" outlineLevel="0" collapsed="false">
      <c r="A270" s="2" t="s">
        <v>8561</v>
      </c>
      <c r="B270" s="2" t="s">
        <v>2100</v>
      </c>
      <c r="C270" s="13" t="n">
        <v>45441</v>
      </c>
      <c r="D270" s="13" t="n">
        <v>45443</v>
      </c>
      <c r="E270" s="2" t="s">
        <v>53</v>
      </c>
      <c r="F270" s="2" t="n">
        <v>421724.75</v>
      </c>
      <c r="G270" s="2" t="n">
        <v>313811.08</v>
      </c>
      <c r="H270" s="2" t="n">
        <v>8.112</v>
      </c>
      <c r="I270" s="2" t="n">
        <v>60</v>
      </c>
      <c r="J270" s="2" t="s">
        <v>38</v>
      </c>
      <c r="K270" s="2" t="n">
        <v>0</v>
      </c>
      <c r="L270" s="2" t="n">
        <v>0</v>
      </c>
      <c r="M270" s="0" t="str">
        <f aca="false">IF(J270="Active",L270+(ROW()/1000000),"")</f>
        <v/>
      </c>
    </row>
    <row r="271" customFormat="false" ht="15" hidden="false" customHeight="false" outlineLevel="0" collapsed="false">
      <c r="A271" s="2" t="s">
        <v>8562</v>
      </c>
      <c r="B271" s="2" t="s">
        <v>8563</v>
      </c>
      <c r="C271" s="13" t="n">
        <v>46000</v>
      </c>
      <c r="D271" s="13" t="n">
        <v>46000</v>
      </c>
      <c r="E271" s="2" t="s">
        <v>55</v>
      </c>
      <c r="F271" s="2" t="n">
        <v>488864.5</v>
      </c>
      <c r="G271" s="2" t="n">
        <v>388125.43</v>
      </c>
      <c r="H271" s="2" t="n">
        <v>9.098</v>
      </c>
      <c r="I271" s="2" t="n">
        <v>60</v>
      </c>
      <c r="J271" s="2" t="s">
        <v>40</v>
      </c>
      <c r="K271" s="2" t="n">
        <v>41295.12</v>
      </c>
      <c r="L271" s="2" t="n">
        <v>0</v>
      </c>
      <c r="M271" s="0" t="str">
        <f aca="false">IF(J271="Active",L271+(ROW()/1000000),"")</f>
        <v/>
      </c>
    </row>
    <row r="272" customFormat="false" ht="15" hidden="false" customHeight="false" outlineLevel="0" collapsed="false">
      <c r="A272" s="2" t="s">
        <v>8564</v>
      </c>
      <c r="B272" s="2" t="s">
        <v>3210</v>
      </c>
      <c r="C272" s="13" t="n">
        <v>45633</v>
      </c>
      <c r="D272" s="13" t="n">
        <v>45636</v>
      </c>
      <c r="E272" s="2" t="s">
        <v>53</v>
      </c>
      <c r="F272" s="2" t="n">
        <v>296462.48</v>
      </c>
      <c r="G272" s="2" t="n">
        <v>177445.35</v>
      </c>
      <c r="H272" s="2" t="n">
        <v>12.666</v>
      </c>
      <c r="I272" s="2" t="n">
        <v>60</v>
      </c>
      <c r="J272" s="2" t="s">
        <v>36</v>
      </c>
      <c r="K272" s="2" t="n">
        <v>26373.83</v>
      </c>
      <c r="L272" s="2" t="n">
        <v>0</v>
      </c>
      <c r="M272" s="9" t="n">
        <f aca="false">IF(J272="Active",L272+(ROW()/1000000),"")</f>
        <v>0.000272</v>
      </c>
    </row>
    <row r="273" customFormat="false" ht="15" hidden="false" customHeight="false" outlineLevel="0" collapsed="false">
      <c r="A273" s="2" t="s">
        <v>8565</v>
      </c>
      <c r="B273" s="2" t="s">
        <v>1944</v>
      </c>
      <c r="C273" s="13" t="n">
        <v>45548</v>
      </c>
      <c r="D273" s="13" t="n">
        <v>45550</v>
      </c>
      <c r="E273" s="2" t="s">
        <v>55</v>
      </c>
      <c r="F273" s="2" t="n">
        <v>23703.08</v>
      </c>
      <c r="G273" s="2" t="n">
        <v>17369.63</v>
      </c>
      <c r="H273" s="2" t="n">
        <v>11.525</v>
      </c>
      <c r="I273" s="2" t="n">
        <v>30</v>
      </c>
      <c r="J273" s="2" t="s">
        <v>40</v>
      </c>
      <c r="K273" s="2" t="n">
        <v>15376.82</v>
      </c>
      <c r="L273" s="2" t="n">
        <v>1</v>
      </c>
      <c r="M273" s="0" t="str">
        <f aca="false">IF(J273="Active",L273+(ROW()/1000000),"")</f>
        <v/>
      </c>
    </row>
    <row r="274" customFormat="false" ht="15" hidden="false" customHeight="false" outlineLevel="0" collapsed="false">
      <c r="A274" s="2" t="s">
        <v>8566</v>
      </c>
      <c r="B274" s="2" t="s">
        <v>1442</v>
      </c>
      <c r="C274" s="13" t="n">
        <v>45418</v>
      </c>
      <c r="D274" s="13" t="n">
        <v>45423</v>
      </c>
      <c r="E274" s="2" t="s">
        <v>55</v>
      </c>
      <c r="F274" s="2" t="n">
        <v>409813.57</v>
      </c>
      <c r="G274" s="2" t="n">
        <v>301548.54</v>
      </c>
      <c r="H274" s="2" t="n">
        <v>10.284</v>
      </c>
      <c r="I274" s="2" t="n">
        <v>30</v>
      </c>
      <c r="J274" s="2" t="s">
        <v>38</v>
      </c>
      <c r="K274" s="2" t="n">
        <v>0</v>
      </c>
      <c r="L274" s="2" t="n">
        <v>0</v>
      </c>
      <c r="M274" s="0" t="str">
        <f aca="false">IF(J274="Active",L274+(ROW()/1000000),"")</f>
        <v/>
      </c>
    </row>
    <row r="275" customFormat="false" ht="15" hidden="false" customHeight="false" outlineLevel="0" collapsed="false">
      <c r="A275" s="2" t="s">
        <v>8567</v>
      </c>
      <c r="B275" s="2" t="s">
        <v>765</v>
      </c>
      <c r="C275" s="13" t="n">
        <v>46011</v>
      </c>
      <c r="D275" s="13" t="n">
        <v>46012</v>
      </c>
      <c r="E275" s="2" t="s">
        <v>55</v>
      </c>
      <c r="F275" s="2" t="n">
        <v>34872.18</v>
      </c>
      <c r="G275" s="2" t="n">
        <v>20388.28</v>
      </c>
      <c r="H275" s="2" t="n">
        <v>7.252</v>
      </c>
      <c r="I275" s="2" t="n">
        <v>120</v>
      </c>
      <c r="J275" s="2" t="s">
        <v>40</v>
      </c>
      <c r="K275" s="2" t="n">
        <v>14040.33</v>
      </c>
      <c r="L275" s="2" t="n">
        <v>3</v>
      </c>
      <c r="M275" s="0" t="str">
        <f aca="false">IF(J275="Active",L275+(ROW()/1000000),"")</f>
        <v/>
      </c>
    </row>
    <row r="276" customFormat="false" ht="15" hidden="false" customHeight="false" outlineLevel="0" collapsed="false">
      <c r="A276" s="2" t="s">
        <v>8568</v>
      </c>
      <c r="B276" s="2" t="s">
        <v>511</v>
      </c>
      <c r="C276" s="13" t="n">
        <v>45885</v>
      </c>
      <c r="D276" s="13" t="n">
        <v>45888</v>
      </c>
      <c r="E276" s="2" t="s">
        <v>55</v>
      </c>
      <c r="F276" s="2" t="n">
        <v>171943.54</v>
      </c>
      <c r="G276" s="2" t="n">
        <v>123095.32</v>
      </c>
      <c r="H276" s="2" t="n">
        <v>12.112</v>
      </c>
      <c r="I276" s="2" t="n">
        <v>60</v>
      </c>
      <c r="J276" s="2" t="s">
        <v>38</v>
      </c>
      <c r="K276" s="2" t="n">
        <v>0</v>
      </c>
      <c r="L276" s="2" t="n">
        <v>0</v>
      </c>
      <c r="M276" s="0" t="str">
        <f aca="false">IF(J276="Active",L276+(ROW()/1000000),"")</f>
        <v/>
      </c>
    </row>
    <row r="277" customFormat="false" ht="15" hidden="false" customHeight="false" outlineLevel="0" collapsed="false">
      <c r="A277" s="2" t="s">
        <v>8569</v>
      </c>
      <c r="B277" s="2" t="s">
        <v>5715</v>
      </c>
      <c r="C277" s="13" t="n">
        <v>45518</v>
      </c>
      <c r="D277" s="13"/>
      <c r="E277" s="2" t="s">
        <v>54</v>
      </c>
      <c r="F277" s="2" t="n">
        <v>364854.87</v>
      </c>
      <c r="G277" s="2" t="n">
        <v>0</v>
      </c>
      <c r="H277" s="2" t="n">
        <v>11.271</v>
      </c>
      <c r="I277" s="2" t="n">
        <v>90</v>
      </c>
      <c r="J277" s="2" t="s">
        <v>42</v>
      </c>
      <c r="K277" s="2" t="n">
        <v>0</v>
      </c>
      <c r="L277" s="2" t="n">
        <v>0</v>
      </c>
      <c r="M277" s="0" t="str">
        <f aca="false">IF(J277="Active",L277+(ROW()/1000000),"")</f>
        <v/>
      </c>
    </row>
    <row r="278" customFormat="false" ht="15" hidden="false" customHeight="false" outlineLevel="0" collapsed="false">
      <c r="A278" s="2" t="s">
        <v>8570</v>
      </c>
      <c r="B278" s="2" t="s">
        <v>2004</v>
      </c>
      <c r="C278" s="13" t="n">
        <v>45592</v>
      </c>
      <c r="D278" s="13" t="n">
        <v>45593</v>
      </c>
      <c r="E278" s="2" t="s">
        <v>54</v>
      </c>
      <c r="F278" s="2" t="n">
        <v>157104.61</v>
      </c>
      <c r="G278" s="2" t="n">
        <v>114197.25</v>
      </c>
      <c r="H278" s="2" t="n">
        <v>15.25</v>
      </c>
      <c r="I278" s="2" t="n">
        <v>90</v>
      </c>
      <c r="J278" s="2" t="s">
        <v>36</v>
      </c>
      <c r="K278" s="2" t="n">
        <v>23718.12</v>
      </c>
      <c r="L278" s="2" t="n">
        <v>60</v>
      </c>
      <c r="M278" s="9" t="n">
        <f aca="false">IF(J278="Active",L278+(ROW()/1000000),"")</f>
        <v>60.000278</v>
      </c>
    </row>
    <row r="279" customFormat="false" ht="15" hidden="false" customHeight="false" outlineLevel="0" collapsed="false">
      <c r="A279" s="2" t="s">
        <v>8571</v>
      </c>
      <c r="B279" s="2" t="s">
        <v>7521</v>
      </c>
      <c r="C279" s="13" t="n">
        <v>45909</v>
      </c>
      <c r="D279" s="13" t="n">
        <v>45913</v>
      </c>
      <c r="E279" s="2" t="s">
        <v>55</v>
      </c>
      <c r="F279" s="2" t="n">
        <v>32612.49</v>
      </c>
      <c r="G279" s="2" t="n">
        <v>32339.58</v>
      </c>
      <c r="H279" s="2" t="n">
        <v>7.15</v>
      </c>
      <c r="I279" s="2" t="n">
        <v>180</v>
      </c>
      <c r="J279" s="2" t="s">
        <v>40</v>
      </c>
      <c r="K279" s="2" t="n">
        <v>21232.07</v>
      </c>
      <c r="L279" s="2" t="n">
        <v>90</v>
      </c>
      <c r="M279" s="0" t="str">
        <f aca="false">IF(J279="Active",L279+(ROW()/1000000),"")</f>
        <v/>
      </c>
    </row>
    <row r="280" customFormat="false" ht="15" hidden="false" customHeight="false" outlineLevel="0" collapsed="false">
      <c r="A280" s="2" t="s">
        <v>8572</v>
      </c>
      <c r="B280" s="2" t="s">
        <v>1842</v>
      </c>
      <c r="C280" s="13" t="n">
        <v>45299</v>
      </c>
      <c r="D280" s="13"/>
      <c r="E280" s="2" t="s">
        <v>55</v>
      </c>
      <c r="F280" s="2" t="n">
        <v>382832.52</v>
      </c>
      <c r="G280" s="2" t="n">
        <v>0</v>
      </c>
      <c r="H280" s="2" t="n">
        <v>17.671</v>
      </c>
      <c r="I280" s="2" t="n">
        <v>60</v>
      </c>
      <c r="J280" s="2" t="s">
        <v>42</v>
      </c>
      <c r="K280" s="2" t="n">
        <v>0</v>
      </c>
      <c r="L280" s="2" t="n">
        <v>0</v>
      </c>
      <c r="M280" s="0" t="str">
        <f aca="false">IF(J280="Active",L280+(ROW()/1000000),"")</f>
        <v/>
      </c>
    </row>
    <row r="281" customFormat="false" ht="15" hidden="false" customHeight="false" outlineLevel="0" collapsed="false">
      <c r="A281" s="2" t="s">
        <v>8573</v>
      </c>
      <c r="B281" s="2" t="s">
        <v>366</v>
      </c>
      <c r="C281" s="13" t="n">
        <v>45948</v>
      </c>
      <c r="D281" s="13" t="n">
        <v>45949</v>
      </c>
      <c r="E281" s="2" t="s">
        <v>53</v>
      </c>
      <c r="F281" s="2" t="n">
        <v>220816.63</v>
      </c>
      <c r="G281" s="2" t="n">
        <v>144446.09</v>
      </c>
      <c r="H281" s="2" t="n">
        <v>8.97</v>
      </c>
      <c r="I281" s="2" t="n">
        <v>30</v>
      </c>
      <c r="J281" s="2" t="s">
        <v>36</v>
      </c>
      <c r="K281" s="2" t="n">
        <v>50299.44</v>
      </c>
      <c r="L281" s="2" t="n">
        <v>30</v>
      </c>
      <c r="M281" s="9" t="n">
        <f aca="false">IF(J281="Active",L281+(ROW()/1000000),"")</f>
        <v>30.000281</v>
      </c>
    </row>
    <row r="282" customFormat="false" ht="15" hidden="false" customHeight="false" outlineLevel="0" collapsed="false">
      <c r="A282" s="2" t="s">
        <v>8574</v>
      </c>
      <c r="B282" s="2" t="s">
        <v>166</v>
      </c>
      <c r="C282" s="13" t="n">
        <v>45805</v>
      </c>
      <c r="D282" s="13" t="n">
        <v>45805</v>
      </c>
      <c r="E282" s="2" t="s">
        <v>54</v>
      </c>
      <c r="F282" s="2" t="n">
        <v>96587.37</v>
      </c>
      <c r="G282" s="2" t="n">
        <v>65583.66</v>
      </c>
      <c r="H282" s="2" t="n">
        <v>16.159</v>
      </c>
      <c r="I282" s="2" t="n">
        <v>90</v>
      </c>
      <c r="J282" s="2" t="s">
        <v>38</v>
      </c>
      <c r="K282" s="2" t="n">
        <v>0</v>
      </c>
      <c r="L282" s="2" t="n">
        <v>0</v>
      </c>
      <c r="M282" s="0" t="str">
        <f aca="false">IF(J282="Active",L282+(ROW()/1000000),"")</f>
        <v/>
      </c>
    </row>
    <row r="283" customFormat="false" ht="15" hidden="false" customHeight="false" outlineLevel="0" collapsed="false">
      <c r="A283" s="2" t="s">
        <v>8575</v>
      </c>
      <c r="B283" s="2" t="s">
        <v>3531</v>
      </c>
      <c r="C283" s="13" t="n">
        <v>45373</v>
      </c>
      <c r="D283" s="13" t="n">
        <v>45377</v>
      </c>
      <c r="E283" s="2" t="s">
        <v>55</v>
      </c>
      <c r="F283" s="2" t="n">
        <v>371872.69</v>
      </c>
      <c r="G283" s="2" t="n">
        <v>356004.07</v>
      </c>
      <c r="H283" s="2" t="n">
        <v>15.225</v>
      </c>
      <c r="I283" s="2" t="n">
        <v>30</v>
      </c>
      <c r="J283" s="2" t="s">
        <v>38</v>
      </c>
      <c r="K283" s="2" t="n">
        <v>0</v>
      </c>
      <c r="L283" s="2" t="n">
        <v>0</v>
      </c>
      <c r="M283" s="0" t="str">
        <f aca="false">IF(J283="Active",L283+(ROW()/1000000),"")</f>
        <v/>
      </c>
    </row>
    <row r="284" customFormat="false" ht="15" hidden="false" customHeight="false" outlineLevel="0" collapsed="false">
      <c r="A284" s="2" t="s">
        <v>8576</v>
      </c>
      <c r="B284" s="2" t="s">
        <v>3597</v>
      </c>
      <c r="C284" s="13" t="n">
        <v>45639</v>
      </c>
      <c r="D284" s="13" t="n">
        <v>45641</v>
      </c>
      <c r="E284" s="2" t="s">
        <v>55</v>
      </c>
      <c r="F284" s="2" t="n">
        <v>50082.53</v>
      </c>
      <c r="G284" s="2" t="n">
        <v>34576.66</v>
      </c>
      <c r="H284" s="2" t="n">
        <v>17.721</v>
      </c>
      <c r="I284" s="2" t="n">
        <v>90</v>
      </c>
      <c r="J284" s="2" t="s">
        <v>38</v>
      </c>
      <c r="K284" s="2" t="n">
        <v>0</v>
      </c>
      <c r="L284" s="2" t="n">
        <v>0</v>
      </c>
      <c r="M284" s="0" t="str">
        <f aca="false">IF(J284="Active",L284+(ROW()/1000000),"")</f>
        <v/>
      </c>
    </row>
    <row r="285" customFormat="false" ht="15" hidden="false" customHeight="false" outlineLevel="0" collapsed="false">
      <c r="A285" s="2" t="s">
        <v>8577</v>
      </c>
      <c r="B285" s="2" t="s">
        <v>3493</v>
      </c>
      <c r="C285" s="13" t="n">
        <v>45929</v>
      </c>
      <c r="D285" s="13" t="n">
        <v>45930</v>
      </c>
      <c r="E285" s="2" t="s">
        <v>54</v>
      </c>
      <c r="F285" s="2" t="n">
        <v>131712.79</v>
      </c>
      <c r="G285" s="2" t="n">
        <v>109600.01</v>
      </c>
      <c r="H285" s="2" t="n">
        <v>8.056</v>
      </c>
      <c r="I285" s="2" t="n">
        <v>60</v>
      </c>
      <c r="J285" s="2" t="s">
        <v>38</v>
      </c>
      <c r="K285" s="2" t="n">
        <v>0</v>
      </c>
      <c r="L285" s="2" t="n">
        <v>0</v>
      </c>
      <c r="M285" s="0" t="str">
        <f aca="false">IF(J285="Active",L285+(ROW()/1000000),"")</f>
        <v/>
      </c>
    </row>
    <row r="286" customFormat="false" ht="15" hidden="false" customHeight="false" outlineLevel="0" collapsed="false">
      <c r="A286" s="2" t="s">
        <v>8578</v>
      </c>
      <c r="B286" s="2" t="s">
        <v>1552</v>
      </c>
      <c r="C286" s="13" t="n">
        <v>45856</v>
      </c>
      <c r="D286" s="13" t="n">
        <v>45859</v>
      </c>
      <c r="E286" s="2" t="s">
        <v>55</v>
      </c>
      <c r="F286" s="2" t="n">
        <v>75067.63</v>
      </c>
      <c r="G286" s="2" t="n">
        <v>67530.7</v>
      </c>
      <c r="H286" s="2" t="n">
        <v>14.37</v>
      </c>
      <c r="I286" s="2" t="n">
        <v>180</v>
      </c>
      <c r="J286" s="2" t="s">
        <v>38</v>
      </c>
      <c r="K286" s="2" t="n">
        <v>0</v>
      </c>
      <c r="L286" s="2" t="n">
        <v>0</v>
      </c>
      <c r="M286" s="0" t="str">
        <f aca="false">IF(J286="Active",L286+(ROW()/1000000),"")</f>
        <v/>
      </c>
    </row>
    <row r="287" customFormat="false" ht="15" hidden="false" customHeight="false" outlineLevel="0" collapsed="false">
      <c r="A287" s="2" t="s">
        <v>8579</v>
      </c>
      <c r="B287" s="2" t="s">
        <v>1019</v>
      </c>
      <c r="C287" s="13" t="n">
        <v>45353</v>
      </c>
      <c r="D287" s="13" t="n">
        <v>45357</v>
      </c>
      <c r="E287" s="2" t="s">
        <v>54</v>
      </c>
      <c r="F287" s="2" t="n">
        <v>85241.33</v>
      </c>
      <c r="G287" s="2" t="n">
        <v>81064.88</v>
      </c>
      <c r="H287" s="2" t="n">
        <v>11.224</v>
      </c>
      <c r="I287" s="2" t="n">
        <v>30</v>
      </c>
      <c r="J287" s="2" t="s">
        <v>40</v>
      </c>
      <c r="K287" s="2" t="n">
        <v>9603.21</v>
      </c>
      <c r="L287" s="2" t="n">
        <v>30</v>
      </c>
      <c r="M287" s="0" t="str">
        <f aca="false">IF(J287="Active",L287+(ROW()/1000000),"")</f>
        <v/>
      </c>
    </row>
    <row r="288" customFormat="false" ht="15" hidden="false" customHeight="false" outlineLevel="0" collapsed="false">
      <c r="A288" s="2" t="s">
        <v>8580</v>
      </c>
      <c r="B288" s="2" t="s">
        <v>8581</v>
      </c>
      <c r="C288" s="13" t="n">
        <v>45955</v>
      </c>
      <c r="D288" s="13" t="n">
        <v>45957</v>
      </c>
      <c r="E288" s="2" t="s">
        <v>55</v>
      </c>
      <c r="F288" s="2" t="n">
        <v>360902.03</v>
      </c>
      <c r="G288" s="2" t="n">
        <v>222143.95</v>
      </c>
      <c r="H288" s="2" t="n">
        <v>15.289</v>
      </c>
      <c r="I288" s="2" t="n">
        <v>60</v>
      </c>
      <c r="J288" s="2" t="s">
        <v>36</v>
      </c>
      <c r="K288" s="2" t="n">
        <v>136087.16</v>
      </c>
      <c r="L288" s="2" t="n">
        <v>30</v>
      </c>
      <c r="M288" s="9" t="n">
        <f aca="false">IF(J288="Active",L288+(ROW()/1000000),"")</f>
        <v>30.000288</v>
      </c>
    </row>
    <row r="289" customFormat="false" ht="15" hidden="false" customHeight="false" outlineLevel="0" collapsed="false">
      <c r="A289" s="2" t="s">
        <v>8582</v>
      </c>
      <c r="B289" s="2" t="s">
        <v>2778</v>
      </c>
      <c r="C289" s="13" t="n">
        <v>45589</v>
      </c>
      <c r="D289" s="13" t="n">
        <v>45590</v>
      </c>
      <c r="E289" s="2" t="s">
        <v>55</v>
      </c>
      <c r="F289" s="2" t="n">
        <v>479608.63</v>
      </c>
      <c r="G289" s="2" t="n">
        <v>450118.25</v>
      </c>
      <c r="H289" s="2" t="n">
        <v>11.102</v>
      </c>
      <c r="I289" s="2" t="n">
        <v>30</v>
      </c>
      <c r="J289" s="2" t="s">
        <v>38</v>
      </c>
      <c r="K289" s="2" t="n">
        <v>0</v>
      </c>
      <c r="L289" s="2" t="n">
        <v>0</v>
      </c>
      <c r="M289" s="0" t="str">
        <f aca="false">IF(J289="Active",L289+(ROW()/1000000),"")</f>
        <v/>
      </c>
    </row>
    <row r="290" customFormat="false" ht="15" hidden="false" customHeight="false" outlineLevel="0" collapsed="false">
      <c r="A290" s="2" t="s">
        <v>8583</v>
      </c>
      <c r="B290" s="2" t="s">
        <v>241</v>
      </c>
      <c r="C290" s="13" t="n">
        <v>45353</v>
      </c>
      <c r="D290" s="13" t="n">
        <v>45353</v>
      </c>
      <c r="E290" s="2" t="s">
        <v>54</v>
      </c>
      <c r="F290" s="2" t="n">
        <v>143910.65</v>
      </c>
      <c r="G290" s="2" t="n">
        <v>83382.43</v>
      </c>
      <c r="H290" s="2" t="n">
        <v>7.725</v>
      </c>
      <c r="I290" s="2" t="n">
        <v>120</v>
      </c>
      <c r="J290" s="2" t="s">
        <v>36</v>
      </c>
      <c r="K290" s="2" t="n">
        <v>5310.4</v>
      </c>
      <c r="L290" s="2" t="n">
        <v>0</v>
      </c>
      <c r="M290" s="9" t="n">
        <f aca="false">IF(J290="Active",L290+(ROW()/1000000),"")</f>
        <v>0.00029</v>
      </c>
    </row>
    <row r="291" customFormat="false" ht="15" hidden="false" customHeight="false" outlineLevel="0" collapsed="false">
      <c r="A291" s="2" t="s">
        <v>8584</v>
      </c>
      <c r="B291" s="2" t="s">
        <v>1857</v>
      </c>
      <c r="C291" s="13" t="n">
        <v>45606</v>
      </c>
      <c r="D291" s="13" t="n">
        <v>45611</v>
      </c>
      <c r="E291" s="2" t="s">
        <v>53</v>
      </c>
      <c r="F291" s="2" t="n">
        <v>46406.53</v>
      </c>
      <c r="G291" s="2" t="n">
        <v>30709.53</v>
      </c>
      <c r="H291" s="2" t="n">
        <v>10.694</v>
      </c>
      <c r="I291" s="2" t="n">
        <v>180</v>
      </c>
      <c r="J291" s="2" t="s">
        <v>36</v>
      </c>
      <c r="K291" s="2" t="n">
        <v>14750.29</v>
      </c>
      <c r="L291" s="2" t="n">
        <v>0</v>
      </c>
      <c r="M291" s="9" t="n">
        <f aca="false">IF(J291="Active",L291+(ROW()/1000000),"")</f>
        <v>0.000291</v>
      </c>
    </row>
    <row r="292" customFormat="false" ht="15" hidden="false" customHeight="false" outlineLevel="0" collapsed="false">
      <c r="A292" s="2" t="s">
        <v>8585</v>
      </c>
      <c r="B292" s="2" t="s">
        <v>3301</v>
      </c>
      <c r="C292" s="13" t="n">
        <v>45428</v>
      </c>
      <c r="D292" s="13" t="n">
        <v>45433</v>
      </c>
      <c r="E292" s="2" t="s">
        <v>54</v>
      </c>
      <c r="F292" s="2" t="n">
        <v>483060.51</v>
      </c>
      <c r="G292" s="2" t="n">
        <v>270799.73</v>
      </c>
      <c r="H292" s="2" t="n">
        <v>11.702</v>
      </c>
      <c r="I292" s="2" t="n">
        <v>90</v>
      </c>
      <c r="J292" s="2" t="s">
        <v>38</v>
      </c>
      <c r="K292" s="2" t="n">
        <v>0</v>
      </c>
      <c r="L292" s="2" t="n">
        <v>0</v>
      </c>
      <c r="M292" s="0" t="str">
        <f aca="false">IF(J292="Active",L292+(ROW()/1000000),"")</f>
        <v/>
      </c>
    </row>
    <row r="293" customFormat="false" ht="15" hidden="false" customHeight="false" outlineLevel="0" collapsed="false">
      <c r="A293" s="2" t="s">
        <v>8586</v>
      </c>
      <c r="B293" s="2" t="s">
        <v>311</v>
      </c>
      <c r="C293" s="13" t="n">
        <v>45769</v>
      </c>
      <c r="D293" s="13" t="n">
        <v>45773</v>
      </c>
      <c r="E293" s="2" t="s">
        <v>55</v>
      </c>
      <c r="F293" s="2" t="n">
        <v>313360.28</v>
      </c>
      <c r="G293" s="2" t="n">
        <v>264076.82</v>
      </c>
      <c r="H293" s="2" t="n">
        <v>15.096</v>
      </c>
      <c r="I293" s="2" t="n">
        <v>180</v>
      </c>
      <c r="J293" s="2" t="s">
        <v>38</v>
      </c>
      <c r="K293" s="2" t="n">
        <v>0</v>
      </c>
      <c r="L293" s="2" t="n">
        <v>0</v>
      </c>
      <c r="M293" s="0" t="str">
        <f aca="false">IF(J293="Active",L293+(ROW()/1000000),"")</f>
        <v/>
      </c>
    </row>
    <row r="294" customFormat="false" ht="15" hidden="false" customHeight="false" outlineLevel="0" collapsed="false">
      <c r="A294" s="2" t="s">
        <v>8587</v>
      </c>
      <c r="B294" s="2" t="s">
        <v>5083</v>
      </c>
      <c r="C294" s="13" t="n">
        <v>45752</v>
      </c>
      <c r="D294" s="13" t="n">
        <v>45756</v>
      </c>
      <c r="E294" s="2" t="s">
        <v>54</v>
      </c>
      <c r="F294" s="2" t="n">
        <v>95996.63</v>
      </c>
      <c r="G294" s="2" t="n">
        <v>70200.44</v>
      </c>
      <c r="H294" s="2" t="n">
        <v>7.7</v>
      </c>
      <c r="I294" s="2" t="n">
        <v>90</v>
      </c>
      <c r="J294" s="2" t="s">
        <v>40</v>
      </c>
      <c r="K294" s="2" t="n">
        <v>31058.9</v>
      </c>
      <c r="L294" s="2" t="n">
        <v>5</v>
      </c>
      <c r="M294" s="0" t="str">
        <f aca="false">IF(J294="Active",L294+(ROW()/1000000),"")</f>
        <v/>
      </c>
    </row>
    <row r="295" customFormat="false" ht="15" hidden="false" customHeight="false" outlineLevel="0" collapsed="false">
      <c r="A295" s="2" t="s">
        <v>8588</v>
      </c>
      <c r="B295" s="2" t="s">
        <v>4849</v>
      </c>
      <c r="C295" s="13" t="n">
        <v>45750</v>
      </c>
      <c r="D295" s="13" t="n">
        <v>45754</v>
      </c>
      <c r="E295" s="2" t="s">
        <v>55</v>
      </c>
      <c r="F295" s="2" t="n">
        <v>220058.67</v>
      </c>
      <c r="G295" s="2" t="n">
        <v>149745.66</v>
      </c>
      <c r="H295" s="2" t="n">
        <v>11.92</v>
      </c>
      <c r="I295" s="2" t="n">
        <v>120</v>
      </c>
      <c r="J295" s="2" t="s">
        <v>40</v>
      </c>
      <c r="K295" s="2" t="n">
        <v>58742.36</v>
      </c>
      <c r="L295" s="2" t="n">
        <v>1</v>
      </c>
      <c r="M295" s="0" t="str">
        <f aca="false">IF(J295="Active",L295+(ROW()/1000000),"")</f>
        <v/>
      </c>
    </row>
    <row r="296" customFormat="false" ht="15" hidden="false" customHeight="false" outlineLevel="0" collapsed="false">
      <c r="A296" s="2" t="s">
        <v>8589</v>
      </c>
      <c r="B296" s="2" t="s">
        <v>2354</v>
      </c>
      <c r="C296" s="13" t="n">
        <v>45514</v>
      </c>
      <c r="D296" s="13"/>
      <c r="E296" s="2" t="s">
        <v>54</v>
      </c>
      <c r="F296" s="2" t="n">
        <v>208384.4</v>
      </c>
      <c r="G296" s="2" t="n">
        <v>0</v>
      </c>
      <c r="H296" s="2" t="n">
        <v>17.401</v>
      </c>
      <c r="I296" s="2" t="n">
        <v>120</v>
      </c>
      <c r="J296" s="2" t="s">
        <v>42</v>
      </c>
      <c r="K296" s="2" t="n">
        <v>0</v>
      </c>
      <c r="L296" s="2" t="n">
        <v>0</v>
      </c>
      <c r="M296" s="0" t="str">
        <f aca="false">IF(J296="Active",L296+(ROW()/1000000),"")</f>
        <v/>
      </c>
    </row>
    <row r="297" customFormat="false" ht="15" hidden="false" customHeight="false" outlineLevel="0" collapsed="false">
      <c r="A297" s="2" t="s">
        <v>8590</v>
      </c>
      <c r="B297" s="2" t="s">
        <v>401</v>
      </c>
      <c r="C297" s="13" t="n">
        <v>45400</v>
      </c>
      <c r="D297" s="13"/>
      <c r="E297" s="2" t="s">
        <v>53</v>
      </c>
      <c r="F297" s="2" t="n">
        <v>432472.34</v>
      </c>
      <c r="G297" s="2" t="n">
        <v>0</v>
      </c>
      <c r="H297" s="2" t="n">
        <v>10.456</v>
      </c>
      <c r="I297" s="2" t="n">
        <v>90</v>
      </c>
      <c r="J297" s="2" t="s">
        <v>42</v>
      </c>
      <c r="K297" s="2" t="n">
        <v>0</v>
      </c>
      <c r="L297" s="2" t="n">
        <v>0</v>
      </c>
      <c r="M297" s="0" t="str">
        <f aca="false">IF(J297="Active",L297+(ROW()/1000000),"")</f>
        <v/>
      </c>
    </row>
    <row r="298" customFormat="false" ht="15" hidden="false" customHeight="false" outlineLevel="0" collapsed="false">
      <c r="A298" s="2" t="s">
        <v>8591</v>
      </c>
      <c r="B298" s="2" t="s">
        <v>5209</v>
      </c>
      <c r="C298" s="13" t="n">
        <v>45480</v>
      </c>
      <c r="D298" s="13" t="n">
        <v>45483</v>
      </c>
      <c r="E298" s="2" t="s">
        <v>55</v>
      </c>
      <c r="F298" s="2" t="n">
        <v>27512.65</v>
      </c>
      <c r="G298" s="2" t="n">
        <v>15949.7</v>
      </c>
      <c r="H298" s="2" t="n">
        <v>10.101</v>
      </c>
      <c r="I298" s="2" t="n">
        <v>60</v>
      </c>
      <c r="J298" s="2" t="s">
        <v>36</v>
      </c>
      <c r="K298" s="2" t="n">
        <v>12490.27</v>
      </c>
      <c r="L298" s="2" t="n">
        <v>0</v>
      </c>
      <c r="M298" s="9" t="n">
        <f aca="false">IF(J298="Active",L298+(ROW()/1000000),"")</f>
        <v>0.000298</v>
      </c>
    </row>
    <row r="299" customFormat="false" ht="15" hidden="false" customHeight="false" outlineLevel="0" collapsed="false">
      <c r="A299" s="2" t="s">
        <v>8592</v>
      </c>
      <c r="B299" s="2" t="s">
        <v>291</v>
      </c>
      <c r="C299" s="13" t="n">
        <v>46008</v>
      </c>
      <c r="D299" s="13" t="n">
        <v>46009</v>
      </c>
      <c r="E299" s="2" t="s">
        <v>55</v>
      </c>
      <c r="F299" s="2" t="n">
        <v>466308.13</v>
      </c>
      <c r="G299" s="2" t="n">
        <v>408597.49</v>
      </c>
      <c r="H299" s="2" t="n">
        <v>14.895</v>
      </c>
      <c r="I299" s="2" t="n">
        <v>60</v>
      </c>
      <c r="J299" s="2" t="s">
        <v>38</v>
      </c>
      <c r="K299" s="2" t="n">
        <v>0</v>
      </c>
      <c r="L299" s="2" t="n">
        <v>0</v>
      </c>
      <c r="M299" s="0" t="str">
        <f aca="false">IF(J299="Active",L299+(ROW()/1000000),"")</f>
        <v/>
      </c>
    </row>
    <row r="300" customFormat="false" ht="15" hidden="false" customHeight="false" outlineLevel="0" collapsed="false">
      <c r="A300" s="2" t="s">
        <v>8593</v>
      </c>
      <c r="B300" s="2" t="s">
        <v>824</v>
      </c>
      <c r="C300" s="13" t="n">
        <v>45857</v>
      </c>
      <c r="D300" s="13" t="n">
        <v>45857</v>
      </c>
      <c r="E300" s="2" t="s">
        <v>53</v>
      </c>
      <c r="F300" s="2" t="n">
        <v>405057.3</v>
      </c>
      <c r="G300" s="2" t="n">
        <v>265124.04</v>
      </c>
      <c r="H300" s="2" t="n">
        <v>17.833</v>
      </c>
      <c r="I300" s="2" t="n">
        <v>180</v>
      </c>
      <c r="J300" s="2" t="s">
        <v>36</v>
      </c>
      <c r="K300" s="2" t="n">
        <v>110199.73</v>
      </c>
      <c r="L300" s="2" t="n">
        <v>0</v>
      </c>
      <c r="M300" s="9" t="n">
        <f aca="false">IF(J300="Active",L300+(ROW()/1000000),"")</f>
        <v>0.0003</v>
      </c>
    </row>
    <row r="301" customFormat="false" ht="15" hidden="false" customHeight="false" outlineLevel="0" collapsed="false">
      <c r="A301" s="2" t="s">
        <v>8594</v>
      </c>
      <c r="B301" s="2" t="s">
        <v>3961</v>
      </c>
      <c r="C301" s="13" t="n">
        <v>45972</v>
      </c>
      <c r="D301" s="13" t="n">
        <v>45975</v>
      </c>
      <c r="E301" s="2" t="s">
        <v>55</v>
      </c>
      <c r="F301" s="2" t="n">
        <v>157164.21</v>
      </c>
      <c r="G301" s="2" t="n">
        <v>108180.56</v>
      </c>
      <c r="H301" s="2" t="n">
        <v>12.352</v>
      </c>
      <c r="I301" s="2" t="n">
        <v>120</v>
      </c>
      <c r="J301" s="2" t="s">
        <v>38</v>
      </c>
      <c r="K301" s="2" t="n">
        <v>0</v>
      </c>
      <c r="L301" s="2" t="n">
        <v>0</v>
      </c>
      <c r="M301" s="0" t="str">
        <f aca="false">IF(J301="Active",L301+(ROW()/1000000),"")</f>
        <v/>
      </c>
    </row>
    <row r="302" customFormat="false" ht="15" hidden="false" customHeight="false" outlineLevel="0" collapsed="false">
      <c r="A302" s="2" t="s">
        <v>8595</v>
      </c>
      <c r="B302" s="2" t="s">
        <v>2000</v>
      </c>
      <c r="C302" s="13" t="n">
        <v>45406</v>
      </c>
      <c r="D302" s="13"/>
      <c r="E302" s="2" t="s">
        <v>55</v>
      </c>
      <c r="F302" s="2" t="n">
        <v>498026.07</v>
      </c>
      <c r="G302" s="2" t="n">
        <v>0</v>
      </c>
      <c r="H302" s="2" t="n">
        <v>13.38</v>
      </c>
      <c r="I302" s="2" t="n">
        <v>30</v>
      </c>
      <c r="J302" s="2" t="s">
        <v>42</v>
      </c>
      <c r="K302" s="2" t="n">
        <v>0</v>
      </c>
      <c r="L302" s="2" t="n">
        <v>0</v>
      </c>
      <c r="M302" s="0" t="str">
        <f aca="false">IF(J302="Active",L302+(ROW()/1000000),"")</f>
        <v/>
      </c>
    </row>
    <row r="303" customFormat="false" ht="15" hidden="false" customHeight="false" outlineLevel="0" collapsed="false">
      <c r="A303" s="2" t="s">
        <v>8596</v>
      </c>
      <c r="B303" s="2" t="s">
        <v>1650</v>
      </c>
      <c r="C303" s="13" t="n">
        <v>45404</v>
      </c>
      <c r="D303" s="13" t="n">
        <v>45407</v>
      </c>
      <c r="E303" s="2" t="s">
        <v>54</v>
      </c>
      <c r="F303" s="2" t="n">
        <v>188185.94</v>
      </c>
      <c r="G303" s="2" t="n">
        <v>149667.8</v>
      </c>
      <c r="H303" s="2" t="n">
        <v>17.049</v>
      </c>
      <c r="I303" s="2" t="n">
        <v>120</v>
      </c>
      <c r="J303" s="2" t="s">
        <v>36</v>
      </c>
      <c r="K303" s="2" t="n">
        <v>24776.7</v>
      </c>
      <c r="L303" s="2" t="n">
        <v>90</v>
      </c>
      <c r="M303" s="9" t="n">
        <f aca="false">IF(J303="Active",L303+(ROW()/1000000),"")</f>
        <v>90.000303</v>
      </c>
    </row>
    <row r="304" customFormat="false" ht="15" hidden="false" customHeight="false" outlineLevel="0" collapsed="false">
      <c r="A304" s="2" t="s">
        <v>8597</v>
      </c>
      <c r="B304" s="2" t="s">
        <v>2733</v>
      </c>
      <c r="C304" s="13" t="n">
        <v>45621</v>
      </c>
      <c r="D304" s="13" t="n">
        <v>45624</v>
      </c>
      <c r="E304" s="2" t="s">
        <v>53</v>
      </c>
      <c r="F304" s="2" t="n">
        <v>187629.51</v>
      </c>
      <c r="G304" s="2" t="n">
        <v>181073</v>
      </c>
      <c r="H304" s="2" t="n">
        <v>8.433</v>
      </c>
      <c r="I304" s="2" t="n">
        <v>120</v>
      </c>
      <c r="J304" s="2" t="s">
        <v>40</v>
      </c>
      <c r="K304" s="2" t="n">
        <v>10758.77</v>
      </c>
      <c r="L304" s="2" t="n">
        <v>15</v>
      </c>
      <c r="M304" s="0" t="str">
        <f aca="false">IF(J304="Active",L304+(ROW()/1000000),"")</f>
        <v/>
      </c>
    </row>
    <row r="305" customFormat="false" ht="15" hidden="false" customHeight="false" outlineLevel="0" collapsed="false">
      <c r="A305" s="2" t="s">
        <v>8598</v>
      </c>
      <c r="B305" s="2" t="s">
        <v>1224</v>
      </c>
      <c r="C305" s="13" t="n">
        <v>45474</v>
      </c>
      <c r="D305" s="13" t="n">
        <v>45478</v>
      </c>
      <c r="E305" s="2" t="s">
        <v>55</v>
      </c>
      <c r="F305" s="2" t="n">
        <v>421060.61</v>
      </c>
      <c r="G305" s="2" t="n">
        <v>295800.64</v>
      </c>
      <c r="H305" s="2" t="n">
        <v>11.14</v>
      </c>
      <c r="I305" s="2" t="n">
        <v>180</v>
      </c>
      <c r="J305" s="2" t="s">
        <v>40</v>
      </c>
      <c r="K305" s="2" t="n">
        <v>157943.55</v>
      </c>
      <c r="L305" s="2" t="n">
        <v>5</v>
      </c>
      <c r="M305" s="0" t="str">
        <f aca="false">IF(J305="Active",L305+(ROW()/1000000),"")</f>
        <v/>
      </c>
    </row>
    <row r="306" customFormat="false" ht="15" hidden="false" customHeight="false" outlineLevel="0" collapsed="false">
      <c r="A306" s="2" t="s">
        <v>8599</v>
      </c>
      <c r="B306" s="2" t="s">
        <v>186</v>
      </c>
      <c r="C306" s="13" t="n">
        <v>45503</v>
      </c>
      <c r="D306" s="13" t="n">
        <v>45508</v>
      </c>
      <c r="E306" s="2" t="s">
        <v>55</v>
      </c>
      <c r="F306" s="2" t="n">
        <v>39248.63</v>
      </c>
      <c r="G306" s="2" t="n">
        <v>26552.45</v>
      </c>
      <c r="H306" s="2" t="n">
        <v>12.466</v>
      </c>
      <c r="I306" s="2" t="n">
        <v>30</v>
      </c>
      <c r="J306" s="2" t="s">
        <v>38</v>
      </c>
      <c r="K306" s="2" t="n">
        <v>0</v>
      </c>
      <c r="L306" s="2" t="n">
        <v>0</v>
      </c>
      <c r="M306" s="0" t="str">
        <f aca="false">IF(J306="Active",L306+(ROW()/1000000),"")</f>
        <v/>
      </c>
    </row>
    <row r="307" customFormat="false" ht="15" hidden="false" customHeight="false" outlineLevel="0" collapsed="false">
      <c r="A307" s="2" t="s">
        <v>8600</v>
      </c>
      <c r="B307" s="2" t="s">
        <v>5605</v>
      </c>
      <c r="C307" s="13" t="n">
        <v>45978</v>
      </c>
      <c r="D307" s="13" t="n">
        <v>45983</v>
      </c>
      <c r="E307" s="2" t="s">
        <v>55</v>
      </c>
      <c r="F307" s="2" t="n">
        <v>181703.13</v>
      </c>
      <c r="G307" s="2" t="n">
        <v>156659.1</v>
      </c>
      <c r="H307" s="2" t="n">
        <v>9.84</v>
      </c>
      <c r="I307" s="2" t="n">
        <v>90</v>
      </c>
      <c r="J307" s="2" t="s">
        <v>36</v>
      </c>
      <c r="K307" s="2" t="n">
        <v>17064.9</v>
      </c>
      <c r="L307" s="2" t="n">
        <v>30</v>
      </c>
      <c r="M307" s="9" t="n">
        <f aca="false">IF(J307="Active",L307+(ROW()/1000000),"")</f>
        <v>30.000307</v>
      </c>
    </row>
    <row r="308" customFormat="false" ht="15" hidden="false" customHeight="false" outlineLevel="0" collapsed="false">
      <c r="A308" s="2" t="s">
        <v>8601</v>
      </c>
      <c r="B308" s="2" t="s">
        <v>8447</v>
      </c>
      <c r="C308" s="13" t="n">
        <v>45342</v>
      </c>
      <c r="D308" s="13" t="n">
        <v>45344</v>
      </c>
      <c r="E308" s="2" t="s">
        <v>53</v>
      </c>
      <c r="F308" s="2" t="n">
        <v>82293.55</v>
      </c>
      <c r="G308" s="2" t="n">
        <v>63308.95</v>
      </c>
      <c r="H308" s="2" t="n">
        <v>8.87</v>
      </c>
      <c r="I308" s="2" t="n">
        <v>90</v>
      </c>
      <c r="J308" s="2" t="s">
        <v>36</v>
      </c>
      <c r="K308" s="2" t="n">
        <v>47258.85</v>
      </c>
      <c r="L308" s="2" t="n">
        <v>90</v>
      </c>
      <c r="M308" s="9" t="n">
        <f aca="false">IF(J308="Active",L308+(ROW()/1000000),"")</f>
        <v>90.000308</v>
      </c>
    </row>
    <row r="309" customFormat="false" ht="15" hidden="false" customHeight="false" outlineLevel="0" collapsed="false">
      <c r="A309" s="2" t="s">
        <v>8602</v>
      </c>
      <c r="B309" s="2" t="s">
        <v>5083</v>
      </c>
      <c r="C309" s="13" t="n">
        <v>45528</v>
      </c>
      <c r="D309" s="13" t="n">
        <v>45531</v>
      </c>
      <c r="E309" s="2" t="s">
        <v>53</v>
      </c>
      <c r="F309" s="2" t="n">
        <v>305678.86</v>
      </c>
      <c r="G309" s="2" t="n">
        <v>196307.03</v>
      </c>
      <c r="H309" s="2" t="n">
        <v>17.526</v>
      </c>
      <c r="I309" s="2" t="n">
        <v>90</v>
      </c>
      <c r="J309" s="2" t="s">
        <v>38</v>
      </c>
      <c r="K309" s="2" t="n">
        <v>0</v>
      </c>
      <c r="L309" s="2" t="n">
        <v>0</v>
      </c>
      <c r="M309" s="0" t="str">
        <f aca="false">IF(J309="Active",L309+(ROW()/1000000),"")</f>
        <v/>
      </c>
    </row>
    <row r="310" customFormat="false" ht="15" hidden="false" customHeight="false" outlineLevel="0" collapsed="false">
      <c r="A310" s="2" t="s">
        <v>8603</v>
      </c>
      <c r="B310" s="2" t="s">
        <v>1829</v>
      </c>
      <c r="C310" s="13" t="n">
        <v>45843</v>
      </c>
      <c r="D310" s="13" t="n">
        <v>45843</v>
      </c>
      <c r="E310" s="2" t="s">
        <v>54</v>
      </c>
      <c r="F310" s="2" t="n">
        <v>393979.15</v>
      </c>
      <c r="G310" s="2" t="n">
        <v>346930.12</v>
      </c>
      <c r="H310" s="2" t="n">
        <v>12.924</v>
      </c>
      <c r="I310" s="2" t="n">
        <v>30</v>
      </c>
      <c r="J310" s="2" t="s">
        <v>38</v>
      </c>
      <c r="K310" s="2" t="n">
        <v>0</v>
      </c>
      <c r="L310" s="2" t="n">
        <v>0</v>
      </c>
      <c r="M310" s="0" t="str">
        <f aca="false">IF(J310="Active",L310+(ROW()/1000000),"")</f>
        <v/>
      </c>
    </row>
    <row r="311" customFormat="false" ht="15" hidden="false" customHeight="false" outlineLevel="0" collapsed="false">
      <c r="A311" s="2" t="s">
        <v>8604</v>
      </c>
      <c r="B311" s="2" t="s">
        <v>7595</v>
      </c>
      <c r="C311" s="13" t="n">
        <v>45361</v>
      </c>
      <c r="D311" s="13"/>
      <c r="E311" s="2" t="s">
        <v>53</v>
      </c>
      <c r="F311" s="2" t="n">
        <v>88554.02</v>
      </c>
      <c r="G311" s="2" t="n">
        <v>0</v>
      </c>
      <c r="H311" s="2" t="n">
        <v>14.885</v>
      </c>
      <c r="I311" s="2" t="n">
        <v>60</v>
      </c>
      <c r="J311" s="2" t="s">
        <v>42</v>
      </c>
      <c r="K311" s="2" t="n">
        <v>0</v>
      </c>
      <c r="L311" s="2" t="n">
        <v>0</v>
      </c>
      <c r="M311" s="0" t="str">
        <f aca="false">IF(J311="Active",L311+(ROW()/1000000),"")</f>
        <v/>
      </c>
    </row>
    <row r="312" customFormat="false" ht="15" hidden="false" customHeight="false" outlineLevel="0" collapsed="false">
      <c r="A312" s="2" t="s">
        <v>8605</v>
      </c>
      <c r="B312" s="2" t="s">
        <v>3765</v>
      </c>
      <c r="C312" s="13" t="n">
        <v>45748</v>
      </c>
      <c r="D312" s="13" t="n">
        <v>45752</v>
      </c>
      <c r="E312" s="2" t="s">
        <v>55</v>
      </c>
      <c r="F312" s="2" t="n">
        <v>147670.91</v>
      </c>
      <c r="G312" s="2" t="n">
        <v>108970.72</v>
      </c>
      <c r="H312" s="2" t="n">
        <v>10.209</v>
      </c>
      <c r="I312" s="2" t="n">
        <v>60</v>
      </c>
      <c r="J312" s="2" t="s">
        <v>38</v>
      </c>
      <c r="K312" s="2" t="n">
        <v>0</v>
      </c>
      <c r="L312" s="2" t="n">
        <v>0</v>
      </c>
      <c r="M312" s="0" t="str">
        <f aca="false">IF(J312="Active",L312+(ROW()/1000000),"")</f>
        <v/>
      </c>
    </row>
    <row r="313" customFormat="false" ht="15" hidden="false" customHeight="false" outlineLevel="0" collapsed="false">
      <c r="A313" s="2" t="s">
        <v>8606</v>
      </c>
      <c r="B313" s="2" t="s">
        <v>316</v>
      </c>
      <c r="C313" s="13" t="n">
        <v>45532</v>
      </c>
      <c r="D313" s="13" t="n">
        <v>45537</v>
      </c>
      <c r="E313" s="2" t="s">
        <v>55</v>
      </c>
      <c r="F313" s="2" t="n">
        <v>493897.81</v>
      </c>
      <c r="G313" s="2" t="n">
        <v>414379.49</v>
      </c>
      <c r="H313" s="2" t="n">
        <v>8.15</v>
      </c>
      <c r="I313" s="2" t="n">
        <v>120</v>
      </c>
      <c r="J313" s="2" t="s">
        <v>40</v>
      </c>
      <c r="K313" s="2" t="n">
        <v>58887.67</v>
      </c>
      <c r="L313" s="2" t="n">
        <v>60</v>
      </c>
      <c r="M313" s="0" t="str">
        <f aca="false">IF(J313="Active",L313+(ROW()/1000000),"")</f>
        <v/>
      </c>
    </row>
    <row r="314" customFormat="false" ht="15" hidden="false" customHeight="false" outlineLevel="0" collapsed="false">
      <c r="A314" s="2" t="s">
        <v>8607</v>
      </c>
      <c r="B314" s="2" t="s">
        <v>486</v>
      </c>
      <c r="C314" s="13" t="n">
        <v>45626</v>
      </c>
      <c r="D314" s="13" t="n">
        <v>45628</v>
      </c>
      <c r="E314" s="2" t="s">
        <v>53</v>
      </c>
      <c r="F314" s="2" t="n">
        <v>64849.47</v>
      </c>
      <c r="G314" s="2" t="n">
        <v>41901.21</v>
      </c>
      <c r="H314" s="2" t="n">
        <v>13.907</v>
      </c>
      <c r="I314" s="2" t="n">
        <v>90</v>
      </c>
      <c r="J314" s="2" t="s">
        <v>38</v>
      </c>
      <c r="K314" s="2" t="n">
        <v>0</v>
      </c>
      <c r="L314" s="2" t="n">
        <v>0</v>
      </c>
      <c r="M314" s="0" t="str">
        <f aca="false">IF(J314="Active",L314+(ROW()/1000000),"")</f>
        <v/>
      </c>
    </row>
    <row r="315" customFormat="false" ht="15" hidden="false" customHeight="false" outlineLevel="0" collapsed="false">
      <c r="A315" s="2" t="s">
        <v>8608</v>
      </c>
      <c r="B315" s="2" t="s">
        <v>4701</v>
      </c>
      <c r="C315" s="13" t="n">
        <v>45969</v>
      </c>
      <c r="D315" s="13" t="n">
        <v>45969</v>
      </c>
      <c r="E315" s="2" t="s">
        <v>55</v>
      </c>
      <c r="F315" s="2" t="n">
        <v>300600.3</v>
      </c>
      <c r="G315" s="2" t="n">
        <v>251466.69</v>
      </c>
      <c r="H315" s="2" t="n">
        <v>12.063</v>
      </c>
      <c r="I315" s="2" t="n">
        <v>30</v>
      </c>
      <c r="J315" s="2" t="s">
        <v>38</v>
      </c>
      <c r="K315" s="2" t="n">
        <v>0</v>
      </c>
      <c r="L315" s="2" t="n">
        <v>0</v>
      </c>
      <c r="M315" s="0" t="str">
        <f aca="false">IF(J315="Active",L315+(ROW()/1000000),"")</f>
        <v/>
      </c>
    </row>
    <row r="316" customFormat="false" ht="15" hidden="false" customHeight="false" outlineLevel="0" collapsed="false">
      <c r="A316" s="2" t="s">
        <v>8609</v>
      </c>
      <c r="B316" s="2" t="s">
        <v>226</v>
      </c>
      <c r="C316" s="13" t="n">
        <v>45744</v>
      </c>
      <c r="D316" s="13" t="n">
        <v>45749</v>
      </c>
      <c r="E316" s="2" t="s">
        <v>54</v>
      </c>
      <c r="F316" s="2" t="n">
        <v>32358.55</v>
      </c>
      <c r="G316" s="2" t="n">
        <v>22292.94</v>
      </c>
      <c r="H316" s="2" t="n">
        <v>17.901</v>
      </c>
      <c r="I316" s="2" t="n">
        <v>30</v>
      </c>
      <c r="J316" s="2" t="s">
        <v>40</v>
      </c>
      <c r="K316" s="2" t="n">
        <v>8604.02</v>
      </c>
      <c r="L316" s="2" t="n">
        <v>3</v>
      </c>
      <c r="M316" s="0" t="str">
        <f aca="false">IF(J316="Active",L316+(ROW()/1000000),"")</f>
        <v/>
      </c>
    </row>
    <row r="317" customFormat="false" ht="15" hidden="false" customHeight="false" outlineLevel="0" collapsed="false">
      <c r="A317" s="2" t="s">
        <v>8610</v>
      </c>
      <c r="B317" s="2" t="s">
        <v>326</v>
      </c>
      <c r="C317" s="13" t="n">
        <v>45492</v>
      </c>
      <c r="D317" s="13" t="n">
        <v>45493</v>
      </c>
      <c r="E317" s="2" t="s">
        <v>55</v>
      </c>
      <c r="F317" s="2" t="n">
        <v>389230.47</v>
      </c>
      <c r="G317" s="2" t="n">
        <v>260000.26</v>
      </c>
      <c r="H317" s="2" t="n">
        <v>8.93</v>
      </c>
      <c r="I317" s="2" t="n">
        <v>60</v>
      </c>
      <c r="J317" s="2" t="s">
        <v>36</v>
      </c>
      <c r="K317" s="2" t="n">
        <v>123157.08</v>
      </c>
      <c r="L317" s="2" t="n">
        <v>10</v>
      </c>
      <c r="M317" s="9" t="n">
        <f aca="false">IF(J317="Active",L317+(ROW()/1000000),"")</f>
        <v>10.000317</v>
      </c>
    </row>
    <row r="318" customFormat="false" ht="15" hidden="false" customHeight="false" outlineLevel="0" collapsed="false">
      <c r="A318" s="2" t="s">
        <v>8611</v>
      </c>
      <c r="B318" s="2" t="s">
        <v>1886</v>
      </c>
      <c r="C318" s="13" t="n">
        <v>45933</v>
      </c>
      <c r="D318" s="13"/>
      <c r="E318" s="2" t="s">
        <v>53</v>
      </c>
      <c r="F318" s="2" t="n">
        <v>181901.8</v>
      </c>
      <c r="G318" s="2" t="n">
        <v>0</v>
      </c>
      <c r="H318" s="2" t="n">
        <v>14.597</v>
      </c>
      <c r="I318" s="2" t="n">
        <v>90</v>
      </c>
      <c r="J318" s="2" t="s">
        <v>42</v>
      </c>
      <c r="K318" s="2" t="n">
        <v>0</v>
      </c>
      <c r="L318" s="2" t="n">
        <v>0</v>
      </c>
      <c r="M318" s="0" t="str">
        <f aca="false">IF(J318="Active",L318+(ROW()/1000000),"")</f>
        <v/>
      </c>
    </row>
    <row r="319" customFormat="false" ht="15" hidden="false" customHeight="false" outlineLevel="0" collapsed="false">
      <c r="A319" s="2" t="s">
        <v>8612</v>
      </c>
      <c r="B319" s="2" t="s">
        <v>2548</v>
      </c>
      <c r="C319" s="13" t="n">
        <v>45667</v>
      </c>
      <c r="D319" s="13" t="n">
        <v>45672</v>
      </c>
      <c r="E319" s="2" t="s">
        <v>54</v>
      </c>
      <c r="F319" s="2" t="n">
        <v>174255.25</v>
      </c>
      <c r="G319" s="2" t="n">
        <v>146475.65</v>
      </c>
      <c r="H319" s="2" t="n">
        <v>10.592</v>
      </c>
      <c r="I319" s="2" t="n">
        <v>30</v>
      </c>
      <c r="J319" s="2" t="s">
        <v>38</v>
      </c>
      <c r="K319" s="2" t="n">
        <v>0</v>
      </c>
      <c r="L319" s="2" t="n">
        <v>0</v>
      </c>
      <c r="M319" s="0" t="str">
        <f aca="false">IF(J319="Active",L319+(ROW()/1000000),"")</f>
        <v/>
      </c>
    </row>
    <row r="320" customFormat="false" ht="15" hidden="false" customHeight="false" outlineLevel="0" collapsed="false">
      <c r="A320" s="2" t="s">
        <v>8613</v>
      </c>
      <c r="B320" s="2" t="s">
        <v>4579</v>
      </c>
      <c r="C320" s="13" t="n">
        <v>45772</v>
      </c>
      <c r="D320" s="13" t="n">
        <v>45774</v>
      </c>
      <c r="E320" s="2" t="s">
        <v>54</v>
      </c>
      <c r="F320" s="2" t="n">
        <v>319153.95</v>
      </c>
      <c r="G320" s="2" t="n">
        <v>226550.77</v>
      </c>
      <c r="H320" s="2" t="n">
        <v>17.154</v>
      </c>
      <c r="I320" s="2" t="n">
        <v>120</v>
      </c>
      <c r="J320" s="2" t="s">
        <v>38</v>
      </c>
      <c r="K320" s="2" t="n">
        <v>0</v>
      </c>
      <c r="L320" s="2" t="n">
        <v>0</v>
      </c>
      <c r="M320" s="0" t="str">
        <f aca="false">IF(J320="Active",L320+(ROW()/1000000),"")</f>
        <v/>
      </c>
    </row>
    <row r="321" customFormat="false" ht="15" hidden="false" customHeight="false" outlineLevel="0" collapsed="false">
      <c r="A321" s="2" t="s">
        <v>8614</v>
      </c>
      <c r="B321" s="2" t="s">
        <v>924</v>
      </c>
      <c r="C321" s="13" t="n">
        <v>45451</v>
      </c>
      <c r="D321" s="13" t="n">
        <v>45452</v>
      </c>
      <c r="E321" s="2" t="s">
        <v>54</v>
      </c>
      <c r="F321" s="2" t="n">
        <v>138482.37</v>
      </c>
      <c r="G321" s="2" t="n">
        <v>103445.6</v>
      </c>
      <c r="H321" s="2" t="n">
        <v>7.26</v>
      </c>
      <c r="I321" s="2" t="n">
        <v>60</v>
      </c>
      <c r="J321" s="2" t="s">
        <v>40</v>
      </c>
      <c r="K321" s="2" t="n">
        <v>52214.93</v>
      </c>
      <c r="L321" s="2" t="n">
        <v>1</v>
      </c>
      <c r="M321" s="0" t="str">
        <f aca="false">IF(J321="Active",L321+(ROW()/1000000),"")</f>
        <v/>
      </c>
    </row>
    <row r="322" customFormat="false" ht="15" hidden="false" customHeight="false" outlineLevel="0" collapsed="false">
      <c r="A322" s="2" t="s">
        <v>8615</v>
      </c>
      <c r="B322" s="2" t="s">
        <v>630</v>
      </c>
      <c r="C322" s="13" t="n">
        <v>45573</v>
      </c>
      <c r="D322" s="13" t="n">
        <v>45577</v>
      </c>
      <c r="E322" s="2" t="s">
        <v>54</v>
      </c>
      <c r="F322" s="2" t="n">
        <v>6746.45</v>
      </c>
      <c r="G322" s="2" t="n">
        <v>4598.76</v>
      </c>
      <c r="H322" s="2" t="n">
        <v>11.136</v>
      </c>
      <c r="I322" s="2" t="n">
        <v>60</v>
      </c>
      <c r="J322" s="2" t="s">
        <v>36</v>
      </c>
      <c r="K322" s="2" t="n">
        <v>1909.57</v>
      </c>
      <c r="L322" s="2" t="n">
        <v>30</v>
      </c>
      <c r="M322" s="9" t="n">
        <f aca="false">IF(J322="Active",L322+(ROW()/1000000),"")</f>
        <v>30.000322</v>
      </c>
    </row>
    <row r="323" customFormat="false" ht="15" hidden="false" customHeight="false" outlineLevel="0" collapsed="false">
      <c r="A323" s="2" t="s">
        <v>8616</v>
      </c>
      <c r="B323" s="2" t="s">
        <v>1285</v>
      </c>
      <c r="C323" s="13" t="n">
        <v>45355</v>
      </c>
      <c r="D323" s="13" t="n">
        <v>45358</v>
      </c>
      <c r="E323" s="2" t="s">
        <v>53</v>
      </c>
      <c r="F323" s="2" t="n">
        <v>57892.65</v>
      </c>
      <c r="G323" s="2" t="n">
        <v>39098.79</v>
      </c>
      <c r="H323" s="2" t="n">
        <v>11.966</v>
      </c>
      <c r="I323" s="2" t="n">
        <v>60</v>
      </c>
      <c r="J323" s="2" t="s">
        <v>40</v>
      </c>
      <c r="K323" s="2" t="n">
        <v>16712.23</v>
      </c>
      <c r="L323" s="2" t="n">
        <v>90</v>
      </c>
      <c r="M323" s="0" t="str">
        <f aca="false">IF(J323="Active",L323+(ROW()/1000000),"")</f>
        <v/>
      </c>
    </row>
    <row r="324" customFormat="false" ht="15" hidden="false" customHeight="false" outlineLevel="0" collapsed="false">
      <c r="A324" s="2" t="s">
        <v>8617</v>
      </c>
      <c r="B324" s="2" t="s">
        <v>4291</v>
      </c>
      <c r="C324" s="13" t="n">
        <v>45466</v>
      </c>
      <c r="D324" s="13" t="n">
        <v>45467</v>
      </c>
      <c r="E324" s="2" t="s">
        <v>54</v>
      </c>
      <c r="F324" s="2" t="n">
        <v>21606.99</v>
      </c>
      <c r="G324" s="2" t="n">
        <v>17460.83</v>
      </c>
      <c r="H324" s="2" t="n">
        <v>15.082</v>
      </c>
      <c r="I324" s="2" t="n">
        <v>90</v>
      </c>
      <c r="J324" s="2" t="s">
        <v>38</v>
      </c>
      <c r="K324" s="2" t="n">
        <v>0</v>
      </c>
      <c r="L324" s="2" t="n">
        <v>0</v>
      </c>
      <c r="M324" s="0" t="str">
        <f aca="false">IF(J324="Active",L324+(ROW()/1000000),"")</f>
        <v/>
      </c>
    </row>
    <row r="325" customFormat="false" ht="15" hidden="false" customHeight="false" outlineLevel="0" collapsed="false">
      <c r="A325" s="2" t="s">
        <v>8618</v>
      </c>
      <c r="B325" s="2" t="s">
        <v>2556</v>
      </c>
      <c r="C325" s="13" t="n">
        <v>45929</v>
      </c>
      <c r="D325" s="13" t="n">
        <v>45934</v>
      </c>
      <c r="E325" s="2" t="s">
        <v>54</v>
      </c>
      <c r="F325" s="2" t="n">
        <v>395663.67</v>
      </c>
      <c r="G325" s="2" t="n">
        <v>228157.1</v>
      </c>
      <c r="H325" s="2" t="n">
        <v>11.367</v>
      </c>
      <c r="I325" s="2" t="n">
        <v>180</v>
      </c>
      <c r="J325" s="2" t="s">
        <v>36</v>
      </c>
      <c r="K325" s="2" t="n">
        <v>11627.53</v>
      </c>
      <c r="L325" s="2" t="n">
        <v>10</v>
      </c>
      <c r="M325" s="9" t="n">
        <f aca="false">IF(J325="Active",L325+(ROW()/1000000),"")</f>
        <v>10.000325</v>
      </c>
    </row>
    <row r="326" customFormat="false" ht="15" hidden="false" customHeight="false" outlineLevel="0" collapsed="false">
      <c r="A326" s="2" t="s">
        <v>8619</v>
      </c>
      <c r="B326" s="2" t="s">
        <v>3755</v>
      </c>
      <c r="C326" s="13" t="n">
        <v>45935</v>
      </c>
      <c r="D326" s="13" t="n">
        <v>45937</v>
      </c>
      <c r="E326" s="2" t="s">
        <v>53</v>
      </c>
      <c r="F326" s="2" t="n">
        <v>338148.2</v>
      </c>
      <c r="G326" s="2" t="n">
        <v>302853.8</v>
      </c>
      <c r="H326" s="2" t="n">
        <v>9.998</v>
      </c>
      <c r="I326" s="2" t="n">
        <v>90</v>
      </c>
      <c r="J326" s="2" t="s">
        <v>36</v>
      </c>
      <c r="K326" s="2" t="n">
        <v>264617.26</v>
      </c>
      <c r="L326" s="2" t="n">
        <v>60</v>
      </c>
      <c r="M326" s="9" t="n">
        <f aca="false">IF(J326="Active",L326+(ROW()/1000000),"")</f>
        <v>60.000326</v>
      </c>
    </row>
    <row r="327" customFormat="false" ht="15" hidden="false" customHeight="false" outlineLevel="0" collapsed="false">
      <c r="A327" s="2" t="s">
        <v>8620</v>
      </c>
      <c r="B327" s="2" t="s">
        <v>721</v>
      </c>
      <c r="C327" s="13" t="n">
        <v>45514</v>
      </c>
      <c r="D327" s="13" t="n">
        <v>45514</v>
      </c>
      <c r="E327" s="2" t="s">
        <v>54</v>
      </c>
      <c r="F327" s="2" t="n">
        <v>128772.28</v>
      </c>
      <c r="G327" s="2" t="n">
        <v>123381.29</v>
      </c>
      <c r="H327" s="2" t="n">
        <v>16.96</v>
      </c>
      <c r="I327" s="2" t="n">
        <v>30</v>
      </c>
      <c r="J327" s="2" t="s">
        <v>38</v>
      </c>
      <c r="K327" s="2" t="n">
        <v>0</v>
      </c>
      <c r="L327" s="2" t="n">
        <v>0</v>
      </c>
      <c r="M327" s="0" t="str">
        <f aca="false">IF(J327="Active",L327+(ROW()/1000000),"")</f>
        <v/>
      </c>
    </row>
    <row r="328" customFormat="false" ht="15" hidden="false" customHeight="false" outlineLevel="0" collapsed="false">
      <c r="A328" s="2" t="s">
        <v>8621</v>
      </c>
      <c r="B328" s="2" t="s">
        <v>3739</v>
      </c>
      <c r="C328" s="13" t="n">
        <v>45326</v>
      </c>
      <c r="D328" s="13" t="n">
        <v>45329</v>
      </c>
      <c r="E328" s="2" t="s">
        <v>53</v>
      </c>
      <c r="F328" s="2" t="n">
        <v>89466.39</v>
      </c>
      <c r="G328" s="2" t="n">
        <v>70857.02</v>
      </c>
      <c r="H328" s="2" t="n">
        <v>7.643</v>
      </c>
      <c r="I328" s="2" t="n">
        <v>120</v>
      </c>
      <c r="J328" s="2" t="s">
        <v>40</v>
      </c>
      <c r="K328" s="2" t="n">
        <v>34897.61</v>
      </c>
      <c r="L328" s="2" t="n">
        <v>0</v>
      </c>
      <c r="M328" s="0" t="str">
        <f aca="false">IF(J328="Active",L328+(ROW()/1000000),"")</f>
        <v/>
      </c>
    </row>
    <row r="329" customFormat="false" ht="15" hidden="false" customHeight="false" outlineLevel="0" collapsed="false">
      <c r="A329" s="2" t="s">
        <v>8622</v>
      </c>
      <c r="B329" s="2" t="s">
        <v>336</v>
      </c>
      <c r="C329" s="13" t="n">
        <v>45542</v>
      </c>
      <c r="D329" s="13" t="n">
        <v>45547</v>
      </c>
      <c r="E329" s="2" t="s">
        <v>53</v>
      </c>
      <c r="F329" s="2" t="n">
        <v>52812.68</v>
      </c>
      <c r="G329" s="2" t="n">
        <v>37663.88</v>
      </c>
      <c r="H329" s="2" t="n">
        <v>8.371</v>
      </c>
      <c r="I329" s="2" t="n">
        <v>120</v>
      </c>
      <c r="J329" s="2" t="s">
        <v>36</v>
      </c>
      <c r="K329" s="2" t="n">
        <v>34534.69</v>
      </c>
      <c r="L329" s="2" t="n">
        <v>30</v>
      </c>
      <c r="M329" s="9" t="n">
        <f aca="false">IF(J329="Active",L329+(ROW()/1000000),"")</f>
        <v>30.000329</v>
      </c>
    </row>
    <row r="330" customFormat="false" ht="15" hidden="false" customHeight="false" outlineLevel="0" collapsed="false">
      <c r="A330" s="2" t="s">
        <v>8623</v>
      </c>
      <c r="B330" s="2" t="s">
        <v>5281</v>
      </c>
      <c r="C330" s="13" t="n">
        <v>45896</v>
      </c>
      <c r="D330" s="13" t="n">
        <v>45898</v>
      </c>
      <c r="E330" s="2" t="s">
        <v>54</v>
      </c>
      <c r="F330" s="2" t="n">
        <v>445834.08</v>
      </c>
      <c r="G330" s="2" t="n">
        <v>327012.59</v>
      </c>
      <c r="H330" s="2" t="n">
        <v>7.887</v>
      </c>
      <c r="I330" s="2" t="n">
        <v>90</v>
      </c>
      <c r="J330" s="2" t="s">
        <v>36</v>
      </c>
      <c r="K330" s="2" t="n">
        <v>170278.63</v>
      </c>
      <c r="L330" s="2" t="n">
        <v>10</v>
      </c>
      <c r="M330" s="9" t="n">
        <f aca="false">IF(J330="Active",L330+(ROW()/1000000),"")</f>
        <v>10.00033</v>
      </c>
    </row>
    <row r="331" customFormat="false" ht="15" hidden="false" customHeight="false" outlineLevel="0" collapsed="false">
      <c r="A331" s="2" t="s">
        <v>8624</v>
      </c>
      <c r="B331" s="2" t="s">
        <v>501</v>
      </c>
      <c r="C331" s="13" t="n">
        <v>45508</v>
      </c>
      <c r="D331" s="13" t="n">
        <v>45511</v>
      </c>
      <c r="E331" s="2" t="s">
        <v>54</v>
      </c>
      <c r="F331" s="2" t="n">
        <v>449917.7</v>
      </c>
      <c r="G331" s="2" t="n">
        <v>283795.87</v>
      </c>
      <c r="H331" s="2" t="n">
        <v>16.923</v>
      </c>
      <c r="I331" s="2" t="n">
        <v>60</v>
      </c>
      <c r="J331" s="2" t="s">
        <v>38</v>
      </c>
      <c r="K331" s="2" t="n">
        <v>0</v>
      </c>
      <c r="L331" s="2" t="n">
        <v>0</v>
      </c>
      <c r="M331" s="0" t="str">
        <f aca="false">IF(J331="Active",L331+(ROW()/1000000),"")</f>
        <v/>
      </c>
    </row>
    <row r="332" customFormat="false" ht="15" hidden="false" customHeight="false" outlineLevel="0" collapsed="false">
      <c r="A332" s="2" t="s">
        <v>8625</v>
      </c>
      <c r="B332" s="2" t="s">
        <v>1302</v>
      </c>
      <c r="C332" s="13" t="n">
        <v>45993</v>
      </c>
      <c r="D332" s="13" t="n">
        <v>45994</v>
      </c>
      <c r="E332" s="2" t="s">
        <v>53</v>
      </c>
      <c r="F332" s="2" t="n">
        <v>466226.29</v>
      </c>
      <c r="G332" s="2" t="n">
        <v>352390.56</v>
      </c>
      <c r="H332" s="2" t="n">
        <v>13.797</v>
      </c>
      <c r="I332" s="2" t="n">
        <v>180</v>
      </c>
      <c r="J332" s="2" t="s">
        <v>36</v>
      </c>
      <c r="K332" s="2" t="n">
        <v>63101.52</v>
      </c>
      <c r="L332" s="2" t="n">
        <v>30</v>
      </c>
      <c r="M332" s="9" t="n">
        <f aca="false">IF(J332="Active",L332+(ROW()/1000000),"")</f>
        <v>30.000332</v>
      </c>
    </row>
    <row r="333" customFormat="false" ht="15" hidden="false" customHeight="false" outlineLevel="0" collapsed="false">
      <c r="A333" s="2" t="s">
        <v>8626</v>
      </c>
      <c r="B333" s="2" t="s">
        <v>3051</v>
      </c>
      <c r="C333" s="13" t="n">
        <v>45632</v>
      </c>
      <c r="D333" s="13"/>
      <c r="E333" s="2" t="s">
        <v>55</v>
      </c>
      <c r="F333" s="2" t="n">
        <v>285373.57</v>
      </c>
      <c r="G333" s="2" t="n">
        <v>0</v>
      </c>
      <c r="H333" s="2" t="n">
        <v>11.402</v>
      </c>
      <c r="I333" s="2" t="n">
        <v>90</v>
      </c>
      <c r="J333" s="2" t="s">
        <v>42</v>
      </c>
      <c r="K333" s="2" t="n">
        <v>0</v>
      </c>
      <c r="L333" s="2" t="n">
        <v>0</v>
      </c>
      <c r="M333" s="0" t="str">
        <f aca="false">IF(J333="Active",L333+(ROW()/1000000),"")</f>
        <v/>
      </c>
    </row>
    <row r="334" customFormat="false" ht="15" hidden="false" customHeight="false" outlineLevel="0" collapsed="false">
      <c r="A334" s="2" t="s">
        <v>8627</v>
      </c>
      <c r="B334" s="2" t="s">
        <v>2933</v>
      </c>
      <c r="C334" s="13" t="n">
        <v>45845</v>
      </c>
      <c r="D334" s="13" t="n">
        <v>45848</v>
      </c>
      <c r="E334" s="2" t="s">
        <v>55</v>
      </c>
      <c r="F334" s="2" t="n">
        <v>201765.42</v>
      </c>
      <c r="G334" s="2" t="n">
        <v>118419.89</v>
      </c>
      <c r="H334" s="2" t="n">
        <v>16.531</v>
      </c>
      <c r="I334" s="2" t="n">
        <v>120</v>
      </c>
      <c r="J334" s="2" t="s">
        <v>40</v>
      </c>
      <c r="K334" s="2" t="n">
        <v>110844.68</v>
      </c>
      <c r="L334" s="2" t="n">
        <v>30</v>
      </c>
      <c r="M334" s="0" t="str">
        <f aca="false">IF(J334="Active",L334+(ROW()/1000000),"")</f>
        <v/>
      </c>
    </row>
    <row r="335" customFormat="false" ht="15" hidden="false" customHeight="false" outlineLevel="0" collapsed="false">
      <c r="A335" s="2" t="s">
        <v>8628</v>
      </c>
      <c r="B335" s="2" t="s">
        <v>1617</v>
      </c>
      <c r="C335" s="13" t="n">
        <v>45510</v>
      </c>
      <c r="D335" s="13"/>
      <c r="E335" s="2" t="s">
        <v>55</v>
      </c>
      <c r="F335" s="2" t="n">
        <v>382675.03</v>
      </c>
      <c r="G335" s="2" t="n">
        <v>0</v>
      </c>
      <c r="H335" s="2" t="n">
        <v>7.631</v>
      </c>
      <c r="I335" s="2" t="n">
        <v>30</v>
      </c>
      <c r="J335" s="2" t="s">
        <v>42</v>
      </c>
      <c r="K335" s="2" t="n">
        <v>0</v>
      </c>
      <c r="L335" s="2" t="n">
        <v>0</v>
      </c>
      <c r="M335" s="0" t="str">
        <f aca="false">IF(J335="Active",L335+(ROW()/1000000),"")</f>
        <v/>
      </c>
    </row>
    <row r="336" customFormat="false" ht="15" hidden="false" customHeight="false" outlineLevel="0" collapsed="false">
      <c r="A336" s="2" t="s">
        <v>8629</v>
      </c>
      <c r="B336" s="2" t="s">
        <v>1962</v>
      </c>
      <c r="C336" s="13" t="n">
        <v>45503</v>
      </c>
      <c r="D336" s="13" t="n">
        <v>45507</v>
      </c>
      <c r="E336" s="2" t="s">
        <v>55</v>
      </c>
      <c r="F336" s="2" t="n">
        <v>328193.15</v>
      </c>
      <c r="G336" s="2" t="n">
        <v>205926.73</v>
      </c>
      <c r="H336" s="2" t="n">
        <v>9.448</v>
      </c>
      <c r="I336" s="2" t="n">
        <v>60</v>
      </c>
      <c r="J336" s="2" t="s">
        <v>36</v>
      </c>
      <c r="K336" s="2" t="n">
        <v>38169.37</v>
      </c>
      <c r="L336" s="2" t="n">
        <v>3</v>
      </c>
      <c r="M336" s="9" t="n">
        <f aca="false">IF(J336="Active",L336+(ROW()/1000000),"")</f>
        <v>3.000336</v>
      </c>
    </row>
    <row r="337" customFormat="false" ht="15" hidden="false" customHeight="false" outlineLevel="0" collapsed="false">
      <c r="A337" s="2" t="s">
        <v>8630</v>
      </c>
      <c r="B337" s="2" t="s">
        <v>5171</v>
      </c>
      <c r="C337" s="13" t="n">
        <v>45507</v>
      </c>
      <c r="D337" s="13" t="n">
        <v>45509</v>
      </c>
      <c r="E337" s="2" t="s">
        <v>55</v>
      </c>
      <c r="F337" s="2" t="n">
        <v>249429.4</v>
      </c>
      <c r="G337" s="2" t="n">
        <v>142151.35</v>
      </c>
      <c r="H337" s="2" t="n">
        <v>15.821</v>
      </c>
      <c r="I337" s="2" t="n">
        <v>120</v>
      </c>
      <c r="J337" s="2" t="s">
        <v>38</v>
      </c>
      <c r="K337" s="2" t="n">
        <v>0</v>
      </c>
      <c r="L337" s="2" t="n">
        <v>0</v>
      </c>
      <c r="M337" s="0" t="str">
        <f aca="false">IF(J337="Active",L337+(ROW()/1000000),"")</f>
        <v/>
      </c>
    </row>
    <row r="338" customFormat="false" ht="15" hidden="false" customHeight="false" outlineLevel="0" collapsed="false">
      <c r="A338" s="2" t="s">
        <v>8631</v>
      </c>
      <c r="B338" s="2" t="s">
        <v>5103</v>
      </c>
      <c r="C338" s="13" t="n">
        <v>45539</v>
      </c>
      <c r="D338" s="13" t="n">
        <v>45544</v>
      </c>
      <c r="E338" s="2" t="s">
        <v>53</v>
      </c>
      <c r="F338" s="2" t="n">
        <v>97622.25</v>
      </c>
      <c r="G338" s="2" t="n">
        <v>65933.64</v>
      </c>
      <c r="H338" s="2" t="n">
        <v>11.507</v>
      </c>
      <c r="I338" s="2" t="n">
        <v>90</v>
      </c>
      <c r="J338" s="2" t="s">
        <v>40</v>
      </c>
      <c r="K338" s="2" t="n">
        <v>39462.2</v>
      </c>
      <c r="L338" s="2" t="n">
        <v>60</v>
      </c>
      <c r="M338" s="0" t="str">
        <f aca="false">IF(J338="Active",L338+(ROW()/1000000),"")</f>
        <v/>
      </c>
    </row>
    <row r="339" customFormat="false" ht="15" hidden="false" customHeight="false" outlineLevel="0" collapsed="false">
      <c r="A339" s="2" t="s">
        <v>8632</v>
      </c>
      <c r="B339" s="2" t="s">
        <v>782</v>
      </c>
      <c r="C339" s="13" t="n">
        <v>45404</v>
      </c>
      <c r="D339" s="13" t="n">
        <v>45409</v>
      </c>
      <c r="E339" s="2" t="s">
        <v>55</v>
      </c>
      <c r="F339" s="2" t="n">
        <v>88811.17</v>
      </c>
      <c r="G339" s="2" t="n">
        <v>53035.68</v>
      </c>
      <c r="H339" s="2" t="n">
        <v>10.421</v>
      </c>
      <c r="I339" s="2" t="n">
        <v>120</v>
      </c>
      <c r="J339" s="2" t="s">
        <v>40</v>
      </c>
      <c r="K339" s="2" t="n">
        <v>38144.14</v>
      </c>
      <c r="L339" s="2" t="n">
        <v>10</v>
      </c>
      <c r="M339" s="0" t="str">
        <f aca="false">IF(J339="Active",L339+(ROW()/1000000),"")</f>
        <v/>
      </c>
    </row>
    <row r="340" customFormat="false" ht="15" hidden="false" customHeight="false" outlineLevel="0" collapsed="false">
      <c r="A340" s="2" t="s">
        <v>8633</v>
      </c>
      <c r="B340" s="2" t="s">
        <v>3183</v>
      </c>
      <c r="C340" s="13" t="n">
        <v>45545</v>
      </c>
      <c r="D340" s="13" t="n">
        <v>45545</v>
      </c>
      <c r="E340" s="2" t="s">
        <v>55</v>
      </c>
      <c r="F340" s="2" t="n">
        <v>331050.95</v>
      </c>
      <c r="G340" s="2" t="n">
        <v>267112.56</v>
      </c>
      <c r="H340" s="2" t="n">
        <v>11.19</v>
      </c>
      <c r="I340" s="2" t="n">
        <v>120</v>
      </c>
      <c r="J340" s="2" t="s">
        <v>36</v>
      </c>
      <c r="K340" s="2" t="n">
        <v>45154.63</v>
      </c>
      <c r="L340" s="2" t="n">
        <v>5</v>
      </c>
      <c r="M340" s="9" t="n">
        <f aca="false">IF(J340="Active",L340+(ROW()/1000000),"")</f>
        <v>5.00034</v>
      </c>
    </row>
    <row r="341" customFormat="false" ht="15" hidden="false" customHeight="false" outlineLevel="0" collapsed="false">
      <c r="A341" s="2" t="s">
        <v>8634</v>
      </c>
      <c r="B341" s="2" t="s">
        <v>3735</v>
      </c>
      <c r="C341" s="13" t="n">
        <v>45327</v>
      </c>
      <c r="D341" s="13" t="n">
        <v>45327</v>
      </c>
      <c r="E341" s="2" t="s">
        <v>54</v>
      </c>
      <c r="F341" s="2" t="n">
        <v>239422.57</v>
      </c>
      <c r="G341" s="2" t="n">
        <v>172629.62</v>
      </c>
      <c r="H341" s="2" t="n">
        <v>17.617</v>
      </c>
      <c r="I341" s="2" t="n">
        <v>120</v>
      </c>
      <c r="J341" s="2" t="s">
        <v>38</v>
      </c>
      <c r="K341" s="2" t="n">
        <v>0</v>
      </c>
      <c r="L341" s="2" t="n">
        <v>0</v>
      </c>
      <c r="M341" s="0" t="str">
        <f aca="false">IF(J341="Active",L341+(ROW()/1000000),"")</f>
        <v/>
      </c>
    </row>
    <row r="342" customFormat="false" ht="15" hidden="false" customHeight="false" outlineLevel="0" collapsed="false">
      <c r="A342" s="2" t="s">
        <v>8635</v>
      </c>
      <c r="B342" s="2" t="s">
        <v>3315</v>
      </c>
      <c r="C342" s="13" t="n">
        <v>45956</v>
      </c>
      <c r="D342" s="13" t="n">
        <v>45956</v>
      </c>
      <c r="E342" s="2" t="s">
        <v>53</v>
      </c>
      <c r="F342" s="2" t="n">
        <v>493895.92</v>
      </c>
      <c r="G342" s="2" t="n">
        <v>330214.84</v>
      </c>
      <c r="H342" s="2" t="n">
        <v>9.182</v>
      </c>
      <c r="I342" s="2" t="n">
        <v>120</v>
      </c>
      <c r="J342" s="2" t="s">
        <v>40</v>
      </c>
      <c r="K342" s="2" t="n">
        <v>190963.45</v>
      </c>
      <c r="L342" s="2" t="n">
        <v>0</v>
      </c>
      <c r="M342" s="0" t="str">
        <f aca="false">IF(J342="Active",L342+(ROW()/1000000),"")</f>
        <v/>
      </c>
    </row>
    <row r="343" customFormat="false" ht="15" hidden="false" customHeight="false" outlineLevel="0" collapsed="false">
      <c r="A343" s="2" t="s">
        <v>8636</v>
      </c>
      <c r="B343" s="2" t="s">
        <v>1387</v>
      </c>
      <c r="C343" s="13" t="n">
        <v>45325</v>
      </c>
      <c r="D343" s="13" t="n">
        <v>45325</v>
      </c>
      <c r="E343" s="2" t="s">
        <v>53</v>
      </c>
      <c r="F343" s="2" t="n">
        <v>310882.77</v>
      </c>
      <c r="G343" s="2" t="n">
        <v>228964.05</v>
      </c>
      <c r="H343" s="2" t="n">
        <v>11.549</v>
      </c>
      <c r="I343" s="2" t="n">
        <v>60</v>
      </c>
      <c r="J343" s="2" t="s">
        <v>36</v>
      </c>
      <c r="K343" s="2" t="n">
        <v>79481.25</v>
      </c>
      <c r="L343" s="2" t="n">
        <v>3</v>
      </c>
      <c r="M343" s="9" t="n">
        <f aca="false">IF(J343="Active",L343+(ROW()/1000000),"")</f>
        <v>3.000343</v>
      </c>
    </row>
    <row r="344" customFormat="false" ht="15" hidden="false" customHeight="false" outlineLevel="0" collapsed="false">
      <c r="A344" s="2" t="s">
        <v>8637</v>
      </c>
      <c r="B344" s="2" t="s">
        <v>1809</v>
      </c>
      <c r="C344" s="13" t="n">
        <v>45753</v>
      </c>
      <c r="D344" s="13" t="n">
        <v>45758</v>
      </c>
      <c r="E344" s="2" t="s">
        <v>53</v>
      </c>
      <c r="F344" s="2" t="n">
        <v>490279.04</v>
      </c>
      <c r="G344" s="2" t="n">
        <v>330155.66</v>
      </c>
      <c r="H344" s="2" t="n">
        <v>7.106</v>
      </c>
      <c r="I344" s="2" t="n">
        <v>180</v>
      </c>
      <c r="J344" s="2" t="s">
        <v>36</v>
      </c>
      <c r="K344" s="2" t="n">
        <v>96296.45</v>
      </c>
      <c r="L344" s="2" t="n">
        <v>10</v>
      </c>
      <c r="M344" s="9" t="n">
        <f aca="false">IF(J344="Active",L344+(ROW()/1000000),"")</f>
        <v>10.000344</v>
      </c>
    </row>
    <row r="345" customFormat="false" ht="15" hidden="false" customHeight="false" outlineLevel="0" collapsed="false">
      <c r="A345" s="2" t="s">
        <v>8638</v>
      </c>
      <c r="B345" s="2" t="s">
        <v>635</v>
      </c>
      <c r="C345" s="13" t="n">
        <v>45657</v>
      </c>
      <c r="D345" s="13" t="n">
        <v>45660</v>
      </c>
      <c r="E345" s="2" t="s">
        <v>55</v>
      </c>
      <c r="F345" s="2" t="n">
        <v>47088.69</v>
      </c>
      <c r="G345" s="2" t="n">
        <v>38467.85</v>
      </c>
      <c r="H345" s="2" t="n">
        <v>9.589</v>
      </c>
      <c r="I345" s="2" t="n">
        <v>60</v>
      </c>
      <c r="J345" s="2" t="s">
        <v>36</v>
      </c>
      <c r="K345" s="2" t="n">
        <v>13009.95</v>
      </c>
      <c r="L345" s="2" t="n">
        <v>15</v>
      </c>
      <c r="M345" s="9" t="n">
        <f aca="false">IF(J345="Active",L345+(ROW()/1000000),"")</f>
        <v>15.000345</v>
      </c>
    </row>
    <row r="346" customFormat="false" ht="15" hidden="false" customHeight="false" outlineLevel="0" collapsed="false">
      <c r="A346" s="2" t="s">
        <v>8639</v>
      </c>
      <c r="B346" s="2" t="s">
        <v>3379</v>
      </c>
      <c r="C346" s="13" t="n">
        <v>45705</v>
      </c>
      <c r="D346" s="13" t="n">
        <v>45705</v>
      </c>
      <c r="E346" s="2" t="s">
        <v>53</v>
      </c>
      <c r="F346" s="2" t="n">
        <v>304575.03</v>
      </c>
      <c r="G346" s="2" t="n">
        <v>271751.11</v>
      </c>
      <c r="H346" s="2" t="n">
        <v>12.595</v>
      </c>
      <c r="I346" s="2" t="n">
        <v>30</v>
      </c>
      <c r="J346" s="2" t="s">
        <v>38</v>
      </c>
      <c r="K346" s="2" t="n">
        <v>0</v>
      </c>
      <c r="L346" s="2" t="n">
        <v>0</v>
      </c>
      <c r="M346" s="0" t="str">
        <f aca="false">IF(J346="Active",L346+(ROW()/1000000),"")</f>
        <v/>
      </c>
    </row>
    <row r="347" customFormat="false" ht="15" hidden="false" customHeight="false" outlineLevel="0" collapsed="false">
      <c r="A347" s="2" t="s">
        <v>8640</v>
      </c>
      <c r="B347" s="2" t="s">
        <v>3593</v>
      </c>
      <c r="C347" s="13" t="n">
        <v>45647</v>
      </c>
      <c r="D347" s="13"/>
      <c r="E347" s="2" t="s">
        <v>55</v>
      </c>
      <c r="F347" s="2" t="n">
        <v>357154.64</v>
      </c>
      <c r="G347" s="2" t="n">
        <v>0</v>
      </c>
      <c r="H347" s="2" t="n">
        <v>11.995</v>
      </c>
      <c r="I347" s="2" t="n">
        <v>180</v>
      </c>
      <c r="J347" s="2" t="s">
        <v>42</v>
      </c>
      <c r="K347" s="2" t="n">
        <v>0</v>
      </c>
      <c r="L347" s="2" t="n">
        <v>0</v>
      </c>
      <c r="M347" s="0" t="str">
        <f aca="false">IF(J347="Active",L347+(ROW()/1000000),"")</f>
        <v/>
      </c>
    </row>
    <row r="348" customFormat="false" ht="15" hidden="false" customHeight="false" outlineLevel="0" collapsed="false">
      <c r="A348" s="2" t="s">
        <v>8641</v>
      </c>
      <c r="B348" s="2" t="s">
        <v>736</v>
      </c>
      <c r="C348" s="13" t="n">
        <v>45707</v>
      </c>
      <c r="D348" s="13"/>
      <c r="E348" s="2" t="s">
        <v>54</v>
      </c>
      <c r="F348" s="2" t="n">
        <v>149128.87</v>
      </c>
      <c r="G348" s="2" t="n">
        <v>0</v>
      </c>
      <c r="H348" s="2" t="n">
        <v>15.39</v>
      </c>
      <c r="I348" s="2" t="n">
        <v>60</v>
      </c>
      <c r="J348" s="2" t="s">
        <v>42</v>
      </c>
      <c r="K348" s="2" t="n">
        <v>0</v>
      </c>
      <c r="L348" s="2" t="n">
        <v>0</v>
      </c>
      <c r="M348" s="0" t="str">
        <f aca="false">IF(J348="Active",L348+(ROW()/1000000),"")</f>
        <v/>
      </c>
    </row>
    <row r="349" customFormat="false" ht="15" hidden="false" customHeight="false" outlineLevel="0" collapsed="false">
      <c r="A349" s="2" t="s">
        <v>8642</v>
      </c>
      <c r="B349" s="2" t="s">
        <v>4473</v>
      </c>
      <c r="C349" s="13" t="n">
        <v>45913</v>
      </c>
      <c r="D349" s="13" t="n">
        <v>45915</v>
      </c>
      <c r="E349" s="2" t="s">
        <v>53</v>
      </c>
      <c r="F349" s="2" t="n">
        <v>462406.17</v>
      </c>
      <c r="G349" s="2" t="n">
        <v>305670.39</v>
      </c>
      <c r="H349" s="2" t="n">
        <v>15.697</v>
      </c>
      <c r="I349" s="2" t="n">
        <v>120</v>
      </c>
      <c r="J349" s="2" t="s">
        <v>36</v>
      </c>
      <c r="K349" s="2" t="n">
        <v>34730.29</v>
      </c>
      <c r="L349" s="2" t="n">
        <v>30</v>
      </c>
      <c r="M349" s="9" t="n">
        <f aca="false">IF(J349="Active",L349+(ROW()/1000000),"")</f>
        <v>30.000349</v>
      </c>
    </row>
    <row r="350" customFormat="false" ht="15" hidden="false" customHeight="false" outlineLevel="0" collapsed="false">
      <c r="A350" s="2" t="s">
        <v>8643</v>
      </c>
      <c r="B350" s="2" t="s">
        <v>2144</v>
      </c>
      <c r="C350" s="13" t="n">
        <v>45691</v>
      </c>
      <c r="D350" s="13" t="n">
        <v>45694</v>
      </c>
      <c r="E350" s="2" t="s">
        <v>53</v>
      </c>
      <c r="F350" s="2" t="n">
        <v>247529.88</v>
      </c>
      <c r="G350" s="2" t="n">
        <v>177841.57</v>
      </c>
      <c r="H350" s="2" t="n">
        <v>16.247</v>
      </c>
      <c r="I350" s="2" t="n">
        <v>180</v>
      </c>
      <c r="J350" s="2" t="s">
        <v>36</v>
      </c>
      <c r="K350" s="2" t="n">
        <v>34788.8</v>
      </c>
      <c r="L350" s="2" t="n">
        <v>5</v>
      </c>
      <c r="M350" s="9" t="n">
        <f aca="false">IF(J350="Active",L350+(ROW()/1000000),"")</f>
        <v>5.00035</v>
      </c>
    </row>
    <row r="351" customFormat="false" ht="15" hidden="false" customHeight="false" outlineLevel="0" collapsed="false">
      <c r="A351" s="2" t="s">
        <v>8644</v>
      </c>
      <c r="B351" s="2" t="s">
        <v>1471</v>
      </c>
      <c r="C351" s="13" t="n">
        <v>45533</v>
      </c>
      <c r="D351" s="13" t="n">
        <v>45537</v>
      </c>
      <c r="E351" s="2" t="s">
        <v>54</v>
      </c>
      <c r="F351" s="2" t="n">
        <v>219280.11</v>
      </c>
      <c r="G351" s="2" t="n">
        <v>169907.66</v>
      </c>
      <c r="H351" s="2" t="n">
        <v>9.584</v>
      </c>
      <c r="I351" s="2" t="n">
        <v>90</v>
      </c>
      <c r="J351" s="2" t="s">
        <v>38</v>
      </c>
      <c r="K351" s="2" t="n">
        <v>0</v>
      </c>
      <c r="L351" s="2" t="n">
        <v>0</v>
      </c>
      <c r="M351" s="0" t="str">
        <f aca="false">IF(J351="Active",L351+(ROW()/1000000),"")</f>
        <v/>
      </c>
    </row>
    <row r="352" customFormat="false" ht="15" hidden="false" customHeight="false" outlineLevel="0" collapsed="false">
      <c r="A352" s="2" t="s">
        <v>8645</v>
      </c>
      <c r="B352" s="2" t="s">
        <v>8646</v>
      </c>
      <c r="C352" s="13" t="n">
        <v>45818</v>
      </c>
      <c r="D352" s="13" t="n">
        <v>45821</v>
      </c>
      <c r="E352" s="2" t="s">
        <v>55</v>
      </c>
      <c r="F352" s="2" t="n">
        <v>367874.14</v>
      </c>
      <c r="G352" s="2" t="n">
        <v>335202.95</v>
      </c>
      <c r="H352" s="2" t="n">
        <v>8.236</v>
      </c>
      <c r="I352" s="2" t="n">
        <v>180</v>
      </c>
      <c r="J352" s="2" t="s">
        <v>36</v>
      </c>
      <c r="K352" s="2" t="n">
        <v>170993.79</v>
      </c>
      <c r="L352" s="2" t="n">
        <v>15</v>
      </c>
      <c r="M352" s="9" t="n">
        <f aca="false">IF(J352="Active",L352+(ROW()/1000000),"")</f>
        <v>15.000352</v>
      </c>
    </row>
    <row r="353" customFormat="false" ht="15" hidden="false" customHeight="false" outlineLevel="0" collapsed="false">
      <c r="A353" s="2" t="s">
        <v>8647</v>
      </c>
      <c r="B353" s="2" t="s">
        <v>1661</v>
      </c>
      <c r="C353" s="13" t="n">
        <v>45690</v>
      </c>
      <c r="D353" s="13" t="n">
        <v>45694</v>
      </c>
      <c r="E353" s="2" t="s">
        <v>54</v>
      </c>
      <c r="F353" s="2" t="n">
        <v>263611.94</v>
      </c>
      <c r="G353" s="2" t="n">
        <v>190365.92</v>
      </c>
      <c r="H353" s="2" t="n">
        <v>12.963</v>
      </c>
      <c r="I353" s="2" t="n">
        <v>30</v>
      </c>
      <c r="J353" s="2" t="s">
        <v>38</v>
      </c>
      <c r="K353" s="2" t="n">
        <v>0</v>
      </c>
      <c r="L353" s="2" t="n">
        <v>0</v>
      </c>
      <c r="M353" s="0" t="str">
        <f aca="false">IF(J353="Active",L353+(ROW()/1000000),"")</f>
        <v/>
      </c>
    </row>
    <row r="354" customFormat="false" ht="15" hidden="false" customHeight="false" outlineLevel="0" collapsed="false">
      <c r="A354" s="2" t="s">
        <v>8648</v>
      </c>
      <c r="B354" s="2" t="s">
        <v>889</v>
      </c>
      <c r="C354" s="13" t="n">
        <v>45894</v>
      </c>
      <c r="D354" s="13" t="n">
        <v>45894</v>
      </c>
      <c r="E354" s="2" t="s">
        <v>54</v>
      </c>
      <c r="F354" s="2" t="n">
        <v>211454.48</v>
      </c>
      <c r="G354" s="2" t="n">
        <v>139002.08</v>
      </c>
      <c r="H354" s="2" t="n">
        <v>9.051</v>
      </c>
      <c r="I354" s="2" t="n">
        <v>60</v>
      </c>
      <c r="J354" s="2" t="s">
        <v>38</v>
      </c>
      <c r="K354" s="2" t="n">
        <v>0</v>
      </c>
      <c r="L354" s="2" t="n">
        <v>0</v>
      </c>
      <c r="M354" s="0" t="str">
        <f aca="false">IF(J354="Active",L354+(ROW()/1000000),"")</f>
        <v/>
      </c>
    </row>
    <row r="355" customFormat="false" ht="15" hidden="false" customHeight="false" outlineLevel="0" collapsed="false">
      <c r="A355" s="2" t="s">
        <v>8649</v>
      </c>
      <c r="B355" s="2" t="s">
        <v>326</v>
      </c>
      <c r="C355" s="13" t="n">
        <v>45665</v>
      </c>
      <c r="D355" s="13" t="n">
        <v>45670</v>
      </c>
      <c r="E355" s="2" t="s">
        <v>53</v>
      </c>
      <c r="F355" s="2" t="n">
        <v>309876.96</v>
      </c>
      <c r="G355" s="2" t="n">
        <v>266917.36</v>
      </c>
      <c r="H355" s="2" t="n">
        <v>16.611</v>
      </c>
      <c r="I355" s="2" t="n">
        <v>180</v>
      </c>
      <c r="J355" s="2" t="s">
        <v>36</v>
      </c>
      <c r="K355" s="2" t="n">
        <v>208940.6</v>
      </c>
      <c r="L355" s="2" t="n">
        <v>5</v>
      </c>
      <c r="M355" s="9" t="n">
        <f aca="false">IF(J355="Active",L355+(ROW()/1000000),"")</f>
        <v>5.000355</v>
      </c>
    </row>
    <row r="356" customFormat="false" ht="15" hidden="false" customHeight="false" outlineLevel="0" collapsed="false">
      <c r="A356" s="2" t="s">
        <v>8650</v>
      </c>
      <c r="B356" s="2" t="s">
        <v>8651</v>
      </c>
      <c r="C356" s="13" t="n">
        <v>45865</v>
      </c>
      <c r="D356" s="13" t="n">
        <v>45865</v>
      </c>
      <c r="E356" s="2" t="s">
        <v>54</v>
      </c>
      <c r="F356" s="2" t="n">
        <v>121256.91</v>
      </c>
      <c r="G356" s="2" t="n">
        <v>78811.19</v>
      </c>
      <c r="H356" s="2" t="n">
        <v>15.849</v>
      </c>
      <c r="I356" s="2" t="n">
        <v>90</v>
      </c>
      <c r="J356" s="2" t="s">
        <v>36</v>
      </c>
      <c r="K356" s="2" t="n">
        <v>22727.42</v>
      </c>
      <c r="L356" s="2" t="n">
        <v>0</v>
      </c>
      <c r="M356" s="9" t="n">
        <f aca="false">IF(J356="Active",L356+(ROW()/1000000),"")</f>
        <v>0.000356</v>
      </c>
    </row>
    <row r="357" customFormat="false" ht="15" hidden="false" customHeight="false" outlineLevel="0" collapsed="false">
      <c r="A357" s="2" t="s">
        <v>8652</v>
      </c>
      <c r="B357" s="2" t="s">
        <v>4257</v>
      </c>
      <c r="C357" s="13" t="n">
        <v>45472</v>
      </c>
      <c r="D357" s="13" t="n">
        <v>45473</v>
      </c>
      <c r="E357" s="2" t="s">
        <v>55</v>
      </c>
      <c r="F357" s="2" t="n">
        <v>414777.42</v>
      </c>
      <c r="G357" s="2" t="n">
        <v>270622.06</v>
      </c>
      <c r="H357" s="2" t="n">
        <v>8.583</v>
      </c>
      <c r="I357" s="2" t="n">
        <v>120</v>
      </c>
      <c r="J357" s="2" t="s">
        <v>38</v>
      </c>
      <c r="K357" s="2" t="n">
        <v>0</v>
      </c>
      <c r="L357" s="2" t="n">
        <v>0</v>
      </c>
      <c r="M357" s="0" t="str">
        <f aca="false">IF(J357="Active",L357+(ROW()/1000000),"")</f>
        <v/>
      </c>
    </row>
    <row r="358" customFormat="false" ht="15" hidden="false" customHeight="false" outlineLevel="0" collapsed="false">
      <c r="A358" s="2" t="s">
        <v>8653</v>
      </c>
      <c r="B358" s="2" t="s">
        <v>4025</v>
      </c>
      <c r="C358" s="13" t="n">
        <v>46012</v>
      </c>
      <c r="D358" s="13"/>
      <c r="E358" s="2" t="s">
        <v>55</v>
      </c>
      <c r="F358" s="2" t="n">
        <v>312940.31</v>
      </c>
      <c r="G358" s="2" t="n">
        <v>0</v>
      </c>
      <c r="H358" s="2" t="n">
        <v>10.605</v>
      </c>
      <c r="I358" s="2" t="n">
        <v>60</v>
      </c>
      <c r="J358" s="2" t="s">
        <v>42</v>
      </c>
      <c r="K358" s="2" t="n">
        <v>0</v>
      </c>
      <c r="L358" s="2" t="n">
        <v>0</v>
      </c>
      <c r="M358" s="0" t="str">
        <f aca="false">IF(J358="Active",L358+(ROW()/1000000),"")</f>
        <v/>
      </c>
    </row>
    <row r="359" customFormat="false" ht="15" hidden="false" customHeight="false" outlineLevel="0" collapsed="false">
      <c r="A359" s="2" t="s">
        <v>8654</v>
      </c>
      <c r="B359" s="2" t="s">
        <v>4579</v>
      </c>
      <c r="C359" s="13" t="n">
        <v>45718</v>
      </c>
      <c r="D359" s="13" t="n">
        <v>45723</v>
      </c>
      <c r="E359" s="2" t="s">
        <v>53</v>
      </c>
      <c r="F359" s="2" t="n">
        <v>438618.08</v>
      </c>
      <c r="G359" s="2" t="n">
        <v>361787.45</v>
      </c>
      <c r="H359" s="2" t="n">
        <v>15.041</v>
      </c>
      <c r="I359" s="2" t="n">
        <v>180</v>
      </c>
      <c r="J359" s="2" t="s">
        <v>40</v>
      </c>
      <c r="K359" s="2" t="n">
        <v>255426.99</v>
      </c>
      <c r="L359" s="2" t="n">
        <v>3</v>
      </c>
      <c r="M359" s="0" t="str">
        <f aca="false">IF(J359="Active",L359+(ROW()/1000000),"")</f>
        <v/>
      </c>
    </row>
    <row r="360" customFormat="false" ht="15" hidden="false" customHeight="false" outlineLevel="0" collapsed="false">
      <c r="A360" s="2" t="s">
        <v>8655</v>
      </c>
      <c r="B360" s="2" t="s">
        <v>2652</v>
      </c>
      <c r="C360" s="13" t="n">
        <v>45436</v>
      </c>
      <c r="D360" s="13" t="n">
        <v>45440</v>
      </c>
      <c r="E360" s="2" t="s">
        <v>54</v>
      </c>
      <c r="F360" s="2" t="n">
        <v>19740.63</v>
      </c>
      <c r="G360" s="2" t="n">
        <v>15044.3</v>
      </c>
      <c r="H360" s="2" t="n">
        <v>15.602</v>
      </c>
      <c r="I360" s="2" t="n">
        <v>180</v>
      </c>
      <c r="J360" s="2" t="s">
        <v>38</v>
      </c>
      <c r="K360" s="2" t="n">
        <v>0</v>
      </c>
      <c r="L360" s="2" t="n">
        <v>0</v>
      </c>
      <c r="M360" s="0" t="str">
        <f aca="false">IF(J360="Active",L360+(ROW()/1000000),"")</f>
        <v/>
      </c>
    </row>
    <row r="361" customFormat="false" ht="15" hidden="false" customHeight="false" outlineLevel="0" collapsed="false">
      <c r="A361" s="2" t="s">
        <v>8656</v>
      </c>
      <c r="B361" s="2" t="s">
        <v>1056</v>
      </c>
      <c r="C361" s="13" t="n">
        <v>45645</v>
      </c>
      <c r="D361" s="13"/>
      <c r="E361" s="2" t="s">
        <v>55</v>
      </c>
      <c r="F361" s="2" t="n">
        <v>253659.23</v>
      </c>
      <c r="G361" s="2" t="n">
        <v>0</v>
      </c>
      <c r="H361" s="2" t="n">
        <v>17.01</v>
      </c>
      <c r="I361" s="2" t="n">
        <v>120</v>
      </c>
      <c r="J361" s="2" t="s">
        <v>42</v>
      </c>
      <c r="K361" s="2" t="n">
        <v>0</v>
      </c>
      <c r="L361" s="2" t="n">
        <v>0</v>
      </c>
      <c r="M361" s="0" t="str">
        <f aca="false">IF(J361="Active",L361+(ROW()/1000000),"")</f>
        <v/>
      </c>
    </row>
    <row r="362" customFormat="false" ht="15" hidden="false" customHeight="false" outlineLevel="0" collapsed="false">
      <c r="A362" s="2" t="s">
        <v>8657</v>
      </c>
      <c r="B362" s="2" t="s">
        <v>8658</v>
      </c>
      <c r="C362" s="13" t="n">
        <v>45369</v>
      </c>
      <c r="D362" s="13" t="n">
        <v>45373</v>
      </c>
      <c r="E362" s="2" t="s">
        <v>55</v>
      </c>
      <c r="F362" s="2" t="n">
        <v>253084.34</v>
      </c>
      <c r="G362" s="2" t="n">
        <v>206336.15</v>
      </c>
      <c r="H362" s="2" t="n">
        <v>12.877</v>
      </c>
      <c r="I362" s="2" t="n">
        <v>30</v>
      </c>
      <c r="J362" s="2" t="s">
        <v>40</v>
      </c>
      <c r="K362" s="2" t="n">
        <v>162381.04</v>
      </c>
      <c r="L362" s="2" t="n">
        <v>0</v>
      </c>
      <c r="M362" s="0" t="str">
        <f aca="false">IF(J362="Active",L362+(ROW()/1000000),"")</f>
        <v/>
      </c>
    </row>
    <row r="363" customFormat="false" ht="15" hidden="false" customHeight="false" outlineLevel="0" collapsed="false">
      <c r="A363" s="2" t="s">
        <v>8659</v>
      </c>
      <c r="B363" s="2" t="s">
        <v>7387</v>
      </c>
      <c r="C363" s="13" t="n">
        <v>45311</v>
      </c>
      <c r="D363" s="13"/>
      <c r="E363" s="2" t="s">
        <v>53</v>
      </c>
      <c r="F363" s="2" t="n">
        <v>107888.65</v>
      </c>
      <c r="G363" s="2" t="n">
        <v>0</v>
      </c>
      <c r="H363" s="2" t="n">
        <v>14.955</v>
      </c>
      <c r="I363" s="2" t="n">
        <v>120</v>
      </c>
      <c r="J363" s="2" t="s">
        <v>42</v>
      </c>
      <c r="K363" s="2" t="n">
        <v>0</v>
      </c>
      <c r="L363" s="2" t="n">
        <v>0</v>
      </c>
      <c r="M363" s="0" t="str">
        <f aca="false">IF(J363="Active",L363+(ROW()/1000000),"")</f>
        <v/>
      </c>
    </row>
    <row r="364" customFormat="false" ht="15" hidden="false" customHeight="false" outlineLevel="0" collapsed="false">
      <c r="A364" s="2" t="s">
        <v>8660</v>
      </c>
      <c r="B364" s="2" t="s">
        <v>2925</v>
      </c>
      <c r="C364" s="13" t="n">
        <v>45567</v>
      </c>
      <c r="D364" s="13" t="n">
        <v>45570</v>
      </c>
      <c r="E364" s="2" t="s">
        <v>53</v>
      </c>
      <c r="F364" s="2" t="n">
        <v>168008.28</v>
      </c>
      <c r="G364" s="2" t="n">
        <v>102008.05</v>
      </c>
      <c r="H364" s="2" t="n">
        <v>13.625</v>
      </c>
      <c r="I364" s="2" t="n">
        <v>60</v>
      </c>
      <c r="J364" s="2" t="s">
        <v>38</v>
      </c>
      <c r="K364" s="2" t="n">
        <v>0</v>
      </c>
      <c r="L364" s="2" t="n">
        <v>0</v>
      </c>
      <c r="M364" s="0" t="str">
        <f aca="false">IF(J364="Active",L364+(ROW()/1000000),"")</f>
        <v/>
      </c>
    </row>
    <row r="365" customFormat="false" ht="15" hidden="false" customHeight="false" outlineLevel="0" collapsed="false">
      <c r="A365" s="2" t="s">
        <v>8661</v>
      </c>
      <c r="B365" s="2" t="s">
        <v>2556</v>
      </c>
      <c r="C365" s="13" t="n">
        <v>45792</v>
      </c>
      <c r="D365" s="13" t="n">
        <v>45797</v>
      </c>
      <c r="E365" s="2" t="s">
        <v>54</v>
      </c>
      <c r="F365" s="2" t="n">
        <v>399643.55</v>
      </c>
      <c r="G365" s="2" t="n">
        <v>343804.23</v>
      </c>
      <c r="H365" s="2" t="n">
        <v>16.852</v>
      </c>
      <c r="I365" s="2" t="n">
        <v>30</v>
      </c>
      <c r="J365" s="2" t="s">
        <v>36</v>
      </c>
      <c r="K365" s="2" t="n">
        <v>235662.36</v>
      </c>
      <c r="L365" s="2" t="n">
        <v>1</v>
      </c>
      <c r="M365" s="9" t="n">
        <f aca="false">IF(J365="Active",L365+(ROW()/1000000),"")</f>
        <v>1.000365</v>
      </c>
    </row>
    <row r="366" customFormat="false" ht="15" hidden="false" customHeight="false" outlineLevel="0" collapsed="false">
      <c r="A366" s="2" t="s">
        <v>8662</v>
      </c>
      <c r="B366" s="2" t="s">
        <v>3739</v>
      </c>
      <c r="C366" s="13" t="n">
        <v>45614</v>
      </c>
      <c r="D366" s="13" t="n">
        <v>45614</v>
      </c>
      <c r="E366" s="2" t="s">
        <v>53</v>
      </c>
      <c r="F366" s="2" t="n">
        <v>122865.75</v>
      </c>
      <c r="G366" s="2" t="n">
        <v>85273.58</v>
      </c>
      <c r="H366" s="2" t="n">
        <v>13.803</v>
      </c>
      <c r="I366" s="2" t="n">
        <v>180</v>
      </c>
      <c r="J366" s="2" t="s">
        <v>38</v>
      </c>
      <c r="K366" s="2" t="n">
        <v>0</v>
      </c>
      <c r="L366" s="2" t="n">
        <v>0</v>
      </c>
      <c r="M366" s="0" t="str">
        <f aca="false">IF(J366="Active",L366+(ROW()/1000000),"")</f>
        <v/>
      </c>
    </row>
    <row r="367" customFormat="false" ht="15" hidden="false" customHeight="false" outlineLevel="0" collapsed="false">
      <c r="A367" s="2" t="s">
        <v>8663</v>
      </c>
      <c r="B367" s="2" t="s">
        <v>904</v>
      </c>
      <c r="C367" s="13" t="n">
        <v>45482</v>
      </c>
      <c r="D367" s="13"/>
      <c r="E367" s="2" t="s">
        <v>53</v>
      </c>
      <c r="F367" s="2" t="n">
        <v>466510.16</v>
      </c>
      <c r="G367" s="2" t="n">
        <v>0</v>
      </c>
      <c r="H367" s="2" t="n">
        <v>9.79</v>
      </c>
      <c r="I367" s="2" t="n">
        <v>30</v>
      </c>
      <c r="J367" s="2" t="s">
        <v>42</v>
      </c>
      <c r="K367" s="2" t="n">
        <v>0</v>
      </c>
      <c r="L367" s="2" t="n">
        <v>0</v>
      </c>
      <c r="M367" s="0" t="str">
        <f aca="false">IF(J367="Active",L367+(ROW()/1000000),"")</f>
        <v/>
      </c>
    </row>
    <row r="368" customFormat="false" ht="15" hidden="false" customHeight="false" outlineLevel="0" collapsed="false">
      <c r="A368" s="2" t="s">
        <v>8664</v>
      </c>
      <c r="B368" s="2" t="s">
        <v>6771</v>
      </c>
      <c r="C368" s="13" t="n">
        <v>46013</v>
      </c>
      <c r="D368" s="13" t="n">
        <v>46013</v>
      </c>
      <c r="E368" s="2" t="s">
        <v>53</v>
      </c>
      <c r="F368" s="2" t="n">
        <v>200342.78</v>
      </c>
      <c r="G368" s="2" t="n">
        <v>183647.39</v>
      </c>
      <c r="H368" s="2" t="n">
        <v>8.908</v>
      </c>
      <c r="I368" s="2" t="n">
        <v>90</v>
      </c>
      <c r="J368" s="2" t="s">
        <v>40</v>
      </c>
      <c r="K368" s="2" t="n">
        <v>78945.36</v>
      </c>
      <c r="L368" s="2" t="n">
        <v>60</v>
      </c>
      <c r="M368" s="0" t="str">
        <f aca="false">IF(J368="Active",L368+(ROW()/1000000),"")</f>
        <v/>
      </c>
    </row>
    <row r="369" customFormat="false" ht="15" hidden="false" customHeight="false" outlineLevel="0" collapsed="false">
      <c r="A369" s="2" t="s">
        <v>8665</v>
      </c>
      <c r="B369" s="2" t="s">
        <v>1265</v>
      </c>
      <c r="C369" s="13" t="n">
        <v>45899</v>
      </c>
      <c r="D369" s="13" t="n">
        <v>45903</v>
      </c>
      <c r="E369" s="2" t="s">
        <v>53</v>
      </c>
      <c r="F369" s="2" t="n">
        <v>439979.31</v>
      </c>
      <c r="G369" s="2" t="n">
        <v>286484.66</v>
      </c>
      <c r="H369" s="2" t="n">
        <v>11.687</v>
      </c>
      <c r="I369" s="2" t="n">
        <v>30</v>
      </c>
      <c r="J369" s="2" t="s">
        <v>38</v>
      </c>
      <c r="K369" s="2" t="n">
        <v>0</v>
      </c>
      <c r="L369" s="2" t="n">
        <v>0</v>
      </c>
      <c r="M369" s="0" t="str">
        <f aca="false">IF(J369="Active",L369+(ROW()/1000000),"")</f>
        <v/>
      </c>
    </row>
    <row r="370" customFormat="false" ht="15" hidden="false" customHeight="false" outlineLevel="0" collapsed="false">
      <c r="A370" s="2" t="s">
        <v>8666</v>
      </c>
      <c r="B370" s="2" t="s">
        <v>3915</v>
      </c>
      <c r="C370" s="13" t="n">
        <v>45641</v>
      </c>
      <c r="D370" s="13" t="n">
        <v>45645</v>
      </c>
      <c r="E370" s="2" t="s">
        <v>53</v>
      </c>
      <c r="F370" s="2" t="n">
        <v>165235.08</v>
      </c>
      <c r="G370" s="2" t="n">
        <v>101953.91</v>
      </c>
      <c r="H370" s="2" t="n">
        <v>11.346</v>
      </c>
      <c r="I370" s="2" t="n">
        <v>90</v>
      </c>
      <c r="J370" s="2" t="s">
        <v>38</v>
      </c>
      <c r="K370" s="2" t="n">
        <v>0</v>
      </c>
      <c r="L370" s="2" t="n">
        <v>0</v>
      </c>
      <c r="M370" s="0" t="str">
        <f aca="false">IF(J370="Active",L370+(ROW()/1000000),"")</f>
        <v/>
      </c>
    </row>
    <row r="371" customFormat="false" ht="15" hidden="false" customHeight="false" outlineLevel="0" collapsed="false">
      <c r="A371" s="2" t="s">
        <v>8667</v>
      </c>
      <c r="B371" s="2" t="s">
        <v>2987</v>
      </c>
      <c r="C371" s="13" t="n">
        <v>45782</v>
      </c>
      <c r="D371" s="13" t="n">
        <v>45782</v>
      </c>
      <c r="E371" s="2" t="s">
        <v>55</v>
      </c>
      <c r="F371" s="2" t="n">
        <v>488202.65</v>
      </c>
      <c r="G371" s="2" t="n">
        <v>289052.99</v>
      </c>
      <c r="H371" s="2" t="n">
        <v>7.042</v>
      </c>
      <c r="I371" s="2" t="n">
        <v>60</v>
      </c>
      <c r="J371" s="2" t="s">
        <v>36</v>
      </c>
      <c r="K371" s="2" t="n">
        <v>69655.15</v>
      </c>
      <c r="L371" s="2" t="n">
        <v>1</v>
      </c>
      <c r="M371" s="9" t="n">
        <f aca="false">IF(J371="Active",L371+(ROW()/1000000),"")</f>
        <v>1.000371</v>
      </c>
    </row>
    <row r="372" customFormat="false" ht="15" hidden="false" customHeight="false" outlineLevel="0" collapsed="false">
      <c r="A372" s="2" t="s">
        <v>8668</v>
      </c>
      <c r="B372" s="2" t="s">
        <v>1032</v>
      </c>
      <c r="C372" s="13" t="n">
        <v>45879</v>
      </c>
      <c r="D372" s="13" t="n">
        <v>45881</v>
      </c>
      <c r="E372" s="2" t="s">
        <v>53</v>
      </c>
      <c r="F372" s="2" t="n">
        <v>293560.75</v>
      </c>
      <c r="G372" s="2" t="n">
        <v>172986.69</v>
      </c>
      <c r="H372" s="2" t="n">
        <v>16.464</v>
      </c>
      <c r="I372" s="2" t="n">
        <v>120</v>
      </c>
      <c r="J372" s="2" t="s">
        <v>36</v>
      </c>
      <c r="K372" s="2" t="n">
        <v>160192.41</v>
      </c>
      <c r="L372" s="2" t="n">
        <v>10</v>
      </c>
      <c r="M372" s="9" t="n">
        <f aca="false">IF(J372="Active",L372+(ROW()/1000000),"")</f>
        <v>10.000372</v>
      </c>
    </row>
    <row r="373" customFormat="false" ht="15" hidden="false" customHeight="false" outlineLevel="0" collapsed="false">
      <c r="A373" s="2" t="s">
        <v>8669</v>
      </c>
      <c r="B373" s="2" t="s">
        <v>5083</v>
      </c>
      <c r="C373" s="13" t="n">
        <v>45514</v>
      </c>
      <c r="D373" s="13" t="n">
        <v>45518</v>
      </c>
      <c r="E373" s="2" t="s">
        <v>53</v>
      </c>
      <c r="F373" s="2" t="n">
        <v>292247.79</v>
      </c>
      <c r="G373" s="2" t="n">
        <v>248114.32</v>
      </c>
      <c r="H373" s="2" t="n">
        <v>17.966</v>
      </c>
      <c r="I373" s="2" t="n">
        <v>30</v>
      </c>
      <c r="J373" s="2" t="s">
        <v>38</v>
      </c>
      <c r="K373" s="2" t="n">
        <v>0</v>
      </c>
      <c r="L373" s="2" t="n">
        <v>0</v>
      </c>
      <c r="M373" s="0" t="str">
        <f aca="false">IF(J373="Active",L373+(ROW()/1000000),"")</f>
        <v/>
      </c>
    </row>
    <row r="374" customFormat="false" ht="15" hidden="false" customHeight="false" outlineLevel="0" collapsed="false">
      <c r="A374" s="2" t="s">
        <v>8670</v>
      </c>
      <c r="B374" s="2" t="s">
        <v>2790</v>
      </c>
      <c r="C374" s="13" t="n">
        <v>45679</v>
      </c>
      <c r="D374" s="13" t="n">
        <v>45684</v>
      </c>
      <c r="E374" s="2" t="s">
        <v>53</v>
      </c>
      <c r="F374" s="2" t="n">
        <v>441709.93</v>
      </c>
      <c r="G374" s="2" t="n">
        <v>415892.71</v>
      </c>
      <c r="H374" s="2" t="n">
        <v>10.907</v>
      </c>
      <c r="I374" s="2" t="n">
        <v>180</v>
      </c>
      <c r="J374" s="2" t="s">
        <v>38</v>
      </c>
      <c r="K374" s="2" t="n">
        <v>0</v>
      </c>
      <c r="L374" s="2" t="n">
        <v>0</v>
      </c>
      <c r="M374" s="0" t="str">
        <f aca="false">IF(J374="Active",L374+(ROW()/1000000),"")</f>
        <v/>
      </c>
    </row>
    <row r="375" customFormat="false" ht="15" hidden="false" customHeight="false" outlineLevel="0" collapsed="false">
      <c r="A375" s="2" t="s">
        <v>8671</v>
      </c>
      <c r="B375" s="2" t="s">
        <v>3415</v>
      </c>
      <c r="C375" s="13" t="n">
        <v>45886</v>
      </c>
      <c r="D375" s="13" t="n">
        <v>45889</v>
      </c>
      <c r="E375" s="2" t="s">
        <v>54</v>
      </c>
      <c r="F375" s="2" t="n">
        <v>471064.88</v>
      </c>
      <c r="G375" s="2" t="n">
        <v>385625.72</v>
      </c>
      <c r="H375" s="2" t="n">
        <v>15.147</v>
      </c>
      <c r="I375" s="2" t="n">
        <v>60</v>
      </c>
      <c r="J375" s="2" t="s">
        <v>36</v>
      </c>
      <c r="K375" s="2" t="n">
        <v>222417.85</v>
      </c>
      <c r="L375" s="2" t="n">
        <v>15</v>
      </c>
      <c r="M375" s="9" t="n">
        <f aca="false">IF(J375="Active",L375+(ROW()/1000000),"")</f>
        <v>15.000375</v>
      </c>
    </row>
    <row r="376" customFormat="false" ht="15" hidden="false" customHeight="false" outlineLevel="0" collapsed="false">
      <c r="A376" s="2" t="s">
        <v>8672</v>
      </c>
      <c r="B376" s="2" t="s">
        <v>5811</v>
      </c>
      <c r="C376" s="13" t="n">
        <v>45679</v>
      </c>
      <c r="D376" s="13" t="n">
        <v>45683</v>
      </c>
      <c r="E376" s="2" t="s">
        <v>53</v>
      </c>
      <c r="F376" s="2" t="n">
        <v>491803.52</v>
      </c>
      <c r="G376" s="2" t="n">
        <v>397104.47</v>
      </c>
      <c r="H376" s="2" t="n">
        <v>14.549</v>
      </c>
      <c r="I376" s="2" t="n">
        <v>90</v>
      </c>
      <c r="J376" s="2" t="s">
        <v>38</v>
      </c>
      <c r="K376" s="2" t="n">
        <v>0</v>
      </c>
      <c r="L376" s="2" t="n">
        <v>0</v>
      </c>
      <c r="M376" s="0" t="str">
        <f aca="false">IF(J376="Active",L376+(ROW()/1000000),"")</f>
        <v/>
      </c>
    </row>
    <row r="377" customFormat="false" ht="15" hidden="false" customHeight="false" outlineLevel="0" collapsed="false">
      <c r="A377" s="2" t="s">
        <v>8673</v>
      </c>
      <c r="B377" s="2" t="s">
        <v>1633</v>
      </c>
      <c r="C377" s="13" t="n">
        <v>45753</v>
      </c>
      <c r="D377" s="13" t="n">
        <v>45758</v>
      </c>
      <c r="E377" s="2" t="s">
        <v>53</v>
      </c>
      <c r="F377" s="2" t="n">
        <v>7242.55</v>
      </c>
      <c r="G377" s="2" t="n">
        <v>4859.87</v>
      </c>
      <c r="H377" s="2" t="n">
        <v>13.678</v>
      </c>
      <c r="I377" s="2" t="n">
        <v>120</v>
      </c>
      <c r="J377" s="2" t="s">
        <v>40</v>
      </c>
      <c r="K377" s="2" t="n">
        <v>1344.96</v>
      </c>
      <c r="L377" s="2" t="n">
        <v>1</v>
      </c>
      <c r="M377" s="0" t="str">
        <f aca="false">IF(J377="Active",L377+(ROW()/1000000),"")</f>
        <v/>
      </c>
    </row>
    <row r="378" customFormat="false" ht="15" hidden="false" customHeight="false" outlineLevel="0" collapsed="false">
      <c r="A378" s="2" t="s">
        <v>8674</v>
      </c>
      <c r="B378" s="2" t="s">
        <v>8651</v>
      </c>
      <c r="C378" s="13" t="n">
        <v>45732</v>
      </c>
      <c r="D378" s="13" t="n">
        <v>45734</v>
      </c>
      <c r="E378" s="2" t="s">
        <v>54</v>
      </c>
      <c r="F378" s="2" t="n">
        <v>64222.24</v>
      </c>
      <c r="G378" s="2" t="n">
        <v>48845.07</v>
      </c>
      <c r="H378" s="2" t="n">
        <v>8.992</v>
      </c>
      <c r="I378" s="2" t="n">
        <v>30</v>
      </c>
      <c r="J378" s="2" t="s">
        <v>36</v>
      </c>
      <c r="K378" s="2" t="n">
        <v>33575.23</v>
      </c>
      <c r="L378" s="2" t="n">
        <v>5</v>
      </c>
      <c r="M378" s="9" t="n">
        <f aca="false">IF(J378="Active",L378+(ROW()/1000000),"")</f>
        <v>5.000378</v>
      </c>
    </row>
    <row r="379" customFormat="false" ht="15" hidden="false" customHeight="false" outlineLevel="0" collapsed="false">
      <c r="A379" s="2" t="s">
        <v>8675</v>
      </c>
      <c r="B379" s="2" t="s">
        <v>3853</v>
      </c>
      <c r="C379" s="13" t="n">
        <v>45482</v>
      </c>
      <c r="D379" s="13" t="n">
        <v>45482</v>
      </c>
      <c r="E379" s="2" t="s">
        <v>53</v>
      </c>
      <c r="F379" s="2" t="n">
        <v>154251.72</v>
      </c>
      <c r="G379" s="2" t="n">
        <v>151965.44</v>
      </c>
      <c r="H379" s="2" t="n">
        <v>9.11</v>
      </c>
      <c r="I379" s="2" t="n">
        <v>180</v>
      </c>
      <c r="J379" s="2" t="s">
        <v>40</v>
      </c>
      <c r="K379" s="2" t="n">
        <v>118392.51</v>
      </c>
      <c r="L379" s="2" t="n">
        <v>90</v>
      </c>
      <c r="M379" s="0" t="str">
        <f aca="false">IF(J379="Active",L379+(ROW()/1000000),"")</f>
        <v/>
      </c>
    </row>
    <row r="380" customFormat="false" ht="15" hidden="false" customHeight="false" outlineLevel="0" collapsed="false">
      <c r="A380" s="2" t="s">
        <v>8676</v>
      </c>
      <c r="B380" s="2" t="s">
        <v>1747</v>
      </c>
      <c r="C380" s="13" t="n">
        <v>45976</v>
      </c>
      <c r="D380" s="13" t="n">
        <v>45976</v>
      </c>
      <c r="E380" s="2" t="s">
        <v>53</v>
      </c>
      <c r="F380" s="2" t="n">
        <v>437568.29</v>
      </c>
      <c r="G380" s="2" t="n">
        <v>375045.92</v>
      </c>
      <c r="H380" s="2" t="n">
        <v>9.244</v>
      </c>
      <c r="I380" s="2" t="n">
        <v>120</v>
      </c>
      <c r="J380" s="2" t="s">
        <v>40</v>
      </c>
      <c r="K380" s="2" t="n">
        <v>328196.76</v>
      </c>
      <c r="L380" s="2" t="n">
        <v>5</v>
      </c>
      <c r="M380" s="0" t="str">
        <f aca="false">IF(J380="Active",L380+(ROW()/1000000),"")</f>
        <v/>
      </c>
    </row>
    <row r="381" customFormat="false" ht="15" hidden="false" customHeight="false" outlineLevel="0" collapsed="false">
      <c r="A381" s="2" t="s">
        <v>8677</v>
      </c>
      <c r="B381" s="2" t="s">
        <v>2411</v>
      </c>
      <c r="C381" s="13" t="n">
        <v>45395</v>
      </c>
      <c r="D381" s="13" t="n">
        <v>45397</v>
      </c>
      <c r="E381" s="2" t="s">
        <v>53</v>
      </c>
      <c r="F381" s="2" t="n">
        <v>332509.58</v>
      </c>
      <c r="G381" s="2" t="n">
        <v>271299.43</v>
      </c>
      <c r="H381" s="2" t="n">
        <v>7.162</v>
      </c>
      <c r="I381" s="2" t="n">
        <v>60</v>
      </c>
      <c r="J381" s="2" t="s">
        <v>36</v>
      </c>
      <c r="K381" s="2" t="n">
        <v>145526.15</v>
      </c>
      <c r="L381" s="2" t="n">
        <v>60</v>
      </c>
      <c r="M381" s="9" t="n">
        <f aca="false">IF(J381="Active",L381+(ROW()/1000000),"")</f>
        <v>60.000381</v>
      </c>
    </row>
    <row r="382" customFormat="false" ht="15" hidden="false" customHeight="false" outlineLevel="0" collapsed="false">
      <c r="A382" s="2" t="s">
        <v>8678</v>
      </c>
      <c r="B382" s="2" t="s">
        <v>1633</v>
      </c>
      <c r="C382" s="13" t="n">
        <v>45464</v>
      </c>
      <c r="D382" s="13" t="n">
        <v>45465</v>
      </c>
      <c r="E382" s="2" t="s">
        <v>55</v>
      </c>
      <c r="F382" s="2" t="n">
        <v>55055.17</v>
      </c>
      <c r="G382" s="2" t="n">
        <v>37673.67</v>
      </c>
      <c r="H382" s="2" t="n">
        <v>17.516</v>
      </c>
      <c r="I382" s="2" t="n">
        <v>30</v>
      </c>
      <c r="J382" s="2" t="s">
        <v>38</v>
      </c>
      <c r="K382" s="2" t="n">
        <v>0</v>
      </c>
      <c r="L382" s="2" t="n">
        <v>0</v>
      </c>
      <c r="M382" s="0" t="str">
        <f aca="false">IF(J382="Active",L382+(ROW()/1000000),"")</f>
        <v/>
      </c>
    </row>
    <row r="383" customFormat="false" ht="15" hidden="false" customHeight="false" outlineLevel="0" collapsed="false">
      <c r="A383" s="2" t="s">
        <v>8679</v>
      </c>
      <c r="B383" s="2" t="s">
        <v>4445</v>
      </c>
      <c r="C383" s="13" t="n">
        <v>45514</v>
      </c>
      <c r="D383" s="13" t="n">
        <v>45519</v>
      </c>
      <c r="E383" s="2" t="s">
        <v>55</v>
      </c>
      <c r="F383" s="2" t="n">
        <v>326843.28</v>
      </c>
      <c r="G383" s="2" t="n">
        <v>287406.09</v>
      </c>
      <c r="H383" s="2" t="n">
        <v>10.242</v>
      </c>
      <c r="I383" s="2" t="n">
        <v>60</v>
      </c>
      <c r="J383" s="2" t="s">
        <v>38</v>
      </c>
      <c r="K383" s="2" t="n">
        <v>0</v>
      </c>
      <c r="L383" s="2" t="n">
        <v>0</v>
      </c>
      <c r="M383" s="0" t="str">
        <f aca="false">IF(J383="Active",L383+(ROW()/1000000),"")</f>
        <v/>
      </c>
    </row>
    <row r="384" customFormat="false" ht="15" hidden="false" customHeight="false" outlineLevel="0" collapsed="false">
      <c r="A384" s="2" t="s">
        <v>8680</v>
      </c>
      <c r="B384" s="2" t="s">
        <v>7875</v>
      </c>
      <c r="C384" s="13" t="n">
        <v>46005</v>
      </c>
      <c r="D384" s="13" t="n">
        <v>46010</v>
      </c>
      <c r="E384" s="2" t="s">
        <v>54</v>
      </c>
      <c r="F384" s="2" t="n">
        <v>481703.74</v>
      </c>
      <c r="G384" s="2" t="n">
        <v>396177.5</v>
      </c>
      <c r="H384" s="2" t="n">
        <v>16.832</v>
      </c>
      <c r="I384" s="2" t="n">
        <v>120</v>
      </c>
      <c r="J384" s="2" t="s">
        <v>38</v>
      </c>
      <c r="K384" s="2" t="n">
        <v>0</v>
      </c>
      <c r="L384" s="2" t="n">
        <v>0</v>
      </c>
      <c r="M384" s="0" t="str">
        <f aca="false">IF(J384="Active",L384+(ROW()/1000000),"")</f>
        <v/>
      </c>
    </row>
    <row r="385" customFormat="false" ht="15" hidden="false" customHeight="false" outlineLevel="0" collapsed="false">
      <c r="A385" s="2" t="s">
        <v>8681</v>
      </c>
      <c r="B385" s="2" t="s">
        <v>2295</v>
      </c>
      <c r="C385" s="13" t="n">
        <v>45492</v>
      </c>
      <c r="D385" s="13" t="n">
        <v>45497</v>
      </c>
      <c r="E385" s="2" t="s">
        <v>53</v>
      </c>
      <c r="F385" s="2" t="n">
        <v>134290</v>
      </c>
      <c r="G385" s="2" t="n">
        <v>111823.05</v>
      </c>
      <c r="H385" s="2" t="n">
        <v>16.588</v>
      </c>
      <c r="I385" s="2" t="n">
        <v>60</v>
      </c>
      <c r="J385" s="2" t="s">
        <v>38</v>
      </c>
      <c r="K385" s="2" t="n">
        <v>0</v>
      </c>
      <c r="L385" s="2" t="n">
        <v>0</v>
      </c>
      <c r="M385" s="0" t="str">
        <f aca="false">IF(J385="Active",L385+(ROW()/1000000),"")</f>
        <v/>
      </c>
    </row>
    <row r="386" customFormat="false" ht="15" hidden="false" customHeight="false" outlineLevel="0" collapsed="false">
      <c r="A386" s="2" t="s">
        <v>8682</v>
      </c>
      <c r="B386" s="2" t="s">
        <v>1731</v>
      </c>
      <c r="C386" s="13" t="n">
        <v>45946</v>
      </c>
      <c r="D386" s="13" t="n">
        <v>45948</v>
      </c>
      <c r="E386" s="2" t="s">
        <v>53</v>
      </c>
      <c r="F386" s="2" t="n">
        <v>255424.99</v>
      </c>
      <c r="G386" s="2" t="n">
        <v>243868.38</v>
      </c>
      <c r="H386" s="2" t="n">
        <v>12.99</v>
      </c>
      <c r="I386" s="2" t="n">
        <v>60</v>
      </c>
      <c r="J386" s="2" t="s">
        <v>40</v>
      </c>
      <c r="K386" s="2" t="n">
        <v>78629.04</v>
      </c>
      <c r="L386" s="2" t="n">
        <v>30</v>
      </c>
      <c r="M386" s="0" t="str">
        <f aca="false">IF(J386="Active",L386+(ROW()/1000000),"")</f>
        <v/>
      </c>
    </row>
    <row r="387" customFormat="false" ht="15" hidden="false" customHeight="false" outlineLevel="0" collapsed="false">
      <c r="A387" s="2" t="s">
        <v>8683</v>
      </c>
      <c r="B387" s="2" t="s">
        <v>1026</v>
      </c>
      <c r="C387" s="13" t="n">
        <v>45982</v>
      </c>
      <c r="D387" s="13" t="n">
        <v>45983</v>
      </c>
      <c r="E387" s="2" t="s">
        <v>55</v>
      </c>
      <c r="F387" s="2" t="n">
        <v>21139.82</v>
      </c>
      <c r="G387" s="2" t="n">
        <v>20407.76</v>
      </c>
      <c r="H387" s="2" t="n">
        <v>9.802</v>
      </c>
      <c r="I387" s="2" t="n">
        <v>180</v>
      </c>
      <c r="J387" s="2" t="s">
        <v>36</v>
      </c>
      <c r="K387" s="2" t="n">
        <v>11482.44</v>
      </c>
      <c r="L387" s="2" t="n">
        <v>90</v>
      </c>
      <c r="M387" s="9" t="n">
        <f aca="false">IF(J387="Active",L387+(ROW()/1000000),"")</f>
        <v>90.000387</v>
      </c>
    </row>
    <row r="388" customFormat="false" ht="15" hidden="false" customHeight="false" outlineLevel="0" collapsed="false">
      <c r="A388" s="2" t="s">
        <v>8684</v>
      </c>
      <c r="B388" s="2" t="s">
        <v>993</v>
      </c>
      <c r="C388" s="13" t="n">
        <v>45334</v>
      </c>
      <c r="D388" s="13" t="n">
        <v>45336</v>
      </c>
      <c r="E388" s="2" t="s">
        <v>53</v>
      </c>
      <c r="F388" s="2" t="n">
        <v>464978.3</v>
      </c>
      <c r="G388" s="2" t="n">
        <v>450580.42</v>
      </c>
      <c r="H388" s="2" t="n">
        <v>13.302</v>
      </c>
      <c r="I388" s="2" t="n">
        <v>30</v>
      </c>
      <c r="J388" s="2" t="s">
        <v>36</v>
      </c>
      <c r="K388" s="2" t="n">
        <v>209418.67</v>
      </c>
      <c r="L388" s="2" t="n">
        <v>60</v>
      </c>
      <c r="M388" s="9" t="n">
        <f aca="false">IF(J388="Active",L388+(ROW()/1000000),"")</f>
        <v>60.000388</v>
      </c>
    </row>
    <row r="389" customFormat="false" ht="15" hidden="false" customHeight="false" outlineLevel="0" collapsed="false">
      <c r="A389" s="2" t="s">
        <v>8685</v>
      </c>
      <c r="B389" s="2" t="s">
        <v>1403</v>
      </c>
      <c r="C389" s="13" t="n">
        <v>45869</v>
      </c>
      <c r="D389" s="13" t="n">
        <v>45872</v>
      </c>
      <c r="E389" s="2" t="s">
        <v>53</v>
      </c>
      <c r="F389" s="2" t="n">
        <v>323980.36</v>
      </c>
      <c r="G389" s="2" t="n">
        <v>319877.24</v>
      </c>
      <c r="H389" s="2" t="n">
        <v>13.566</v>
      </c>
      <c r="I389" s="2" t="n">
        <v>60</v>
      </c>
      <c r="J389" s="2" t="s">
        <v>40</v>
      </c>
      <c r="K389" s="2" t="n">
        <v>230054.66</v>
      </c>
      <c r="L389" s="2" t="n">
        <v>10</v>
      </c>
      <c r="M389" s="0" t="str">
        <f aca="false">IF(J389="Active",L389+(ROW()/1000000),"")</f>
        <v/>
      </c>
    </row>
    <row r="390" customFormat="false" ht="15" hidden="false" customHeight="false" outlineLevel="0" collapsed="false">
      <c r="A390" s="2" t="s">
        <v>8686</v>
      </c>
      <c r="B390" s="2" t="s">
        <v>2778</v>
      </c>
      <c r="C390" s="13" t="n">
        <v>45601</v>
      </c>
      <c r="D390" s="13" t="n">
        <v>45601</v>
      </c>
      <c r="E390" s="2" t="s">
        <v>54</v>
      </c>
      <c r="F390" s="2" t="n">
        <v>128159.32</v>
      </c>
      <c r="G390" s="2" t="n">
        <v>94607.65</v>
      </c>
      <c r="H390" s="2" t="n">
        <v>9.387</v>
      </c>
      <c r="I390" s="2" t="n">
        <v>180</v>
      </c>
      <c r="J390" s="2" t="s">
        <v>38</v>
      </c>
      <c r="K390" s="2" t="n">
        <v>0</v>
      </c>
      <c r="L390" s="2" t="n">
        <v>0</v>
      </c>
      <c r="M390" s="0" t="str">
        <f aca="false">IF(J390="Active",L390+(ROW()/1000000),"")</f>
        <v/>
      </c>
    </row>
    <row r="391" customFormat="false" ht="15" hidden="false" customHeight="false" outlineLevel="0" collapsed="false">
      <c r="A391" s="2" t="s">
        <v>8687</v>
      </c>
      <c r="B391" s="2" t="s">
        <v>2144</v>
      </c>
      <c r="C391" s="13" t="n">
        <v>45736</v>
      </c>
      <c r="D391" s="13" t="n">
        <v>45741</v>
      </c>
      <c r="E391" s="2" t="s">
        <v>54</v>
      </c>
      <c r="F391" s="2" t="n">
        <v>394412.63</v>
      </c>
      <c r="G391" s="2" t="n">
        <v>290454.65</v>
      </c>
      <c r="H391" s="2" t="n">
        <v>11.742</v>
      </c>
      <c r="I391" s="2" t="n">
        <v>120</v>
      </c>
      <c r="J391" s="2" t="s">
        <v>36</v>
      </c>
      <c r="K391" s="2" t="n">
        <v>90537.13</v>
      </c>
      <c r="L391" s="2" t="n">
        <v>15</v>
      </c>
      <c r="M391" s="9" t="n">
        <f aca="false">IF(J391="Active",L391+(ROW()/1000000),"")</f>
        <v>15.000391</v>
      </c>
    </row>
    <row r="392" customFormat="false" ht="15" hidden="false" customHeight="false" outlineLevel="0" collapsed="false">
      <c r="A392" s="2" t="s">
        <v>8688</v>
      </c>
      <c r="B392" s="2" t="s">
        <v>2800</v>
      </c>
      <c r="C392" s="13" t="n">
        <v>45303</v>
      </c>
      <c r="D392" s="13" t="n">
        <v>45308</v>
      </c>
      <c r="E392" s="2" t="s">
        <v>54</v>
      </c>
      <c r="F392" s="2" t="n">
        <v>139988.79</v>
      </c>
      <c r="G392" s="2" t="n">
        <v>91263.25</v>
      </c>
      <c r="H392" s="2" t="n">
        <v>12.325</v>
      </c>
      <c r="I392" s="2" t="n">
        <v>60</v>
      </c>
      <c r="J392" s="2" t="s">
        <v>38</v>
      </c>
      <c r="K392" s="2" t="n">
        <v>0</v>
      </c>
      <c r="L392" s="2" t="n">
        <v>0</v>
      </c>
      <c r="M392" s="0" t="str">
        <f aca="false">IF(J392="Active",L392+(ROW()/1000000),"")</f>
        <v/>
      </c>
    </row>
    <row r="393" customFormat="false" ht="15" hidden="false" customHeight="false" outlineLevel="0" collapsed="false">
      <c r="A393" s="2" t="s">
        <v>8689</v>
      </c>
      <c r="B393" s="2" t="s">
        <v>8690</v>
      </c>
      <c r="C393" s="13" t="n">
        <v>45772</v>
      </c>
      <c r="D393" s="13" t="n">
        <v>45775</v>
      </c>
      <c r="E393" s="2" t="s">
        <v>53</v>
      </c>
      <c r="F393" s="2" t="n">
        <v>67891.58</v>
      </c>
      <c r="G393" s="2" t="n">
        <v>58750.51</v>
      </c>
      <c r="H393" s="2" t="n">
        <v>17.596</v>
      </c>
      <c r="I393" s="2" t="n">
        <v>30</v>
      </c>
      <c r="J393" s="2" t="s">
        <v>36</v>
      </c>
      <c r="K393" s="2" t="n">
        <v>3152.26</v>
      </c>
      <c r="L393" s="2" t="n">
        <v>90</v>
      </c>
      <c r="M393" s="9" t="n">
        <f aca="false">IF(J393="Active",L393+(ROW()/1000000),"")</f>
        <v>90.000393</v>
      </c>
    </row>
    <row r="394" customFormat="false" ht="15" hidden="false" customHeight="false" outlineLevel="0" collapsed="false">
      <c r="A394" s="2" t="s">
        <v>8691</v>
      </c>
      <c r="B394" s="2" t="s">
        <v>4597</v>
      </c>
      <c r="C394" s="13" t="n">
        <v>45402</v>
      </c>
      <c r="D394" s="13" t="n">
        <v>45406</v>
      </c>
      <c r="E394" s="2" t="s">
        <v>53</v>
      </c>
      <c r="F394" s="2" t="n">
        <v>395770.27</v>
      </c>
      <c r="G394" s="2" t="n">
        <v>362876.15</v>
      </c>
      <c r="H394" s="2" t="n">
        <v>16.419</v>
      </c>
      <c r="I394" s="2" t="n">
        <v>120</v>
      </c>
      <c r="J394" s="2" t="s">
        <v>38</v>
      </c>
      <c r="K394" s="2" t="n">
        <v>0</v>
      </c>
      <c r="L394" s="2" t="n">
        <v>0</v>
      </c>
      <c r="M394" s="0" t="str">
        <f aca="false">IF(J394="Active",L394+(ROW()/1000000),"")</f>
        <v/>
      </c>
    </row>
    <row r="395" customFormat="false" ht="15" hidden="false" customHeight="false" outlineLevel="0" collapsed="false">
      <c r="A395" s="2" t="s">
        <v>8692</v>
      </c>
      <c r="B395" s="2" t="s">
        <v>2794</v>
      </c>
      <c r="C395" s="13" t="n">
        <v>45753</v>
      </c>
      <c r="D395" s="13" t="n">
        <v>45754</v>
      </c>
      <c r="E395" s="2" t="s">
        <v>54</v>
      </c>
      <c r="F395" s="2" t="n">
        <v>493701.73</v>
      </c>
      <c r="G395" s="2" t="n">
        <v>366219.47</v>
      </c>
      <c r="H395" s="2" t="n">
        <v>13.101</v>
      </c>
      <c r="I395" s="2" t="n">
        <v>60</v>
      </c>
      <c r="J395" s="2" t="s">
        <v>36</v>
      </c>
      <c r="K395" s="2" t="n">
        <v>299802.99</v>
      </c>
      <c r="L395" s="2" t="n">
        <v>5</v>
      </c>
      <c r="M395" s="9" t="n">
        <f aca="false">IF(J395="Active",L395+(ROW()/1000000),"")</f>
        <v>5.000395</v>
      </c>
    </row>
    <row r="396" customFormat="false" ht="15" hidden="false" customHeight="false" outlineLevel="0" collapsed="false">
      <c r="A396" s="2" t="s">
        <v>8693</v>
      </c>
      <c r="B396" s="2" t="s">
        <v>3735</v>
      </c>
      <c r="C396" s="13" t="n">
        <v>45492</v>
      </c>
      <c r="D396" s="13" t="n">
        <v>45497</v>
      </c>
      <c r="E396" s="2" t="s">
        <v>55</v>
      </c>
      <c r="F396" s="2" t="n">
        <v>309851.13</v>
      </c>
      <c r="G396" s="2" t="n">
        <v>306746.7</v>
      </c>
      <c r="H396" s="2" t="n">
        <v>17.182</v>
      </c>
      <c r="I396" s="2" t="n">
        <v>120</v>
      </c>
      <c r="J396" s="2" t="s">
        <v>36</v>
      </c>
      <c r="K396" s="2" t="n">
        <v>119420.41</v>
      </c>
      <c r="L396" s="2" t="n">
        <v>30</v>
      </c>
      <c r="M396" s="9" t="n">
        <f aca="false">IF(J396="Active",L396+(ROW()/1000000),"")</f>
        <v>30.000396</v>
      </c>
    </row>
    <row r="397" customFormat="false" ht="15" hidden="false" customHeight="false" outlineLevel="0" collapsed="false">
      <c r="A397" s="2" t="s">
        <v>8694</v>
      </c>
      <c r="B397" s="2" t="s">
        <v>1714</v>
      </c>
      <c r="C397" s="13" t="n">
        <v>45998</v>
      </c>
      <c r="D397" s="13"/>
      <c r="E397" s="2" t="s">
        <v>53</v>
      </c>
      <c r="F397" s="2" t="n">
        <v>195637.72</v>
      </c>
      <c r="G397" s="2" t="n">
        <v>0</v>
      </c>
      <c r="H397" s="2" t="n">
        <v>12.405</v>
      </c>
      <c r="I397" s="2" t="n">
        <v>90</v>
      </c>
      <c r="J397" s="2" t="s">
        <v>42</v>
      </c>
      <c r="K397" s="2" t="n">
        <v>0</v>
      </c>
      <c r="L397" s="2" t="n">
        <v>0</v>
      </c>
      <c r="M397" s="0" t="str">
        <f aca="false">IF(J397="Active",L397+(ROW()/1000000),"")</f>
        <v/>
      </c>
    </row>
    <row r="398" customFormat="false" ht="15" hidden="false" customHeight="false" outlineLevel="0" collapsed="false">
      <c r="A398" s="2" t="s">
        <v>8695</v>
      </c>
      <c r="B398" s="2" t="s">
        <v>7543</v>
      </c>
      <c r="C398" s="13" t="n">
        <v>45411</v>
      </c>
      <c r="D398" s="13"/>
      <c r="E398" s="2" t="s">
        <v>55</v>
      </c>
      <c r="F398" s="2" t="n">
        <v>411230.03</v>
      </c>
      <c r="G398" s="2" t="n">
        <v>0</v>
      </c>
      <c r="H398" s="2" t="n">
        <v>11</v>
      </c>
      <c r="I398" s="2" t="n">
        <v>60</v>
      </c>
      <c r="J398" s="2" t="s">
        <v>42</v>
      </c>
      <c r="K398" s="2" t="n">
        <v>0</v>
      </c>
      <c r="L398" s="2" t="n">
        <v>0</v>
      </c>
      <c r="M398" s="0" t="str">
        <f aca="false">IF(J398="Active",L398+(ROW()/1000000),"")</f>
        <v/>
      </c>
    </row>
    <row r="399" customFormat="false" ht="15" hidden="false" customHeight="false" outlineLevel="0" collapsed="false">
      <c r="A399" s="2" t="s">
        <v>8696</v>
      </c>
      <c r="B399" s="2" t="s">
        <v>8697</v>
      </c>
      <c r="C399" s="13" t="n">
        <v>45415</v>
      </c>
      <c r="D399" s="13" t="n">
        <v>45415</v>
      </c>
      <c r="E399" s="2" t="s">
        <v>53</v>
      </c>
      <c r="F399" s="2" t="n">
        <v>487376.89</v>
      </c>
      <c r="G399" s="2" t="n">
        <v>339600.21</v>
      </c>
      <c r="H399" s="2" t="n">
        <v>11.302</v>
      </c>
      <c r="I399" s="2" t="n">
        <v>30</v>
      </c>
      <c r="J399" s="2" t="s">
        <v>38</v>
      </c>
      <c r="K399" s="2" t="n">
        <v>0</v>
      </c>
      <c r="L399" s="2" t="n">
        <v>0</v>
      </c>
      <c r="M399" s="0" t="str">
        <f aca="false">IF(J399="Active",L399+(ROW()/1000000),"")</f>
        <v/>
      </c>
    </row>
    <row r="400" customFormat="false" ht="15" hidden="false" customHeight="false" outlineLevel="0" collapsed="false">
      <c r="A400" s="2" t="s">
        <v>8698</v>
      </c>
      <c r="B400" s="2" t="s">
        <v>271</v>
      </c>
      <c r="C400" s="13" t="n">
        <v>45406</v>
      </c>
      <c r="D400" s="13" t="n">
        <v>45411</v>
      </c>
      <c r="E400" s="2" t="s">
        <v>53</v>
      </c>
      <c r="F400" s="2" t="n">
        <v>354471.12</v>
      </c>
      <c r="G400" s="2" t="n">
        <v>281335.19</v>
      </c>
      <c r="H400" s="2" t="n">
        <v>7.537</v>
      </c>
      <c r="I400" s="2" t="n">
        <v>180</v>
      </c>
      <c r="J400" s="2" t="s">
        <v>38</v>
      </c>
      <c r="K400" s="2" t="n">
        <v>0</v>
      </c>
      <c r="L400" s="2" t="n">
        <v>0</v>
      </c>
      <c r="M400" s="0" t="str">
        <f aca="false">IF(J400="Active",L400+(ROW()/1000000),"")</f>
        <v/>
      </c>
    </row>
    <row r="401" customFormat="false" ht="15" hidden="false" customHeight="false" outlineLevel="0" collapsed="false">
      <c r="A401" s="2" t="s">
        <v>8699</v>
      </c>
      <c r="B401" s="2" t="s">
        <v>1693</v>
      </c>
      <c r="C401" s="13" t="n">
        <v>45769</v>
      </c>
      <c r="D401" s="13" t="n">
        <v>45771</v>
      </c>
      <c r="E401" s="2" t="s">
        <v>55</v>
      </c>
      <c r="F401" s="2" t="n">
        <v>423471.44</v>
      </c>
      <c r="G401" s="2" t="n">
        <v>323762.96</v>
      </c>
      <c r="H401" s="2" t="n">
        <v>13.955</v>
      </c>
      <c r="I401" s="2" t="n">
        <v>180</v>
      </c>
      <c r="J401" s="2" t="s">
        <v>36</v>
      </c>
      <c r="K401" s="2" t="n">
        <v>116918.83</v>
      </c>
      <c r="L401" s="2" t="n">
        <v>15</v>
      </c>
      <c r="M401" s="9" t="n">
        <f aca="false">IF(J401="Active",L401+(ROW()/1000000),"")</f>
        <v>15.000401</v>
      </c>
    </row>
    <row r="402" customFormat="false" ht="15" hidden="false" customHeight="false" outlineLevel="0" collapsed="false">
      <c r="A402" s="2" t="s">
        <v>8700</v>
      </c>
      <c r="B402" s="2" t="s">
        <v>8073</v>
      </c>
      <c r="C402" s="13" t="n">
        <v>45383</v>
      </c>
      <c r="D402" s="13" t="n">
        <v>45383</v>
      </c>
      <c r="E402" s="2" t="s">
        <v>55</v>
      </c>
      <c r="F402" s="2" t="n">
        <v>69116.73</v>
      </c>
      <c r="G402" s="2" t="n">
        <v>67056.18</v>
      </c>
      <c r="H402" s="2" t="n">
        <v>10.879</v>
      </c>
      <c r="I402" s="2" t="n">
        <v>60</v>
      </c>
      <c r="J402" s="2" t="s">
        <v>38</v>
      </c>
      <c r="K402" s="2" t="n">
        <v>0</v>
      </c>
      <c r="L402" s="2" t="n">
        <v>0</v>
      </c>
      <c r="M402" s="0" t="str">
        <f aca="false">IF(J402="Active",L402+(ROW()/1000000),"")</f>
        <v/>
      </c>
    </row>
    <row r="403" customFormat="false" ht="15" hidden="false" customHeight="false" outlineLevel="0" collapsed="false">
      <c r="A403" s="2" t="s">
        <v>8701</v>
      </c>
      <c r="B403" s="2" t="s">
        <v>8702</v>
      </c>
      <c r="C403" s="13" t="n">
        <v>45985</v>
      </c>
      <c r="D403" s="13" t="n">
        <v>45990</v>
      </c>
      <c r="E403" s="2" t="s">
        <v>55</v>
      </c>
      <c r="F403" s="2" t="n">
        <v>32830.49</v>
      </c>
      <c r="G403" s="2" t="n">
        <v>25583.28</v>
      </c>
      <c r="H403" s="2" t="n">
        <v>9.046</v>
      </c>
      <c r="I403" s="2" t="n">
        <v>30</v>
      </c>
      <c r="J403" s="2" t="s">
        <v>40</v>
      </c>
      <c r="K403" s="2" t="n">
        <v>8696.15</v>
      </c>
      <c r="L403" s="2" t="n">
        <v>60</v>
      </c>
      <c r="M403" s="0" t="str">
        <f aca="false">IF(J403="Active",L403+(ROW()/1000000),"")</f>
        <v/>
      </c>
    </row>
    <row r="404" customFormat="false" ht="15" hidden="false" customHeight="false" outlineLevel="0" collapsed="false">
      <c r="A404" s="2" t="s">
        <v>8703</v>
      </c>
      <c r="B404" s="2" t="s">
        <v>2943</v>
      </c>
      <c r="C404" s="13" t="n">
        <v>45507</v>
      </c>
      <c r="D404" s="13" t="n">
        <v>45510</v>
      </c>
      <c r="E404" s="2" t="s">
        <v>54</v>
      </c>
      <c r="F404" s="2" t="n">
        <v>310782.35</v>
      </c>
      <c r="G404" s="2" t="n">
        <v>309623.7</v>
      </c>
      <c r="H404" s="2" t="n">
        <v>17.268</v>
      </c>
      <c r="I404" s="2" t="n">
        <v>180</v>
      </c>
      <c r="J404" s="2" t="s">
        <v>36</v>
      </c>
      <c r="K404" s="2" t="n">
        <v>158084.02</v>
      </c>
      <c r="L404" s="2" t="n">
        <v>5</v>
      </c>
      <c r="M404" s="9" t="n">
        <f aca="false">IF(J404="Active",L404+(ROW()/1000000),"")</f>
        <v>5.000404</v>
      </c>
    </row>
    <row r="405" customFormat="false" ht="15" hidden="false" customHeight="false" outlineLevel="0" collapsed="false">
      <c r="A405" s="2" t="s">
        <v>8704</v>
      </c>
      <c r="B405" s="2" t="s">
        <v>166</v>
      </c>
      <c r="C405" s="13" t="n">
        <v>45991</v>
      </c>
      <c r="D405" s="13" t="n">
        <v>45995</v>
      </c>
      <c r="E405" s="2" t="s">
        <v>53</v>
      </c>
      <c r="F405" s="2" t="n">
        <v>185558.33</v>
      </c>
      <c r="G405" s="2" t="n">
        <v>150400.08</v>
      </c>
      <c r="H405" s="2" t="n">
        <v>9.72</v>
      </c>
      <c r="I405" s="2" t="n">
        <v>90</v>
      </c>
      <c r="J405" s="2" t="s">
        <v>40</v>
      </c>
      <c r="K405" s="2" t="n">
        <v>70224.44</v>
      </c>
      <c r="L405" s="2" t="n">
        <v>30</v>
      </c>
      <c r="M405" s="0" t="str">
        <f aca="false">IF(J405="Active",L405+(ROW()/1000000),"")</f>
        <v/>
      </c>
    </row>
    <row r="406" customFormat="false" ht="15" hidden="false" customHeight="false" outlineLevel="0" collapsed="false">
      <c r="A406" s="2" t="s">
        <v>8705</v>
      </c>
      <c r="B406" s="2" t="s">
        <v>5751</v>
      </c>
      <c r="C406" s="13" t="n">
        <v>45693</v>
      </c>
      <c r="D406" s="13" t="n">
        <v>45694</v>
      </c>
      <c r="E406" s="2" t="s">
        <v>54</v>
      </c>
      <c r="F406" s="2" t="n">
        <v>401418</v>
      </c>
      <c r="G406" s="2" t="n">
        <v>324750.9</v>
      </c>
      <c r="H406" s="2" t="n">
        <v>12.365</v>
      </c>
      <c r="I406" s="2" t="n">
        <v>120</v>
      </c>
      <c r="J406" s="2" t="s">
        <v>40</v>
      </c>
      <c r="K406" s="2" t="n">
        <v>113888.21</v>
      </c>
      <c r="L406" s="2" t="n">
        <v>5</v>
      </c>
      <c r="M406" s="0" t="str">
        <f aca="false">IF(J406="Active",L406+(ROW()/1000000),"")</f>
        <v/>
      </c>
    </row>
    <row r="407" customFormat="false" ht="15" hidden="false" customHeight="false" outlineLevel="0" collapsed="false">
      <c r="A407" s="2" t="s">
        <v>8706</v>
      </c>
      <c r="B407" s="2" t="s">
        <v>4353</v>
      </c>
      <c r="C407" s="13" t="n">
        <v>45723</v>
      </c>
      <c r="D407" s="13" t="n">
        <v>45723</v>
      </c>
      <c r="E407" s="2" t="s">
        <v>53</v>
      </c>
      <c r="F407" s="2" t="n">
        <v>92434.51</v>
      </c>
      <c r="G407" s="2" t="n">
        <v>71525.43</v>
      </c>
      <c r="H407" s="2" t="n">
        <v>15.936</v>
      </c>
      <c r="I407" s="2" t="n">
        <v>120</v>
      </c>
      <c r="J407" s="2" t="s">
        <v>38</v>
      </c>
      <c r="K407" s="2" t="n">
        <v>0</v>
      </c>
      <c r="L407" s="2" t="n">
        <v>0</v>
      </c>
      <c r="M407" s="0" t="str">
        <f aca="false">IF(J407="Active",L407+(ROW()/1000000),"")</f>
        <v/>
      </c>
    </row>
    <row r="408" customFormat="false" ht="15" hidden="false" customHeight="false" outlineLevel="0" collapsed="false">
      <c r="A408" s="2" t="s">
        <v>8707</v>
      </c>
      <c r="B408" s="2" t="s">
        <v>3641</v>
      </c>
      <c r="C408" s="13" t="n">
        <v>45509</v>
      </c>
      <c r="D408" s="13" t="n">
        <v>45511</v>
      </c>
      <c r="E408" s="2" t="s">
        <v>53</v>
      </c>
      <c r="F408" s="2" t="n">
        <v>174533.83</v>
      </c>
      <c r="G408" s="2" t="n">
        <v>155478.69</v>
      </c>
      <c r="H408" s="2" t="n">
        <v>17.178</v>
      </c>
      <c r="I408" s="2" t="n">
        <v>30</v>
      </c>
      <c r="J408" s="2" t="s">
        <v>40</v>
      </c>
      <c r="K408" s="2" t="n">
        <v>144518.56</v>
      </c>
      <c r="L408" s="2" t="n">
        <v>90</v>
      </c>
      <c r="M408" s="0" t="str">
        <f aca="false">IF(J408="Active",L408+(ROW()/1000000),"")</f>
        <v/>
      </c>
    </row>
    <row r="409" customFormat="false" ht="15" hidden="false" customHeight="false" outlineLevel="0" collapsed="false">
      <c r="A409" s="2" t="s">
        <v>8708</v>
      </c>
      <c r="B409" s="2" t="s">
        <v>2508</v>
      </c>
      <c r="C409" s="13" t="n">
        <v>45973</v>
      </c>
      <c r="D409" s="13"/>
      <c r="E409" s="2" t="s">
        <v>53</v>
      </c>
      <c r="F409" s="2" t="n">
        <v>263079.63</v>
      </c>
      <c r="G409" s="2" t="n">
        <v>0</v>
      </c>
      <c r="H409" s="2" t="n">
        <v>12.528</v>
      </c>
      <c r="I409" s="2" t="n">
        <v>60</v>
      </c>
      <c r="J409" s="2" t="s">
        <v>42</v>
      </c>
      <c r="K409" s="2" t="n">
        <v>0</v>
      </c>
      <c r="L409" s="2" t="n">
        <v>0</v>
      </c>
      <c r="M409" s="0" t="str">
        <f aca="false">IF(J409="Active",L409+(ROW()/1000000),"")</f>
        <v/>
      </c>
    </row>
    <row r="410" customFormat="false" ht="15" hidden="false" customHeight="false" outlineLevel="0" collapsed="false">
      <c r="A410" s="2" t="s">
        <v>8709</v>
      </c>
      <c r="B410" s="2" t="s">
        <v>1846</v>
      </c>
      <c r="C410" s="13" t="n">
        <v>45561</v>
      </c>
      <c r="D410" s="13"/>
      <c r="E410" s="2" t="s">
        <v>54</v>
      </c>
      <c r="F410" s="2" t="n">
        <v>209437.78</v>
      </c>
      <c r="G410" s="2" t="n">
        <v>0</v>
      </c>
      <c r="H410" s="2" t="n">
        <v>13.674</v>
      </c>
      <c r="I410" s="2" t="n">
        <v>120</v>
      </c>
      <c r="J410" s="2" t="s">
        <v>42</v>
      </c>
      <c r="K410" s="2" t="n">
        <v>0</v>
      </c>
      <c r="L410" s="2" t="n">
        <v>0</v>
      </c>
      <c r="M410" s="0" t="str">
        <f aca="false">IF(J410="Active",L410+(ROW()/1000000),"")</f>
        <v/>
      </c>
    </row>
    <row r="411" customFormat="false" ht="15" hidden="false" customHeight="false" outlineLevel="0" collapsed="false">
      <c r="A411" s="2" t="s">
        <v>8710</v>
      </c>
      <c r="B411" s="2" t="s">
        <v>1593</v>
      </c>
      <c r="C411" s="13" t="n">
        <v>45446</v>
      </c>
      <c r="D411" s="13"/>
      <c r="E411" s="2" t="s">
        <v>55</v>
      </c>
      <c r="F411" s="2" t="n">
        <v>170095.04</v>
      </c>
      <c r="G411" s="2" t="n">
        <v>0</v>
      </c>
      <c r="H411" s="2" t="n">
        <v>13.907</v>
      </c>
      <c r="I411" s="2" t="n">
        <v>30</v>
      </c>
      <c r="J411" s="2" t="s">
        <v>42</v>
      </c>
      <c r="K411" s="2" t="n">
        <v>0</v>
      </c>
      <c r="L411" s="2" t="n">
        <v>0</v>
      </c>
      <c r="M411" s="0" t="str">
        <f aca="false">IF(J411="Active",L411+(ROW()/1000000),"")</f>
        <v/>
      </c>
    </row>
    <row r="412" customFormat="false" ht="15" hidden="false" customHeight="false" outlineLevel="0" collapsed="false">
      <c r="A412" s="2" t="s">
        <v>8711</v>
      </c>
      <c r="B412" s="2" t="s">
        <v>6997</v>
      </c>
      <c r="C412" s="13" t="n">
        <v>45886</v>
      </c>
      <c r="D412" s="13" t="n">
        <v>45888</v>
      </c>
      <c r="E412" s="2" t="s">
        <v>53</v>
      </c>
      <c r="F412" s="2" t="n">
        <v>351900.05</v>
      </c>
      <c r="G412" s="2" t="n">
        <v>315277.45</v>
      </c>
      <c r="H412" s="2" t="n">
        <v>16.868</v>
      </c>
      <c r="I412" s="2" t="n">
        <v>30</v>
      </c>
      <c r="J412" s="2" t="s">
        <v>36</v>
      </c>
      <c r="K412" s="2" t="n">
        <v>274649.36</v>
      </c>
      <c r="L412" s="2" t="n">
        <v>0</v>
      </c>
      <c r="M412" s="9" t="n">
        <f aca="false">IF(J412="Active",L412+(ROW()/1000000),"")</f>
        <v>0.000412</v>
      </c>
    </row>
    <row r="413" customFormat="false" ht="15" hidden="false" customHeight="false" outlineLevel="0" collapsed="false">
      <c r="A413" s="2" t="s">
        <v>8712</v>
      </c>
      <c r="B413" s="2" t="s">
        <v>7387</v>
      </c>
      <c r="C413" s="13" t="n">
        <v>45454</v>
      </c>
      <c r="D413" s="13" t="n">
        <v>45454</v>
      </c>
      <c r="E413" s="2" t="s">
        <v>53</v>
      </c>
      <c r="F413" s="2" t="n">
        <v>181330.42</v>
      </c>
      <c r="G413" s="2" t="n">
        <v>125029.1</v>
      </c>
      <c r="H413" s="2" t="n">
        <v>8.617</v>
      </c>
      <c r="I413" s="2" t="n">
        <v>60</v>
      </c>
      <c r="J413" s="2" t="s">
        <v>36</v>
      </c>
      <c r="K413" s="2" t="n">
        <v>71493.46</v>
      </c>
      <c r="L413" s="2" t="n">
        <v>30</v>
      </c>
      <c r="M413" s="9" t="n">
        <f aca="false">IF(J413="Active",L413+(ROW()/1000000),"")</f>
        <v>30.000413</v>
      </c>
    </row>
    <row r="414" customFormat="false" ht="15" hidden="false" customHeight="false" outlineLevel="0" collapsed="false">
      <c r="A414" s="2" t="s">
        <v>8713</v>
      </c>
      <c r="B414" s="2" t="s">
        <v>5417</v>
      </c>
      <c r="C414" s="13" t="n">
        <v>45661</v>
      </c>
      <c r="D414" s="13" t="n">
        <v>45663</v>
      </c>
      <c r="E414" s="2" t="s">
        <v>54</v>
      </c>
      <c r="F414" s="2" t="n">
        <v>134542.26</v>
      </c>
      <c r="G414" s="2" t="n">
        <v>92720.73</v>
      </c>
      <c r="H414" s="2" t="n">
        <v>15.191</v>
      </c>
      <c r="I414" s="2" t="n">
        <v>120</v>
      </c>
      <c r="J414" s="2" t="s">
        <v>38</v>
      </c>
      <c r="K414" s="2" t="n">
        <v>0</v>
      </c>
      <c r="L414" s="2" t="n">
        <v>0</v>
      </c>
      <c r="M414" s="0" t="str">
        <f aca="false">IF(J414="Active",L414+(ROW()/1000000),"")</f>
        <v/>
      </c>
    </row>
    <row r="415" customFormat="false" ht="15" hidden="false" customHeight="false" outlineLevel="0" collapsed="false">
      <c r="A415" s="2" t="s">
        <v>8714</v>
      </c>
      <c r="B415" s="2" t="s">
        <v>3015</v>
      </c>
      <c r="C415" s="13" t="n">
        <v>45999</v>
      </c>
      <c r="D415" s="13" t="n">
        <v>46000</v>
      </c>
      <c r="E415" s="2" t="s">
        <v>53</v>
      </c>
      <c r="F415" s="2" t="n">
        <v>495948.69</v>
      </c>
      <c r="G415" s="2" t="n">
        <v>449142.12</v>
      </c>
      <c r="H415" s="2" t="n">
        <v>9.766</v>
      </c>
      <c r="I415" s="2" t="n">
        <v>120</v>
      </c>
      <c r="J415" s="2" t="s">
        <v>38</v>
      </c>
      <c r="K415" s="2" t="n">
        <v>0</v>
      </c>
      <c r="L415" s="2" t="n">
        <v>0</v>
      </c>
      <c r="M415" s="0" t="str">
        <f aca="false">IF(J415="Active",L415+(ROW()/1000000),"")</f>
        <v/>
      </c>
    </row>
    <row r="416" customFormat="false" ht="15" hidden="false" customHeight="false" outlineLevel="0" collapsed="false">
      <c r="A416" s="2" t="s">
        <v>8715</v>
      </c>
      <c r="B416" s="2" t="s">
        <v>4411</v>
      </c>
      <c r="C416" s="13" t="n">
        <v>45681</v>
      </c>
      <c r="D416" s="13" t="n">
        <v>45686</v>
      </c>
      <c r="E416" s="2" t="s">
        <v>55</v>
      </c>
      <c r="F416" s="2" t="n">
        <v>29746.1</v>
      </c>
      <c r="G416" s="2" t="n">
        <v>22421.12</v>
      </c>
      <c r="H416" s="2" t="n">
        <v>12.374</v>
      </c>
      <c r="I416" s="2" t="n">
        <v>30</v>
      </c>
      <c r="J416" s="2" t="s">
        <v>36</v>
      </c>
      <c r="K416" s="2" t="n">
        <v>18909.36</v>
      </c>
      <c r="L416" s="2" t="n">
        <v>90</v>
      </c>
      <c r="M416" s="9" t="n">
        <f aca="false">IF(J416="Active",L416+(ROW()/1000000),"")</f>
        <v>90.000416</v>
      </c>
    </row>
    <row r="417" customFormat="false" ht="15" hidden="false" customHeight="false" outlineLevel="0" collapsed="false">
      <c r="A417" s="2" t="s">
        <v>8716</v>
      </c>
      <c r="B417" s="2" t="s">
        <v>5861</v>
      </c>
      <c r="C417" s="13" t="n">
        <v>45952</v>
      </c>
      <c r="D417" s="13" t="n">
        <v>45957</v>
      </c>
      <c r="E417" s="2" t="s">
        <v>55</v>
      </c>
      <c r="F417" s="2" t="n">
        <v>293475.56</v>
      </c>
      <c r="G417" s="2" t="n">
        <v>213607.31</v>
      </c>
      <c r="H417" s="2" t="n">
        <v>16.359</v>
      </c>
      <c r="I417" s="2" t="n">
        <v>30</v>
      </c>
      <c r="J417" s="2" t="s">
        <v>36</v>
      </c>
      <c r="K417" s="2" t="n">
        <v>78665.66</v>
      </c>
      <c r="L417" s="2" t="n">
        <v>0</v>
      </c>
      <c r="M417" s="9" t="n">
        <f aca="false">IF(J417="Active",L417+(ROW()/1000000),"")</f>
        <v>0.000417</v>
      </c>
    </row>
    <row r="418" customFormat="false" ht="15" hidden="false" customHeight="false" outlineLevel="0" collapsed="false">
      <c r="A418" s="2" t="s">
        <v>8717</v>
      </c>
      <c r="B418" s="2" t="s">
        <v>4111</v>
      </c>
      <c r="C418" s="13" t="n">
        <v>45465</v>
      </c>
      <c r="D418" s="13" t="n">
        <v>45465</v>
      </c>
      <c r="E418" s="2" t="s">
        <v>53</v>
      </c>
      <c r="F418" s="2" t="n">
        <v>143842.65</v>
      </c>
      <c r="G418" s="2" t="n">
        <v>131204.01</v>
      </c>
      <c r="H418" s="2" t="n">
        <v>8.302</v>
      </c>
      <c r="I418" s="2" t="n">
        <v>30</v>
      </c>
      <c r="J418" s="2" t="s">
        <v>36</v>
      </c>
      <c r="K418" s="2" t="n">
        <v>49371.65</v>
      </c>
      <c r="L418" s="2" t="n">
        <v>0</v>
      </c>
      <c r="M418" s="9" t="n">
        <f aca="false">IF(J418="Active",L418+(ROW()/1000000),"")</f>
        <v>0.000418</v>
      </c>
    </row>
    <row r="419" customFormat="false" ht="15" hidden="false" customHeight="false" outlineLevel="0" collapsed="false">
      <c r="A419" s="2" t="s">
        <v>8718</v>
      </c>
      <c r="B419" s="2" t="s">
        <v>665</v>
      </c>
      <c r="C419" s="13" t="n">
        <v>45343</v>
      </c>
      <c r="D419" s="13"/>
      <c r="E419" s="2" t="s">
        <v>54</v>
      </c>
      <c r="F419" s="2" t="n">
        <v>80705.33</v>
      </c>
      <c r="G419" s="2" t="n">
        <v>0</v>
      </c>
      <c r="H419" s="2" t="n">
        <v>8.531</v>
      </c>
      <c r="I419" s="2" t="n">
        <v>180</v>
      </c>
      <c r="J419" s="2" t="s">
        <v>42</v>
      </c>
      <c r="K419" s="2" t="n">
        <v>0</v>
      </c>
      <c r="L419" s="2" t="n">
        <v>0</v>
      </c>
      <c r="M419" s="0" t="str">
        <f aca="false">IF(J419="Active",L419+(ROW()/1000000),"")</f>
        <v/>
      </c>
    </row>
    <row r="420" customFormat="false" ht="15" hidden="false" customHeight="false" outlineLevel="0" collapsed="false">
      <c r="A420" s="2" t="s">
        <v>8719</v>
      </c>
      <c r="B420" s="2" t="s">
        <v>2630</v>
      </c>
      <c r="C420" s="13" t="n">
        <v>45617</v>
      </c>
      <c r="D420" s="13" t="n">
        <v>45617</v>
      </c>
      <c r="E420" s="2" t="s">
        <v>55</v>
      </c>
      <c r="F420" s="2" t="n">
        <v>379746.19</v>
      </c>
      <c r="G420" s="2" t="n">
        <v>244850.35</v>
      </c>
      <c r="H420" s="2" t="n">
        <v>10.915</v>
      </c>
      <c r="I420" s="2" t="n">
        <v>30</v>
      </c>
      <c r="J420" s="2" t="s">
        <v>36</v>
      </c>
      <c r="K420" s="2" t="n">
        <v>13206.11</v>
      </c>
      <c r="L420" s="2" t="n">
        <v>90</v>
      </c>
      <c r="M420" s="9" t="n">
        <f aca="false">IF(J420="Active",L420+(ROW()/1000000),"")</f>
        <v>90.00042</v>
      </c>
    </row>
    <row r="421" customFormat="false" ht="15" hidden="false" customHeight="false" outlineLevel="0" collapsed="false">
      <c r="A421" s="2" t="s">
        <v>8720</v>
      </c>
      <c r="B421" s="2" t="s">
        <v>4405</v>
      </c>
      <c r="C421" s="13" t="n">
        <v>45387</v>
      </c>
      <c r="D421" s="13" t="n">
        <v>45390</v>
      </c>
      <c r="E421" s="2" t="s">
        <v>54</v>
      </c>
      <c r="F421" s="2" t="n">
        <v>223396.6</v>
      </c>
      <c r="G421" s="2" t="n">
        <v>213632.93</v>
      </c>
      <c r="H421" s="2" t="n">
        <v>13.786</v>
      </c>
      <c r="I421" s="2" t="n">
        <v>30</v>
      </c>
      <c r="J421" s="2" t="s">
        <v>38</v>
      </c>
      <c r="K421" s="2" t="n">
        <v>0</v>
      </c>
      <c r="L421" s="2" t="n">
        <v>0</v>
      </c>
      <c r="M421" s="0" t="str">
        <f aca="false">IF(J421="Active",L421+(ROW()/1000000),"")</f>
        <v/>
      </c>
    </row>
    <row r="422" customFormat="false" ht="15" hidden="false" customHeight="false" outlineLevel="0" collapsed="false">
      <c r="A422" s="2" t="s">
        <v>8721</v>
      </c>
      <c r="B422" s="2" t="s">
        <v>2828</v>
      </c>
      <c r="C422" s="13" t="n">
        <v>45647</v>
      </c>
      <c r="D422" s="13" t="n">
        <v>45651</v>
      </c>
      <c r="E422" s="2" t="s">
        <v>54</v>
      </c>
      <c r="F422" s="2" t="n">
        <v>164390.74</v>
      </c>
      <c r="G422" s="2" t="n">
        <v>108216.29</v>
      </c>
      <c r="H422" s="2" t="n">
        <v>14.636</v>
      </c>
      <c r="I422" s="2" t="n">
        <v>30</v>
      </c>
      <c r="J422" s="2" t="s">
        <v>38</v>
      </c>
      <c r="K422" s="2" t="n">
        <v>0</v>
      </c>
      <c r="L422" s="2" t="n">
        <v>0</v>
      </c>
      <c r="M422" s="0" t="str">
        <f aca="false">IF(J422="Active",L422+(ROW()/1000000),"")</f>
        <v/>
      </c>
    </row>
    <row r="423" customFormat="false" ht="15" hidden="false" customHeight="false" outlineLevel="0" collapsed="false">
      <c r="A423" s="2" t="s">
        <v>8722</v>
      </c>
      <c r="B423" s="2" t="s">
        <v>7087</v>
      </c>
      <c r="C423" s="13" t="n">
        <v>45919</v>
      </c>
      <c r="D423" s="13" t="n">
        <v>45921</v>
      </c>
      <c r="E423" s="2" t="s">
        <v>53</v>
      </c>
      <c r="F423" s="2" t="n">
        <v>175741.36</v>
      </c>
      <c r="G423" s="2" t="n">
        <v>152193.97</v>
      </c>
      <c r="H423" s="2" t="n">
        <v>11.144</v>
      </c>
      <c r="I423" s="2" t="n">
        <v>180</v>
      </c>
      <c r="J423" s="2" t="s">
        <v>38</v>
      </c>
      <c r="K423" s="2" t="n">
        <v>0</v>
      </c>
      <c r="L423" s="2" t="n">
        <v>0</v>
      </c>
      <c r="M423" s="0" t="str">
        <f aca="false">IF(J423="Active",L423+(ROW()/1000000),"")</f>
        <v/>
      </c>
    </row>
    <row r="424" customFormat="false" ht="15" hidden="false" customHeight="false" outlineLevel="0" collapsed="false">
      <c r="A424" s="2" t="s">
        <v>8723</v>
      </c>
      <c r="B424" s="2" t="s">
        <v>5061</v>
      </c>
      <c r="C424" s="13" t="n">
        <v>45582</v>
      </c>
      <c r="D424" s="13" t="n">
        <v>45583</v>
      </c>
      <c r="E424" s="2" t="s">
        <v>55</v>
      </c>
      <c r="F424" s="2" t="n">
        <v>413223.34</v>
      </c>
      <c r="G424" s="2" t="n">
        <v>270392.97</v>
      </c>
      <c r="H424" s="2" t="n">
        <v>13.139</v>
      </c>
      <c r="I424" s="2" t="n">
        <v>90</v>
      </c>
      <c r="J424" s="2" t="s">
        <v>36</v>
      </c>
      <c r="K424" s="2" t="n">
        <v>213883.15</v>
      </c>
      <c r="L424" s="2" t="n">
        <v>3</v>
      </c>
      <c r="M424" s="9" t="n">
        <f aca="false">IF(J424="Active",L424+(ROW()/1000000),"")</f>
        <v>3.000424</v>
      </c>
    </row>
    <row r="425" customFormat="false" ht="15" hidden="false" customHeight="false" outlineLevel="0" collapsed="false">
      <c r="A425" s="2" t="s">
        <v>8724</v>
      </c>
      <c r="B425" s="2" t="s">
        <v>421</v>
      </c>
      <c r="C425" s="13" t="n">
        <v>45716</v>
      </c>
      <c r="D425" s="13" t="n">
        <v>45717</v>
      </c>
      <c r="E425" s="2" t="s">
        <v>55</v>
      </c>
      <c r="F425" s="2" t="n">
        <v>37773.95</v>
      </c>
      <c r="G425" s="2" t="n">
        <v>36395.66</v>
      </c>
      <c r="H425" s="2" t="n">
        <v>10.201</v>
      </c>
      <c r="I425" s="2" t="n">
        <v>60</v>
      </c>
      <c r="J425" s="2" t="s">
        <v>38</v>
      </c>
      <c r="K425" s="2" t="n">
        <v>0</v>
      </c>
      <c r="L425" s="2" t="n">
        <v>0</v>
      </c>
      <c r="M425" s="0" t="str">
        <f aca="false">IF(J425="Active",L425+(ROW()/1000000),"")</f>
        <v/>
      </c>
    </row>
    <row r="426" customFormat="false" ht="15" hidden="false" customHeight="false" outlineLevel="0" collapsed="false">
      <c r="A426" s="2" t="s">
        <v>8725</v>
      </c>
      <c r="B426" s="2" t="s">
        <v>1650</v>
      </c>
      <c r="C426" s="13" t="n">
        <v>45346</v>
      </c>
      <c r="D426" s="13"/>
      <c r="E426" s="2" t="s">
        <v>54</v>
      </c>
      <c r="F426" s="2" t="n">
        <v>73249.43</v>
      </c>
      <c r="G426" s="2" t="n">
        <v>0</v>
      </c>
      <c r="H426" s="2" t="n">
        <v>9.293</v>
      </c>
      <c r="I426" s="2" t="n">
        <v>30</v>
      </c>
      <c r="J426" s="2" t="s">
        <v>42</v>
      </c>
      <c r="K426" s="2" t="n">
        <v>0</v>
      </c>
      <c r="L426" s="2" t="n">
        <v>0</v>
      </c>
      <c r="M426" s="0" t="str">
        <f aca="false">IF(J426="Active",L426+(ROW()/1000000),"")</f>
        <v/>
      </c>
    </row>
    <row r="427" customFormat="false" ht="15" hidden="false" customHeight="false" outlineLevel="0" collapsed="false">
      <c r="A427" s="2" t="s">
        <v>8726</v>
      </c>
      <c r="B427" s="2" t="s">
        <v>1835</v>
      </c>
      <c r="C427" s="13" t="n">
        <v>45342</v>
      </c>
      <c r="D427" s="13" t="n">
        <v>45347</v>
      </c>
      <c r="E427" s="2" t="s">
        <v>55</v>
      </c>
      <c r="F427" s="2" t="n">
        <v>332603.59</v>
      </c>
      <c r="G427" s="2" t="n">
        <v>301152.61</v>
      </c>
      <c r="H427" s="2" t="n">
        <v>9.892</v>
      </c>
      <c r="I427" s="2" t="n">
        <v>180</v>
      </c>
      <c r="J427" s="2" t="s">
        <v>38</v>
      </c>
      <c r="K427" s="2" t="n">
        <v>0</v>
      </c>
      <c r="L427" s="2" t="n">
        <v>0</v>
      </c>
      <c r="M427" s="0" t="str">
        <f aca="false">IF(J427="Active",L427+(ROW()/1000000),"")</f>
        <v/>
      </c>
    </row>
    <row r="428" customFormat="false" ht="15" hidden="false" customHeight="false" outlineLevel="0" collapsed="false">
      <c r="A428" s="2" t="s">
        <v>8727</v>
      </c>
      <c r="B428" s="2" t="s">
        <v>2036</v>
      </c>
      <c r="C428" s="13" t="n">
        <v>45498</v>
      </c>
      <c r="D428" s="13" t="n">
        <v>45500</v>
      </c>
      <c r="E428" s="2" t="s">
        <v>54</v>
      </c>
      <c r="F428" s="2" t="n">
        <v>321217.42</v>
      </c>
      <c r="G428" s="2" t="n">
        <v>258479.16</v>
      </c>
      <c r="H428" s="2" t="n">
        <v>17.617</v>
      </c>
      <c r="I428" s="2" t="n">
        <v>120</v>
      </c>
      <c r="J428" s="2" t="s">
        <v>38</v>
      </c>
      <c r="K428" s="2" t="n">
        <v>0</v>
      </c>
      <c r="L428" s="2" t="n">
        <v>0</v>
      </c>
      <c r="M428" s="0" t="str">
        <f aca="false">IF(J428="Active",L428+(ROW()/1000000),"")</f>
        <v/>
      </c>
    </row>
    <row r="429" customFormat="false" ht="15" hidden="false" customHeight="false" outlineLevel="0" collapsed="false">
      <c r="A429" s="2" t="s">
        <v>8728</v>
      </c>
      <c r="B429" s="2" t="s">
        <v>2073</v>
      </c>
      <c r="C429" s="13" t="n">
        <v>45932</v>
      </c>
      <c r="D429" s="13" t="n">
        <v>45937</v>
      </c>
      <c r="E429" s="2" t="s">
        <v>55</v>
      </c>
      <c r="F429" s="2" t="n">
        <v>105925.63</v>
      </c>
      <c r="G429" s="2" t="n">
        <v>92497.65</v>
      </c>
      <c r="H429" s="2" t="n">
        <v>16.177</v>
      </c>
      <c r="I429" s="2" t="n">
        <v>120</v>
      </c>
      <c r="J429" s="2" t="s">
        <v>36</v>
      </c>
      <c r="K429" s="2" t="n">
        <v>24081.79</v>
      </c>
      <c r="L429" s="2" t="n">
        <v>0</v>
      </c>
      <c r="M429" s="9" t="n">
        <f aca="false">IF(J429="Active",L429+(ROW()/1000000),"")</f>
        <v>0.000429</v>
      </c>
    </row>
    <row r="430" customFormat="false" ht="15" hidden="false" customHeight="false" outlineLevel="0" collapsed="false">
      <c r="A430" s="2" t="s">
        <v>8729</v>
      </c>
      <c r="B430" s="2" t="s">
        <v>4065</v>
      </c>
      <c r="C430" s="13" t="n">
        <v>45852</v>
      </c>
      <c r="D430" s="13" t="n">
        <v>45852</v>
      </c>
      <c r="E430" s="2" t="s">
        <v>54</v>
      </c>
      <c r="F430" s="2" t="n">
        <v>409815.91</v>
      </c>
      <c r="G430" s="2" t="n">
        <v>378827.74</v>
      </c>
      <c r="H430" s="2" t="n">
        <v>8.012</v>
      </c>
      <c r="I430" s="2" t="n">
        <v>120</v>
      </c>
      <c r="J430" s="2" t="s">
        <v>40</v>
      </c>
      <c r="K430" s="2" t="n">
        <v>232220.69</v>
      </c>
      <c r="L430" s="2" t="n">
        <v>60</v>
      </c>
      <c r="M430" s="0" t="str">
        <f aca="false">IF(J430="Active",L430+(ROW()/1000000),"")</f>
        <v/>
      </c>
    </row>
    <row r="431" customFormat="false" ht="15" hidden="false" customHeight="false" outlineLevel="0" collapsed="false">
      <c r="A431" s="2" t="s">
        <v>8730</v>
      </c>
      <c r="B431" s="2" t="s">
        <v>8731</v>
      </c>
      <c r="C431" s="13" t="n">
        <v>45309</v>
      </c>
      <c r="D431" s="13" t="n">
        <v>45310</v>
      </c>
      <c r="E431" s="2" t="s">
        <v>54</v>
      </c>
      <c r="F431" s="2" t="n">
        <v>334249.96</v>
      </c>
      <c r="G431" s="2" t="n">
        <v>269418.74</v>
      </c>
      <c r="H431" s="2" t="n">
        <v>12.809</v>
      </c>
      <c r="I431" s="2" t="n">
        <v>120</v>
      </c>
      <c r="J431" s="2" t="s">
        <v>38</v>
      </c>
      <c r="K431" s="2" t="n">
        <v>0</v>
      </c>
      <c r="L431" s="2" t="n">
        <v>0</v>
      </c>
      <c r="M431" s="0" t="str">
        <f aca="false">IF(J431="Active",L431+(ROW()/1000000),"")</f>
        <v/>
      </c>
    </row>
    <row r="432" customFormat="false" ht="15" hidden="false" customHeight="false" outlineLevel="0" collapsed="false">
      <c r="A432" s="2" t="s">
        <v>8732</v>
      </c>
      <c r="B432" s="2" t="s">
        <v>1817</v>
      </c>
      <c r="C432" s="13" t="n">
        <v>45942</v>
      </c>
      <c r="D432" s="13" t="n">
        <v>45947</v>
      </c>
      <c r="E432" s="2" t="s">
        <v>55</v>
      </c>
      <c r="F432" s="2" t="n">
        <v>262908.42</v>
      </c>
      <c r="G432" s="2" t="n">
        <v>224477.16</v>
      </c>
      <c r="H432" s="2" t="n">
        <v>15.827</v>
      </c>
      <c r="I432" s="2" t="n">
        <v>30</v>
      </c>
      <c r="J432" s="2" t="s">
        <v>40</v>
      </c>
      <c r="K432" s="2" t="n">
        <v>173975.22</v>
      </c>
      <c r="L432" s="2" t="n">
        <v>0</v>
      </c>
      <c r="M432" s="0" t="str">
        <f aca="false">IF(J432="Active",L432+(ROW()/1000000),"")</f>
        <v/>
      </c>
    </row>
    <row r="433" customFormat="false" ht="15" hidden="false" customHeight="false" outlineLevel="0" collapsed="false">
      <c r="A433" s="2" t="s">
        <v>8733</v>
      </c>
      <c r="B433" s="2" t="s">
        <v>789</v>
      </c>
      <c r="C433" s="13" t="n">
        <v>45533</v>
      </c>
      <c r="D433" s="13"/>
      <c r="E433" s="2" t="s">
        <v>53</v>
      </c>
      <c r="F433" s="2" t="n">
        <v>280768.94</v>
      </c>
      <c r="G433" s="2" t="n">
        <v>0</v>
      </c>
      <c r="H433" s="2" t="n">
        <v>17.969</v>
      </c>
      <c r="I433" s="2" t="n">
        <v>120</v>
      </c>
      <c r="J433" s="2" t="s">
        <v>42</v>
      </c>
      <c r="K433" s="2" t="n">
        <v>0</v>
      </c>
      <c r="L433" s="2" t="n">
        <v>0</v>
      </c>
      <c r="M433" s="0" t="str">
        <f aca="false">IF(J433="Active",L433+(ROW()/1000000),"")</f>
        <v/>
      </c>
    </row>
    <row r="434" customFormat="false" ht="15" hidden="false" customHeight="false" outlineLevel="0" collapsed="false">
      <c r="A434" s="2" t="s">
        <v>8734</v>
      </c>
      <c r="B434" s="2" t="s">
        <v>1689</v>
      </c>
      <c r="C434" s="13" t="n">
        <v>45298</v>
      </c>
      <c r="D434" s="13" t="n">
        <v>45300</v>
      </c>
      <c r="E434" s="2" t="s">
        <v>54</v>
      </c>
      <c r="F434" s="2" t="n">
        <v>74515.12</v>
      </c>
      <c r="G434" s="2" t="n">
        <v>69154.94</v>
      </c>
      <c r="H434" s="2" t="n">
        <v>15.606</v>
      </c>
      <c r="I434" s="2" t="n">
        <v>120</v>
      </c>
      <c r="J434" s="2" t="s">
        <v>40</v>
      </c>
      <c r="K434" s="2" t="n">
        <v>31448.78</v>
      </c>
      <c r="L434" s="2" t="n">
        <v>10</v>
      </c>
      <c r="M434" s="0" t="str">
        <f aca="false">IF(J434="Active",L434+(ROW()/1000000),"")</f>
        <v/>
      </c>
    </row>
    <row r="435" customFormat="false" ht="15" hidden="false" customHeight="false" outlineLevel="0" collapsed="false">
      <c r="A435" s="2" t="s">
        <v>8735</v>
      </c>
      <c r="B435" s="2" t="s">
        <v>411</v>
      </c>
      <c r="C435" s="13" t="n">
        <v>45568</v>
      </c>
      <c r="D435" s="13" t="n">
        <v>45573</v>
      </c>
      <c r="E435" s="2" t="s">
        <v>53</v>
      </c>
      <c r="F435" s="2" t="n">
        <v>36598.86</v>
      </c>
      <c r="G435" s="2" t="n">
        <v>21274.14</v>
      </c>
      <c r="H435" s="2" t="n">
        <v>17.009</v>
      </c>
      <c r="I435" s="2" t="n">
        <v>120</v>
      </c>
      <c r="J435" s="2" t="s">
        <v>40</v>
      </c>
      <c r="K435" s="2" t="n">
        <v>14114.14</v>
      </c>
      <c r="L435" s="2" t="n">
        <v>10</v>
      </c>
      <c r="M435" s="0" t="str">
        <f aca="false">IF(J435="Active",L435+(ROW()/1000000),"")</f>
        <v/>
      </c>
    </row>
    <row r="436" customFormat="false" ht="15" hidden="false" customHeight="false" outlineLevel="0" collapsed="false">
      <c r="A436" s="2" t="s">
        <v>8736</v>
      </c>
      <c r="B436" s="2" t="s">
        <v>3319</v>
      </c>
      <c r="C436" s="13" t="n">
        <v>45481</v>
      </c>
      <c r="D436" s="13"/>
      <c r="E436" s="2" t="s">
        <v>55</v>
      </c>
      <c r="F436" s="2" t="n">
        <v>198392.6</v>
      </c>
      <c r="G436" s="2" t="n">
        <v>0</v>
      </c>
      <c r="H436" s="2" t="n">
        <v>17.777</v>
      </c>
      <c r="I436" s="2" t="n">
        <v>120</v>
      </c>
      <c r="J436" s="2" t="s">
        <v>42</v>
      </c>
      <c r="K436" s="2" t="n">
        <v>0</v>
      </c>
      <c r="L436" s="2" t="n">
        <v>0</v>
      </c>
      <c r="M436" s="0" t="str">
        <f aca="false">IF(J436="Active",L436+(ROW()/1000000),"")</f>
        <v/>
      </c>
    </row>
    <row r="437" customFormat="false" ht="15" hidden="false" customHeight="false" outlineLevel="0" collapsed="false">
      <c r="A437" s="2" t="s">
        <v>8737</v>
      </c>
      <c r="B437" s="2" t="s">
        <v>7415</v>
      </c>
      <c r="C437" s="13" t="n">
        <v>45605</v>
      </c>
      <c r="D437" s="13" t="n">
        <v>45610</v>
      </c>
      <c r="E437" s="2" t="s">
        <v>54</v>
      </c>
      <c r="F437" s="2" t="n">
        <v>333463.29</v>
      </c>
      <c r="G437" s="2" t="n">
        <v>218149.61</v>
      </c>
      <c r="H437" s="2" t="n">
        <v>7.633</v>
      </c>
      <c r="I437" s="2" t="n">
        <v>30</v>
      </c>
      <c r="J437" s="2" t="s">
        <v>36</v>
      </c>
      <c r="K437" s="2" t="n">
        <v>62431.11</v>
      </c>
      <c r="L437" s="2" t="n">
        <v>90</v>
      </c>
      <c r="M437" s="9" t="n">
        <f aca="false">IF(J437="Active",L437+(ROW()/1000000),"")</f>
        <v>90.000437</v>
      </c>
    </row>
    <row r="438" customFormat="false" ht="15" hidden="false" customHeight="false" outlineLevel="0" collapsed="false">
      <c r="A438" s="2" t="s">
        <v>8738</v>
      </c>
      <c r="B438" s="2" t="s">
        <v>3105</v>
      </c>
      <c r="C438" s="13" t="n">
        <v>45940</v>
      </c>
      <c r="D438" s="13" t="n">
        <v>45940</v>
      </c>
      <c r="E438" s="2" t="s">
        <v>55</v>
      </c>
      <c r="F438" s="2" t="n">
        <v>313404.89</v>
      </c>
      <c r="G438" s="2" t="n">
        <v>209231</v>
      </c>
      <c r="H438" s="2" t="n">
        <v>7.488</v>
      </c>
      <c r="I438" s="2" t="n">
        <v>30</v>
      </c>
      <c r="J438" s="2" t="s">
        <v>38</v>
      </c>
      <c r="K438" s="2" t="n">
        <v>0</v>
      </c>
      <c r="L438" s="2" t="n">
        <v>0</v>
      </c>
      <c r="M438" s="0" t="str">
        <f aca="false">IF(J438="Active",L438+(ROW()/1000000),"")</f>
        <v/>
      </c>
    </row>
    <row r="439" customFormat="false" ht="15" hidden="false" customHeight="false" outlineLevel="0" collapsed="false">
      <c r="A439" s="2" t="s">
        <v>8739</v>
      </c>
      <c r="B439" s="2" t="s">
        <v>7845</v>
      </c>
      <c r="C439" s="13" t="n">
        <v>45487</v>
      </c>
      <c r="D439" s="13"/>
      <c r="E439" s="2" t="s">
        <v>53</v>
      </c>
      <c r="F439" s="2" t="n">
        <v>339067.21</v>
      </c>
      <c r="G439" s="2" t="n">
        <v>0</v>
      </c>
      <c r="H439" s="2" t="n">
        <v>8.523</v>
      </c>
      <c r="I439" s="2" t="n">
        <v>120</v>
      </c>
      <c r="J439" s="2" t="s">
        <v>42</v>
      </c>
      <c r="K439" s="2" t="n">
        <v>0</v>
      </c>
      <c r="L439" s="2" t="n">
        <v>0</v>
      </c>
      <c r="M439" s="0" t="str">
        <f aca="false">IF(J439="Active",L439+(ROW()/1000000),"")</f>
        <v/>
      </c>
    </row>
    <row r="440" customFormat="false" ht="15" hidden="false" customHeight="false" outlineLevel="0" collapsed="false">
      <c r="A440" s="2" t="s">
        <v>8740</v>
      </c>
      <c r="B440" s="2" t="s">
        <v>8741</v>
      </c>
      <c r="C440" s="13" t="n">
        <v>45539</v>
      </c>
      <c r="D440" s="13"/>
      <c r="E440" s="2" t="s">
        <v>55</v>
      </c>
      <c r="F440" s="2" t="n">
        <v>173295.6</v>
      </c>
      <c r="G440" s="2" t="n">
        <v>0</v>
      </c>
      <c r="H440" s="2" t="n">
        <v>17.458</v>
      </c>
      <c r="I440" s="2" t="n">
        <v>30</v>
      </c>
      <c r="J440" s="2" t="s">
        <v>42</v>
      </c>
      <c r="K440" s="2" t="n">
        <v>0</v>
      </c>
      <c r="L440" s="2" t="n">
        <v>0</v>
      </c>
      <c r="M440" s="0" t="str">
        <f aca="false">IF(J440="Active",L440+(ROW()/1000000),"")</f>
        <v/>
      </c>
    </row>
    <row r="441" customFormat="false" ht="15" hidden="false" customHeight="false" outlineLevel="0" collapsed="false">
      <c r="A441" s="2" t="s">
        <v>8742</v>
      </c>
      <c r="B441" s="2" t="s">
        <v>2128</v>
      </c>
      <c r="C441" s="13" t="n">
        <v>45684</v>
      </c>
      <c r="D441" s="13" t="n">
        <v>45688</v>
      </c>
      <c r="E441" s="2" t="s">
        <v>53</v>
      </c>
      <c r="F441" s="2" t="n">
        <v>243010.79</v>
      </c>
      <c r="G441" s="2" t="n">
        <v>157733.57</v>
      </c>
      <c r="H441" s="2" t="n">
        <v>16.02</v>
      </c>
      <c r="I441" s="2" t="n">
        <v>90</v>
      </c>
      <c r="J441" s="2" t="s">
        <v>40</v>
      </c>
      <c r="K441" s="2" t="n">
        <v>34051.58</v>
      </c>
      <c r="L441" s="2" t="n">
        <v>15</v>
      </c>
      <c r="M441" s="0" t="str">
        <f aca="false">IF(J441="Active",L441+(ROW()/1000000),"")</f>
        <v/>
      </c>
    </row>
    <row r="442" customFormat="false" ht="15" hidden="false" customHeight="false" outlineLevel="0" collapsed="false">
      <c r="A442" s="2" t="s">
        <v>8743</v>
      </c>
      <c r="B442" s="2" t="s">
        <v>1342</v>
      </c>
      <c r="C442" s="13" t="n">
        <v>45977</v>
      </c>
      <c r="D442" s="13" t="n">
        <v>45981</v>
      </c>
      <c r="E442" s="2" t="s">
        <v>55</v>
      </c>
      <c r="F442" s="2" t="n">
        <v>430255.57</v>
      </c>
      <c r="G442" s="2" t="n">
        <v>370671.16</v>
      </c>
      <c r="H442" s="2" t="n">
        <v>13.323</v>
      </c>
      <c r="I442" s="2" t="n">
        <v>60</v>
      </c>
      <c r="J442" s="2" t="s">
        <v>36</v>
      </c>
      <c r="K442" s="2" t="n">
        <v>148373.44</v>
      </c>
      <c r="L442" s="2" t="n">
        <v>60</v>
      </c>
      <c r="M442" s="9" t="n">
        <f aca="false">IF(J442="Active",L442+(ROW()/1000000),"")</f>
        <v>60.000442</v>
      </c>
    </row>
    <row r="443" customFormat="false" ht="15" hidden="false" customHeight="false" outlineLevel="0" collapsed="false">
      <c r="A443" s="2" t="s">
        <v>8744</v>
      </c>
      <c r="B443" s="2" t="s">
        <v>6785</v>
      </c>
      <c r="C443" s="13" t="n">
        <v>45862</v>
      </c>
      <c r="D443" s="13" t="n">
        <v>45867</v>
      </c>
      <c r="E443" s="2" t="s">
        <v>54</v>
      </c>
      <c r="F443" s="2" t="n">
        <v>276181.75</v>
      </c>
      <c r="G443" s="2" t="n">
        <v>241948.8</v>
      </c>
      <c r="H443" s="2" t="n">
        <v>7.299</v>
      </c>
      <c r="I443" s="2" t="n">
        <v>30</v>
      </c>
      <c r="J443" s="2" t="s">
        <v>38</v>
      </c>
      <c r="K443" s="2" t="n">
        <v>0</v>
      </c>
      <c r="L443" s="2" t="n">
        <v>0</v>
      </c>
      <c r="M443" s="0" t="str">
        <f aca="false">IF(J443="Active",L443+(ROW()/1000000),"")</f>
        <v/>
      </c>
    </row>
    <row r="444" customFormat="false" ht="15" hidden="false" customHeight="false" outlineLevel="0" collapsed="false">
      <c r="A444" s="2" t="s">
        <v>8745</v>
      </c>
      <c r="B444" s="2" t="s">
        <v>4651</v>
      </c>
      <c r="C444" s="13" t="n">
        <v>45406</v>
      </c>
      <c r="D444" s="13" t="n">
        <v>45411</v>
      </c>
      <c r="E444" s="2" t="s">
        <v>53</v>
      </c>
      <c r="F444" s="2" t="n">
        <v>351188.66</v>
      </c>
      <c r="G444" s="2" t="n">
        <v>335933.46</v>
      </c>
      <c r="H444" s="2" t="n">
        <v>15.512</v>
      </c>
      <c r="I444" s="2" t="n">
        <v>180</v>
      </c>
      <c r="J444" s="2" t="s">
        <v>40</v>
      </c>
      <c r="K444" s="2" t="n">
        <v>126891.86</v>
      </c>
      <c r="L444" s="2" t="n">
        <v>5</v>
      </c>
      <c r="M444" s="0" t="str">
        <f aca="false">IF(J444="Active",L444+(ROW()/1000000),"")</f>
        <v/>
      </c>
    </row>
    <row r="445" customFormat="false" ht="15" hidden="false" customHeight="false" outlineLevel="0" collapsed="false">
      <c r="A445" s="2" t="s">
        <v>8746</v>
      </c>
      <c r="B445" s="2" t="s">
        <v>3099</v>
      </c>
      <c r="C445" s="13" t="n">
        <v>45609</v>
      </c>
      <c r="D445" s="13" t="n">
        <v>45611</v>
      </c>
      <c r="E445" s="2" t="s">
        <v>54</v>
      </c>
      <c r="F445" s="2" t="n">
        <v>299343.71</v>
      </c>
      <c r="G445" s="2" t="n">
        <v>165166.22</v>
      </c>
      <c r="H445" s="2" t="n">
        <v>11.031</v>
      </c>
      <c r="I445" s="2" t="n">
        <v>180</v>
      </c>
      <c r="J445" s="2" t="s">
        <v>38</v>
      </c>
      <c r="K445" s="2" t="n">
        <v>0</v>
      </c>
      <c r="L445" s="2" t="n">
        <v>0</v>
      </c>
      <c r="M445" s="0" t="str">
        <f aca="false">IF(J445="Active",L445+(ROW()/1000000),"")</f>
        <v/>
      </c>
    </row>
    <row r="446" customFormat="false" ht="15" hidden="false" customHeight="false" outlineLevel="0" collapsed="false">
      <c r="A446" s="2" t="s">
        <v>8747</v>
      </c>
      <c r="B446" s="2" t="s">
        <v>2433</v>
      </c>
      <c r="C446" s="13" t="n">
        <v>45769</v>
      </c>
      <c r="D446" s="13" t="n">
        <v>45770</v>
      </c>
      <c r="E446" s="2" t="s">
        <v>53</v>
      </c>
      <c r="F446" s="2" t="n">
        <v>486887.33</v>
      </c>
      <c r="G446" s="2" t="n">
        <v>416451.84</v>
      </c>
      <c r="H446" s="2" t="n">
        <v>10.61</v>
      </c>
      <c r="I446" s="2" t="n">
        <v>180</v>
      </c>
      <c r="J446" s="2" t="s">
        <v>36</v>
      </c>
      <c r="K446" s="2" t="n">
        <v>59307.22</v>
      </c>
      <c r="L446" s="2" t="n">
        <v>30</v>
      </c>
      <c r="M446" s="9" t="n">
        <f aca="false">IF(J446="Active",L446+(ROW()/1000000),"")</f>
        <v>30.000446</v>
      </c>
    </row>
    <row r="447" customFormat="false" ht="15" hidden="false" customHeight="false" outlineLevel="0" collapsed="false">
      <c r="A447" s="2" t="s">
        <v>8748</v>
      </c>
      <c r="B447" s="2" t="s">
        <v>1735</v>
      </c>
      <c r="C447" s="13" t="n">
        <v>45429</v>
      </c>
      <c r="D447" s="13" t="n">
        <v>45434</v>
      </c>
      <c r="E447" s="2" t="s">
        <v>55</v>
      </c>
      <c r="F447" s="2" t="n">
        <v>389799.46</v>
      </c>
      <c r="G447" s="2" t="n">
        <v>345633.65</v>
      </c>
      <c r="H447" s="2" t="n">
        <v>17.32</v>
      </c>
      <c r="I447" s="2" t="n">
        <v>180</v>
      </c>
      <c r="J447" s="2" t="s">
        <v>38</v>
      </c>
      <c r="K447" s="2" t="n">
        <v>0</v>
      </c>
      <c r="L447" s="2" t="n">
        <v>0</v>
      </c>
      <c r="M447" s="0" t="str">
        <f aca="false">IF(J447="Active",L447+(ROW()/1000000),"")</f>
        <v/>
      </c>
    </row>
    <row r="448" customFormat="false" ht="15" hidden="false" customHeight="false" outlineLevel="0" collapsed="false">
      <c r="A448" s="2" t="s">
        <v>8749</v>
      </c>
      <c r="B448" s="2" t="s">
        <v>1793</v>
      </c>
      <c r="C448" s="13" t="n">
        <v>45879</v>
      </c>
      <c r="D448" s="13" t="n">
        <v>45880</v>
      </c>
      <c r="E448" s="2" t="s">
        <v>54</v>
      </c>
      <c r="F448" s="2" t="n">
        <v>17896.64</v>
      </c>
      <c r="G448" s="2" t="n">
        <v>17775.14</v>
      </c>
      <c r="H448" s="2" t="n">
        <v>14.954</v>
      </c>
      <c r="I448" s="2" t="n">
        <v>60</v>
      </c>
      <c r="J448" s="2" t="s">
        <v>36</v>
      </c>
      <c r="K448" s="2" t="n">
        <v>988.53</v>
      </c>
      <c r="L448" s="2" t="n">
        <v>5</v>
      </c>
      <c r="M448" s="9" t="n">
        <f aca="false">IF(J448="Active",L448+(ROW()/1000000),"")</f>
        <v>5.000448</v>
      </c>
    </row>
    <row r="449" customFormat="false" ht="15" hidden="false" customHeight="false" outlineLevel="0" collapsed="false">
      <c r="A449" s="2" t="s">
        <v>8750</v>
      </c>
      <c r="B449" s="2" t="s">
        <v>2148</v>
      </c>
      <c r="C449" s="13" t="n">
        <v>45790</v>
      </c>
      <c r="D449" s="13" t="n">
        <v>45791</v>
      </c>
      <c r="E449" s="2" t="s">
        <v>53</v>
      </c>
      <c r="F449" s="2" t="n">
        <v>256558.63</v>
      </c>
      <c r="G449" s="2" t="n">
        <v>148908.2</v>
      </c>
      <c r="H449" s="2" t="n">
        <v>8.896</v>
      </c>
      <c r="I449" s="2" t="n">
        <v>90</v>
      </c>
      <c r="J449" s="2" t="s">
        <v>36</v>
      </c>
      <c r="K449" s="2" t="n">
        <v>129280.7</v>
      </c>
      <c r="L449" s="2" t="n">
        <v>90</v>
      </c>
      <c r="M449" s="9" t="n">
        <f aca="false">IF(J449="Active",L449+(ROW()/1000000),"")</f>
        <v>90.000449</v>
      </c>
    </row>
    <row r="450" customFormat="false" ht="15" hidden="false" customHeight="false" outlineLevel="0" collapsed="false">
      <c r="A450" s="2" t="s">
        <v>8751</v>
      </c>
      <c r="B450" s="2" t="s">
        <v>1940</v>
      </c>
      <c r="C450" s="13" t="n">
        <v>45750</v>
      </c>
      <c r="D450" s="13" t="n">
        <v>45750</v>
      </c>
      <c r="E450" s="2" t="s">
        <v>54</v>
      </c>
      <c r="F450" s="2" t="n">
        <v>496809.06</v>
      </c>
      <c r="G450" s="2" t="n">
        <v>471014.74</v>
      </c>
      <c r="H450" s="2" t="n">
        <v>11.745</v>
      </c>
      <c r="I450" s="2" t="n">
        <v>120</v>
      </c>
      <c r="J450" s="2" t="s">
        <v>38</v>
      </c>
      <c r="K450" s="2" t="n">
        <v>0</v>
      </c>
      <c r="L450" s="2" t="n">
        <v>0</v>
      </c>
      <c r="M450" s="0" t="str">
        <f aca="false">IF(J450="Active",L450+(ROW()/1000000),"")</f>
        <v/>
      </c>
    </row>
    <row r="451" customFormat="false" ht="15" hidden="false" customHeight="false" outlineLevel="0" collapsed="false">
      <c r="A451" s="2" t="s">
        <v>8752</v>
      </c>
      <c r="B451" s="2" t="s">
        <v>5413</v>
      </c>
      <c r="C451" s="13" t="n">
        <v>45951</v>
      </c>
      <c r="D451" s="13" t="n">
        <v>45956</v>
      </c>
      <c r="E451" s="2" t="s">
        <v>55</v>
      </c>
      <c r="F451" s="2" t="n">
        <v>249465.9</v>
      </c>
      <c r="G451" s="2" t="n">
        <v>205375.85</v>
      </c>
      <c r="H451" s="2" t="n">
        <v>7.254</v>
      </c>
      <c r="I451" s="2" t="n">
        <v>60</v>
      </c>
      <c r="J451" s="2" t="s">
        <v>36</v>
      </c>
      <c r="K451" s="2" t="n">
        <v>147912.63</v>
      </c>
      <c r="L451" s="2" t="n">
        <v>3</v>
      </c>
      <c r="M451" s="9" t="n">
        <f aca="false">IF(J451="Active",L451+(ROW()/1000000),"")</f>
        <v>3.000451</v>
      </c>
    </row>
    <row r="452" customFormat="false" ht="15" hidden="false" customHeight="false" outlineLevel="0" collapsed="false">
      <c r="A452" s="2" t="s">
        <v>8753</v>
      </c>
      <c r="B452" s="2" t="s">
        <v>3467</v>
      </c>
      <c r="C452" s="13" t="n">
        <v>45649</v>
      </c>
      <c r="D452" s="13" t="n">
        <v>45653</v>
      </c>
      <c r="E452" s="2" t="s">
        <v>54</v>
      </c>
      <c r="F452" s="2" t="n">
        <v>236145.1</v>
      </c>
      <c r="G452" s="2" t="n">
        <v>175511.91</v>
      </c>
      <c r="H452" s="2" t="n">
        <v>16.967</v>
      </c>
      <c r="I452" s="2" t="n">
        <v>120</v>
      </c>
      <c r="J452" s="2" t="s">
        <v>36</v>
      </c>
      <c r="K452" s="2" t="n">
        <v>107184.01</v>
      </c>
      <c r="L452" s="2" t="n">
        <v>1</v>
      </c>
      <c r="M452" s="9" t="n">
        <f aca="false">IF(J452="Active",L452+(ROW()/1000000),"")</f>
        <v>1.000452</v>
      </c>
    </row>
    <row r="453" customFormat="false" ht="15" hidden="false" customHeight="false" outlineLevel="0" collapsed="false">
      <c r="A453" s="2" t="s">
        <v>8754</v>
      </c>
      <c r="B453" s="2" t="s">
        <v>3603</v>
      </c>
      <c r="C453" s="13" t="n">
        <v>45719</v>
      </c>
      <c r="D453" s="13" t="n">
        <v>45721</v>
      </c>
      <c r="E453" s="2" t="s">
        <v>55</v>
      </c>
      <c r="F453" s="2" t="n">
        <v>53833.71</v>
      </c>
      <c r="G453" s="2" t="n">
        <v>34645.03</v>
      </c>
      <c r="H453" s="2" t="n">
        <v>8.948</v>
      </c>
      <c r="I453" s="2" t="n">
        <v>180</v>
      </c>
      <c r="J453" s="2" t="s">
        <v>36</v>
      </c>
      <c r="K453" s="2" t="n">
        <v>13095.11</v>
      </c>
      <c r="L453" s="2" t="n">
        <v>10</v>
      </c>
      <c r="M453" s="9" t="n">
        <f aca="false">IF(J453="Active",L453+(ROW()/1000000),"")</f>
        <v>10.000453</v>
      </c>
    </row>
    <row r="454" customFormat="false" ht="15" hidden="false" customHeight="false" outlineLevel="0" collapsed="false">
      <c r="A454" s="2" t="s">
        <v>8755</v>
      </c>
      <c r="B454" s="2" t="s">
        <v>2504</v>
      </c>
      <c r="C454" s="13" t="n">
        <v>45668</v>
      </c>
      <c r="D454" s="13" t="n">
        <v>45668</v>
      </c>
      <c r="E454" s="2" t="s">
        <v>55</v>
      </c>
      <c r="F454" s="2" t="n">
        <v>468684.09</v>
      </c>
      <c r="G454" s="2" t="n">
        <v>341667.22</v>
      </c>
      <c r="H454" s="2" t="n">
        <v>17.498</v>
      </c>
      <c r="I454" s="2" t="n">
        <v>180</v>
      </c>
      <c r="J454" s="2" t="s">
        <v>38</v>
      </c>
      <c r="K454" s="2" t="n">
        <v>0</v>
      </c>
      <c r="L454" s="2" t="n">
        <v>0</v>
      </c>
      <c r="M454" s="0" t="str">
        <f aca="false">IF(J454="Active",L454+(ROW()/1000000),"")</f>
        <v/>
      </c>
    </row>
    <row r="455" customFormat="false" ht="15" hidden="false" customHeight="false" outlineLevel="0" collapsed="false">
      <c r="A455" s="2" t="s">
        <v>8756</v>
      </c>
      <c r="B455" s="2" t="s">
        <v>5183</v>
      </c>
      <c r="C455" s="13" t="n">
        <v>45625</v>
      </c>
      <c r="D455" s="13"/>
      <c r="E455" s="2" t="s">
        <v>55</v>
      </c>
      <c r="F455" s="2" t="n">
        <v>21274.43</v>
      </c>
      <c r="G455" s="2" t="n">
        <v>0</v>
      </c>
      <c r="H455" s="2" t="n">
        <v>13.235</v>
      </c>
      <c r="I455" s="2" t="n">
        <v>90</v>
      </c>
      <c r="J455" s="2" t="s">
        <v>42</v>
      </c>
      <c r="K455" s="2" t="n">
        <v>0</v>
      </c>
      <c r="L455" s="2" t="n">
        <v>0</v>
      </c>
      <c r="M455" s="0" t="str">
        <f aca="false">IF(J455="Active",L455+(ROW()/1000000),"")</f>
        <v/>
      </c>
    </row>
    <row r="456" customFormat="false" ht="15" hidden="false" customHeight="false" outlineLevel="0" collapsed="false">
      <c r="A456" s="2" t="s">
        <v>8757</v>
      </c>
      <c r="B456" s="2" t="s">
        <v>6475</v>
      </c>
      <c r="C456" s="13" t="n">
        <v>45597</v>
      </c>
      <c r="D456" s="13" t="n">
        <v>45600</v>
      </c>
      <c r="E456" s="2" t="s">
        <v>53</v>
      </c>
      <c r="F456" s="2" t="n">
        <v>185417.39</v>
      </c>
      <c r="G456" s="2" t="n">
        <v>119338.02</v>
      </c>
      <c r="H456" s="2" t="n">
        <v>16.306</v>
      </c>
      <c r="I456" s="2" t="n">
        <v>120</v>
      </c>
      <c r="J456" s="2" t="s">
        <v>38</v>
      </c>
      <c r="K456" s="2" t="n">
        <v>0</v>
      </c>
      <c r="L456" s="2" t="n">
        <v>0</v>
      </c>
      <c r="M456" s="0" t="str">
        <f aca="false">IF(J456="Active",L456+(ROW()/1000000),"")</f>
        <v/>
      </c>
    </row>
    <row r="457" customFormat="false" ht="15" hidden="false" customHeight="false" outlineLevel="0" collapsed="false">
      <c r="A457" s="2" t="s">
        <v>8758</v>
      </c>
      <c r="B457" s="2" t="s">
        <v>2929</v>
      </c>
      <c r="C457" s="13" t="n">
        <v>45860</v>
      </c>
      <c r="D457" s="13" t="n">
        <v>45863</v>
      </c>
      <c r="E457" s="2" t="s">
        <v>53</v>
      </c>
      <c r="F457" s="2" t="n">
        <v>489644.79</v>
      </c>
      <c r="G457" s="2" t="n">
        <v>307946.61</v>
      </c>
      <c r="H457" s="2" t="n">
        <v>12.977</v>
      </c>
      <c r="I457" s="2" t="n">
        <v>90</v>
      </c>
      <c r="J457" s="2" t="s">
        <v>40</v>
      </c>
      <c r="K457" s="2" t="n">
        <v>274587.07</v>
      </c>
      <c r="L457" s="2" t="n">
        <v>60</v>
      </c>
      <c r="M457" s="0" t="str">
        <f aca="false">IF(J457="Active",L457+(ROW()/1000000),"")</f>
        <v/>
      </c>
    </row>
    <row r="458" customFormat="false" ht="15" hidden="false" customHeight="false" outlineLevel="0" collapsed="false">
      <c r="A458" s="2" t="s">
        <v>8759</v>
      </c>
      <c r="B458" s="2" t="s">
        <v>3743</v>
      </c>
      <c r="C458" s="13" t="n">
        <v>45739</v>
      </c>
      <c r="D458" s="13" t="n">
        <v>45741</v>
      </c>
      <c r="E458" s="2" t="s">
        <v>55</v>
      </c>
      <c r="F458" s="2" t="n">
        <v>293860.71</v>
      </c>
      <c r="G458" s="2" t="n">
        <v>280458.91</v>
      </c>
      <c r="H458" s="2" t="n">
        <v>12.463</v>
      </c>
      <c r="I458" s="2" t="n">
        <v>30</v>
      </c>
      <c r="J458" s="2" t="s">
        <v>38</v>
      </c>
      <c r="K458" s="2" t="n">
        <v>0</v>
      </c>
      <c r="L458" s="2" t="n">
        <v>0</v>
      </c>
      <c r="M458" s="0" t="str">
        <f aca="false">IF(J458="Active",L458+(ROW()/1000000),"")</f>
        <v/>
      </c>
    </row>
    <row r="459" customFormat="false" ht="15" hidden="false" customHeight="false" outlineLevel="0" collapsed="false">
      <c r="A459" s="2" t="s">
        <v>8760</v>
      </c>
      <c r="B459" s="2" t="s">
        <v>2762</v>
      </c>
      <c r="C459" s="13" t="n">
        <v>45412</v>
      </c>
      <c r="D459" s="13"/>
      <c r="E459" s="2" t="s">
        <v>53</v>
      </c>
      <c r="F459" s="2" t="n">
        <v>206382.6</v>
      </c>
      <c r="G459" s="2" t="n">
        <v>0</v>
      </c>
      <c r="H459" s="2" t="n">
        <v>17.352</v>
      </c>
      <c r="I459" s="2" t="n">
        <v>30</v>
      </c>
      <c r="J459" s="2" t="s">
        <v>42</v>
      </c>
      <c r="K459" s="2" t="n">
        <v>0</v>
      </c>
      <c r="L459" s="2" t="n">
        <v>0</v>
      </c>
      <c r="M459" s="0" t="str">
        <f aca="false">IF(J459="Active",L459+(ROW()/1000000),"")</f>
        <v/>
      </c>
    </row>
    <row r="460" customFormat="false" ht="15" hidden="false" customHeight="false" outlineLevel="0" collapsed="false">
      <c r="A460" s="2" t="s">
        <v>8761</v>
      </c>
      <c r="B460" s="2" t="s">
        <v>2660</v>
      </c>
      <c r="C460" s="13" t="n">
        <v>45767</v>
      </c>
      <c r="D460" s="13"/>
      <c r="E460" s="2" t="s">
        <v>55</v>
      </c>
      <c r="F460" s="2" t="n">
        <v>366199.74</v>
      </c>
      <c r="G460" s="2" t="n">
        <v>0</v>
      </c>
      <c r="H460" s="2" t="n">
        <v>11.549</v>
      </c>
      <c r="I460" s="2" t="n">
        <v>90</v>
      </c>
      <c r="J460" s="2" t="s">
        <v>42</v>
      </c>
      <c r="K460" s="2" t="n">
        <v>0</v>
      </c>
      <c r="L460" s="2" t="n">
        <v>0</v>
      </c>
      <c r="M460" s="0" t="str">
        <f aca="false">IF(J460="Active",L460+(ROW()/1000000),"")</f>
        <v/>
      </c>
    </row>
    <row r="461" customFormat="false" ht="15" hidden="false" customHeight="false" outlineLevel="0" collapsed="false">
      <c r="A461" s="2" t="s">
        <v>8762</v>
      </c>
      <c r="B461" s="2" t="s">
        <v>2047</v>
      </c>
      <c r="C461" s="13" t="n">
        <v>45637</v>
      </c>
      <c r="D461" s="13" t="n">
        <v>45637</v>
      </c>
      <c r="E461" s="2" t="s">
        <v>53</v>
      </c>
      <c r="F461" s="2" t="n">
        <v>54220.54</v>
      </c>
      <c r="G461" s="2" t="n">
        <v>44116.75</v>
      </c>
      <c r="H461" s="2" t="n">
        <v>11.541</v>
      </c>
      <c r="I461" s="2" t="n">
        <v>120</v>
      </c>
      <c r="J461" s="2" t="s">
        <v>36</v>
      </c>
      <c r="K461" s="2" t="n">
        <v>14634.13</v>
      </c>
      <c r="L461" s="2" t="n">
        <v>1</v>
      </c>
      <c r="M461" s="9" t="n">
        <f aca="false">IF(J461="Active",L461+(ROW()/1000000),"")</f>
        <v>1.000461</v>
      </c>
    </row>
    <row r="462" customFormat="false" ht="15" hidden="false" customHeight="false" outlineLevel="0" collapsed="false">
      <c r="A462" s="2" t="s">
        <v>8763</v>
      </c>
      <c r="B462" s="2" t="s">
        <v>99</v>
      </c>
      <c r="C462" s="13" t="n">
        <v>45609</v>
      </c>
      <c r="D462" s="13" t="n">
        <v>45613</v>
      </c>
      <c r="E462" s="2" t="s">
        <v>54</v>
      </c>
      <c r="F462" s="2" t="n">
        <v>215251.84</v>
      </c>
      <c r="G462" s="2" t="n">
        <v>154993.55</v>
      </c>
      <c r="H462" s="2" t="n">
        <v>16.329</v>
      </c>
      <c r="I462" s="2" t="n">
        <v>180</v>
      </c>
      <c r="J462" s="2" t="s">
        <v>36</v>
      </c>
      <c r="K462" s="2" t="n">
        <v>77429.7</v>
      </c>
      <c r="L462" s="2" t="n">
        <v>10</v>
      </c>
      <c r="M462" s="9" t="n">
        <f aca="false">IF(J462="Active",L462+(ROW()/1000000),"")</f>
        <v>10.000462</v>
      </c>
    </row>
    <row r="463" customFormat="false" ht="15" hidden="false" customHeight="false" outlineLevel="0" collapsed="false">
      <c r="A463" s="2" t="s">
        <v>8764</v>
      </c>
      <c r="B463" s="2" t="s">
        <v>8646</v>
      </c>
      <c r="C463" s="13" t="n">
        <v>45598</v>
      </c>
      <c r="D463" s="13" t="n">
        <v>45603</v>
      </c>
      <c r="E463" s="2" t="s">
        <v>54</v>
      </c>
      <c r="F463" s="2" t="n">
        <v>201727.16</v>
      </c>
      <c r="G463" s="2" t="n">
        <v>187135.8</v>
      </c>
      <c r="H463" s="2" t="n">
        <v>12.579</v>
      </c>
      <c r="I463" s="2" t="n">
        <v>60</v>
      </c>
      <c r="J463" s="2" t="s">
        <v>40</v>
      </c>
      <c r="K463" s="2" t="n">
        <v>169691.76</v>
      </c>
      <c r="L463" s="2" t="n">
        <v>15</v>
      </c>
      <c r="M463" s="0" t="str">
        <f aca="false">IF(J463="Active",L463+(ROW()/1000000),"")</f>
        <v/>
      </c>
    </row>
    <row r="464" customFormat="false" ht="15" hidden="false" customHeight="false" outlineLevel="0" collapsed="false">
      <c r="A464" s="2" t="s">
        <v>8765</v>
      </c>
      <c r="B464" s="2" t="s">
        <v>3941</v>
      </c>
      <c r="C464" s="13" t="n">
        <v>45672</v>
      </c>
      <c r="D464" s="13" t="n">
        <v>45673</v>
      </c>
      <c r="E464" s="2" t="s">
        <v>54</v>
      </c>
      <c r="F464" s="2" t="n">
        <v>359432.84</v>
      </c>
      <c r="G464" s="2" t="n">
        <v>214220.11</v>
      </c>
      <c r="H464" s="2" t="n">
        <v>16.448</v>
      </c>
      <c r="I464" s="2" t="n">
        <v>60</v>
      </c>
      <c r="J464" s="2" t="s">
        <v>36</v>
      </c>
      <c r="K464" s="2" t="n">
        <v>157820.88</v>
      </c>
      <c r="L464" s="2" t="n">
        <v>10</v>
      </c>
      <c r="M464" s="9" t="n">
        <f aca="false">IF(J464="Active",L464+(ROW()/1000000),"")</f>
        <v>10.000464</v>
      </c>
    </row>
    <row r="465" customFormat="false" ht="15" hidden="false" customHeight="false" outlineLevel="0" collapsed="false">
      <c r="A465" s="2" t="s">
        <v>8766</v>
      </c>
      <c r="B465" s="2" t="s">
        <v>2670</v>
      </c>
      <c r="C465" s="13" t="n">
        <v>45946</v>
      </c>
      <c r="D465" s="13"/>
      <c r="E465" s="2" t="s">
        <v>53</v>
      </c>
      <c r="F465" s="2" t="n">
        <v>83161.35</v>
      </c>
      <c r="G465" s="2" t="n">
        <v>0</v>
      </c>
      <c r="H465" s="2" t="n">
        <v>8.923</v>
      </c>
      <c r="I465" s="2" t="n">
        <v>60</v>
      </c>
      <c r="J465" s="2" t="s">
        <v>42</v>
      </c>
      <c r="K465" s="2" t="n">
        <v>0</v>
      </c>
      <c r="L465" s="2" t="n">
        <v>0</v>
      </c>
      <c r="M465" s="0" t="str">
        <f aca="false">IF(J465="Active",L465+(ROW()/1000000),"")</f>
        <v/>
      </c>
    </row>
    <row r="466" customFormat="false" ht="15" hidden="false" customHeight="false" outlineLevel="0" collapsed="false">
      <c r="A466" s="2" t="s">
        <v>8767</v>
      </c>
      <c r="B466" s="2" t="s">
        <v>6487</v>
      </c>
      <c r="C466" s="13" t="n">
        <v>45521</v>
      </c>
      <c r="D466" s="13"/>
      <c r="E466" s="2" t="s">
        <v>55</v>
      </c>
      <c r="F466" s="2" t="n">
        <v>11190.77</v>
      </c>
      <c r="G466" s="2" t="n">
        <v>0</v>
      </c>
      <c r="H466" s="2" t="n">
        <v>15.987</v>
      </c>
      <c r="I466" s="2" t="n">
        <v>90</v>
      </c>
      <c r="J466" s="2" t="s">
        <v>42</v>
      </c>
      <c r="K466" s="2" t="n">
        <v>0</v>
      </c>
      <c r="L466" s="2" t="n">
        <v>0</v>
      </c>
      <c r="M466" s="0" t="str">
        <f aca="false">IF(J466="Active",L466+(ROW()/1000000),"")</f>
        <v/>
      </c>
    </row>
    <row r="467" customFormat="false" ht="15" hidden="false" customHeight="false" outlineLevel="0" collapsed="false">
      <c r="A467" s="2" t="s">
        <v>8768</v>
      </c>
      <c r="B467" s="2" t="s">
        <v>5595</v>
      </c>
      <c r="C467" s="13" t="n">
        <v>46008</v>
      </c>
      <c r="D467" s="13" t="n">
        <v>46009</v>
      </c>
      <c r="E467" s="2" t="s">
        <v>53</v>
      </c>
      <c r="F467" s="2" t="n">
        <v>489636.65</v>
      </c>
      <c r="G467" s="2" t="n">
        <v>462942.66</v>
      </c>
      <c r="H467" s="2" t="n">
        <v>11.158</v>
      </c>
      <c r="I467" s="2" t="n">
        <v>90</v>
      </c>
      <c r="J467" s="2" t="s">
        <v>38</v>
      </c>
      <c r="K467" s="2" t="n">
        <v>0</v>
      </c>
      <c r="L467" s="2" t="n">
        <v>0</v>
      </c>
      <c r="M467" s="0" t="str">
        <f aca="false">IF(J467="Active",L467+(ROW()/1000000),"")</f>
        <v/>
      </c>
    </row>
    <row r="468" customFormat="false" ht="15" hidden="false" customHeight="false" outlineLevel="0" collapsed="false">
      <c r="A468" s="2" t="s">
        <v>8769</v>
      </c>
      <c r="B468" s="2" t="s">
        <v>291</v>
      </c>
      <c r="C468" s="13" t="n">
        <v>45390</v>
      </c>
      <c r="D468" s="13" t="n">
        <v>45393</v>
      </c>
      <c r="E468" s="2" t="s">
        <v>55</v>
      </c>
      <c r="F468" s="2" t="n">
        <v>258189.99</v>
      </c>
      <c r="G468" s="2" t="n">
        <v>172625.82</v>
      </c>
      <c r="H468" s="2" t="n">
        <v>8.008</v>
      </c>
      <c r="I468" s="2" t="n">
        <v>30</v>
      </c>
      <c r="J468" s="2" t="s">
        <v>38</v>
      </c>
      <c r="K468" s="2" t="n">
        <v>0</v>
      </c>
      <c r="L468" s="2" t="n">
        <v>0</v>
      </c>
      <c r="M468" s="0" t="str">
        <f aca="false">IF(J468="Active",L468+(ROW()/1000000),"")</f>
        <v/>
      </c>
    </row>
    <row r="469" customFormat="false" ht="15" hidden="false" customHeight="false" outlineLevel="0" collapsed="false">
      <c r="A469" s="2" t="s">
        <v>8770</v>
      </c>
      <c r="B469" s="2" t="s">
        <v>1442</v>
      </c>
      <c r="C469" s="13" t="n">
        <v>45981</v>
      </c>
      <c r="D469" s="13"/>
      <c r="E469" s="2" t="s">
        <v>53</v>
      </c>
      <c r="F469" s="2" t="n">
        <v>474182.66</v>
      </c>
      <c r="G469" s="2" t="n">
        <v>0</v>
      </c>
      <c r="H469" s="2" t="n">
        <v>11.067</v>
      </c>
      <c r="I469" s="2" t="n">
        <v>180</v>
      </c>
      <c r="J469" s="2" t="s">
        <v>42</v>
      </c>
      <c r="K469" s="2" t="n">
        <v>0</v>
      </c>
      <c r="L469" s="2" t="n">
        <v>0</v>
      </c>
      <c r="M469" s="0" t="str">
        <f aca="false">IF(J469="Active",L469+(ROW()/1000000),"")</f>
        <v/>
      </c>
    </row>
    <row r="470" customFormat="false" ht="15" hidden="false" customHeight="false" outlineLevel="0" collapsed="false">
      <c r="A470" s="2" t="s">
        <v>8771</v>
      </c>
      <c r="B470" s="2" t="s">
        <v>4213</v>
      </c>
      <c r="C470" s="13" t="n">
        <v>45538</v>
      </c>
      <c r="D470" s="13" t="n">
        <v>45543</v>
      </c>
      <c r="E470" s="2" t="s">
        <v>53</v>
      </c>
      <c r="F470" s="2" t="n">
        <v>492493.77</v>
      </c>
      <c r="G470" s="2" t="n">
        <v>340272.03</v>
      </c>
      <c r="H470" s="2" t="n">
        <v>12.502</v>
      </c>
      <c r="I470" s="2" t="n">
        <v>90</v>
      </c>
      <c r="J470" s="2" t="s">
        <v>40</v>
      </c>
      <c r="K470" s="2" t="n">
        <v>320170.51</v>
      </c>
      <c r="L470" s="2" t="n">
        <v>3</v>
      </c>
      <c r="M470" s="0" t="str">
        <f aca="false">IF(J470="Active",L470+(ROW()/1000000),"")</f>
        <v/>
      </c>
    </row>
    <row r="471" customFormat="false" ht="15" hidden="false" customHeight="false" outlineLevel="0" collapsed="false">
      <c r="A471" s="2" t="s">
        <v>8772</v>
      </c>
      <c r="B471" s="2" t="s">
        <v>1493</v>
      </c>
      <c r="C471" s="13" t="n">
        <v>45915</v>
      </c>
      <c r="D471" s="13" t="n">
        <v>45915</v>
      </c>
      <c r="E471" s="2" t="s">
        <v>54</v>
      </c>
      <c r="F471" s="2" t="n">
        <v>418812.69</v>
      </c>
      <c r="G471" s="2" t="n">
        <v>358976.58</v>
      </c>
      <c r="H471" s="2" t="n">
        <v>17.384</v>
      </c>
      <c r="I471" s="2" t="n">
        <v>180</v>
      </c>
      <c r="J471" s="2" t="s">
        <v>40</v>
      </c>
      <c r="K471" s="2" t="n">
        <v>157925.09</v>
      </c>
      <c r="L471" s="2" t="n">
        <v>10</v>
      </c>
      <c r="M471" s="0" t="str">
        <f aca="false">IF(J471="Active",L471+(ROW()/1000000),"")</f>
        <v/>
      </c>
    </row>
    <row r="472" customFormat="false" ht="15" hidden="false" customHeight="false" outlineLevel="0" collapsed="false">
      <c r="A472" s="2" t="s">
        <v>8773</v>
      </c>
      <c r="B472" s="2" t="s">
        <v>610</v>
      </c>
      <c r="C472" s="13" t="n">
        <v>45639</v>
      </c>
      <c r="D472" s="13" t="n">
        <v>45644</v>
      </c>
      <c r="E472" s="2" t="s">
        <v>54</v>
      </c>
      <c r="F472" s="2" t="n">
        <v>71067.85</v>
      </c>
      <c r="G472" s="2" t="n">
        <v>61969.21</v>
      </c>
      <c r="H472" s="2" t="n">
        <v>17.906</v>
      </c>
      <c r="I472" s="2" t="n">
        <v>180</v>
      </c>
      <c r="J472" s="2" t="s">
        <v>36</v>
      </c>
      <c r="K472" s="2" t="n">
        <v>40998.5</v>
      </c>
      <c r="L472" s="2" t="n">
        <v>0</v>
      </c>
      <c r="M472" s="9" t="n">
        <f aca="false">IF(J472="Active",L472+(ROW()/1000000),"")</f>
        <v>0.000472</v>
      </c>
    </row>
    <row r="473" customFormat="false" ht="15" hidden="false" customHeight="false" outlineLevel="0" collapsed="false">
      <c r="A473" s="2" t="s">
        <v>8774</v>
      </c>
      <c r="B473" s="2" t="s">
        <v>1511</v>
      </c>
      <c r="C473" s="13" t="n">
        <v>45337</v>
      </c>
      <c r="D473" s="13" t="n">
        <v>45339</v>
      </c>
      <c r="E473" s="2" t="s">
        <v>54</v>
      </c>
      <c r="F473" s="2" t="n">
        <v>276362.75</v>
      </c>
      <c r="G473" s="2" t="n">
        <v>213750.78</v>
      </c>
      <c r="H473" s="2" t="n">
        <v>15.428</v>
      </c>
      <c r="I473" s="2" t="n">
        <v>30</v>
      </c>
      <c r="J473" s="2" t="s">
        <v>36</v>
      </c>
      <c r="K473" s="2" t="n">
        <v>155751.17</v>
      </c>
      <c r="L473" s="2" t="n">
        <v>30</v>
      </c>
      <c r="M473" s="9" t="n">
        <f aca="false">IF(J473="Active",L473+(ROW()/1000000),"")</f>
        <v>30.000473</v>
      </c>
    </row>
    <row r="474" customFormat="false" ht="15" hidden="false" customHeight="false" outlineLevel="0" collapsed="false">
      <c r="A474" s="2" t="s">
        <v>8775</v>
      </c>
      <c r="B474" s="2" t="s">
        <v>3771</v>
      </c>
      <c r="C474" s="13" t="n">
        <v>45586</v>
      </c>
      <c r="D474" s="13"/>
      <c r="E474" s="2" t="s">
        <v>54</v>
      </c>
      <c r="F474" s="2" t="n">
        <v>214519.79</v>
      </c>
      <c r="G474" s="2" t="n">
        <v>0</v>
      </c>
      <c r="H474" s="2" t="n">
        <v>11.66</v>
      </c>
      <c r="I474" s="2" t="n">
        <v>30</v>
      </c>
      <c r="J474" s="2" t="s">
        <v>42</v>
      </c>
      <c r="K474" s="2" t="n">
        <v>0</v>
      </c>
      <c r="L474" s="2" t="n">
        <v>0</v>
      </c>
      <c r="M474" s="0" t="str">
        <f aca="false">IF(J474="Active",L474+(ROW()/1000000),"")</f>
        <v/>
      </c>
    </row>
    <row r="475" customFormat="false" ht="15" hidden="false" customHeight="false" outlineLevel="0" collapsed="false">
      <c r="A475" s="2" t="s">
        <v>8776</v>
      </c>
      <c r="B475" s="2" t="s">
        <v>2965</v>
      </c>
      <c r="C475" s="13" t="n">
        <v>45847</v>
      </c>
      <c r="D475" s="13"/>
      <c r="E475" s="2" t="s">
        <v>54</v>
      </c>
      <c r="F475" s="2" t="n">
        <v>360405.05</v>
      </c>
      <c r="G475" s="2" t="n">
        <v>0</v>
      </c>
      <c r="H475" s="2" t="n">
        <v>10.46</v>
      </c>
      <c r="I475" s="2" t="n">
        <v>30</v>
      </c>
      <c r="J475" s="2" t="s">
        <v>42</v>
      </c>
      <c r="K475" s="2" t="n">
        <v>0</v>
      </c>
      <c r="L475" s="2" t="n">
        <v>0</v>
      </c>
      <c r="M475" s="0" t="str">
        <f aca="false">IF(J475="Active",L475+(ROW()/1000000),"")</f>
        <v/>
      </c>
    </row>
    <row r="476" customFormat="false" ht="15" hidden="false" customHeight="false" outlineLevel="0" collapsed="false">
      <c r="A476" s="2" t="s">
        <v>8777</v>
      </c>
      <c r="B476" s="2" t="s">
        <v>6737</v>
      </c>
      <c r="C476" s="13" t="n">
        <v>45980</v>
      </c>
      <c r="D476" s="13" t="n">
        <v>45980</v>
      </c>
      <c r="E476" s="2" t="s">
        <v>55</v>
      </c>
      <c r="F476" s="2" t="n">
        <v>304556.61</v>
      </c>
      <c r="G476" s="2" t="n">
        <v>220888.46</v>
      </c>
      <c r="H476" s="2" t="n">
        <v>14.198</v>
      </c>
      <c r="I476" s="2" t="n">
        <v>90</v>
      </c>
      <c r="J476" s="2" t="s">
        <v>38</v>
      </c>
      <c r="K476" s="2" t="n">
        <v>0</v>
      </c>
      <c r="L476" s="2" t="n">
        <v>0</v>
      </c>
      <c r="M476" s="0" t="str">
        <f aca="false">IF(J476="Active",L476+(ROW()/1000000),"")</f>
        <v/>
      </c>
    </row>
    <row r="477" customFormat="false" ht="15" hidden="false" customHeight="false" outlineLevel="0" collapsed="false">
      <c r="A477" s="2" t="s">
        <v>8778</v>
      </c>
      <c r="B477" s="2" t="s">
        <v>246</v>
      </c>
      <c r="C477" s="13" t="n">
        <v>45320</v>
      </c>
      <c r="D477" s="13" t="n">
        <v>45324</v>
      </c>
      <c r="E477" s="2" t="s">
        <v>53</v>
      </c>
      <c r="F477" s="2" t="n">
        <v>184263.33</v>
      </c>
      <c r="G477" s="2" t="n">
        <v>142037.24</v>
      </c>
      <c r="H477" s="2" t="n">
        <v>13.605</v>
      </c>
      <c r="I477" s="2" t="n">
        <v>90</v>
      </c>
      <c r="J477" s="2" t="s">
        <v>40</v>
      </c>
      <c r="K477" s="2" t="n">
        <v>33683.16</v>
      </c>
      <c r="L477" s="2" t="n">
        <v>5</v>
      </c>
      <c r="M477" s="0" t="str">
        <f aca="false">IF(J477="Active",L477+(ROW()/1000000),"")</f>
        <v/>
      </c>
    </row>
    <row r="478" customFormat="false" ht="15" hidden="false" customHeight="false" outlineLevel="0" collapsed="false">
      <c r="A478" s="2" t="s">
        <v>8779</v>
      </c>
      <c r="B478" s="2" t="s">
        <v>943</v>
      </c>
      <c r="C478" s="13" t="n">
        <v>45383</v>
      </c>
      <c r="D478" s="13" t="n">
        <v>45388</v>
      </c>
      <c r="E478" s="2" t="s">
        <v>54</v>
      </c>
      <c r="F478" s="2" t="n">
        <v>359462.32</v>
      </c>
      <c r="G478" s="2" t="n">
        <v>224056.22</v>
      </c>
      <c r="H478" s="2" t="n">
        <v>16.641</v>
      </c>
      <c r="I478" s="2" t="n">
        <v>60</v>
      </c>
      <c r="J478" s="2" t="s">
        <v>36</v>
      </c>
      <c r="K478" s="2" t="n">
        <v>113827.73</v>
      </c>
      <c r="L478" s="2" t="n">
        <v>5</v>
      </c>
      <c r="M478" s="9" t="n">
        <f aca="false">IF(J478="Active",L478+(ROW()/1000000),"")</f>
        <v>5.000478</v>
      </c>
    </row>
    <row r="479" customFormat="false" ht="15" hidden="false" customHeight="false" outlineLevel="0" collapsed="false">
      <c r="A479" s="2" t="s">
        <v>8780</v>
      </c>
      <c r="B479" s="2" t="s">
        <v>8333</v>
      </c>
      <c r="C479" s="13" t="n">
        <v>45934</v>
      </c>
      <c r="D479" s="13" t="n">
        <v>45937</v>
      </c>
      <c r="E479" s="2" t="s">
        <v>55</v>
      </c>
      <c r="F479" s="2" t="n">
        <v>163666.21</v>
      </c>
      <c r="G479" s="2" t="n">
        <v>132016.98</v>
      </c>
      <c r="H479" s="2" t="n">
        <v>11.872</v>
      </c>
      <c r="I479" s="2" t="n">
        <v>90</v>
      </c>
      <c r="J479" s="2" t="s">
        <v>38</v>
      </c>
      <c r="K479" s="2" t="n">
        <v>0</v>
      </c>
      <c r="L479" s="2" t="n">
        <v>0</v>
      </c>
      <c r="M479" s="0" t="str">
        <f aca="false">IF(J479="Active",L479+(ROW()/1000000),"")</f>
        <v/>
      </c>
    </row>
    <row r="480" customFormat="false" ht="15" hidden="false" customHeight="false" outlineLevel="0" collapsed="false">
      <c r="A480" s="2" t="s">
        <v>8781</v>
      </c>
      <c r="B480" s="2" t="s">
        <v>777</v>
      </c>
      <c r="C480" s="13" t="n">
        <v>45327</v>
      </c>
      <c r="D480" s="13" t="n">
        <v>45327</v>
      </c>
      <c r="E480" s="2" t="s">
        <v>54</v>
      </c>
      <c r="F480" s="2" t="n">
        <v>189766.25</v>
      </c>
      <c r="G480" s="2" t="n">
        <v>114570.2</v>
      </c>
      <c r="H480" s="2" t="n">
        <v>12.038</v>
      </c>
      <c r="I480" s="2" t="n">
        <v>120</v>
      </c>
      <c r="J480" s="2" t="s">
        <v>40</v>
      </c>
      <c r="K480" s="2" t="n">
        <v>68237.47</v>
      </c>
      <c r="L480" s="2" t="n">
        <v>90</v>
      </c>
      <c r="M480" s="0" t="str">
        <f aca="false">IF(J480="Active",L480+(ROW()/1000000),"")</f>
        <v/>
      </c>
    </row>
    <row r="481" customFormat="false" ht="15" hidden="false" customHeight="false" outlineLevel="0" collapsed="false">
      <c r="A481" s="2" t="s">
        <v>8782</v>
      </c>
      <c r="B481" s="2" t="s">
        <v>1502</v>
      </c>
      <c r="C481" s="13" t="n">
        <v>45769</v>
      </c>
      <c r="D481" s="13" t="n">
        <v>45773</v>
      </c>
      <c r="E481" s="2" t="s">
        <v>55</v>
      </c>
      <c r="F481" s="2" t="n">
        <v>491240.84</v>
      </c>
      <c r="G481" s="2" t="n">
        <v>459156.3</v>
      </c>
      <c r="H481" s="2" t="n">
        <v>11.421</v>
      </c>
      <c r="I481" s="2" t="n">
        <v>120</v>
      </c>
      <c r="J481" s="2" t="s">
        <v>36</v>
      </c>
      <c r="K481" s="2" t="n">
        <v>434259.35</v>
      </c>
      <c r="L481" s="2" t="n">
        <v>0</v>
      </c>
      <c r="M481" s="9" t="n">
        <f aca="false">IF(J481="Active",L481+(ROW()/1000000),"")</f>
        <v>0.000481</v>
      </c>
    </row>
    <row r="482" customFormat="false" ht="15" hidden="false" customHeight="false" outlineLevel="0" collapsed="false">
      <c r="A482" s="2" t="s">
        <v>8783</v>
      </c>
      <c r="B482" s="2" t="s">
        <v>1146</v>
      </c>
      <c r="C482" s="13" t="n">
        <v>45574</v>
      </c>
      <c r="D482" s="13" t="n">
        <v>45574</v>
      </c>
      <c r="E482" s="2" t="s">
        <v>53</v>
      </c>
      <c r="F482" s="2" t="n">
        <v>109570.96</v>
      </c>
      <c r="G482" s="2" t="n">
        <v>78263.54</v>
      </c>
      <c r="H482" s="2" t="n">
        <v>15.67</v>
      </c>
      <c r="I482" s="2" t="n">
        <v>180</v>
      </c>
      <c r="J482" s="2" t="s">
        <v>36</v>
      </c>
      <c r="K482" s="2" t="n">
        <v>16016.79</v>
      </c>
      <c r="L482" s="2" t="n">
        <v>60</v>
      </c>
      <c r="M482" s="9" t="n">
        <f aca="false">IF(J482="Active",L482+(ROW()/1000000),"")</f>
        <v>60.000482</v>
      </c>
    </row>
    <row r="483" customFormat="false" ht="15" hidden="false" customHeight="false" outlineLevel="0" collapsed="false">
      <c r="A483" s="2" t="s">
        <v>8784</v>
      </c>
      <c r="B483" s="2" t="s">
        <v>8293</v>
      </c>
      <c r="C483" s="13" t="n">
        <v>45680</v>
      </c>
      <c r="D483" s="13"/>
      <c r="E483" s="2" t="s">
        <v>53</v>
      </c>
      <c r="F483" s="2" t="n">
        <v>160018.04</v>
      </c>
      <c r="G483" s="2" t="n">
        <v>0</v>
      </c>
      <c r="H483" s="2" t="n">
        <v>13.468</v>
      </c>
      <c r="I483" s="2" t="n">
        <v>90</v>
      </c>
      <c r="J483" s="2" t="s">
        <v>42</v>
      </c>
      <c r="K483" s="2" t="n">
        <v>0</v>
      </c>
      <c r="L483" s="2" t="n">
        <v>0</v>
      </c>
      <c r="M483" s="0" t="str">
        <f aca="false">IF(J483="Active",L483+(ROW()/1000000),"")</f>
        <v/>
      </c>
    </row>
    <row r="484" customFormat="false" ht="15" hidden="false" customHeight="false" outlineLevel="0" collapsed="false">
      <c r="A484" s="2" t="s">
        <v>8785</v>
      </c>
      <c r="B484" s="2" t="s">
        <v>1068</v>
      </c>
      <c r="C484" s="13" t="n">
        <v>45455</v>
      </c>
      <c r="D484" s="13" t="n">
        <v>45458</v>
      </c>
      <c r="E484" s="2" t="s">
        <v>55</v>
      </c>
      <c r="F484" s="2" t="n">
        <v>234195.95</v>
      </c>
      <c r="G484" s="2" t="n">
        <v>135298.49</v>
      </c>
      <c r="H484" s="2" t="n">
        <v>13.813</v>
      </c>
      <c r="I484" s="2" t="n">
        <v>60</v>
      </c>
      <c r="J484" s="2" t="s">
        <v>38</v>
      </c>
      <c r="K484" s="2" t="n">
        <v>0</v>
      </c>
      <c r="L484" s="2" t="n">
        <v>0</v>
      </c>
      <c r="M484" s="0" t="str">
        <f aca="false">IF(J484="Active",L484+(ROW()/1000000),"")</f>
        <v/>
      </c>
    </row>
    <row r="485" customFormat="false" ht="15" hidden="false" customHeight="false" outlineLevel="0" collapsed="false">
      <c r="A485" s="2" t="s">
        <v>8786</v>
      </c>
      <c r="B485" s="2" t="s">
        <v>176</v>
      </c>
      <c r="C485" s="13" t="n">
        <v>45431</v>
      </c>
      <c r="D485" s="13" t="n">
        <v>45433</v>
      </c>
      <c r="E485" s="2" t="s">
        <v>53</v>
      </c>
      <c r="F485" s="2" t="n">
        <v>301529.73</v>
      </c>
      <c r="G485" s="2" t="n">
        <v>254891.62</v>
      </c>
      <c r="H485" s="2" t="n">
        <v>13.197</v>
      </c>
      <c r="I485" s="2" t="n">
        <v>90</v>
      </c>
      <c r="J485" s="2" t="s">
        <v>38</v>
      </c>
      <c r="K485" s="2" t="n">
        <v>0</v>
      </c>
      <c r="L485" s="2" t="n">
        <v>0</v>
      </c>
      <c r="M485" s="0" t="str">
        <f aca="false">IF(J485="Active",L485+(ROW()/1000000),"")</f>
        <v/>
      </c>
    </row>
    <row r="486" customFormat="false" ht="15" hidden="false" customHeight="false" outlineLevel="0" collapsed="false">
      <c r="A486" s="2" t="s">
        <v>8787</v>
      </c>
      <c r="B486" s="2" t="s">
        <v>4213</v>
      </c>
      <c r="C486" s="13" t="n">
        <v>45321</v>
      </c>
      <c r="D486" s="13" t="n">
        <v>45326</v>
      </c>
      <c r="E486" s="2" t="s">
        <v>54</v>
      </c>
      <c r="F486" s="2" t="n">
        <v>443776.77</v>
      </c>
      <c r="G486" s="2" t="n">
        <v>414005.61</v>
      </c>
      <c r="H486" s="2" t="n">
        <v>12.471</v>
      </c>
      <c r="I486" s="2" t="n">
        <v>30</v>
      </c>
      <c r="J486" s="2" t="s">
        <v>38</v>
      </c>
      <c r="K486" s="2" t="n">
        <v>0</v>
      </c>
      <c r="L486" s="2" t="n">
        <v>0</v>
      </c>
      <c r="M486" s="0" t="str">
        <f aca="false">IF(J486="Active",L486+(ROW()/1000000),"")</f>
        <v/>
      </c>
    </row>
    <row r="487" customFormat="false" ht="15" hidden="false" customHeight="false" outlineLevel="0" collapsed="false">
      <c r="A487" s="2" t="s">
        <v>8788</v>
      </c>
      <c r="B487" s="2" t="s">
        <v>8789</v>
      </c>
      <c r="C487" s="13" t="n">
        <v>45303</v>
      </c>
      <c r="D487" s="13" t="n">
        <v>45303</v>
      </c>
      <c r="E487" s="2" t="s">
        <v>55</v>
      </c>
      <c r="F487" s="2" t="n">
        <v>357262.26</v>
      </c>
      <c r="G487" s="2" t="n">
        <v>253425.13</v>
      </c>
      <c r="H487" s="2" t="n">
        <v>15.391</v>
      </c>
      <c r="I487" s="2" t="n">
        <v>90</v>
      </c>
      <c r="J487" s="2" t="s">
        <v>36</v>
      </c>
      <c r="K487" s="2" t="n">
        <v>162754.54</v>
      </c>
      <c r="L487" s="2" t="n">
        <v>0</v>
      </c>
      <c r="M487" s="9" t="n">
        <f aca="false">IF(J487="Active",L487+(ROW()/1000000),"")</f>
        <v>0.000487</v>
      </c>
    </row>
    <row r="488" customFormat="false" ht="15" hidden="false" customHeight="false" outlineLevel="0" collapsed="false">
      <c r="A488" s="2" t="s">
        <v>8790</v>
      </c>
      <c r="B488" s="2" t="s">
        <v>1108</v>
      </c>
      <c r="C488" s="13" t="n">
        <v>45892</v>
      </c>
      <c r="D488" s="13" t="n">
        <v>45894</v>
      </c>
      <c r="E488" s="2" t="s">
        <v>54</v>
      </c>
      <c r="F488" s="2" t="n">
        <v>389941.15</v>
      </c>
      <c r="G488" s="2" t="n">
        <v>316863.01</v>
      </c>
      <c r="H488" s="2" t="n">
        <v>14.743</v>
      </c>
      <c r="I488" s="2" t="n">
        <v>180</v>
      </c>
      <c r="J488" s="2" t="s">
        <v>40</v>
      </c>
      <c r="K488" s="2" t="n">
        <v>287183.43</v>
      </c>
      <c r="L488" s="2" t="n">
        <v>30</v>
      </c>
      <c r="M488" s="0" t="str">
        <f aca="false">IF(J488="Active",L488+(ROW()/1000000),"")</f>
        <v/>
      </c>
    </row>
    <row r="489" customFormat="false" ht="15" hidden="false" customHeight="false" outlineLevel="0" collapsed="false">
      <c r="A489" s="2" t="s">
        <v>8791</v>
      </c>
      <c r="B489" s="2" t="s">
        <v>7933</v>
      </c>
      <c r="C489" s="13" t="n">
        <v>45491</v>
      </c>
      <c r="D489" s="13"/>
      <c r="E489" s="2" t="s">
        <v>55</v>
      </c>
      <c r="F489" s="2" t="n">
        <v>176313.99</v>
      </c>
      <c r="G489" s="2" t="n">
        <v>0</v>
      </c>
      <c r="H489" s="2" t="n">
        <v>14.265</v>
      </c>
      <c r="I489" s="2" t="n">
        <v>60</v>
      </c>
      <c r="J489" s="2" t="s">
        <v>42</v>
      </c>
      <c r="K489" s="2" t="n">
        <v>0</v>
      </c>
      <c r="L489" s="2" t="n">
        <v>0</v>
      </c>
      <c r="M489" s="0" t="str">
        <f aca="false">IF(J489="Active",L489+(ROW()/1000000),"")</f>
        <v/>
      </c>
    </row>
    <row r="490" customFormat="false" ht="15" hidden="false" customHeight="false" outlineLevel="0" collapsed="false">
      <c r="A490" s="2" t="s">
        <v>8792</v>
      </c>
      <c r="B490" s="2" t="s">
        <v>8293</v>
      </c>
      <c r="C490" s="13" t="n">
        <v>45780</v>
      </c>
      <c r="D490" s="13" t="n">
        <v>45785</v>
      </c>
      <c r="E490" s="2" t="s">
        <v>53</v>
      </c>
      <c r="F490" s="2" t="n">
        <v>285708.88</v>
      </c>
      <c r="G490" s="2" t="n">
        <v>222956.33</v>
      </c>
      <c r="H490" s="2" t="n">
        <v>13.515</v>
      </c>
      <c r="I490" s="2" t="n">
        <v>30</v>
      </c>
      <c r="J490" s="2" t="s">
        <v>38</v>
      </c>
      <c r="K490" s="2" t="n">
        <v>0</v>
      </c>
      <c r="L490" s="2" t="n">
        <v>0</v>
      </c>
      <c r="M490" s="0" t="str">
        <f aca="false">IF(J490="Active",L490+(ROW()/1000000),"")</f>
        <v/>
      </c>
    </row>
    <row r="491" customFormat="false" ht="15" hidden="false" customHeight="false" outlineLevel="0" collapsed="false">
      <c r="A491" s="2" t="s">
        <v>8793</v>
      </c>
      <c r="B491" s="2" t="s">
        <v>1731</v>
      </c>
      <c r="C491" s="13" t="n">
        <v>45845</v>
      </c>
      <c r="D491" s="13" t="n">
        <v>45848</v>
      </c>
      <c r="E491" s="2" t="s">
        <v>55</v>
      </c>
      <c r="F491" s="2" t="n">
        <v>239408.47</v>
      </c>
      <c r="G491" s="2" t="n">
        <v>207813.84</v>
      </c>
      <c r="H491" s="2" t="n">
        <v>12.675</v>
      </c>
      <c r="I491" s="2" t="n">
        <v>30</v>
      </c>
      <c r="J491" s="2" t="s">
        <v>40</v>
      </c>
      <c r="K491" s="2" t="n">
        <v>173241.21</v>
      </c>
      <c r="L491" s="2" t="n">
        <v>0</v>
      </c>
      <c r="M491" s="0" t="str">
        <f aca="false">IF(J491="Active",L491+(ROW()/1000000),"")</f>
        <v/>
      </c>
    </row>
    <row r="492" customFormat="false" ht="15" hidden="false" customHeight="false" outlineLevel="0" collapsed="false">
      <c r="A492" s="2" t="s">
        <v>8794</v>
      </c>
      <c r="B492" s="2" t="s">
        <v>2698</v>
      </c>
      <c r="C492" s="13" t="n">
        <v>45528</v>
      </c>
      <c r="D492" s="13" t="n">
        <v>45533</v>
      </c>
      <c r="E492" s="2" t="s">
        <v>54</v>
      </c>
      <c r="F492" s="2" t="n">
        <v>399204.1</v>
      </c>
      <c r="G492" s="2" t="n">
        <v>329162.63</v>
      </c>
      <c r="H492" s="2" t="n">
        <v>8.031</v>
      </c>
      <c r="I492" s="2" t="n">
        <v>60</v>
      </c>
      <c r="J492" s="2" t="s">
        <v>36</v>
      </c>
      <c r="K492" s="2" t="n">
        <v>293813.34</v>
      </c>
      <c r="L492" s="2" t="n">
        <v>3</v>
      </c>
      <c r="M492" s="9" t="n">
        <f aca="false">IF(J492="Active",L492+(ROW()/1000000),"")</f>
        <v>3.000492</v>
      </c>
    </row>
    <row r="493" customFormat="false" ht="15" hidden="false" customHeight="false" outlineLevel="0" collapsed="false">
      <c r="A493" s="2" t="s">
        <v>8795</v>
      </c>
      <c r="B493" s="2" t="s">
        <v>5665</v>
      </c>
      <c r="C493" s="13" t="n">
        <v>45574</v>
      </c>
      <c r="D493" s="13" t="n">
        <v>45579</v>
      </c>
      <c r="E493" s="2" t="s">
        <v>54</v>
      </c>
      <c r="F493" s="2" t="n">
        <v>316601.97</v>
      </c>
      <c r="G493" s="2" t="n">
        <v>237127.74</v>
      </c>
      <c r="H493" s="2" t="n">
        <v>12.386</v>
      </c>
      <c r="I493" s="2" t="n">
        <v>120</v>
      </c>
      <c r="J493" s="2" t="s">
        <v>36</v>
      </c>
      <c r="K493" s="2" t="n">
        <v>111160.85</v>
      </c>
      <c r="L493" s="2" t="n">
        <v>0</v>
      </c>
      <c r="M493" s="9" t="n">
        <f aca="false">IF(J493="Active",L493+(ROW()/1000000),"")</f>
        <v>0.000493</v>
      </c>
    </row>
    <row r="494" customFormat="false" ht="15" hidden="false" customHeight="false" outlineLevel="0" collapsed="false">
      <c r="A494" s="2" t="s">
        <v>8796</v>
      </c>
      <c r="B494" s="2" t="s">
        <v>850</v>
      </c>
      <c r="C494" s="13" t="n">
        <v>45908</v>
      </c>
      <c r="D494" s="13" t="n">
        <v>45911</v>
      </c>
      <c r="E494" s="2" t="s">
        <v>55</v>
      </c>
      <c r="F494" s="2" t="n">
        <v>123794.7</v>
      </c>
      <c r="G494" s="2" t="n">
        <v>109627.1</v>
      </c>
      <c r="H494" s="2" t="n">
        <v>14.105</v>
      </c>
      <c r="I494" s="2" t="n">
        <v>180</v>
      </c>
      <c r="J494" s="2" t="s">
        <v>38</v>
      </c>
      <c r="K494" s="2" t="n">
        <v>0</v>
      </c>
      <c r="L494" s="2" t="n">
        <v>0</v>
      </c>
      <c r="M494" s="0" t="str">
        <f aca="false">IF(J494="Active",L494+(ROW()/1000000),"")</f>
        <v/>
      </c>
    </row>
    <row r="495" customFormat="false" ht="15" hidden="false" customHeight="false" outlineLevel="0" collapsed="false">
      <c r="A495" s="2" t="s">
        <v>8797</v>
      </c>
      <c r="B495" s="2" t="s">
        <v>1489</v>
      </c>
      <c r="C495" s="13" t="n">
        <v>45362</v>
      </c>
      <c r="D495" s="13" t="n">
        <v>45367</v>
      </c>
      <c r="E495" s="2" t="s">
        <v>54</v>
      </c>
      <c r="F495" s="2" t="n">
        <v>339157.64</v>
      </c>
      <c r="G495" s="2" t="n">
        <v>212813.65</v>
      </c>
      <c r="H495" s="2" t="n">
        <v>8.992</v>
      </c>
      <c r="I495" s="2" t="n">
        <v>30</v>
      </c>
      <c r="J495" s="2" t="s">
        <v>36</v>
      </c>
      <c r="K495" s="2" t="n">
        <v>20315.31</v>
      </c>
      <c r="L495" s="2" t="n">
        <v>60</v>
      </c>
      <c r="M495" s="9" t="n">
        <f aca="false">IF(J495="Active",L495+(ROW()/1000000),"")</f>
        <v>60.000495</v>
      </c>
    </row>
    <row r="496" customFormat="false" ht="15" hidden="false" customHeight="false" outlineLevel="0" collapsed="false">
      <c r="A496" s="2" t="s">
        <v>8798</v>
      </c>
      <c r="B496" s="2" t="s">
        <v>8799</v>
      </c>
      <c r="C496" s="13" t="n">
        <v>45580</v>
      </c>
      <c r="D496" s="13"/>
      <c r="E496" s="2" t="s">
        <v>55</v>
      </c>
      <c r="F496" s="2" t="n">
        <v>150401.44</v>
      </c>
      <c r="G496" s="2" t="n">
        <v>0</v>
      </c>
      <c r="H496" s="2" t="n">
        <v>9.631</v>
      </c>
      <c r="I496" s="2" t="n">
        <v>90</v>
      </c>
      <c r="J496" s="2" t="s">
        <v>42</v>
      </c>
      <c r="K496" s="2" t="n">
        <v>0</v>
      </c>
      <c r="L496" s="2" t="n">
        <v>0</v>
      </c>
      <c r="M496" s="0" t="str">
        <f aca="false">IF(J496="Active",L496+(ROW()/1000000),"")</f>
        <v/>
      </c>
    </row>
    <row r="497" customFormat="false" ht="15" hidden="false" customHeight="false" outlineLevel="0" collapsed="false">
      <c r="A497" s="2" t="s">
        <v>8800</v>
      </c>
      <c r="B497" s="2" t="s">
        <v>1768</v>
      </c>
      <c r="C497" s="13" t="n">
        <v>45910</v>
      </c>
      <c r="D497" s="13" t="n">
        <v>45914</v>
      </c>
      <c r="E497" s="2" t="s">
        <v>54</v>
      </c>
      <c r="F497" s="2" t="n">
        <v>259879.08</v>
      </c>
      <c r="G497" s="2" t="n">
        <v>245466.44</v>
      </c>
      <c r="H497" s="2" t="n">
        <v>11.569</v>
      </c>
      <c r="I497" s="2" t="n">
        <v>90</v>
      </c>
      <c r="J497" s="2" t="s">
        <v>38</v>
      </c>
      <c r="K497" s="2" t="n">
        <v>0</v>
      </c>
      <c r="L497" s="2" t="n">
        <v>0</v>
      </c>
      <c r="M497" s="0" t="str">
        <f aca="false">IF(J497="Active",L497+(ROW()/1000000),"")</f>
        <v/>
      </c>
    </row>
    <row r="498" customFormat="false" ht="15" hidden="false" customHeight="false" outlineLevel="0" collapsed="false">
      <c r="A498" s="2" t="s">
        <v>8801</v>
      </c>
      <c r="B498" s="2" t="s">
        <v>1798</v>
      </c>
      <c r="C498" s="13" t="n">
        <v>45653</v>
      </c>
      <c r="D498" s="13" t="n">
        <v>45655</v>
      </c>
      <c r="E498" s="2" t="s">
        <v>54</v>
      </c>
      <c r="F498" s="2" t="n">
        <v>60147.58</v>
      </c>
      <c r="G498" s="2" t="n">
        <v>53621.45</v>
      </c>
      <c r="H498" s="2" t="n">
        <v>14.355</v>
      </c>
      <c r="I498" s="2" t="n">
        <v>90</v>
      </c>
      <c r="J498" s="2" t="s">
        <v>38</v>
      </c>
      <c r="K498" s="2" t="n">
        <v>0</v>
      </c>
      <c r="L498" s="2" t="n">
        <v>0</v>
      </c>
      <c r="M498" s="0" t="str">
        <f aca="false">IF(J498="Active",L498+(ROW()/1000000),"")</f>
        <v/>
      </c>
    </row>
    <row r="499" customFormat="false" ht="15" hidden="false" customHeight="false" outlineLevel="0" collapsed="false">
      <c r="A499" s="2" t="s">
        <v>8802</v>
      </c>
      <c r="B499" s="2" t="s">
        <v>2656</v>
      </c>
      <c r="C499" s="13" t="n">
        <v>45897</v>
      </c>
      <c r="D499" s="13" t="n">
        <v>45902</v>
      </c>
      <c r="E499" s="2" t="s">
        <v>54</v>
      </c>
      <c r="F499" s="2" t="n">
        <v>12355.53</v>
      </c>
      <c r="G499" s="2" t="n">
        <v>11142.01</v>
      </c>
      <c r="H499" s="2" t="n">
        <v>8.464</v>
      </c>
      <c r="I499" s="2" t="n">
        <v>30</v>
      </c>
      <c r="J499" s="2" t="s">
        <v>36</v>
      </c>
      <c r="K499" s="2" t="n">
        <v>2426.06</v>
      </c>
      <c r="L499" s="2" t="n">
        <v>5</v>
      </c>
      <c r="M499" s="9" t="n">
        <f aca="false">IF(J499="Active",L499+(ROW()/1000000),"")</f>
        <v>5.000499</v>
      </c>
    </row>
    <row r="500" customFormat="false" ht="15" hidden="false" customHeight="false" outlineLevel="0" collapsed="false">
      <c r="A500" s="2" t="s">
        <v>8803</v>
      </c>
      <c r="B500" s="2" t="s">
        <v>4579</v>
      </c>
      <c r="C500" s="13" t="n">
        <v>45336</v>
      </c>
      <c r="D500" s="13" t="n">
        <v>45341</v>
      </c>
      <c r="E500" s="2" t="s">
        <v>55</v>
      </c>
      <c r="F500" s="2" t="n">
        <v>66579.39</v>
      </c>
      <c r="G500" s="2" t="n">
        <v>60608.75</v>
      </c>
      <c r="H500" s="2" t="n">
        <v>15.638</v>
      </c>
      <c r="I500" s="2" t="n">
        <v>60</v>
      </c>
      <c r="J500" s="2" t="s">
        <v>40</v>
      </c>
      <c r="K500" s="2" t="n">
        <v>48259.95</v>
      </c>
      <c r="L500" s="2" t="n">
        <v>3</v>
      </c>
      <c r="M500" s="0" t="str">
        <f aca="false">IF(J500="Active",L500+(ROW()/1000000),"")</f>
        <v/>
      </c>
    </row>
    <row r="501" customFormat="false" ht="15" hidden="false" customHeight="false" outlineLevel="0" collapsed="false">
      <c r="A501" s="2" t="s">
        <v>8804</v>
      </c>
      <c r="B501" s="2" t="s">
        <v>1365</v>
      </c>
      <c r="C501" s="13" t="n">
        <v>45796</v>
      </c>
      <c r="D501" s="13" t="n">
        <v>45797</v>
      </c>
      <c r="E501" s="2" t="s">
        <v>53</v>
      </c>
      <c r="F501" s="2" t="n">
        <v>141506.33</v>
      </c>
      <c r="G501" s="2" t="n">
        <v>94222</v>
      </c>
      <c r="H501" s="2" t="n">
        <v>15.127</v>
      </c>
      <c r="I501" s="2" t="n">
        <v>120</v>
      </c>
      <c r="J501" s="2" t="s">
        <v>40</v>
      </c>
      <c r="K501" s="2" t="n">
        <v>88405.29</v>
      </c>
      <c r="L501" s="2" t="n">
        <v>0</v>
      </c>
      <c r="M501" s="0" t="str">
        <f aca="false">IF(J501="Active",L501+(ROW()/1000000),"")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21"/>
    <col collapsed="false" customWidth="true" hidden="false" outlineLevel="0" max="12" min="12" style="0" width="14"/>
    <col collapsed="false" customWidth="true" hidden="false" outlineLevel="0" max="13" min="13" style="0" width="19"/>
  </cols>
  <sheetData>
    <row r="1" customFormat="false" ht="15" hidden="false" customHeight="false" outlineLevel="0" collapsed="false">
      <c r="A1" s="10" t="s">
        <v>74</v>
      </c>
      <c r="B1" s="10" t="s">
        <v>8805</v>
      </c>
      <c r="C1" s="10" t="s">
        <v>8806</v>
      </c>
      <c r="D1" s="10" t="s">
        <v>8807</v>
      </c>
      <c r="E1" s="10" t="s">
        <v>8808</v>
      </c>
      <c r="F1" s="10" t="s">
        <v>8809</v>
      </c>
      <c r="G1" s="10" t="s">
        <v>8810</v>
      </c>
      <c r="H1" s="10" t="s">
        <v>8811</v>
      </c>
      <c r="I1" s="10" t="s">
        <v>8812</v>
      </c>
      <c r="J1" s="10" t="s">
        <v>8813</v>
      </c>
      <c r="K1" s="10" t="s">
        <v>8814</v>
      </c>
      <c r="L1" s="10" t="s">
        <v>8815</v>
      </c>
      <c r="M1" s="10" t="s">
        <v>8816</v>
      </c>
    </row>
    <row r="2" customFormat="false" ht="15" hidden="false" customHeight="false" outlineLevel="0" collapsed="false">
      <c r="A2" s="2" t="s">
        <v>87</v>
      </c>
      <c r="B2" s="2" t="s">
        <v>8817</v>
      </c>
      <c r="C2" s="2" t="s">
        <v>8818</v>
      </c>
      <c r="D2" s="2" t="s">
        <v>8819</v>
      </c>
      <c r="E2" s="13" t="n">
        <v>35167</v>
      </c>
      <c r="F2" s="2" t="n">
        <v>254700000001</v>
      </c>
      <c r="G2" s="2" t="n">
        <v>1</v>
      </c>
      <c r="H2" s="2" t="s">
        <v>95</v>
      </c>
      <c r="I2" s="2" t="s">
        <v>8820</v>
      </c>
      <c r="J2" s="2" t="s">
        <v>61</v>
      </c>
      <c r="K2" s="13" t="n">
        <v>45306</v>
      </c>
      <c r="L2" s="2" t="s">
        <v>8821</v>
      </c>
      <c r="M2" s="2" t="s">
        <v>36</v>
      </c>
    </row>
    <row r="3" customFormat="false" ht="15" hidden="false" customHeight="false" outlineLevel="0" collapsed="false">
      <c r="A3" s="2" t="s">
        <v>93</v>
      </c>
      <c r="B3" s="2" t="s">
        <v>8822</v>
      </c>
      <c r="C3" s="2" t="s">
        <v>8823</v>
      </c>
      <c r="D3" s="2" t="s">
        <v>8824</v>
      </c>
      <c r="E3" s="13" t="n">
        <v>34566</v>
      </c>
      <c r="F3" s="2" t="n">
        <v>254700000002</v>
      </c>
      <c r="G3" s="2" t="n">
        <v>5</v>
      </c>
      <c r="H3" s="2" t="s">
        <v>95</v>
      </c>
      <c r="I3" s="2" t="s">
        <v>8825</v>
      </c>
      <c r="J3" s="2" t="s">
        <v>60</v>
      </c>
      <c r="K3" s="13" t="n">
        <v>45332</v>
      </c>
      <c r="L3" s="2" t="s">
        <v>8821</v>
      </c>
      <c r="M3" s="2" t="s">
        <v>36</v>
      </c>
    </row>
    <row r="4" customFormat="false" ht="15" hidden="false" customHeight="false" outlineLevel="0" collapsed="false">
      <c r="A4" s="2" t="s">
        <v>99</v>
      </c>
      <c r="B4" s="2" t="s">
        <v>8826</v>
      </c>
      <c r="C4" s="2" t="s">
        <v>8827</v>
      </c>
      <c r="D4" s="2" t="s">
        <v>8819</v>
      </c>
      <c r="E4" s="13" t="n">
        <v>35800</v>
      </c>
      <c r="F4" s="2" t="n">
        <v>254700000003</v>
      </c>
      <c r="G4" s="2" t="n">
        <v>3</v>
      </c>
      <c r="H4" s="2" t="s">
        <v>95</v>
      </c>
      <c r="I4" s="2" t="s">
        <v>8828</v>
      </c>
      <c r="J4" s="2" t="s">
        <v>59</v>
      </c>
      <c r="K4" s="13" t="n">
        <v>45355</v>
      </c>
      <c r="L4" s="2" t="s">
        <v>8821</v>
      </c>
      <c r="M4" s="2" t="s">
        <v>36</v>
      </c>
    </row>
    <row r="5" customFormat="false" ht="15" hidden="false" customHeight="false" outlineLevel="0" collapsed="false">
      <c r="A5" s="2" t="s">
        <v>105</v>
      </c>
      <c r="B5" s="2" t="s">
        <v>8829</v>
      </c>
      <c r="C5" s="2" t="s">
        <v>8830</v>
      </c>
      <c r="D5" s="2" t="s">
        <v>8824</v>
      </c>
      <c r="E5" s="13" t="n">
        <v>33560</v>
      </c>
      <c r="F5" s="2" t="n">
        <v>254700000004</v>
      </c>
      <c r="G5" s="2" t="n">
        <v>2</v>
      </c>
      <c r="H5" s="2" t="s">
        <v>95</v>
      </c>
      <c r="I5" s="2" t="s">
        <v>8831</v>
      </c>
      <c r="J5" s="2" t="s">
        <v>60</v>
      </c>
      <c r="K5" s="13" t="n">
        <v>45319</v>
      </c>
      <c r="L5" s="2" t="s">
        <v>8821</v>
      </c>
      <c r="M5" s="2" t="s">
        <v>36</v>
      </c>
    </row>
    <row r="6" customFormat="false" ht="15" hidden="false" customHeight="false" outlineLevel="0" collapsed="false">
      <c r="A6" s="2" t="s">
        <v>110</v>
      </c>
      <c r="B6" s="2" t="s">
        <v>8832</v>
      </c>
      <c r="C6" s="2" t="s">
        <v>8833</v>
      </c>
      <c r="D6" s="2" t="s">
        <v>8819</v>
      </c>
      <c r="E6" s="13" t="n">
        <v>32354</v>
      </c>
      <c r="F6" s="2" t="n">
        <v>254700000005</v>
      </c>
      <c r="G6" s="2" t="n">
        <v>7</v>
      </c>
      <c r="H6" s="2" t="s">
        <v>95</v>
      </c>
      <c r="I6" s="2" t="s">
        <v>8834</v>
      </c>
      <c r="J6" s="2" t="s">
        <v>59</v>
      </c>
      <c r="K6" s="13" t="n">
        <v>45394</v>
      </c>
      <c r="L6" s="2" t="s">
        <v>8821</v>
      </c>
      <c r="M6" s="2" t="s">
        <v>36</v>
      </c>
    </row>
    <row r="7" customFormat="false" ht="15" hidden="false" customHeight="false" outlineLevel="0" collapsed="false">
      <c r="A7" s="2" t="s">
        <v>115</v>
      </c>
      <c r="B7" s="2" t="s">
        <v>8835</v>
      </c>
      <c r="C7" s="2" t="s">
        <v>8836</v>
      </c>
      <c r="D7" s="2" t="s">
        <v>8824</v>
      </c>
      <c r="E7" s="13" t="n">
        <v>36230</v>
      </c>
      <c r="F7" s="2" t="n">
        <v>254700000006</v>
      </c>
      <c r="G7" s="2" t="n">
        <v>6</v>
      </c>
      <c r="H7" s="2" t="s">
        <v>95</v>
      </c>
      <c r="I7" s="2" t="s">
        <v>8837</v>
      </c>
      <c r="J7" s="2" t="s">
        <v>60</v>
      </c>
      <c r="K7" s="13" t="n">
        <v>45433</v>
      </c>
      <c r="L7" s="2" t="s">
        <v>8821</v>
      </c>
      <c r="M7" s="2" t="s">
        <v>36</v>
      </c>
    </row>
    <row r="8" customFormat="false" ht="15" hidden="false" customHeight="false" outlineLevel="0" collapsed="false">
      <c r="A8" s="2" t="s">
        <v>120</v>
      </c>
      <c r="B8" s="2" t="s">
        <v>8838</v>
      </c>
      <c r="C8" s="2" t="s">
        <v>8839</v>
      </c>
      <c r="D8" s="2" t="s">
        <v>8819</v>
      </c>
      <c r="E8" s="13" t="n">
        <v>31292</v>
      </c>
      <c r="F8" s="2" t="n">
        <v>254700000007</v>
      </c>
      <c r="G8" s="2" t="n">
        <v>4</v>
      </c>
      <c r="H8" s="2" t="s">
        <v>95</v>
      </c>
      <c r="I8" s="2" t="s">
        <v>8825</v>
      </c>
      <c r="J8" s="2" t="s">
        <v>61</v>
      </c>
      <c r="K8" s="13" t="n">
        <v>45336</v>
      </c>
      <c r="L8" s="2" t="s">
        <v>8821</v>
      </c>
      <c r="M8" s="2" t="s">
        <v>36</v>
      </c>
    </row>
    <row r="9" customFormat="false" ht="15" hidden="false" customHeight="false" outlineLevel="0" collapsed="false">
      <c r="A9" s="2" t="s">
        <v>126</v>
      </c>
      <c r="B9" s="2" t="s">
        <v>8840</v>
      </c>
      <c r="C9" s="2" t="s">
        <v>8841</v>
      </c>
      <c r="D9" s="2" t="s">
        <v>8824</v>
      </c>
      <c r="E9" s="13" t="n">
        <v>35604</v>
      </c>
      <c r="F9" s="2" t="n">
        <v>254700000008</v>
      </c>
      <c r="G9" s="2" t="n">
        <v>8</v>
      </c>
      <c r="H9" s="2" t="s">
        <v>95</v>
      </c>
      <c r="I9" s="2" t="s">
        <v>8842</v>
      </c>
      <c r="J9" s="2" t="s">
        <v>59</v>
      </c>
      <c r="K9" s="13" t="n">
        <v>45444</v>
      </c>
      <c r="L9" s="2" t="s">
        <v>8821</v>
      </c>
      <c r="M9" s="2" t="s">
        <v>36</v>
      </c>
    </row>
    <row r="10" customFormat="false" ht="15" hidden="false" customHeight="false" outlineLevel="0" collapsed="false">
      <c r="A10" s="2" t="s">
        <v>131</v>
      </c>
      <c r="B10" s="2" t="s">
        <v>8843</v>
      </c>
      <c r="C10" s="2" t="s">
        <v>8823</v>
      </c>
      <c r="D10" s="2" t="s">
        <v>8819</v>
      </c>
      <c r="E10" s="13" t="n">
        <v>33226</v>
      </c>
      <c r="F10" s="2" t="n">
        <v>254700000009</v>
      </c>
      <c r="G10" s="2" t="n">
        <v>11</v>
      </c>
      <c r="H10" s="2" t="s">
        <v>95</v>
      </c>
      <c r="I10" s="2" t="s">
        <v>8844</v>
      </c>
      <c r="J10" s="2" t="s">
        <v>61</v>
      </c>
      <c r="K10" s="13" t="n">
        <v>45300</v>
      </c>
      <c r="L10" s="2" t="s">
        <v>8821</v>
      </c>
      <c r="M10" s="2" t="s">
        <v>36</v>
      </c>
    </row>
    <row r="11" customFormat="false" ht="15" hidden="false" customHeight="false" outlineLevel="0" collapsed="false">
      <c r="A11" s="2" t="s">
        <v>136</v>
      </c>
      <c r="B11" s="2" t="s">
        <v>8845</v>
      </c>
      <c r="C11" s="2" t="s">
        <v>8846</v>
      </c>
      <c r="D11" s="2" t="s">
        <v>8824</v>
      </c>
      <c r="E11" s="13" t="n">
        <v>34834</v>
      </c>
      <c r="F11" s="2" t="n">
        <v>254700000010</v>
      </c>
      <c r="G11" s="2" t="n">
        <v>14</v>
      </c>
      <c r="H11" s="2" t="s">
        <v>95</v>
      </c>
      <c r="I11" s="2" t="s">
        <v>8847</v>
      </c>
      <c r="J11" s="2" t="s">
        <v>60</v>
      </c>
      <c r="K11" s="13" t="n">
        <v>45366</v>
      </c>
      <c r="L11" s="2" t="s">
        <v>8821</v>
      </c>
      <c r="M11" s="2" t="s">
        <v>36</v>
      </c>
    </row>
    <row r="12" customFormat="false" ht="15" hidden="false" customHeight="false" outlineLevel="0" collapsed="false">
      <c r="A12" s="2" t="s">
        <v>496</v>
      </c>
      <c r="B12" s="2" t="s">
        <v>8843</v>
      </c>
      <c r="C12" s="2" t="s">
        <v>8839</v>
      </c>
      <c r="D12" s="2" t="s">
        <v>8819</v>
      </c>
      <c r="E12" s="13" t="n">
        <v>28149</v>
      </c>
      <c r="F12" s="2" t="n">
        <v>254723756669</v>
      </c>
      <c r="G12" s="2" t="n">
        <v>11</v>
      </c>
      <c r="H12" s="2" t="s">
        <v>95</v>
      </c>
      <c r="I12" s="2" t="s">
        <v>8848</v>
      </c>
      <c r="J12" s="2" t="s">
        <v>61</v>
      </c>
      <c r="K12" s="13" t="n">
        <v>45208</v>
      </c>
      <c r="L12" s="2" t="s">
        <v>8821</v>
      </c>
      <c r="M12" s="2" t="s">
        <v>36</v>
      </c>
    </row>
    <row r="13" customFormat="false" ht="15" hidden="false" customHeight="false" outlineLevel="0" collapsed="false">
      <c r="A13" s="2" t="s">
        <v>559</v>
      </c>
      <c r="B13" s="2" t="s">
        <v>8849</v>
      </c>
      <c r="C13" s="2" t="s">
        <v>8818</v>
      </c>
      <c r="D13" s="2" t="s">
        <v>8819</v>
      </c>
      <c r="E13" s="13" t="n">
        <v>27492</v>
      </c>
      <c r="F13" s="2" t="n">
        <v>254797226012</v>
      </c>
      <c r="G13" s="2" t="n">
        <v>12</v>
      </c>
      <c r="H13" s="2" t="s">
        <v>8850</v>
      </c>
      <c r="I13" s="2" t="s">
        <v>8831</v>
      </c>
      <c r="J13" s="2" t="s">
        <v>61</v>
      </c>
      <c r="K13" s="13" t="n">
        <v>45444</v>
      </c>
      <c r="L13" s="2" t="s">
        <v>8821</v>
      </c>
      <c r="M13" s="2" t="s">
        <v>36</v>
      </c>
    </row>
    <row r="14" customFormat="false" ht="15" hidden="false" customHeight="false" outlineLevel="0" collapsed="false">
      <c r="A14" s="2" t="s">
        <v>2680</v>
      </c>
      <c r="B14" s="2" t="s">
        <v>8845</v>
      </c>
      <c r="C14" s="2" t="s">
        <v>8833</v>
      </c>
      <c r="D14" s="2" t="s">
        <v>8819</v>
      </c>
      <c r="E14" s="13" t="n">
        <v>29569</v>
      </c>
      <c r="F14" s="2" t="n">
        <v>254755176955</v>
      </c>
      <c r="G14" s="2" t="n">
        <v>2</v>
      </c>
      <c r="H14" s="2" t="s">
        <v>95</v>
      </c>
      <c r="I14" s="2" t="s">
        <v>8842</v>
      </c>
      <c r="J14" s="2" t="s">
        <v>58</v>
      </c>
      <c r="K14" s="13" t="n">
        <v>45275</v>
      </c>
      <c r="L14" s="2" t="s">
        <v>8821</v>
      </c>
      <c r="M14" s="2" t="s">
        <v>36</v>
      </c>
    </row>
    <row r="15" customFormat="false" ht="15" hidden="false" customHeight="false" outlineLevel="0" collapsed="false">
      <c r="A15" s="2" t="s">
        <v>3517</v>
      </c>
      <c r="B15" s="2" t="s">
        <v>8851</v>
      </c>
      <c r="C15" s="2" t="s">
        <v>8830</v>
      </c>
      <c r="D15" s="2" t="s">
        <v>8824</v>
      </c>
      <c r="E15" s="13" t="n">
        <v>31436</v>
      </c>
      <c r="F15" s="2" t="n">
        <v>254720576383</v>
      </c>
      <c r="G15" s="2" t="n">
        <v>9</v>
      </c>
      <c r="H15" s="2" t="s">
        <v>8850</v>
      </c>
      <c r="I15" s="2" t="s">
        <v>8852</v>
      </c>
      <c r="J15" s="2" t="s">
        <v>62</v>
      </c>
      <c r="K15" s="13" t="n">
        <v>45397</v>
      </c>
      <c r="L15" s="2" t="s">
        <v>8821</v>
      </c>
      <c r="M15" s="2" t="s">
        <v>36</v>
      </c>
    </row>
    <row r="16" customFormat="false" ht="15" hidden="false" customHeight="false" outlineLevel="0" collapsed="false">
      <c r="A16" s="2" t="s">
        <v>7543</v>
      </c>
      <c r="B16" s="2" t="s">
        <v>8853</v>
      </c>
      <c r="C16" s="2" t="s">
        <v>8854</v>
      </c>
      <c r="D16" s="2" t="s">
        <v>8819</v>
      </c>
      <c r="E16" s="13" t="n">
        <v>27051</v>
      </c>
      <c r="F16" s="2" t="n">
        <v>254741244663</v>
      </c>
      <c r="G16" s="2" t="n">
        <v>14</v>
      </c>
      <c r="H16" s="2" t="s">
        <v>95</v>
      </c>
      <c r="I16" s="2" t="s">
        <v>8842</v>
      </c>
      <c r="J16" s="2" t="s">
        <v>60</v>
      </c>
      <c r="K16" s="13" t="n">
        <v>45160</v>
      </c>
      <c r="L16" s="2" t="s">
        <v>8855</v>
      </c>
      <c r="M16" s="2" t="s">
        <v>36</v>
      </c>
    </row>
    <row r="17" customFormat="false" ht="15" hidden="false" customHeight="false" outlineLevel="0" collapsed="false">
      <c r="A17" s="2" t="s">
        <v>4849</v>
      </c>
      <c r="B17" s="2" t="s">
        <v>8856</v>
      </c>
      <c r="C17" s="2" t="s">
        <v>8846</v>
      </c>
      <c r="D17" s="2" t="s">
        <v>8819</v>
      </c>
      <c r="E17" s="13" t="n">
        <v>29384</v>
      </c>
      <c r="F17" s="2" t="n">
        <v>254791756179</v>
      </c>
      <c r="G17" s="2" t="n">
        <v>11</v>
      </c>
      <c r="H17" s="2" t="s">
        <v>95</v>
      </c>
      <c r="I17" s="2" t="s">
        <v>8857</v>
      </c>
      <c r="J17" s="2" t="s">
        <v>59</v>
      </c>
      <c r="K17" s="13" t="n">
        <v>45141</v>
      </c>
      <c r="L17" s="2" t="s">
        <v>8821</v>
      </c>
      <c r="M17" s="2" t="s">
        <v>8858</v>
      </c>
    </row>
    <row r="18" customFormat="false" ht="15" hidden="false" customHeight="false" outlineLevel="0" collapsed="false">
      <c r="A18" s="2" t="s">
        <v>491</v>
      </c>
      <c r="B18" s="2" t="s">
        <v>8851</v>
      </c>
      <c r="C18" s="2" t="s">
        <v>8839</v>
      </c>
      <c r="D18" s="2" t="s">
        <v>8824</v>
      </c>
      <c r="E18" s="13" t="n">
        <v>34475</v>
      </c>
      <c r="F18" s="2" t="n">
        <v>254717507864</v>
      </c>
      <c r="G18" s="2" t="n">
        <v>4</v>
      </c>
      <c r="H18" s="2" t="s">
        <v>95</v>
      </c>
      <c r="I18" s="2" t="s">
        <v>8844</v>
      </c>
      <c r="J18" s="2" t="s">
        <v>61</v>
      </c>
      <c r="K18" s="13" t="n">
        <v>45631</v>
      </c>
      <c r="L18" s="2" t="s">
        <v>8821</v>
      </c>
      <c r="M18" s="2" t="s">
        <v>36</v>
      </c>
    </row>
    <row r="19" customFormat="false" ht="15" hidden="false" customHeight="false" outlineLevel="0" collapsed="false">
      <c r="A19" s="2" t="s">
        <v>1516</v>
      </c>
      <c r="B19" s="2" t="s">
        <v>8840</v>
      </c>
      <c r="C19" s="2" t="s">
        <v>8859</v>
      </c>
      <c r="D19" s="2" t="s">
        <v>8824</v>
      </c>
      <c r="E19" s="13" t="n">
        <v>30612</v>
      </c>
      <c r="F19" s="2" t="n">
        <v>254796282117</v>
      </c>
      <c r="G19" s="2" t="n">
        <v>8</v>
      </c>
      <c r="H19" s="2" t="s">
        <v>95</v>
      </c>
      <c r="I19" s="2" t="s">
        <v>8834</v>
      </c>
      <c r="J19" s="2" t="s">
        <v>59</v>
      </c>
      <c r="K19" s="13" t="n">
        <v>45249</v>
      </c>
      <c r="L19" s="2" t="s">
        <v>8821</v>
      </c>
      <c r="M19" s="2" t="s">
        <v>36</v>
      </c>
    </row>
    <row r="20" customFormat="false" ht="15" hidden="false" customHeight="false" outlineLevel="0" collapsed="false">
      <c r="A20" s="2" t="s">
        <v>4815</v>
      </c>
      <c r="B20" s="2" t="s">
        <v>8843</v>
      </c>
      <c r="C20" s="2" t="s">
        <v>8833</v>
      </c>
      <c r="D20" s="2" t="s">
        <v>8824</v>
      </c>
      <c r="E20" s="13" t="n">
        <v>35716</v>
      </c>
      <c r="F20" s="2" t="n">
        <v>254722201654</v>
      </c>
      <c r="G20" s="2" t="n">
        <v>13</v>
      </c>
      <c r="H20" s="2" t="s">
        <v>95</v>
      </c>
      <c r="I20" s="2" t="s">
        <v>8825</v>
      </c>
      <c r="J20" s="2" t="s">
        <v>59</v>
      </c>
      <c r="K20" s="13" t="n">
        <v>45297</v>
      </c>
      <c r="L20" s="2" t="s">
        <v>8821</v>
      </c>
      <c r="M20" s="2" t="s">
        <v>8858</v>
      </c>
    </row>
    <row r="21" customFormat="false" ht="15" hidden="false" customHeight="false" outlineLevel="0" collapsed="false">
      <c r="A21" s="2" t="s">
        <v>8789</v>
      </c>
      <c r="B21" s="2" t="s">
        <v>8860</v>
      </c>
      <c r="C21" s="2" t="s">
        <v>8861</v>
      </c>
      <c r="D21" s="2" t="s">
        <v>8824</v>
      </c>
      <c r="E21" s="13" t="n">
        <v>27223</v>
      </c>
      <c r="F21" s="2" t="n">
        <v>254784252722</v>
      </c>
      <c r="G21" s="2" t="n">
        <v>14</v>
      </c>
      <c r="H21" s="2" t="s">
        <v>95</v>
      </c>
      <c r="I21" s="2" t="s">
        <v>8852</v>
      </c>
      <c r="J21" s="2" t="s">
        <v>58</v>
      </c>
      <c r="K21" s="13" t="n">
        <v>45537</v>
      </c>
      <c r="L21" s="2" t="s">
        <v>8821</v>
      </c>
      <c r="M21" s="2" t="s">
        <v>36</v>
      </c>
    </row>
    <row r="22" customFormat="false" ht="15" hidden="false" customHeight="false" outlineLevel="0" collapsed="false">
      <c r="A22" s="2" t="s">
        <v>679</v>
      </c>
      <c r="B22" s="2" t="s">
        <v>8860</v>
      </c>
      <c r="C22" s="2" t="s">
        <v>8818</v>
      </c>
      <c r="D22" s="2" t="s">
        <v>8824</v>
      </c>
      <c r="E22" s="13" t="n">
        <v>28259</v>
      </c>
      <c r="F22" s="2" t="n">
        <v>254777187530</v>
      </c>
      <c r="G22" s="2" t="n">
        <v>13</v>
      </c>
      <c r="H22" s="2" t="s">
        <v>95</v>
      </c>
      <c r="I22" s="2" t="s">
        <v>8857</v>
      </c>
      <c r="J22" s="2" t="s">
        <v>58</v>
      </c>
      <c r="K22" s="13" t="n">
        <v>45088</v>
      </c>
      <c r="L22" s="2" t="s">
        <v>8821</v>
      </c>
      <c r="M22" s="2" t="s">
        <v>36</v>
      </c>
    </row>
    <row r="23" customFormat="false" ht="15" hidden="false" customHeight="false" outlineLevel="0" collapsed="false">
      <c r="A23" s="2" t="s">
        <v>5263</v>
      </c>
      <c r="B23" s="2" t="s">
        <v>8851</v>
      </c>
      <c r="C23" s="2" t="s">
        <v>8861</v>
      </c>
      <c r="D23" s="2" t="s">
        <v>8819</v>
      </c>
      <c r="E23" s="13" t="n">
        <v>29031</v>
      </c>
      <c r="F23" s="2" t="n">
        <v>254790388981</v>
      </c>
      <c r="G23" s="2" t="n">
        <v>6</v>
      </c>
      <c r="H23" s="2" t="s">
        <v>8850</v>
      </c>
      <c r="I23" s="2" t="s">
        <v>8820</v>
      </c>
      <c r="J23" s="2" t="s">
        <v>58</v>
      </c>
      <c r="K23" s="13" t="n">
        <v>45092</v>
      </c>
      <c r="L23" s="2" t="s">
        <v>8821</v>
      </c>
      <c r="M23" s="2" t="s">
        <v>36</v>
      </c>
    </row>
    <row r="24" customFormat="false" ht="15" hidden="false" customHeight="false" outlineLevel="0" collapsed="false">
      <c r="A24" s="2" t="s">
        <v>7463</v>
      </c>
      <c r="B24" s="2" t="s">
        <v>8826</v>
      </c>
      <c r="C24" s="2" t="s">
        <v>8827</v>
      </c>
      <c r="D24" s="2" t="s">
        <v>8824</v>
      </c>
      <c r="E24" s="13" t="n">
        <v>31055</v>
      </c>
      <c r="F24" s="2" t="n">
        <v>254719289546</v>
      </c>
      <c r="G24" s="2" t="n">
        <v>13</v>
      </c>
      <c r="H24" s="2" t="s">
        <v>95</v>
      </c>
      <c r="I24" s="2" t="s">
        <v>8828</v>
      </c>
      <c r="J24" s="2" t="s">
        <v>61</v>
      </c>
      <c r="K24" s="13" t="n">
        <v>45507</v>
      </c>
      <c r="L24" s="2" t="s">
        <v>8821</v>
      </c>
      <c r="M24" s="2" t="s">
        <v>36</v>
      </c>
    </row>
    <row r="25" customFormat="false" ht="15" hidden="false" customHeight="false" outlineLevel="0" collapsed="false">
      <c r="A25" s="2" t="s">
        <v>660</v>
      </c>
      <c r="B25" s="2" t="s">
        <v>8840</v>
      </c>
      <c r="C25" s="2" t="s">
        <v>8854</v>
      </c>
      <c r="D25" s="2" t="s">
        <v>8824</v>
      </c>
      <c r="E25" s="13" t="n">
        <v>35538</v>
      </c>
      <c r="F25" s="2" t="n">
        <v>254797225156</v>
      </c>
      <c r="G25" s="2" t="n">
        <v>6</v>
      </c>
      <c r="H25" s="2" t="s">
        <v>8850</v>
      </c>
      <c r="I25" s="2" t="s">
        <v>8857</v>
      </c>
      <c r="J25" s="2" t="s">
        <v>61</v>
      </c>
      <c r="K25" s="13" t="n">
        <v>45633</v>
      </c>
      <c r="L25" s="2" t="s">
        <v>8821</v>
      </c>
      <c r="M25" s="2" t="s">
        <v>36</v>
      </c>
    </row>
    <row r="26" customFormat="false" ht="15" hidden="false" customHeight="false" outlineLevel="0" collapsed="false">
      <c r="A26" s="2" t="s">
        <v>549</v>
      </c>
      <c r="B26" s="2" t="s">
        <v>8862</v>
      </c>
      <c r="C26" s="2" t="s">
        <v>8863</v>
      </c>
      <c r="D26" s="2" t="s">
        <v>8819</v>
      </c>
      <c r="E26" s="13" t="n">
        <v>30723</v>
      </c>
      <c r="F26" s="2" t="n">
        <v>254788979095</v>
      </c>
      <c r="G26" s="2" t="n">
        <v>4</v>
      </c>
      <c r="H26" s="2" t="s">
        <v>95</v>
      </c>
      <c r="I26" s="2" t="s">
        <v>8825</v>
      </c>
      <c r="J26" s="2" t="s">
        <v>58</v>
      </c>
      <c r="K26" s="13" t="n">
        <v>44948</v>
      </c>
      <c r="L26" s="2" t="s">
        <v>8821</v>
      </c>
      <c r="M26" s="2" t="s">
        <v>36</v>
      </c>
    </row>
    <row r="27" customFormat="false" ht="15" hidden="false" customHeight="false" outlineLevel="0" collapsed="false">
      <c r="A27" s="2" t="s">
        <v>2128</v>
      </c>
      <c r="B27" s="2" t="s">
        <v>8843</v>
      </c>
      <c r="C27" s="2" t="s">
        <v>8846</v>
      </c>
      <c r="D27" s="2" t="s">
        <v>8824</v>
      </c>
      <c r="E27" s="13" t="n">
        <v>26453</v>
      </c>
      <c r="F27" s="2" t="n">
        <v>254738754377</v>
      </c>
      <c r="G27" s="2" t="n">
        <v>9</v>
      </c>
      <c r="H27" s="2" t="s">
        <v>95</v>
      </c>
      <c r="I27" s="2" t="s">
        <v>8864</v>
      </c>
      <c r="J27" s="2" t="s">
        <v>62</v>
      </c>
      <c r="K27" s="13" t="n">
        <v>45453</v>
      </c>
      <c r="L27" s="2" t="s">
        <v>8855</v>
      </c>
      <c r="M27" s="2" t="s">
        <v>36</v>
      </c>
    </row>
    <row r="28" customFormat="false" ht="15" hidden="false" customHeight="false" outlineLevel="0" collapsed="false">
      <c r="A28" s="2" t="s">
        <v>2690</v>
      </c>
      <c r="B28" s="2" t="s">
        <v>8829</v>
      </c>
      <c r="C28" s="2" t="s">
        <v>8865</v>
      </c>
      <c r="D28" s="2" t="s">
        <v>8824</v>
      </c>
      <c r="E28" s="13" t="n">
        <v>36714</v>
      </c>
      <c r="F28" s="2" t="n">
        <v>254766851760</v>
      </c>
      <c r="G28" s="2" t="n">
        <v>7</v>
      </c>
      <c r="H28" s="2" t="s">
        <v>8850</v>
      </c>
      <c r="I28" s="2" t="s">
        <v>8864</v>
      </c>
      <c r="J28" s="2" t="s">
        <v>58</v>
      </c>
      <c r="K28" s="13" t="n">
        <v>45023</v>
      </c>
      <c r="L28" s="2" t="s">
        <v>8821</v>
      </c>
      <c r="M28" s="2" t="s">
        <v>36</v>
      </c>
    </row>
    <row r="29" customFormat="false" ht="15" hidden="false" customHeight="false" outlineLevel="0" collapsed="false">
      <c r="A29" s="2" t="s">
        <v>4875</v>
      </c>
      <c r="B29" s="2" t="s">
        <v>8843</v>
      </c>
      <c r="C29" s="2" t="s">
        <v>8841</v>
      </c>
      <c r="D29" s="2" t="s">
        <v>8819</v>
      </c>
      <c r="E29" s="13" t="n">
        <v>35044</v>
      </c>
      <c r="F29" s="2" t="n">
        <v>254781979055</v>
      </c>
      <c r="G29" s="2" t="n">
        <v>8</v>
      </c>
      <c r="H29" s="2" t="s">
        <v>95</v>
      </c>
      <c r="I29" s="2" t="s">
        <v>8842</v>
      </c>
      <c r="J29" s="2" t="s">
        <v>59</v>
      </c>
      <c r="K29" s="13" t="n">
        <v>45038</v>
      </c>
      <c r="L29" s="2" t="s">
        <v>8821</v>
      </c>
      <c r="M29" s="2" t="s">
        <v>8858</v>
      </c>
    </row>
    <row r="30" customFormat="false" ht="15" hidden="false" customHeight="false" outlineLevel="0" collapsed="false">
      <c r="A30" s="2" t="s">
        <v>2670</v>
      </c>
      <c r="B30" s="2" t="s">
        <v>8829</v>
      </c>
      <c r="C30" s="2" t="s">
        <v>8823</v>
      </c>
      <c r="D30" s="2" t="s">
        <v>8819</v>
      </c>
      <c r="E30" s="13" t="n">
        <v>31093</v>
      </c>
      <c r="F30" s="2" t="n">
        <v>254722517517</v>
      </c>
      <c r="G30" s="2" t="n">
        <v>15</v>
      </c>
      <c r="H30" s="2" t="s">
        <v>95</v>
      </c>
      <c r="I30" s="2" t="s">
        <v>8828</v>
      </c>
      <c r="J30" s="2" t="s">
        <v>61</v>
      </c>
      <c r="K30" s="13" t="n">
        <v>45490</v>
      </c>
      <c r="L30" s="2" t="s">
        <v>8855</v>
      </c>
      <c r="M30" s="2" t="s">
        <v>8858</v>
      </c>
    </row>
    <row r="31" customFormat="false" ht="15" hidden="false" customHeight="false" outlineLevel="0" collapsed="false">
      <c r="A31" s="2" t="s">
        <v>2307</v>
      </c>
      <c r="B31" s="2" t="s">
        <v>8866</v>
      </c>
      <c r="C31" s="2" t="s">
        <v>8818</v>
      </c>
      <c r="D31" s="2" t="s">
        <v>8824</v>
      </c>
      <c r="E31" s="13" t="n">
        <v>30499</v>
      </c>
      <c r="F31" s="2" t="n">
        <v>254745594951</v>
      </c>
      <c r="G31" s="2" t="n">
        <v>15</v>
      </c>
      <c r="H31" s="2" t="s">
        <v>8850</v>
      </c>
      <c r="I31" s="2" t="s">
        <v>8834</v>
      </c>
      <c r="J31" s="2" t="s">
        <v>61</v>
      </c>
      <c r="K31" s="13" t="n">
        <v>45095</v>
      </c>
      <c r="L31" s="2" t="s">
        <v>8855</v>
      </c>
      <c r="M31" s="2" t="s">
        <v>36</v>
      </c>
    </row>
    <row r="32" customFormat="false" ht="15" hidden="false" customHeight="false" outlineLevel="0" collapsed="false">
      <c r="A32" s="2" t="s">
        <v>7289</v>
      </c>
      <c r="B32" s="2" t="s">
        <v>8862</v>
      </c>
      <c r="C32" s="2" t="s">
        <v>8863</v>
      </c>
      <c r="D32" s="2" t="s">
        <v>8819</v>
      </c>
      <c r="E32" s="13" t="n">
        <v>30078</v>
      </c>
      <c r="F32" s="2" t="n">
        <v>254752091325</v>
      </c>
      <c r="G32" s="2" t="n">
        <v>1</v>
      </c>
      <c r="H32" s="2" t="s">
        <v>95</v>
      </c>
      <c r="I32" s="2" t="s">
        <v>8848</v>
      </c>
      <c r="J32" s="2" t="s">
        <v>61</v>
      </c>
      <c r="K32" s="13" t="n">
        <v>44986</v>
      </c>
      <c r="L32" s="2" t="s">
        <v>8821</v>
      </c>
      <c r="M32" s="2" t="s">
        <v>36</v>
      </c>
    </row>
    <row r="33" customFormat="false" ht="15" hidden="false" customHeight="false" outlineLevel="0" collapsed="false">
      <c r="A33" s="2" t="s">
        <v>4397</v>
      </c>
      <c r="B33" s="2" t="s">
        <v>8826</v>
      </c>
      <c r="C33" s="2" t="s">
        <v>8867</v>
      </c>
      <c r="D33" s="2" t="s">
        <v>8819</v>
      </c>
      <c r="E33" s="13" t="n">
        <v>37315</v>
      </c>
      <c r="F33" s="2" t="n">
        <v>254741568532</v>
      </c>
      <c r="G33" s="2" t="n">
        <v>7</v>
      </c>
      <c r="H33" s="2" t="s">
        <v>95</v>
      </c>
      <c r="I33" s="2" t="s">
        <v>8848</v>
      </c>
      <c r="J33" s="2" t="s">
        <v>59</v>
      </c>
      <c r="K33" s="13" t="n">
        <v>45117</v>
      </c>
      <c r="L33" s="2" t="s">
        <v>8821</v>
      </c>
      <c r="M33" s="2" t="s">
        <v>36</v>
      </c>
    </row>
    <row r="34" customFormat="false" ht="15" hidden="false" customHeight="false" outlineLevel="0" collapsed="false">
      <c r="A34" s="2" t="s">
        <v>1764</v>
      </c>
      <c r="B34" s="2" t="s">
        <v>8868</v>
      </c>
      <c r="C34" s="2" t="s">
        <v>8869</v>
      </c>
      <c r="D34" s="2" t="s">
        <v>8824</v>
      </c>
      <c r="E34" s="13" t="n">
        <v>35388</v>
      </c>
      <c r="F34" s="2" t="n">
        <v>254737415205</v>
      </c>
      <c r="G34" s="2" t="n">
        <v>11</v>
      </c>
      <c r="H34" s="2" t="s">
        <v>8850</v>
      </c>
      <c r="I34" s="2" t="s">
        <v>8831</v>
      </c>
      <c r="J34" s="2" t="s">
        <v>60</v>
      </c>
      <c r="K34" s="13" t="n">
        <v>45505</v>
      </c>
      <c r="L34" s="2" t="s">
        <v>8855</v>
      </c>
      <c r="M34" s="2" t="s">
        <v>36</v>
      </c>
    </row>
    <row r="35" customFormat="false" ht="15" hidden="false" customHeight="false" outlineLevel="0" collapsed="false">
      <c r="A35" s="2" t="s">
        <v>2223</v>
      </c>
      <c r="B35" s="2" t="s">
        <v>8817</v>
      </c>
      <c r="C35" s="2" t="s">
        <v>8870</v>
      </c>
      <c r="D35" s="2" t="s">
        <v>8819</v>
      </c>
      <c r="E35" s="13" t="n">
        <v>32731</v>
      </c>
      <c r="F35" s="2" t="n">
        <v>254719832887</v>
      </c>
      <c r="G35" s="2" t="n">
        <v>9</v>
      </c>
      <c r="H35" s="2" t="s">
        <v>95</v>
      </c>
      <c r="I35" s="2" t="s">
        <v>8857</v>
      </c>
      <c r="J35" s="2" t="s">
        <v>60</v>
      </c>
      <c r="K35" s="13" t="n">
        <v>45001</v>
      </c>
      <c r="L35" s="2" t="s">
        <v>8821</v>
      </c>
      <c r="M35" s="2" t="s">
        <v>36</v>
      </c>
    </row>
    <row r="36" customFormat="false" ht="15" hidden="false" customHeight="false" outlineLevel="0" collapsed="false">
      <c r="A36" s="2" t="s">
        <v>6731</v>
      </c>
      <c r="B36" s="2" t="s">
        <v>8835</v>
      </c>
      <c r="C36" s="2" t="s">
        <v>8870</v>
      </c>
      <c r="D36" s="2" t="s">
        <v>8824</v>
      </c>
      <c r="E36" s="13" t="n">
        <v>27131</v>
      </c>
      <c r="F36" s="2" t="n">
        <v>254792097999</v>
      </c>
      <c r="G36" s="2" t="n">
        <v>13</v>
      </c>
      <c r="H36" s="2" t="s">
        <v>95</v>
      </c>
      <c r="I36" s="2" t="s">
        <v>8852</v>
      </c>
      <c r="J36" s="2" t="s">
        <v>62</v>
      </c>
      <c r="K36" s="13" t="n">
        <v>45218</v>
      </c>
      <c r="L36" s="2" t="s">
        <v>8821</v>
      </c>
      <c r="M36" s="2" t="s">
        <v>36</v>
      </c>
    </row>
    <row r="37" customFormat="false" ht="15" hidden="false" customHeight="false" outlineLevel="0" collapsed="false">
      <c r="A37" s="2" t="s">
        <v>1047</v>
      </c>
      <c r="B37" s="2" t="s">
        <v>8871</v>
      </c>
      <c r="C37" s="2" t="s">
        <v>8863</v>
      </c>
      <c r="D37" s="2" t="s">
        <v>8819</v>
      </c>
      <c r="E37" s="13" t="n">
        <v>28614</v>
      </c>
      <c r="F37" s="2" t="n">
        <v>254746553958</v>
      </c>
      <c r="G37" s="2" t="n">
        <v>5</v>
      </c>
      <c r="H37" s="2" t="s">
        <v>95</v>
      </c>
      <c r="I37" s="2" t="s">
        <v>8864</v>
      </c>
      <c r="J37" s="2" t="s">
        <v>60</v>
      </c>
      <c r="K37" s="13" t="n">
        <v>45036</v>
      </c>
      <c r="L37" s="2" t="s">
        <v>8821</v>
      </c>
      <c r="M37" s="2" t="s">
        <v>36</v>
      </c>
    </row>
    <row r="38" customFormat="false" ht="15" hidden="false" customHeight="false" outlineLevel="0" collapsed="false">
      <c r="A38" s="2" t="s">
        <v>5835</v>
      </c>
      <c r="B38" s="2" t="s">
        <v>8826</v>
      </c>
      <c r="C38" s="2" t="s">
        <v>8865</v>
      </c>
      <c r="D38" s="2" t="s">
        <v>8824</v>
      </c>
      <c r="E38" s="13" t="n">
        <v>37477</v>
      </c>
      <c r="F38" s="2" t="n">
        <v>254715917225</v>
      </c>
      <c r="G38" s="2" t="n">
        <v>1</v>
      </c>
      <c r="H38" s="2" t="s">
        <v>8850</v>
      </c>
      <c r="I38" s="2" t="s">
        <v>8828</v>
      </c>
      <c r="J38" s="2" t="s">
        <v>60</v>
      </c>
      <c r="K38" s="13" t="n">
        <v>44979</v>
      </c>
      <c r="L38" s="2" t="s">
        <v>8821</v>
      </c>
      <c r="M38" s="2" t="s">
        <v>8858</v>
      </c>
    </row>
    <row r="39" customFormat="false" ht="15" hidden="false" customHeight="false" outlineLevel="0" collapsed="false">
      <c r="A39" s="2" t="s">
        <v>2810</v>
      </c>
      <c r="B39" s="2" t="s">
        <v>8826</v>
      </c>
      <c r="C39" s="2" t="s">
        <v>8833</v>
      </c>
      <c r="D39" s="2" t="s">
        <v>8819</v>
      </c>
      <c r="E39" s="13" t="n">
        <v>35674</v>
      </c>
      <c r="F39" s="2" t="n">
        <v>254759555330</v>
      </c>
      <c r="G39" s="2" t="n">
        <v>10</v>
      </c>
      <c r="H39" s="2" t="s">
        <v>95</v>
      </c>
      <c r="I39" s="2" t="s">
        <v>8842</v>
      </c>
      <c r="J39" s="2" t="s">
        <v>59</v>
      </c>
      <c r="K39" s="13" t="n">
        <v>45041</v>
      </c>
      <c r="L39" s="2" t="s">
        <v>8821</v>
      </c>
      <c r="M39" s="2" t="s">
        <v>36</v>
      </c>
    </row>
    <row r="40" customFormat="false" ht="15" hidden="false" customHeight="false" outlineLevel="0" collapsed="false">
      <c r="A40" s="2" t="s">
        <v>1142</v>
      </c>
      <c r="B40" s="2" t="s">
        <v>8856</v>
      </c>
      <c r="C40" s="2" t="s">
        <v>8839</v>
      </c>
      <c r="D40" s="2" t="s">
        <v>8819</v>
      </c>
      <c r="E40" s="13" t="n">
        <v>33981</v>
      </c>
      <c r="F40" s="2" t="n">
        <v>254757469942</v>
      </c>
      <c r="G40" s="2" t="n">
        <v>13</v>
      </c>
      <c r="H40" s="2" t="s">
        <v>8850</v>
      </c>
      <c r="I40" s="2" t="s">
        <v>8848</v>
      </c>
      <c r="J40" s="2" t="s">
        <v>59</v>
      </c>
      <c r="K40" s="13" t="n">
        <v>45142</v>
      </c>
      <c r="L40" s="2" t="s">
        <v>8821</v>
      </c>
      <c r="M40" s="2" t="s">
        <v>36</v>
      </c>
    </row>
    <row r="41" customFormat="false" ht="15" hidden="false" customHeight="false" outlineLevel="0" collapsed="false">
      <c r="A41" s="2" t="s">
        <v>2160</v>
      </c>
      <c r="B41" s="2" t="s">
        <v>8871</v>
      </c>
      <c r="C41" s="2" t="s">
        <v>8869</v>
      </c>
      <c r="D41" s="2" t="s">
        <v>8824</v>
      </c>
      <c r="E41" s="13" t="n">
        <v>29768</v>
      </c>
      <c r="F41" s="2" t="n">
        <v>254799913412</v>
      </c>
      <c r="G41" s="2" t="n">
        <v>14</v>
      </c>
      <c r="H41" s="2" t="s">
        <v>95</v>
      </c>
      <c r="I41" s="2" t="s">
        <v>8834</v>
      </c>
      <c r="J41" s="2" t="s">
        <v>59</v>
      </c>
      <c r="K41" s="13" t="n">
        <v>45110</v>
      </c>
      <c r="L41" s="2" t="s">
        <v>8821</v>
      </c>
      <c r="M41" s="2" t="s">
        <v>8858</v>
      </c>
    </row>
    <row r="42" customFormat="false" ht="15" hidden="false" customHeight="false" outlineLevel="0" collapsed="false">
      <c r="A42" s="2" t="s">
        <v>3953</v>
      </c>
      <c r="B42" s="2" t="s">
        <v>8872</v>
      </c>
      <c r="C42" s="2" t="s">
        <v>8870</v>
      </c>
      <c r="D42" s="2" t="s">
        <v>8824</v>
      </c>
      <c r="E42" s="13" t="n">
        <v>26519</v>
      </c>
      <c r="F42" s="2" t="n">
        <v>254750962024</v>
      </c>
      <c r="G42" s="2" t="n">
        <v>14</v>
      </c>
      <c r="H42" s="2" t="s">
        <v>95</v>
      </c>
      <c r="I42" s="2" t="s">
        <v>8831</v>
      </c>
      <c r="J42" s="2" t="s">
        <v>58</v>
      </c>
      <c r="K42" s="13" t="n">
        <v>45131</v>
      </c>
      <c r="L42" s="2" t="s">
        <v>8821</v>
      </c>
      <c r="M42" s="2" t="s">
        <v>8858</v>
      </c>
    </row>
    <row r="43" customFormat="false" ht="15" hidden="false" customHeight="false" outlineLevel="0" collapsed="false">
      <c r="A43" s="2" t="s">
        <v>1099</v>
      </c>
      <c r="B43" s="2" t="s">
        <v>8853</v>
      </c>
      <c r="C43" s="2" t="s">
        <v>8846</v>
      </c>
      <c r="D43" s="2" t="s">
        <v>8824</v>
      </c>
      <c r="E43" s="13" t="n">
        <v>33386</v>
      </c>
      <c r="F43" s="2" t="n">
        <v>254796098221</v>
      </c>
      <c r="G43" s="2" t="n">
        <v>9</v>
      </c>
      <c r="H43" s="2" t="s">
        <v>8850</v>
      </c>
      <c r="I43" s="2" t="s">
        <v>8852</v>
      </c>
      <c r="J43" s="2" t="s">
        <v>62</v>
      </c>
      <c r="K43" s="13" t="n">
        <v>44998</v>
      </c>
      <c r="L43" s="2" t="s">
        <v>8821</v>
      </c>
      <c r="M43" s="2" t="s">
        <v>36</v>
      </c>
    </row>
    <row r="44" customFormat="false" ht="15" hidden="false" customHeight="false" outlineLevel="0" collapsed="false">
      <c r="A44" s="2" t="s">
        <v>2036</v>
      </c>
      <c r="B44" s="2" t="s">
        <v>8845</v>
      </c>
      <c r="C44" s="2" t="s">
        <v>8823</v>
      </c>
      <c r="D44" s="2" t="s">
        <v>8819</v>
      </c>
      <c r="E44" s="13" t="n">
        <v>28251</v>
      </c>
      <c r="F44" s="2" t="n">
        <v>254790070438</v>
      </c>
      <c r="G44" s="2" t="n">
        <v>7</v>
      </c>
      <c r="H44" s="2" t="s">
        <v>8850</v>
      </c>
      <c r="I44" s="2" t="s">
        <v>8864</v>
      </c>
      <c r="J44" s="2" t="s">
        <v>60</v>
      </c>
      <c r="K44" s="13" t="n">
        <v>45521</v>
      </c>
      <c r="L44" s="2" t="s">
        <v>8855</v>
      </c>
      <c r="M44" s="2" t="s">
        <v>36</v>
      </c>
    </row>
    <row r="45" customFormat="false" ht="15" hidden="false" customHeight="false" outlineLevel="0" collapsed="false">
      <c r="A45" s="2" t="s">
        <v>261</v>
      </c>
      <c r="B45" s="2" t="s">
        <v>8822</v>
      </c>
      <c r="C45" s="2" t="s">
        <v>8865</v>
      </c>
      <c r="D45" s="2" t="s">
        <v>8819</v>
      </c>
      <c r="E45" s="13" t="n">
        <v>34614</v>
      </c>
      <c r="F45" s="2" t="n">
        <v>254779782527</v>
      </c>
      <c r="G45" s="2" t="n">
        <v>15</v>
      </c>
      <c r="H45" s="2" t="s">
        <v>95</v>
      </c>
      <c r="I45" s="2" t="s">
        <v>8844</v>
      </c>
      <c r="J45" s="2" t="s">
        <v>61</v>
      </c>
      <c r="K45" s="13" t="n">
        <v>45187</v>
      </c>
      <c r="L45" s="2" t="s">
        <v>8821</v>
      </c>
      <c r="M45" s="2" t="s">
        <v>36</v>
      </c>
    </row>
    <row r="46" customFormat="false" ht="15" hidden="false" customHeight="false" outlineLevel="0" collapsed="false">
      <c r="A46" s="2" t="s">
        <v>4175</v>
      </c>
      <c r="B46" s="2" t="s">
        <v>8871</v>
      </c>
      <c r="C46" s="2" t="s">
        <v>8854</v>
      </c>
      <c r="D46" s="2" t="s">
        <v>8824</v>
      </c>
      <c r="E46" s="13" t="n">
        <v>33205</v>
      </c>
      <c r="F46" s="2" t="n">
        <v>254799508850</v>
      </c>
      <c r="G46" s="2" t="n">
        <v>7</v>
      </c>
      <c r="H46" s="2" t="s">
        <v>8850</v>
      </c>
      <c r="I46" s="2" t="s">
        <v>8842</v>
      </c>
      <c r="J46" s="2" t="s">
        <v>60</v>
      </c>
      <c r="K46" s="13" t="n">
        <v>45054</v>
      </c>
      <c r="L46" s="2" t="s">
        <v>8821</v>
      </c>
      <c r="M46" s="2" t="s">
        <v>36</v>
      </c>
    </row>
    <row r="47" customFormat="false" ht="15" hidden="false" customHeight="false" outlineLevel="0" collapsed="false">
      <c r="A47" s="2" t="s">
        <v>860</v>
      </c>
      <c r="B47" s="2" t="s">
        <v>8871</v>
      </c>
      <c r="C47" s="2" t="s">
        <v>8873</v>
      </c>
      <c r="D47" s="2" t="s">
        <v>8824</v>
      </c>
      <c r="E47" s="13" t="n">
        <v>35382</v>
      </c>
      <c r="F47" s="2" t="n">
        <v>254764502486</v>
      </c>
      <c r="G47" s="2" t="n">
        <v>9</v>
      </c>
      <c r="H47" s="2" t="s">
        <v>95</v>
      </c>
      <c r="I47" s="2" t="s">
        <v>8834</v>
      </c>
      <c r="J47" s="2" t="s">
        <v>60</v>
      </c>
      <c r="K47" s="13" t="n">
        <v>45620</v>
      </c>
      <c r="L47" s="2" t="s">
        <v>8821</v>
      </c>
      <c r="M47" s="2" t="s">
        <v>8858</v>
      </c>
    </row>
    <row r="48" customFormat="false" ht="15" hidden="false" customHeight="false" outlineLevel="0" collapsed="false">
      <c r="A48" s="2" t="s">
        <v>5599</v>
      </c>
      <c r="B48" s="2" t="s">
        <v>8856</v>
      </c>
      <c r="C48" s="2" t="s">
        <v>8841</v>
      </c>
      <c r="D48" s="2" t="s">
        <v>8824</v>
      </c>
      <c r="E48" s="13" t="n">
        <v>33100</v>
      </c>
      <c r="F48" s="2" t="n">
        <v>254732775593</v>
      </c>
      <c r="G48" s="2" t="n">
        <v>11</v>
      </c>
      <c r="H48" s="2" t="s">
        <v>95</v>
      </c>
      <c r="I48" s="2" t="s">
        <v>8834</v>
      </c>
      <c r="J48" s="2" t="s">
        <v>62</v>
      </c>
      <c r="K48" s="13" t="n">
        <v>45379</v>
      </c>
      <c r="L48" s="2" t="s">
        <v>8821</v>
      </c>
      <c r="M48" s="2" t="s">
        <v>36</v>
      </c>
    </row>
    <row r="49" customFormat="false" ht="15" hidden="false" customHeight="false" outlineLevel="0" collapsed="false">
      <c r="A49" s="2" t="s">
        <v>4573</v>
      </c>
      <c r="B49" s="2" t="s">
        <v>8874</v>
      </c>
      <c r="C49" s="2" t="s">
        <v>8841</v>
      </c>
      <c r="D49" s="2" t="s">
        <v>8819</v>
      </c>
      <c r="E49" s="13" t="n">
        <v>31361</v>
      </c>
      <c r="F49" s="2" t="n">
        <v>254713278320</v>
      </c>
      <c r="G49" s="2" t="n">
        <v>1</v>
      </c>
      <c r="H49" s="2" t="s">
        <v>95</v>
      </c>
      <c r="I49" s="2" t="s">
        <v>8847</v>
      </c>
      <c r="J49" s="2" t="s">
        <v>62</v>
      </c>
      <c r="K49" s="13" t="n">
        <v>45157</v>
      </c>
      <c r="L49" s="2" t="s">
        <v>8821</v>
      </c>
      <c r="M49" s="2" t="s">
        <v>8858</v>
      </c>
    </row>
    <row r="50" customFormat="false" ht="15" hidden="false" customHeight="false" outlineLevel="0" collapsed="false">
      <c r="A50" s="2" t="s">
        <v>8646</v>
      </c>
      <c r="B50" s="2" t="s">
        <v>8875</v>
      </c>
      <c r="C50" s="2" t="s">
        <v>8876</v>
      </c>
      <c r="D50" s="2" t="s">
        <v>8824</v>
      </c>
      <c r="E50" s="13" t="n">
        <v>35388</v>
      </c>
      <c r="F50" s="2" t="n">
        <v>254763640499</v>
      </c>
      <c r="G50" s="2" t="n">
        <v>4</v>
      </c>
      <c r="H50" s="2" t="s">
        <v>95</v>
      </c>
      <c r="I50" s="2" t="s">
        <v>8852</v>
      </c>
      <c r="J50" s="2" t="s">
        <v>58</v>
      </c>
      <c r="K50" s="13" t="n">
        <v>45126</v>
      </c>
      <c r="L50" s="2" t="s">
        <v>8821</v>
      </c>
      <c r="M50" s="2" t="s">
        <v>8858</v>
      </c>
    </row>
    <row r="51" customFormat="false" ht="15" hidden="false" customHeight="false" outlineLevel="0" collapsed="false">
      <c r="A51" s="2" t="s">
        <v>2118</v>
      </c>
      <c r="B51" s="2" t="s">
        <v>8868</v>
      </c>
      <c r="C51" s="2" t="s">
        <v>8870</v>
      </c>
      <c r="D51" s="2" t="s">
        <v>8819</v>
      </c>
      <c r="E51" s="13" t="n">
        <v>30767</v>
      </c>
      <c r="F51" s="2" t="n">
        <v>254784813739</v>
      </c>
      <c r="G51" s="2" t="n">
        <v>4</v>
      </c>
      <c r="H51" s="2" t="s">
        <v>95</v>
      </c>
      <c r="I51" s="2" t="s">
        <v>8847</v>
      </c>
      <c r="J51" s="2" t="s">
        <v>59</v>
      </c>
      <c r="K51" s="13" t="n">
        <v>45639</v>
      </c>
      <c r="L51" s="2" t="s">
        <v>8855</v>
      </c>
      <c r="M51" s="2" t="s">
        <v>36</v>
      </c>
    </row>
    <row r="52" customFormat="false" ht="15" hidden="false" customHeight="false" outlineLevel="0" collapsed="false">
      <c r="A52" s="2" t="s">
        <v>2231</v>
      </c>
      <c r="B52" s="2" t="s">
        <v>8838</v>
      </c>
      <c r="C52" s="2" t="s">
        <v>8863</v>
      </c>
      <c r="D52" s="2" t="s">
        <v>8824</v>
      </c>
      <c r="E52" s="13" t="n">
        <v>36095</v>
      </c>
      <c r="F52" s="2" t="n">
        <v>254731361812</v>
      </c>
      <c r="G52" s="2" t="n">
        <v>12</v>
      </c>
      <c r="H52" s="2" t="s">
        <v>8850</v>
      </c>
      <c r="I52" s="2" t="s">
        <v>8847</v>
      </c>
      <c r="J52" s="2" t="s">
        <v>60</v>
      </c>
      <c r="K52" s="13" t="n">
        <v>45443</v>
      </c>
      <c r="L52" s="2" t="s">
        <v>8821</v>
      </c>
      <c r="M52" s="2" t="s">
        <v>36</v>
      </c>
    </row>
    <row r="53" customFormat="false" ht="15" hidden="false" customHeight="false" outlineLevel="0" collapsed="false">
      <c r="A53" s="2" t="s">
        <v>5879</v>
      </c>
      <c r="B53" s="2" t="s">
        <v>8860</v>
      </c>
      <c r="C53" s="2" t="s">
        <v>8827</v>
      </c>
      <c r="D53" s="2" t="s">
        <v>8824</v>
      </c>
      <c r="E53" s="13" t="n">
        <v>37203</v>
      </c>
      <c r="F53" s="2" t="n">
        <v>254741473195</v>
      </c>
      <c r="G53" s="2" t="n">
        <v>5</v>
      </c>
      <c r="H53" s="2" t="s">
        <v>8850</v>
      </c>
      <c r="I53" s="2" t="s">
        <v>8844</v>
      </c>
      <c r="J53" s="2" t="s">
        <v>62</v>
      </c>
      <c r="K53" s="13" t="n">
        <v>45208</v>
      </c>
      <c r="L53" s="2" t="s">
        <v>8821</v>
      </c>
      <c r="M53" s="2" t="s">
        <v>36</v>
      </c>
    </row>
    <row r="54" customFormat="false" ht="15" hidden="false" customHeight="false" outlineLevel="0" collapsed="false">
      <c r="A54" s="2" t="s">
        <v>630</v>
      </c>
      <c r="B54" s="2" t="s">
        <v>8832</v>
      </c>
      <c r="C54" s="2" t="s">
        <v>8841</v>
      </c>
      <c r="D54" s="2" t="s">
        <v>8819</v>
      </c>
      <c r="E54" s="13" t="n">
        <v>28958</v>
      </c>
      <c r="F54" s="2" t="n">
        <v>254765682626</v>
      </c>
      <c r="G54" s="2" t="n">
        <v>7</v>
      </c>
      <c r="H54" s="2" t="s">
        <v>8850</v>
      </c>
      <c r="I54" s="2" t="s">
        <v>8857</v>
      </c>
      <c r="J54" s="2" t="s">
        <v>61</v>
      </c>
      <c r="K54" s="13" t="n">
        <v>45637</v>
      </c>
      <c r="L54" s="2" t="s">
        <v>8855</v>
      </c>
      <c r="M54" s="2" t="s">
        <v>36</v>
      </c>
    </row>
    <row r="55" customFormat="false" ht="15" hidden="false" customHeight="false" outlineLevel="0" collapsed="false">
      <c r="A55" s="2" t="s">
        <v>2548</v>
      </c>
      <c r="B55" s="2" t="s">
        <v>8875</v>
      </c>
      <c r="C55" s="2" t="s">
        <v>8818</v>
      </c>
      <c r="D55" s="2" t="s">
        <v>8824</v>
      </c>
      <c r="E55" s="13" t="n">
        <v>30510</v>
      </c>
      <c r="F55" s="2" t="n">
        <v>254774019136</v>
      </c>
      <c r="G55" s="2" t="n">
        <v>1</v>
      </c>
      <c r="H55" s="2" t="s">
        <v>8850</v>
      </c>
      <c r="I55" s="2" t="s">
        <v>8834</v>
      </c>
      <c r="J55" s="2" t="s">
        <v>61</v>
      </c>
      <c r="K55" s="13" t="n">
        <v>45525</v>
      </c>
      <c r="L55" s="2" t="s">
        <v>8855</v>
      </c>
      <c r="M55" s="2" t="s">
        <v>36</v>
      </c>
    </row>
    <row r="56" customFormat="false" ht="15" hidden="false" customHeight="false" outlineLevel="0" collapsed="false">
      <c r="A56" s="2" t="s">
        <v>2832</v>
      </c>
      <c r="B56" s="2" t="s">
        <v>8877</v>
      </c>
      <c r="C56" s="2" t="s">
        <v>8818</v>
      </c>
      <c r="D56" s="2" t="s">
        <v>8824</v>
      </c>
      <c r="E56" s="13" t="n">
        <v>36990</v>
      </c>
      <c r="F56" s="2" t="n">
        <v>254755114543</v>
      </c>
      <c r="G56" s="2" t="n">
        <v>11</v>
      </c>
      <c r="H56" s="2" t="s">
        <v>8850</v>
      </c>
      <c r="I56" s="2" t="s">
        <v>8864</v>
      </c>
      <c r="J56" s="2" t="s">
        <v>59</v>
      </c>
      <c r="K56" s="13" t="n">
        <v>45373</v>
      </c>
      <c r="L56" s="2" t="s">
        <v>8855</v>
      </c>
      <c r="M56" s="2" t="s">
        <v>36</v>
      </c>
    </row>
    <row r="57" customFormat="false" ht="15" hidden="false" customHeight="false" outlineLevel="0" collapsed="false">
      <c r="A57" s="2" t="s">
        <v>1735</v>
      </c>
      <c r="B57" s="2" t="s">
        <v>8856</v>
      </c>
      <c r="C57" s="2" t="s">
        <v>8818</v>
      </c>
      <c r="D57" s="2" t="s">
        <v>8819</v>
      </c>
      <c r="E57" s="13" t="n">
        <v>26133</v>
      </c>
      <c r="F57" s="2" t="n">
        <v>254796268397</v>
      </c>
      <c r="G57" s="2" t="n">
        <v>7</v>
      </c>
      <c r="H57" s="2" t="s">
        <v>95</v>
      </c>
      <c r="I57" s="2" t="s">
        <v>8847</v>
      </c>
      <c r="J57" s="2" t="s">
        <v>59</v>
      </c>
      <c r="K57" s="13" t="n">
        <v>45504</v>
      </c>
      <c r="L57" s="2" t="s">
        <v>8821</v>
      </c>
      <c r="M57" s="2" t="s">
        <v>36</v>
      </c>
    </row>
    <row r="58" customFormat="false" ht="15" hidden="false" customHeight="false" outlineLevel="0" collapsed="false">
      <c r="A58" s="2" t="s">
        <v>3485</v>
      </c>
      <c r="B58" s="2" t="s">
        <v>8878</v>
      </c>
      <c r="C58" s="2" t="s">
        <v>8869</v>
      </c>
      <c r="D58" s="2" t="s">
        <v>8824</v>
      </c>
      <c r="E58" s="13" t="n">
        <v>34492</v>
      </c>
      <c r="F58" s="2" t="n">
        <v>254747346970</v>
      </c>
      <c r="G58" s="2" t="n">
        <v>13</v>
      </c>
      <c r="H58" s="2" t="s">
        <v>8850</v>
      </c>
      <c r="I58" s="2" t="s">
        <v>8834</v>
      </c>
      <c r="J58" s="2" t="s">
        <v>58</v>
      </c>
      <c r="K58" s="13" t="n">
        <v>45392</v>
      </c>
      <c r="L58" s="2" t="s">
        <v>8855</v>
      </c>
      <c r="M58" s="2" t="s">
        <v>36</v>
      </c>
    </row>
    <row r="59" customFormat="false" ht="15" hidden="false" customHeight="false" outlineLevel="0" collapsed="false">
      <c r="A59" s="2" t="s">
        <v>5413</v>
      </c>
      <c r="B59" s="2" t="s">
        <v>8826</v>
      </c>
      <c r="C59" s="2" t="s">
        <v>8823</v>
      </c>
      <c r="D59" s="2" t="s">
        <v>8819</v>
      </c>
      <c r="E59" s="13" t="n">
        <v>26823</v>
      </c>
      <c r="F59" s="2" t="n">
        <v>254743189803</v>
      </c>
      <c r="G59" s="2" t="n">
        <v>4</v>
      </c>
      <c r="H59" s="2" t="s">
        <v>95</v>
      </c>
      <c r="I59" s="2" t="s">
        <v>8848</v>
      </c>
      <c r="J59" s="2" t="s">
        <v>59</v>
      </c>
      <c r="K59" s="13" t="n">
        <v>45592</v>
      </c>
      <c r="L59" s="2" t="s">
        <v>8821</v>
      </c>
      <c r="M59" s="2" t="s">
        <v>36</v>
      </c>
    </row>
    <row r="60" customFormat="false" ht="15" hidden="false" customHeight="false" outlineLevel="0" collapsed="false">
      <c r="A60" s="2" t="s">
        <v>1522</v>
      </c>
      <c r="B60" s="2" t="s">
        <v>8840</v>
      </c>
      <c r="C60" s="2" t="s">
        <v>8870</v>
      </c>
      <c r="D60" s="2" t="s">
        <v>8824</v>
      </c>
      <c r="E60" s="13" t="n">
        <v>36834</v>
      </c>
      <c r="F60" s="2" t="n">
        <v>254759512272</v>
      </c>
      <c r="G60" s="2" t="n">
        <v>3</v>
      </c>
      <c r="H60" s="2" t="s">
        <v>95</v>
      </c>
      <c r="I60" s="2" t="s">
        <v>8828</v>
      </c>
      <c r="J60" s="2" t="s">
        <v>60</v>
      </c>
      <c r="K60" s="13" t="n">
        <v>45504</v>
      </c>
      <c r="L60" s="2" t="s">
        <v>8821</v>
      </c>
      <c r="M60" s="2" t="s">
        <v>36</v>
      </c>
    </row>
    <row r="61" customFormat="false" ht="15" hidden="false" customHeight="false" outlineLevel="0" collapsed="false">
      <c r="A61" s="2" t="s">
        <v>5481</v>
      </c>
      <c r="B61" s="2" t="s">
        <v>8866</v>
      </c>
      <c r="C61" s="2" t="s">
        <v>8841</v>
      </c>
      <c r="D61" s="2" t="s">
        <v>8819</v>
      </c>
      <c r="E61" s="13" t="n">
        <v>32803</v>
      </c>
      <c r="F61" s="2" t="n">
        <v>254789470029</v>
      </c>
      <c r="G61" s="2" t="n">
        <v>12</v>
      </c>
      <c r="H61" s="2" t="s">
        <v>95</v>
      </c>
      <c r="I61" s="2" t="s">
        <v>8825</v>
      </c>
      <c r="J61" s="2" t="s">
        <v>60</v>
      </c>
      <c r="K61" s="13" t="n">
        <v>45311</v>
      </c>
      <c r="L61" s="2" t="s">
        <v>8821</v>
      </c>
      <c r="M61" s="2" t="s">
        <v>36</v>
      </c>
    </row>
    <row r="62" customFormat="false" ht="15" hidden="false" customHeight="false" outlineLevel="0" collapsed="false">
      <c r="A62" s="2" t="s">
        <v>1459</v>
      </c>
      <c r="B62" s="2" t="s">
        <v>8879</v>
      </c>
      <c r="C62" s="2" t="s">
        <v>8827</v>
      </c>
      <c r="D62" s="2" t="s">
        <v>8824</v>
      </c>
      <c r="E62" s="13" t="n">
        <v>33861</v>
      </c>
      <c r="F62" s="2" t="n">
        <v>254711698142</v>
      </c>
      <c r="G62" s="2" t="n">
        <v>14</v>
      </c>
      <c r="H62" s="2" t="s">
        <v>8850</v>
      </c>
      <c r="I62" s="2" t="s">
        <v>8847</v>
      </c>
      <c r="J62" s="2" t="s">
        <v>58</v>
      </c>
      <c r="K62" s="13" t="n">
        <v>45604</v>
      </c>
      <c r="L62" s="2" t="s">
        <v>8855</v>
      </c>
      <c r="M62" s="2" t="s">
        <v>36</v>
      </c>
    </row>
    <row r="63" customFormat="false" ht="15" hidden="false" customHeight="false" outlineLevel="0" collapsed="false">
      <c r="A63" s="2" t="s">
        <v>3607</v>
      </c>
      <c r="B63" s="2" t="s">
        <v>8835</v>
      </c>
      <c r="C63" s="2" t="s">
        <v>8861</v>
      </c>
      <c r="D63" s="2" t="s">
        <v>8824</v>
      </c>
      <c r="E63" s="13" t="n">
        <v>36499</v>
      </c>
      <c r="F63" s="2" t="n">
        <v>254792666356</v>
      </c>
      <c r="G63" s="2" t="n">
        <v>13</v>
      </c>
      <c r="H63" s="2" t="s">
        <v>8850</v>
      </c>
      <c r="I63" s="2" t="s">
        <v>8847</v>
      </c>
      <c r="J63" s="2" t="s">
        <v>61</v>
      </c>
      <c r="K63" s="13" t="n">
        <v>45372</v>
      </c>
      <c r="L63" s="2" t="s">
        <v>8821</v>
      </c>
      <c r="M63" s="2" t="s">
        <v>36</v>
      </c>
    </row>
    <row r="64" customFormat="false" ht="15" hidden="false" customHeight="false" outlineLevel="0" collapsed="false">
      <c r="A64" s="2" t="s">
        <v>984</v>
      </c>
      <c r="B64" s="2" t="s">
        <v>8843</v>
      </c>
      <c r="C64" s="2" t="s">
        <v>8870</v>
      </c>
      <c r="D64" s="2" t="s">
        <v>8824</v>
      </c>
      <c r="E64" s="13" t="n">
        <v>31087</v>
      </c>
      <c r="F64" s="2" t="n">
        <v>254755150390</v>
      </c>
      <c r="G64" s="2" t="n">
        <v>1</v>
      </c>
      <c r="H64" s="2" t="s">
        <v>8850</v>
      </c>
      <c r="I64" s="2" t="s">
        <v>8844</v>
      </c>
      <c r="J64" s="2" t="s">
        <v>59</v>
      </c>
      <c r="K64" s="13" t="n">
        <v>45388</v>
      </c>
      <c r="L64" s="2" t="s">
        <v>8855</v>
      </c>
      <c r="M64" s="2" t="s">
        <v>36</v>
      </c>
    </row>
    <row r="65" customFormat="false" ht="15" hidden="false" customHeight="false" outlineLevel="0" collapsed="false">
      <c r="A65" s="2" t="s">
        <v>246</v>
      </c>
      <c r="B65" s="2" t="s">
        <v>8880</v>
      </c>
      <c r="C65" s="2" t="s">
        <v>8867</v>
      </c>
      <c r="D65" s="2" t="s">
        <v>8824</v>
      </c>
      <c r="E65" s="13" t="n">
        <v>33735</v>
      </c>
      <c r="F65" s="2" t="n">
        <v>254784597009</v>
      </c>
      <c r="G65" s="2" t="n">
        <v>1</v>
      </c>
      <c r="H65" s="2" t="s">
        <v>95</v>
      </c>
      <c r="I65" s="2" t="s">
        <v>8825</v>
      </c>
      <c r="J65" s="2" t="s">
        <v>59</v>
      </c>
      <c r="K65" s="13" t="n">
        <v>45213</v>
      </c>
      <c r="L65" s="2" t="s">
        <v>8855</v>
      </c>
      <c r="M65" s="2" t="s">
        <v>8858</v>
      </c>
    </row>
    <row r="66" customFormat="false" ht="15" hidden="false" customHeight="false" outlineLevel="0" collapsed="false">
      <c r="A66" s="2" t="s">
        <v>436</v>
      </c>
      <c r="B66" s="2" t="s">
        <v>8875</v>
      </c>
      <c r="C66" s="2" t="s">
        <v>8859</v>
      </c>
      <c r="D66" s="2" t="s">
        <v>8824</v>
      </c>
      <c r="E66" s="13" t="n">
        <v>31397</v>
      </c>
      <c r="F66" s="2" t="n">
        <v>254712314351</v>
      </c>
      <c r="G66" s="2" t="n">
        <v>2</v>
      </c>
      <c r="H66" s="2" t="s">
        <v>8850</v>
      </c>
      <c r="I66" s="2" t="s">
        <v>8831</v>
      </c>
      <c r="J66" s="2" t="s">
        <v>61</v>
      </c>
      <c r="K66" s="13" t="n">
        <v>45588</v>
      </c>
      <c r="L66" s="2" t="s">
        <v>8821</v>
      </c>
      <c r="M66" s="2" t="s">
        <v>36</v>
      </c>
    </row>
    <row r="67" customFormat="false" ht="15" hidden="false" customHeight="false" outlineLevel="0" collapsed="false">
      <c r="A67" s="2" t="s">
        <v>1962</v>
      </c>
      <c r="B67" s="2" t="s">
        <v>8879</v>
      </c>
      <c r="C67" s="2" t="s">
        <v>8865</v>
      </c>
      <c r="D67" s="2" t="s">
        <v>8824</v>
      </c>
      <c r="E67" s="13" t="n">
        <v>34199</v>
      </c>
      <c r="F67" s="2" t="n">
        <v>254757219209</v>
      </c>
      <c r="G67" s="2" t="n">
        <v>12</v>
      </c>
      <c r="H67" s="2" t="s">
        <v>8850</v>
      </c>
      <c r="I67" s="2" t="s">
        <v>8834</v>
      </c>
      <c r="J67" s="2" t="s">
        <v>60</v>
      </c>
      <c r="K67" s="13" t="n">
        <v>45470</v>
      </c>
      <c r="L67" s="2" t="s">
        <v>8821</v>
      </c>
      <c r="M67" s="2" t="s">
        <v>36</v>
      </c>
    </row>
    <row r="68" customFormat="false" ht="15" hidden="false" customHeight="false" outlineLevel="0" collapsed="false">
      <c r="A68" s="2" t="s">
        <v>3969</v>
      </c>
      <c r="B68" s="2" t="s">
        <v>8829</v>
      </c>
      <c r="C68" s="2" t="s">
        <v>8863</v>
      </c>
      <c r="D68" s="2" t="s">
        <v>8819</v>
      </c>
      <c r="E68" s="13" t="n">
        <v>28466</v>
      </c>
      <c r="F68" s="2" t="n">
        <v>254735708194</v>
      </c>
      <c r="G68" s="2" t="n">
        <v>4</v>
      </c>
      <c r="H68" s="2" t="s">
        <v>8850</v>
      </c>
      <c r="I68" s="2" t="s">
        <v>8834</v>
      </c>
      <c r="J68" s="2" t="s">
        <v>62</v>
      </c>
      <c r="K68" s="13" t="n">
        <v>45250</v>
      </c>
      <c r="L68" s="2" t="s">
        <v>8821</v>
      </c>
      <c r="M68" s="2" t="s">
        <v>36</v>
      </c>
    </row>
    <row r="69" customFormat="false" ht="15" hidden="false" customHeight="false" outlineLevel="0" collapsed="false">
      <c r="A69" s="2" t="s">
        <v>7875</v>
      </c>
      <c r="B69" s="2" t="s">
        <v>8835</v>
      </c>
      <c r="C69" s="2" t="s">
        <v>8854</v>
      </c>
      <c r="D69" s="2" t="s">
        <v>8819</v>
      </c>
      <c r="E69" s="13" t="n">
        <v>30079</v>
      </c>
      <c r="F69" s="2" t="n">
        <v>254781690398</v>
      </c>
      <c r="G69" s="2" t="n">
        <v>3</v>
      </c>
      <c r="H69" s="2" t="s">
        <v>8850</v>
      </c>
      <c r="I69" s="2" t="s">
        <v>8820</v>
      </c>
      <c r="J69" s="2" t="s">
        <v>58</v>
      </c>
      <c r="K69" s="13" t="n">
        <v>45296</v>
      </c>
      <c r="L69" s="2" t="s">
        <v>8821</v>
      </c>
      <c r="M69" s="2" t="s">
        <v>36</v>
      </c>
    </row>
    <row r="70" customFormat="false" ht="15" hidden="false" customHeight="false" outlineLevel="0" collapsed="false">
      <c r="A70" s="2" t="s">
        <v>544</v>
      </c>
      <c r="B70" s="2" t="s">
        <v>8862</v>
      </c>
      <c r="C70" s="2" t="s">
        <v>8854</v>
      </c>
      <c r="D70" s="2" t="s">
        <v>8824</v>
      </c>
      <c r="E70" s="13" t="n">
        <v>36950</v>
      </c>
      <c r="F70" s="2" t="n">
        <v>254774251933</v>
      </c>
      <c r="G70" s="2" t="n">
        <v>8</v>
      </c>
      <c r="H70" s="2" t="s">
        <v>8850</v>
      </c>
      <c r="I70" s="2" t="s">
        <v>8828</v>
      </c>
      <c r="J70" s="2" t="s">
        <v>58</v>
      </c>
      <c r="K70" s="13" t="n">
        <v>44939</v>
      </c>
      <c r="L70" s="2" t="s">
        <v>8821</v>
      </c>
      <c r="M70" s="2" t="s">
        <v>8858</v>
      </c>
    </row>
    <row r="71" customFormat="false" ht="15" hidden="false" customHeight="false" outlineLevel="0" collapsed="false">
      <c r="A71" s="2" t="s">
        <v>3333</v>
      </c>
      <c r="B71" s="2" t="s">
        <v>8826</v>
      </c>
      <c r="C71" s="2" t="s">
        <v>8881</v>
      </c>
      <c r="D71" s="2" t="s">
        <v>8819</v>
      </c>
      <c r="E71" s="13" t="n">
        <v>28169</v>
      </c>
      <c r="F71" s="2" t="n">
        <v>254730364454</v>
      </c>
      <c r="G71" s="2" t="n">
        <v>3</v>
      </c>
      <c r="H71" s="2" t="s">
        <v>8850</v>
      </c>
      <c r="I71" s="2" t="s">
        <v>8825</v>
      </c>
      <c r="J71" s="2" t="s">
        <v>59</v>
      </c>
      <c r="K71" s="13" t="n">
        <v>45430</v>
      </c>
      <c r="L71" s="2" t="s">
        <v>8821</v>
      </c>
      <c r="M71" s="2" t="s">
        <v>8858</v>
      </c>
    </row>
    <row r="72" customFormat="false" ht="15" hidden="false" customHeight="false" outlineLevel="0" collapsed="false">
      <c r="A72" s="2" t="s">
        <v>1910</v>
      </c>
      <c r="B72" s="2" t="s">
        <v>8882</v>
      </c>
      <c r="C72" s="2" t="s">
        <v>8870</v>
      </c>
      <c r="D72" s="2" t="s">
        <v>8824</v>
      </c>
      <c r="E72" s="13" t="n">
        <v>30938</v>
      </c>
      <c r="F72" s="2" t="n">
        <v>254788990506</v>
      </c>
      <c r="G72" s="2" t="n">
        <v>7</v>
      </c>
      <c r="H72" s="2" t="s">
        <v>8850</v>
      </c>
      <c r="I72" s="2" t="s">
        <v>8848</v>
      </c>
      <c r="J72" s="2" t="s">
        <v>62</v>
      </c>
      <c r="K72" s="13" t="n">
        <v>45388</v>
      </c>
      <c r="L72" s="2" t="s">
        <v>8821</v>
      </c>
      <c r="M72" s="2" t="s">
        <v>36</v>
      </c>
    </row>
    <row r="73" customFormat="false" ht="15" hidden="false" customHeight="false" outlineLevel="0" collapsed="false">
      <c r="A73" s="2" t="s">
        <v>4205</v>
      </c>
      <c r="B73" s="2" t="s">
        <v>8856</v>
      </c>
      <c r="C73" s="2" t="s">
        <v>8827</v>
      </c>
      <c r="D73" s="2" t="s">
        <v>8819</v>
      </c>
      <c r="E73" s="13" t="n">
        <v>30627</v>
      </c>
      <c r="F73" s="2" t="n">
        <v>254742194159</v>
      </c>
      <c r="G73" s="2" t="n">
        <v>3</v>
      </c>
      <c r="H73" s="2" t="s">
        <v>95</v>
      </c>
      <c r="I73" s="2" t="s">
        <v>8828</v>
      </c>
      <c r="J73" s="2" t="s">
        <v>58</v>
      </c>
      <c r="K73" s="13" t="n">
        <v>45197</v>
      </c>
      <c r="L73" s="2" t="s">
        <v>8855</v>
      </c>
      <c r="M73" s="2" t="s">
        <v>8858</v>
      </c>
    </row>
    <row r="74" customFormat="false" ht="15" hidden="false" customHeight="false" outlineLevel="0" collapsed="false">
      <c r="A74" s="2" t="s">
        <v>6067</v>
      </c>
      <c r="B74" s="2" t="s">
        <v>8883</v>
      </c>
      <c r="C74" s="2" t="s">
        <v>8854</v>
      </c>
      <c r="D74" s="2" t="s">
        <v>8824</v>
      </c>
      <c r="E74" s="13" t="n">
        <v>36648</v>
      </c>
      <c r="F74" s="2" t="n">
        <v>254719553585</v>
      </c>
      <c r="G74" s="2" t="n">
        <v>11</v>
      </c>
      <c r="H74" s="2" t="s">
        <v>95</v>
      </c>
      <c r="I74" s="2" t="s">
        <v>8834</v>
      </c>
      <c r="J74" s="2" t="s">
        <v>62</v>
      </c>
      <c r="K74" s="13" t="n">
        <v>45164</v>
      </c>
      <c r="L74" s="2" t="s">
        <v>8821</v>
      </c>
      <c r="M74" s="2" t="s">
        <v>8858</v>
      </c>
    </row>
    <row r="75" customFormat="false" ht="15" hidden="false" customHeight="false" outlineLevel="0" collapsed="false">
      <c r="A75" s="2" t="s">
        <v>3821</v>
      </c>
      <c r="B75" s="2" t="s">
        <v>8832</v>
      </c>
      <c r="C75" s="2" t="s">
        <v>8846</v>
      </c>
      <c r="D75" s="2" t="s">
        <v>8819</v>
      </c>
      <c r="E75" s="13" t="n">
        <v>28376</v>
      </c>
      <c r="F75" s="2" t="n">
        <v>254719584466</v>
      </c>
      <c r="G75" s="2" t="n">
        <v>1</v>
      </c>
      <c r="H75" s="2" t="s">
        <v>95</v>
      </c>
      <c r="I75" s="2" t="s">
        <v>8834</v>
      </c>
      <c r="J75" s="2" t="s">
        <v>62</v>
      </c>
      <c r="K75" s="13" t="n">
        <v>45590</v>
      </c>
      <c r="L75" s="2" t="s">
        <v>8821</v>
      </c>
      <c r="M75" s="2" t="s">
        <v>8858</v>
      </c>
    </row>
    <row r="76" customFormat="false" ht="15" hidden="false" customHeight="false" outlineLevel="0" collapsed="false">
      <c r="A76" s="2" t="s">
        <v>1197</v>
      </c>
      <c r="B76" s="2" t="s">
        <v>8875</v>
      </c>
      <c r="C76" s="2" t="s">
        <v>8876</v>
      </c>
      <c r="D76" s="2" t="s">
        <v>8824</v>
      </c>
      <c r="E76" s="13" t="n">
        <v>28360</v>
      </c>
      <c r="F76" s="2" t="n">
        <v>254777172238</v>
      </c>
      <c r="G76" s="2" t="n">
        <v>9</v>
      </c>
      <c r="H76" s="2" t="s">
        <v>8850</v>
      </c>
      <c r="I76" s="2" t="s">
        <v>8847</v>
      </c>
      <c r="J76" s="2" t="s">
        <v>58</v>
      </c>
      <c r="K76" s="13" t="n">
        <v>45238</v>
      </c>
      <c r="L76" s="2" t="s">
        <v>8821</v>
      </c>
      <c r="M76" s="2" t="s">
        <v>8858</v>
      </c>
    </row>
    <row r="77" customFormat="false" ht="15" hidden="false" customHeight="false" outlineLevel="0" collapsed="false">
      <c r="A77" s="2" t="s">
        <v>1680</v>
      </c>
      <c r="B77" s="2" t="s">
        <v>8826</v>
      </c>
      <c r="C77" s="2" t="s">
        <v>8839</v>
      </c>
      <c r="D77" s="2" t="s">
        <v>8819</v>
      </c>
      <c r="E77" s="13" t="n">
        <v>33155</v>
      </c>
      <c r="F77" s="2" t="n">
        <v>254746173157</v>
      </c>
      <c r="G77" s="2" t="n">
        <v>10</v>
      </c>
      <c r="H77" s="2" t="s">
        <v>95</v>
      </c>
      <c r="I77" s="2" t="s">
        <v>8828</v>
      </c>
      <c r="J77" s="2" t="s">
        <v>61</v>
      </c>
      <c r="K77" s="13" t="n">
        <v>44953</v>
      </c>
      <c r="L77" s="2" t="s">
        <v>8855</v>
      </c>
      <c r="M77" s="2" t="s">
        <v>36</v>
      </c>
    </row>
    <row r="78" customFormat="false" ht="15" hidden="false" customHeight="false" outlineLevel="0" collapsed="false">
      <c r="A78" s="2" t="s">
        <v>6475</v>
      </c>
      <c r="B78" s="2" t="s">
        <v>8872</v>
      </c>
      <c r="C78" s="2" t="s">
        <v>8859</v>
      </c>
      <c r="D78" s="2" t="s">
        <v>8819</v>
      </c>
      <c r="E78" s="13" t="n">
        <v>29873</v>
      </c>
      <c r="F78" s="2" t="n">
        <v>254773083727</v>
      </c>
      <c r="G78" s="2" t="n">
        <v>6</v>
      </c>
      <c r="H78" s="2" t="s">
        <v>8850</v>
      </c>
      <c r="I78" s="2" t="s">
        <v>8844</v>
      </c>
      <c r="J78" s="2" t="s">
        <v>60</v>
      </c>
      <c r="K78" s="13" t="n">
        <v>45577</v>
      </c>
      <c r="L78" s="2" t="s">
        <v>8821</v>
      </c>
      <c r="M78" s="2" t="s">
        <v>36</v>
      </c>
    </row>
    <row r="79" customFormat="false" ht="15" hidden="false" customHeight="false" outlineLevel="0" collapsed="false">
      <c r="A79" s="2" t="s">
        <v>2372</v>
      </c>
      <c r="B79" s="2" t="s">
        <v>8883</v>
      </c>
      <c r="C79" s="2" t="s">
        <v>8876</v>
      </c>
      <c r="D79" s="2" t="s">
        <v>8819</v>
      </c>
      <c r="E79" s="13" t="n">
        <v>33442</v>
      </c>
      <c r="F79" s="2" t="n">
        <v>254771045700</v>
      </c>
      <c r="G79" s="2" t="n">
        <v>2</v>
      </c>
      <c r="H79" s="2" t="s">
        <v>8850</v>
      </c>
      <c r="I79" s="2" t="s">
        <v>8834</v>
      </c>
      <c r="J79" s="2" t="s">
        <v>60</v>
      </c>
      <c r="K79" s="13" t="n">
        <v>45434</v>
      </c>
      <c r="L79" s="2" t="s">
        <v>8821</v>
      </c>
      <c r="M79" s="2" t="s">
        <v>8858</v>
      </c>
    </row>
    <row r="80" customFormat="false" ht="15" hidden="false" customHeight="false" outlineLevel="0" collapsed="false">
      <c r="A80" s="2" t="s">
        <v>2622</v>
      </c>
      <c r="B80" s="2" t="s">
        <v>8860</v>
      </c>
      <c r="C80" s="2" t="s">
        <v>8865</v>
      </c>
      <c r="D80" s="2" t="s">
        <v>8819</v>
      </c>
      <c r="E80" s="13" t="n">
        <v>37278</v>
      </c>
      <c r="F80" s="2" t="n">
        <v>254735176902</v>
      </c>
      <c r="G80" s="2" t="n">
        <v>9</v>
      </c>
      <c r="H80" s="2" t="s">
        <v>8850</v>
      </c>
      <c r="I80" s="2" t="s">
        <v>8848</v>
      </c>
      <c r="J80" s="2" t="s">
        <v>61</v>
      </c>
      <c r="K80" s="13" t="n">
        <v>45482</v>
      </c>
      <c r="L80" s="2" t="s">
        <v>8855</v>
      </c>
      <c r="M80" s="2" t="s">
        <v>36</v>
      </c>
    </row>
    <row r="81" customFormat="false" ht="15" hidden="false" customHeight="false" outlineLevel="0" collapsed="false">
      <c r="A81" s="2" t="s">
        <v>736</v>
      </c>
      <c r="B81" s="2" t="s">
        <v>8882</v>
      </c>
      <c r="C81" s="2" t="s">
        <v>8854</v>
      </c>
      <c r="D81" s="2" t="s">
        <v>8824</v>
      </c>
      <c r="E81" s="13" t="n">
        <v>30454</v>
      </c>
      <c r="F81" s="2" t="n">
        <v>254775056916</v>
      </c>
      <c r="G81" s="2" t="n">
        <v>2</v>
      </c>
      <c r="H81" s="2" t="s">
        <v>95</v>
      </c>
      <c r="I81" s="2" t="s">
        <v>8852</v>
      </c>
      <c r="J81" s="2" t="s">
        <v>62</v>
      </c>
      <c r="K81" s="13" t="n">
        <v>45061</v>
      </c>
      <c r="L81" s="2" t="s">
        <v>8821</v>
      </c>
      <c r="M81" s="2" t="s">
        <v>36</v>
      </c>
    </row>
    <row r="82" customFormat="false" ht="15" hidden="false" customHeight="false" outlineLevel="0" collapsed="false">
      <c r="A82" s="2" t="s">
        <v>1302</v>
      </c>
      <c r="B82" s="2" t="s">
        <v>8838</v>
      </c>
      <c r="C82" s="2" t="s">
        <v>8827</v>
      </c>
      <c r="D82" s="2" t="s">
        <v>8819</v>
      </c>
      <c r="E82" s="13" t="n">
        <v>32752</v>
      </c>
      <c r="F82" s="2" t="n">
        <v>254725228493</v>
      </c>
      <c r="G82" s="2" t="n">
        <v>8</v>
      </c>
      <c r="H82" s="2" t="s">
        <v>95</v>
      </c>
      <c r="I82" s="2" t="s">
        <v>8852</v>
      </c>
      <c r="J82" s="2" t="s">
        <v>59</v>
      </c>
      <c r="K82" s="13" t="n">
        <v>45492</v>
      </c>
      <c r="L82" s="2" t="s">
        <v>8855</v>
      </c>
      <c r="M82" s="2" t="s">
        <v>36</v>
      </c>
    </row>
    <row r="83" customFormat="false" ht="15" hidden="false" customHeight="false" outlineLevel="0" collapsed="false">
      <c r="A83" s="2" t="s">
        <v>3771</v>
      </c>
      <c r="B83" s="2" t="s">
        <v>8872</v>
      </c>
      <c r="C83" s="2" t="s">
        <v>8859</v>
      </c>
      <c r="D83" s="2" t="s">
        <v>8824</v>
      </c>
      <c r="E83" s="13" t="n">
        <v>37599</v>
      </c>
      <c r="F83" s="2" t="n">
        <v>254742713008</v>
      </c>
      <c r="G83" s="2" t="n">
        <v>8</v>
      </c>
      <c r="H83" s="2" t="s">
        <v>95</v>
      </c>
      <c r="I83" s="2" t="s">
        <v>8842</v>
      </c>
      <c r="J83" s="2" t="s">
        <v>59</v>
      </c>
      <c r="K83" s="13" t="n">
        <v>45352</v>
      </c>
      <c r="L83" s="2" t="s">
        <v>8821</v>
      </c>
      <c r="M83" s="2" t="s">
        <v>36</v>
      </c>
    </row>
    <row r="84" customFormat="false" ht="15" hidden="false" customHeight="false" outlineLevel="0" collapsed="false">
      <c r="A84" s="2" t="s">
        <v>1891</v>
      </c>
      <c r="B84" s="2" t="s">
        <v>8845</v>
      </c>
      <c r="C84" s="2" t="s">
        <v>8818</v>
      </c>
      <c r="D84" s="2" t="s">
        <v>8824</v>
      </c>
      <c r="E84" s="13" t="n">
        <v>31969</v>
      </c>
      <c r="F84" s="2" t="n">
        <v>254750071487</v>
      </c>
      <c r="G84" s="2" t="n">
        <v>14</v>
      </c>
      <c r="H84" s="2" t="s">
        <v>8850</v>
      </c>
      <c r="I84" s="2" t="s">
        <v>8828</v>
      </c>
      <c r="J84" s="2" t="s">
        <v>61</v>
      </c>
      <c r="K84" s="13" t="n">
        <v>45446</v>
      </c>
      <c r="L84" s="2" t="s">
        <v>8855</v>
      </c>
      <c r="M84" s="2" t="s">
        <v>36</v>
      </c>
    </row>
    <row r="85" customFormat="false" ht="15" hidden="false" customHeight="false" outlineLevel="0" collapsed="false">
      <c r="A85" s="2" t="s">
        <v>471</v>
      </c>
      <c r="B85" s="2" t="s">
        <v>8866</v>
      </c>
      <c r="C85" s="2" t="s">
        <v>8870</v>
      </c>
      <c r="D85" s="2" t="s">
        <v>8824</v>
      </c>
      <c r="E85" s="13" t="n">
        <v>33506</v>
      </c>
      <c r="F85" s="2" t="n">
        <v>254735320492</v>
      </c>
      <c r="G85" s="2" t="n">
        <v>12</v>
      </c>
      <c r="H85" s="2" t="s">
        <v>95</v>
      </c>
      <c r="I85" s="2" t="s">
        <v>8848</v>
      </c>
      <c r="J85" s="2" t="s">
        <v>61</v>
      </c>
      <c r="K85" s="13" t="n">
        <v>45483</v>
      </c>
      <c r="L85" s="2" t="s">
        <v>8821</v>
      </c>
      <c r="M85" s="2" t="s">
        <v>8858</v>
      </c>
    </row>
    <row r="86" customFormat="false" ht="15" hidden="false" customHeight="false" outlineLevel="0" collapsed="false">
      <c r="A86" s="2" t="s">
        <v>3937</v>
      </c>
      <c r="B86" s="2" t="s">
        <v>8875</v>
      </c>
      <c r="C86" s="2" t="s">
        <v>8876</v>
      </c>
      <c r="D86" s="2" t="s">
        <v>8824</v>
      </c>
      <c r="E86" s="13" t="n">
        <v>26474</v>
      </c>
      <c r="F86" s="2" t="n">
        <v>254799078806</v>
      </c>
      <c r="G86" s="2" t="n">
        <v>13</v>
      </c>
      <c r="H86" s="2" t="s">
        <v>95</v>
      </c>
      <c r="I86" s="2" t="s">
        <v>8847</v>
      </c>
      <c r="J86" s="2" t="s">
        <v>58</v>
      </c>
      <c r="K86" s="13" t="n">
        <v>45411</v>
      </c>
      <c r="L86" s="2" t="s">
        <v>8821</v>
      </c>
      <c r="M86" s="2" t="s">
        <v>36</v>
      </c>
    </row>
    <row r="87" customFormat="false" ht="15" hidden="false" customHeight="false" outlineLevel="0" collapsed="false">
      <c r="A87" s="2" t="s">
        <v>1082</v>
      </c>
      <c r="B87" s="2" t="s">
        <v>8882</v>
      </c>
      <c r="C87" s="2" t="s">
        <v>8870</v>
      </c>
      <c r="D87" s="2" t="s">
        <v>8819</v>
      </c>
      <c r="E87" s="13" t="n">
        <v>27976</v>
      </c>
      <c r="F87" s="2" t="n">
        <v>254729348212</v>
      </c>
      <c r="G87" s="2" t="n">
        <v>7</v>
      </c>
      <c r="H87" s="2" t="s">
        <v>95</v>
      </c>
      <c r="I87" s="2" t="s">
        <v>8825</v>
      </c>
      <c r="J87" s="2" t="s">
        <v>61</v>
      </c>
      <c r="K87" s="13" t="n">
        <v>45465</v>
      </c>
      <c r="L87" s="2" t="s">
        <v>8821</v>
      </c>
      <c r="M87" s="2" t="s">
        <v>36</v>
      </c>
    </row>
    <row r="88" customFormat="false" ht="15" hidden="false" customHeight="false" outlineLevel="0" collapsed="false">
      <c r="A88" s="2" t="s">
        <v>8884</v>
      </c>
      <c r="B88" s="2" t="s">
        <v>8885</v>
      </c>
      <c r="C88" s="2" t="s">
        <v>8863</v>
      </c>
      <c r="D88" s="2" t="s">
        <v>8824</v>
      </c>
      <c r="E88" s="13" t="n">
        <v>35006</v>
      </c>
      <c r="F88" s="2" t="n">
        <v>254752501540</v>
      </c>
      <c r="G88" s="2" t="n">
        <v>11</v>
      </c>
      <c r="H88" s="2" t="s">
        <v>8850</v>
      </c>
      <c r="I88" s="2" t="s">
        <v>8857</v>
      </c>
      <c r="J88" s="2" t="s">
        <v>58</v>
      </c>
      <c r="K88" s="13" t="n">
        <v>45263</v>
      </c>
      <c r="L88" s="2" t="s">
        <v>8821</v>
      </c>
      <c r="M88" s="2" t="s">
        <v>36</v>
      </c>
    </row>
    <row r="89" customFormat="false" ht="15" hidden="false" customHeight="false" outlineLevel="0" collapsed="false">
      <c r="A89" s="2" t="s">
        <v>6771</v>
      </c>
      <c r="B89" s="2" t="s">
        <v>8838</v>
      </c>
      <c r="C89" s="2" t="s">
        <v>8830</v>
      </c>
      <c r="D89" s="2" t="s">
        <v>8819</v>
      </c>
      <c r="E89" s="13" t="n">
        <v>32257</v>
      </c>
      <c r="F89" s="2" t="n">
        <v>254769549527</v>
      </c>
      <c r="G89" s="2" t="n">
        <v>3</v>
      </c>
      <c r="H89" s="2" t="s">
        <v>8850</v>
      </c>
      <c r="I89" s="2" t="s">
        <v>8820</v>
      </c>
      <c r="J89" s="2" t="s">
        <v>58</v>
      </c>
      <c r="K89" s="13" t="n">
        <v>45019</v>
      </c>
      <c r="L89" s="2" t="s">
        <v>8821</v>
      </c>
      <c r="M89" s="2" t="s">
        <v>36</v>
      </c>
    </row>
    <row r="90" customFormat="false" ht="15" hidden="false" customHeight="false" outlineLevel="0" collapsed="false">
      <c r="A90" s="2" t="s">
        <v>3043</v>
      </c>
      <c r="B90" s="2" t="s">
        <v>8832</v>
      </c>
      <c r="C90" s="2" t="s">
        <v>8839</v>
      </c>
      <c r="D90" s="2" t="s">
        <v>8824</v>
      </c>
      <c r="E90" s="13" t="n">
        <v>32306</v>
      </c>
      <c r="F90" s="2" t="n">
        <v>254785957578</v>
      </c>
      <c r="G90" s="2" t="n">
        <v>11</v>
      </c>
      <c r="H90" s="2" t="s">
        <v>95</v>
      </c>
      <c r="I90" s="2" t="s">
        <v>8828</v>
      </c>
      <c r="J90" s="2" t="s">
        <v>59</v>
      </c>
      <c r="K90" s="13" t="n">
        <v>45368</v>
      </c>
      <c r="L90" s="2" t="s">
        <v>8821</v>
      </c>
      <c r="M90" s="2" t="s">
        <v>8858</v>
      </c>
    </row>
    <row r="91" customFormat="false" ht="15" hidden="false" customHeight="false" outlineLevel="0" collapsed="false">
      <c r="A91" s="2" t="s">
        <v>1994</v>
      </c>
      <c r="B91" s="2" t="s">
        <v>8843</v>
      </c>
      <c r="C91" s="2" t="s">
        <v>8870</v>
      </c>
      <c r="D91" s="2" t="s">
        <v>8824</v>
      </c>
      <c r="E91" s="13" t="n">
        <v>31278</v>
      </c>
      <c r="F91" s="2" t="n">
        <v>254771682508</v>
      </c>
      <c r="G91" s="2" t="n">
        <v>5</v>
      </c>
      <c r="H91" s="2" t="s">
        <v>95</v>
      </c>
      <c r="I91" s="2" t="s">
        <v>8847</v>
      </c>
      <c r="J91" s="2" t="s">
        <v>60</v>
      </c>
      <c r="K91" s="13" t="n">
        <v>45073</v>
      </c>
      <c r="L91" s="2" t="s">
        <v>8821</v>
      </c>
      <c r="M91" s="2" t="s">
        <v>36</v>
      </c>
    </row>
    <row r="92" customFormat="false" ht="15" hidden="false" customHeight="false" outlineLevel="0" collapsed="false">
      <c r="A92" s="2" t="s">
        <v>4301</v>
      </c>
      <c r="B92" s="2" t="s">
        <v>8886</v>
      </c>
      <c r="C92" s="2" t="s">
        <v>8865</v>
      </c>
      <c r="D92" s="2" t="s">
        <v>8824</v>
      </c>
      <c r="E92" s="13" t="n">
        <v>35965</v>
      </c>
      <c r="F92" s="2" t="n">
        <v>254771315464</v>
      </c>
      <c r="G92" s="2" t="n">
        <v>14</v>
      </c>
      <c r="H92" s="2" t="s">
        <v>8850</v>
      </c>
      <c r="I92" s="2" t="s">
        <v>8831</v>
      </c>
      <c r="J92" s="2" t="s">
        <v>61</v>
      </c>
      <c r="K92" s="13" t="n">
        <v>45233</v>
      </c>
      <c r="L92" s="2" t="s">
        <v>8855</v>
      </c>
      <c r="M92" s="2" t="s">
        <v>36</v>
      </c>
    </row>
    <row r="93" customFormat="false" ht="15" hidden="false" customHeight="false" outlineLevel="0" collapsed="false">
      <c r="A93" s="2" t="s">
        <v>2584</v>
      </c>
      <c r="B93" s="2" t="s">
        <v>8862</v>
      </c>
      <c r="C93" s="2" t="s">
        <v>8854</v>
      </c>
      <c r="D93" s="2" t="s">
        <v>8824</v>
      </c>
      <c r="E93" s="13" t="n">
        <v>31247</v>
      </c>
      <c r="F93" s="2" t="n">
        <v>254712944682</v>
      </c>
      <c r="G93" s="2" t="n">
        <v>14</v>
      </c>
      <c r="H93" s="2" t="s">
        <v>8850</v>
      </c>
      <c r="I93" s="2" t="s">
        <v>8834</v>
      </c>
      <c r="J93" s="2" t="s">
        <v>58</v>
      </c>
      <c r="K93" s="13" t="n">
        <v>45294</v>
      </c>
      <c r="L93" s="2" t="s">
        <v>8821</v>
      </c>
      <c r="M93" s="2" t="s">
        <v>8858</v>
      </c>
    </row>
    <row r="94" customFormat="false" ht="15" hidden="false" customHeight="false" outlineLevel="0" collapsed="false">
      <c r="A94" s="2" t="s">
        <v>7047</v>
      </c>
      <c r="B94" s="2" t="s">
        <v>8843</v>
      </c>
      <c r="C94" s="2" t="s">
        <v>8841</v>
      </c>
      <c r="D94" s="2" t="s">
        <v>8824</v>
      </c>
      <c r="E94" s="13" t="n">
        <v>32253</v>
      </c>
      <c r="F94" s="2" t="n">
        <v>254798473848</v>
      </c>
      <c r="G94" s="2" t="n">
        <v>11</v>
      </c>
      <c r="H94" s="2" t="s">
        <v>95</v>
      </c>
      <c r="I94" s="2" t="s">
        <v>8852</v>
      </c>
      <c r="J94" s="2" t="s">
        <v>58</v>
      </c>
      <c r="K94" s="13" t="n">
        <v>45287</v>
      </c>
      <c r="L94" s="2" t="s">
        <v>8821</v>
      </c>
      <c r="M94" s="2" t="s">
        <v>36</v>
      </c>
    </row>
    <row r="95" customFormat="false" ht="15" hidden="false" customHeight="false" outlineLevel="0" collapsed="false">
      <c r="A95" s="2" t="s">
        <v>597</v>
      </c>
      <c r="B95" s="2" t="s">
        <v>8871</v>
      </c>
      <c r="C95" s="2" t="s">
        <v>8833</v>
      </c>
      <c r="D95" s="2" t="s">
        <v>8819</v>
      </c>
      <c r="E95" s="13" t="n">
        <v>35814</v>
      </c>
      <c r="F95" s="2" t="n">
        <v>254749609054</v>
      </c>
      <c r="G95" s="2" t="n">
        <v>6</v>
      </c>
      <c r="H95" s="2" t="s">
        <v>8850</v>
      </c>
      <c r="I95" s="2" t="s">
        <v>8828</v>
      </c>
      <c r="J95" s="2" t="s">
        <v>59</v>
      </c>
      <c r="K95" s="13" t="n">
        <v>45300</v>
      </c>
      <c r="L95" s="2" t="s">
        <v>8821</v>
      </c>
      <c r="M95" s="2" t="s">
        <v>36</v>
      </c>
    </row>
    <row r="96" customFormat="false" ht="15" hidden="false" customHeight="false" outlineLevel="0" collapsed="false">
      <c r="A96" s="2" t="s">
        <v>1747</v>
      </c>
      <c r="B96" s="2" t="s">
        <v>8845</v>
      </c>
      <c r="C96" s="2" t="s">
        <v>8859</v>
      </c>
      <c r="D96" s="2" t="s">
        <v>8824</v>
      </c>
      <c r="E96" s="13" t="n">
        <v>37403</v>
      </c>
      <c r="F96" s="2" t="n">
        <v>254755461591</v>
      </c>
      <c r="G96" s="2" t="n">
        <v>13</v>
      </c>
      <c r="H96" s="2" t="s">
        <v>95</v>
      </c>
      <c r="I96" s="2" t="s">
        <v>8847</v>
      </c>
      <c r="J96" s="2" t="s">
        <v>58</v>
      </c>
      <c r="K96" s="13" t="n">
        <v>45095</v>
      </c>
      <c r="L96" s="2" t="s">
        <v>8821</v>
      </c>
      <c r="M96" s="2" t="s">
        <v>36</v>
      </c>
    </row>
    <row r="97" customFormat="false" ht="15" hidden="false" customHeight="false" outlineLevel="0" collapsed="false">
      <c r="A97" s="2" t="s">
        <v>8887</v>
      </c>
      <c r="B97" s="2" t="s">
        <v>8874</v>
      </c>
      <c r="C97" s="2" t="s">
        <v>8876</v>
      </c>
      <c r="D97" s="2" t="s">
        <v>8819</v>
      </c>
      <c r="E97" s="13" t="n">
        <v>34954</v>
      </c>
      <c r="F97" s="2" t="n">
        <v>254745495029</v>
      </c>
      <c r="G97" s="2" t="n">
        <v>9</v>
      </c>
      <c r="H97" s="2" t="s">
        <v>95</v>
      </c>
      <c r="I97" s="2" t="s">
        <v>8847</v>
      </c>
      <c r="J97" s="2" t="s">
        <v>60</v>
      </c>
      <c r="K97" s="13" t="n">
        <v>45019</v>
      </c>
      <c r="L97" s="2" t="s">
        <v>8821</v>
      </c>
      <c r="M97" s="2" t="s">
        <v>8858</v>
      </c>
    </row>
    <row r="98" customFormat="false" ht="15" hidden="false" customHeight="false" outlineLevel="0" collapsed="false">
      <c r="A98" s="2" t="s">
        <v>938</v>
      </c>
      <c r="B98" s="2" t="s">
        <v>8877</v>
      </c>
      <c r="C98" s="2" t="s">
        <v>8818</v>
      </c>
      <c r="D98" s="2" t="s">
        <v>8824</v>
      </c>
      <c r="E98" s="13" t="n">
        <v>34022</v>
      </c>
      <c r="F98" s="2" t="n">
        <v>254791883846</v>
      </c>
      <c r="G98" s="2" t="n">
        <v>4</v>
      </c>
      <c r="H98" s="2" t="s">
        <v>95</v>
      </c>
      <c r="I98" s="2" t="s">
        <v>8852</v>
      </c>
      <c r="J98" s="2" t="s">
        <v>61</v>
      </c>
      <c r="K98" s="13" t="n">
        <v>45166</v>
      </c>
      <c r="L98" s="2" t="s">
        <v>8821</v>
      </c>
      <c r="M98" s="2" t="s">
        <v>8858</v>
      </c>
    </row>
    <row r="99" customFormat="false" ht="15" hidden="false" customHeight="false" outlineLevel="0" collapsed="false">
      <c r="A99" s="2" t="s">
        <v>516</v>
      </c>
      <c r="B99" s="2" t="s">
        <v>8883</v>
      </c>
      <c r="C99" s="2" t="s">
        <v>8859</v>
      </c>
      <c r="D99" s="2" t="s">
        <v>8819</v>
      </c>
      <c r="E99" s="13" t="n">
        <v>28186</v>
      </c>
      <c r="F99" s="2" t="n">
        <v>254723044889</v>
      </c>
      <c r="G99" s="2" t="n">
        <v>4</v>
      </c>
      <c r="H99" s="2" t="s">
        <v>95</v>
      </c>
      <c r="I99" s="2" t="s">
        <v>8842</v>
      </c>
      <c r="J99" s="2" t="s">
        <v>61</v>
      </c>
      <c r="K99" s="13" t="n">
        <v>44965</v>
      </c>
      <c r="L99" s="2" t="s">
        <v>8821</v>
      </c>
      <c r="M99" s="2" t="s">
        <v>8858</v>
      </c>
    </row>
    <row r="100" customFormat="false" ht="15" hidden="false" customHeight="false" outlineLevel="0" collapsed="false">
      <c r="A100" s="2" t="s">
        <v>5277</v>
      </c>
      <c r="B100" s="2" t="s">
        <v>8872</v>
      </c>
      <c r="C100" s="2" t="s">
        <v>8859</v>
      </c>
      <c r="D100" s="2" t="s">
        <v>8824</v>
      </c>
      <c r="E100" s="13" t="n">
        <v>29057</v>
      </c>
      <c r="F100" s="2" t="n">
        <v>254747546086</v>
      </c>
      <c r="G100" s="2" t="n">
        <v>1</v>
      </c>
      <c r="H100" s="2" t="s">
        <v>8850</v>
      </c>
      <c r="I100" s="2" t="s">
        <v>8831</v>
      </c>
      <c r="J100" s="2" t="s">
        <v>61</v>
      </c>
      <c r="K100" s="13" t="n">
        <v>45028</v>
      </c>
      <c r="L100" s="2" t="s">
        <v>8855</v>
      </c>
      <c r="M100" s="2" t="s">
        <v>36</v>
      </c>
    </row>
    <row r="101" customFormat="false" ht="15" hidden="false" customHeight="false" outlineLevel="0" collapsed="false">
      <c r="A101" s="2" t="s">
        <v>1699</v>
      </c>
      <c r="B101" s="2" t="s">
        <v>8851</v>
      </c>
      <c r="C101" s="2" t="s">
        <v>8888</v>
      </c>
      <c r="D101" s="2" t="s">
        <v>8819</v>
      </c>
      <c r="E101" s="13" t="n">
        <v>34022</v>
      </c>
      <c r="F101" s="2" t="n">
        <v>254763437398</v>
      </c>
      <c r="G101" s="2" t="n">
        <v>5</v>
      </c>
      <c r="H101" s="2" t="s">
        <v>95</v>
      </c>
      <c r="I101" s="2" t="s">
        <v>8825</v>
      </c>
      <c r="J101" s="2" t="s">
        <v>61</v>
      </c>
      <c r="K101" s="13" t="n">
        <v>45303</v>
      </c>
      <c r="L101" s="2" t="s">
        <v>8821</v>
      </c>
      <c r="M101" s="2" t="s">
        <v>36</v>
      </c>
    </row>
    <row r="102" customFormat="false" ht="15" hidden="false" customHeight="false" outlineLevel="0" collapsed="false">
      <c r="A102" s="2" t="s">
        <v>4131</v>
      </c>
      <c r="B102" s="2" t="s">
        <v>8843</v>
      </c>
      <c r="C102" s="2" t="s">
        <v>8833</v>
      </c>
      <c r="D102" s="2" t="s">
        <v>8819</v>
      </c>
      <c r="E102" s="13" t="n">
        <v>25959</v>
      </c>
      <c r="F102" s="2" t="n">
        <v>254719208698</v>
      </c>
      <c r="G102" s="2" t="n">
        <v>14</v>
      </c>
      <c r="H102" s="2" t="s">
        <v>95</v>
      </c>
      <c r="I102" s="2" t="s">
        <v>8848</v>
      </c>
      <c r="J102" s="2" t="s">
        <v>59</v>
      </c>
      <c r="K102" s="13" t="n">
        <v>45268</v>
      </c>
      <c r="L102" s="2" t="s">
        <v>8821</v>
      </c>
      <c r="M102" s="2" t="s">
        <v>36</v>
      </c>
    </row>
    <row r="103" customFormat="false" ht="15" hidden="false" customHeight="false" outlineLevel="0" collapsed="false">
      <c r="A103" s="2" t="s">
        <v>2004</v>
      </c>
      <c r="B103" s="2" t="s">
        <v>8885</v>
      </c>
      <c r="C103" s="2" t="s">
        <v>8833</v>
      </c>
      <c r="D103" s="2" t="s">
        <v>8819</v>
      </c>
      <c r="E103" s="13" t="n">
        <v>29129</v>
      </c>
      <c r="F103" s="2" t="n">
        <v>254782506491</v>
      </c>
      <c r="G103" s="2" t="n">
        <v>5</v>
      </c>
      <c r="H103" s="2" t="s">
        <v>95</v>
      </c>
      <c r="I103" s="2" t="s">
        <v>8825</v>
      </c>
      <c r="J103" s="2" t="s">
        <v>58</v>
      </c>
      <c r="K103" s="13" t="n">
        <v>45210</v>
      </c>
      <c r="L103" s="2" t="s">
        <v>8821</v>
      </c>
      <c r="M103" s="2" t="s">
        <v>36</v>
      </c>
    </row>
    <row r="104" customFormat="false" ht="15" hidden="false" customHeight="false" outlineLevel="0" collapsed="false">
      <c r="A104" s="2" t="s">
        <v>934</v>
      </c>
      <c r="B104" s="2" t="s">
        <v>8817</v>
      </c>
      <c r="C104" s="2" t="s">
        <v>8873</v>
      </c>
      <c r="D104" s="2" t="s">
        <v>8824</v>
      </c>
      <c r="E104" s="13" t="n">
        <v>33713</v>
      </c>
      <c r="F104" s="2" t="n">
        <v>254717032877</v>
      </c>
      <c r="G104" s="2" t="n">
        <v>3</v>
      </c>
      <c r="H104" s="2" t="s">
        <v>8850</v>
      </c>
      <c r="I104" s="2" t="s">
        <v>8857</v>
      </c>
      <c r="J104" s="2" t="s">
        <v>58</v>
      </c>
      <c r="K104" s="13" t="n">
        <v>45258</v>
      </c>
      <c r="L104" s="2" t="s">
        <v>8821</v>
      </c>
      <c r="M104" s="2" t="s">
        <v>8858</v>
      </c>
    </row>
    <row r="105" customFormat="false" ht="15" hidden="false" customHeight="false" outlineLevel="0" collapsed="false">
      <c r="A105" s="2" t="s">
        <v>7169</v>
      </c>
      <c r="B105" s="2" t="s">
        <v>8829</v>
      </c>
      <c r="C105" s="2" t="s">
        <v>8870</v>
      </c>
      <c r="D105" s="2" t="s">
        <v>8819</v>
      </c>
      <c r="E105" s="13" t="n">
        <v>35963</v>
      </c>
      <c r="F105" s="2" t="n">
        <v>254792558242</v>
      </c>
      <c r="G105" s="2" t="n">
        <v>1</v>
      </c>
      <c r="H105" s="2" t="s">
        <v>8850</v>
      </c>
      <c r="I105" s="2" t="s">
        <v>8847</v>
      </c>
      <c r="J105" s="2" t="s">
        <v>58</v>
      </c>
      <c r="K105" s="13" t="n">
        <v>45534</v>
      </c>
      <c r="L105" s="2" t="s">
        <v>8821</v>
      </c>
      <c r="M105" s="2" t="s">
        <v>8858</v>
      </c>
    </row>
    <row r="106" customFormat="false" ht="15" hidden="false" customHeight="false" outlineLevel="0" collapsed="false">
      <c r="A106" s="2" t="s">
        <v>1669</v>
      </c>
      <c r="B106" s="2" t="s">
        <v>8877</v>
      </c>
      <c r="C106" s="2" t="s">
        <v>8870</v>
      </c>
      <c r="D106" s="2" t="s">
        <v>8819</v>
      </c>
      <c r="E106" s="13" t="n">
        <v>34902</v>
      </c>
      <c r="F106" s="2" t="n">
        <v>254720843514</v>
      </c>
      <c r="G106" s="2" t="n">
        <v>6</v>
      </c>
      <c r="H106" s="2" t="s">
        <v>95</v>
      </c>
      <c r="I106" s="2" t="s">
        <v>8825</v>
      </c>
      <c r="J106" s="2" t="s">
        <v>59</v>
      </c>
      <c r="K106" s="13" t="n">
        <v>45037</v>
      </c>
      <c r="L106" s="2" t="s">
        <v>8821</v>
      </c>
      <c r="M106" s="2" t="s">
        <v>36</v>
      </c>
    </row>
    <row r="107" customFormat="false" ht="15" hidden="false" customHeight="false" outlineLevel="0" collapsed="false">
      <c r="A107" s="2" t="s">
        <v>4367</v>
      </c>
      <c r="B107" s="2" t="s">
        <v>8860</v>
      </c>
      <c r="C107" s="2" t="s">
        <v>8861</v>
      </c>
      <c r="D107" s="2" t="s">
        <v>8824</v>
      </c>
      <c r="E107" s="13" t="n">
        <v>34624</v>
      </c>
      <c r="F107" s="2" t="n">
        <v>254723311507</v>
      </c>
      <c r="G107" s="2" t="n">
        <v>13</v>
      </c>
      <c r="H107" s="2" t="s">
        <v>95</v>
      </c>
      <c r="I107" s="2" t="s">
        <v>8852</v>
      </c>
      <c r="J107" s="2" t="s">
        <v>62</v>
      </c>
      <c r="K107" s="13" t="n">
        <v>45228</v>
      </c>
      <c r="L107" s="2" t="s">
        <v>8821</v>
      </c>
      <c r="M107" s="2" t="s">
        <v>8858</v>
      </c>
    </row>
    <row r="108" customFormat="false" ht="15" hidden="false" customHeight="false" outlineLevel="0" collapsed="false">
      <c r="A108" s="2" t="s">
        <v>3401</v>
      </c>
      <c r="B108" s="2" t="s">
        <v>8872</v>
      </c>
      <c r="C108" s="2" t="s">
        <v>8870</v>
      </c>
      <c r="D108" s="2" t="s">
        <v>8824</v>
      </c>
      <c r="E108" s="13" t="n">
        <v>35899</v>
      </c>
      <c r="F108" s="2" t="n">
        <v>254765833185</v>
      </c>
      <c r="G108" s="2" t="n">
        <v>12</v>
      </c>
      <c r="H108" s="2" t="s">
        <v>95</v>
      </c>
      <c r="I108" s="2" t="s">
        <v>8844</v>
      </c>
      <c r="J108" s="2" t="s">
        <v>61</v>
      </c>
      <c r="K108" s="13" t="n">
        <v>45274</v>
      </c>
      <c r="L108" s="2" t="s">
        <v>8821</v>
      </c>
      <c r="M108" s="2" t="s">
        <v>36</v>
      </c>
    </row>
    <row r="109" customFormat="false" ht="15" hidden="false" customHeight="false" outlineLevel="0" collapsed="false">
      <c r="A109" s="2" t="s">
        <v>2423</v>
      </c>
      <c r="B109" s="2" t="s">
        <v>8826</v>
      </c>
      <c r="C109" s="2" t="s">
        <v>8827</v>
      </c>
      <c r="D109" s="2" t="s">
        <v>8819</v>
      </c>
      <c r="E109" s="13" t="n">
        <v>34050</v>
      </c>
      <c r="F109" s="2" t="n">
        <v>254722513132</v>
      </c>
      <c r="G109" s="2" t="n">
        <v>7</v>
      </c>
      <c r="H109" s="2" t="s">
        <v>95</v>
      </c>
      <c r="I109" s="2" t="s">
        <v>8864</v>
      </c>
      <c r="J109" s="2" t="s">
        <v>60</v>
      </c>
      <c r="K109" s="13" t="n">
        <v>45412</v>
      </c>
      <c r="L109" s="2" t="s">
        <v>8821</v>
      </c>
      <c r="M109" s="2" t="s">
        <v>36</v>
      </c>
    </row>
    <row r="110" customFormat="false" ht="15" hidden="false" customHeight="false" outlineLevel="0" collapsed="false">
      <c r="A110" s="2" t="s">
        <v>2315</v>
      </c>
      <c r="B110" s="2" t="s">
        <v>8879</v>
      </c>
      <c r="C110" s="2" t="s">
        <v>8865</v>
      </c>
      <c r="D110" s="2" t="s">
        <v>8819</v>
      </c>
      <c r="E110" s="13" t="n">
        <v>33546</v>
      </c>
      <c r="F110" s="2" t="n">
        <v>254748604965</v>
      </c>
      <c r="G110" s="2" t="n">
        <v>10</v>
      </c>
      <c r="H110" s="2" t="s">
        <v>8850</v>
      </c>
      <c r="I110" s="2" t="s">
        <v>8844</v>
      </c>
      <c r="J110" s="2" t="s">
        <v>58</v>
      </c>
      <c r="K110" s="13" t="n">
        <v>45347</v>
      </c>
      <c r="L110" s="2" t="s">
        <v>8821</v>
      </c>
      <c r="M110" s="2" t="s">
        <v>36</v>
      </c>
    </row>
    <row r="111" customFormat="false" ht="15" hidden="false" customHeight="false" outlineLevel="0" collapsed="false">
      <c r="A111" s="2" t="s">
        <v>2778</v>
      </c>
      <c r="B111" s="2" t="s">
        <v>8879</v>
      </c>
      <c r="C111" s="2" t="s">
        <v>8863</v>
      </c>
      <c r="D111" s="2" t="s">
        <v>8824</v>
      </c>
      <c r="E111" s="13" t="n">
        <v>36644</v>
      </c>
      <c r="F111" s="2" t="n">
        <v>254725419645</v>
      </c>
      <c r="G111" s="2" t="n">
        <v>13</v>
      </c>
      <c r="H111" s="2" t="s">
        <v>8850</v>
      </c>
      <c r="I111" s="2" t="s">
        <v>8848</v>
      </c>
      <c r="J111" s="2" t="s">
        <v>59</v>
      </c>
      <c r="K111" s="13" t="n">
        <v>45037</v>
      </c>
      <c r="L111" s="2" t="s">
        <v>8855</v>
      </c>
      <c r="M111" s="2" t="s">
        <v>36</v>
      </c>
    </row>
    <row r="112" customFormat="false" ht="15" hidden="false" customHeight="false" outlineLevel="0" collapsed="false">
      <c r="A112" s="2" t="s">
        <v>1684</v>
      </c>
      <c r="B112" s="2" t="s">
        <v>8875</v>
      </c>
      <c r="C112" s="2" t="s">
        <v>8854</v>
      </c>
      <c r="D112" s="2" t="s">
        <v>8824</v>
      </c>
      <c r="E112" s="13" t="n">
        <v>31783</v>
      </c>
      <c r="F112" s="2" t="n">
        <v>254757113566</v>
      </c>
      <c r="G112" s="2" t="n">
        <v>1</v>
      </c>
      <c r="H112" s="2" t="s">
        <v>95</v>
      </c>
      <c r="I112" s="2" t="s">
        <v>8828</v>
      </c>
      <c r="J112" s="2" t="s">
        <v>62</v>
      </c>
      <c r="K112" s="13" t="n">
        <v>45206</v>
      </c>
      <c r="L112" s="2" t="s">
        <v>8855</v>
      </c>
      <c r="M112" s="2" t="s">
        <v>36</v>
      </c>
    </row>
    <row r="113" customFormat="false" ht="15" hidden="false" customHeight="false" outlineLevel="0" collapsed="false">
      <c r="A113" s="2" t="s">
        <v>2694</v>
      </c>
      <c r="B113" s="2" t="s">
        <v>8826</v>
      </c>
      <c r="C113" s="2" t="s">
        <v>8861</v>
      </c>
      <c r="D113" s="2" t="s">
        <v>8819</v>
      </c>
      <c r="E113" s="13" t="n">
        <v>29210</v>
      </c>
      <c r="F113" s="2" t="n">
        <v>254760491958</v>
      </c>
      <c r="G113" s="2" t="n">
        <v>7</v>
      </c>
      <c r="H113" s="2" t="s">
        <v>8850</v>
      </c>
      <c r="I113" s="2" t="s">
        <v>8844</v>
      </c>
      <c r="J113" s="2" t="s">
        <v>59</v>
      </c>
      <c r="K113" s="13" t="n">
        <v>44958</v>
      </c>
      <c r="L113" s="2" t="s">
        <v>8821</v>
      </c>
      <c r="M113" s="2" t="s">
        <v>36</v>
      </c>
    </row>
    <row r="114" customFormat="false" ht="15" hidden="false" customHeight="false" outlineLevel="0" collapsed="false">
      <c r="A114" s="2" t="s">
        <v>4533</v>
      </c>
      <c r="B114" s="2" t="s">
        <v>8880</v>
      </c>
      <c r="C114" s="2" t="s">
        <v>8823</v>
      </c>
      <c r="D114" s="2" t="s">
        <v>8819</v>
      </c>
      <c r="E114" s="13" t="n">
        <v>33166</v>
      </c>
      <c r="F114" s="2" t="n">
        <v>254731127198</v>
      </c>
      <c r="G114" s="2" t="n">
        <v>13</v>
      </c>
      <c r="H114" s="2" t="s">
        <v>95</v>
      </c>
      <c r="I114" s="2" t="s">
        <v>8852</v>
      </c>
      <c r="J114" s="2" t="s">
        <v>58</v>
      </c>
      <c r="K114" s="13" t="n">
        <v>45013</v>
      </c>
      <c r="L114" s="2" t="s">
        <v>8821</v>
      </c>
      <c r="M114" s="2" t="s">
        <v>8858</v>
      </c>
    </row>
    <row r="115" customFormat="false" ht="15" hidden="false" customHeight="false" outlineLevel="0" collapsed="false">
      <c r="A115" s="2" t="s">
        <v>4065</v>
      </c>
      <c r="B115" s="2" t="s">
        <v>8838</v>
      </c>
      <c r="C115" s="2" t="s">
        <v>8846</v>
      </c>
      <c r="D115" s="2" t="s">
        <v>8819</v>
      </c>
      <c r="E115" s="13" t="n">
        <v>35662</v>
      </c>
      <c r="F115" s="2" t="n">
        <v>254778765957</v>
      </c>
      <c r="G115" s="2" t="n">
        <v>2</v>
      </c>
      <c r="H115" s="2" t="s">
        <v>8850</v>
      </c>
      <c r="I115" s="2" t="s">
        <v>8842</v>
      </c>
      <c r="J115" s="2" t="s">
        <v>58</v>
      </c>
      <c r="K115" s="13" t="n">
        <v>45379</v>
      </c>
      <c r="L115" s="2" t="s">
        <v>8821</v>
      </c>
      <c r="M115" s="2" t="s">
        <v>8858</v>
      </c>
    </row>
    <row r="116" customFormat="false" ht="15" hidden="false" customHeight="false" outlineLevel="0" collapsed="false">
      <c r="A116" s="2" t="s">
        <v>1768</v>
      </c>
      <c r="B116" s="2" t="s">
        <v>8849</v>
      </c>
      <c r="C116" s="2" t="s">
        <v>8823</v>
      </c>
      <c r="D116" s="2" t="s">
        <v>8819</v>
      </c>
      <c r="E116" s="13" t="n">
        <v>32516</v>
      </c>
      <c r="F116" s="2" t="n">
        <v>254737437207</v>
      </c>
      <c r="G116" s="2" t="n">
        <v>5</v>
      </c>
      <c r="H116" s="2" t="s">
        <v>95</v>
      </c>
      <c r="I116" s="2" t="s">
        <v>8828</v>
      </c>
      <c r="J116" s="2" t="s">
        <v>60</v>
      </c>
      <c r="K116" s="13" t="n">
        <v>45331</v>
      </c>
      <c r="L116" s="2" t="s">
        <v>8821</v>
      </c>
      <c r="M116" s="2" t="s">
        <v>36</v>
      </c>
    </row>
    <row r="117" customFormat="false" ht="15" hidden="false" customHeight="false" outlineLevel="0" collapsed="false">
      <c r="A117" s="2" t="s">
        <v>401</v>
      </c>
      <c r="B117" s="2" t="s">
        <v>8835</v>
      </c>
      <c r="C117" s="2" t="s">
        <v>8833</v>
      </c>
      <c r="D117" s="2" t="s">
        <v>8824</v>
      </c>
      <c r="E117" s="13" t="n">
        <v>28141</v>
      </c>
      <c r="F117" s="2" t="n">
        <v>254781481992</v>
      </c>
      <c r="G117" s="2" t="n">
        <v>12</v>
      </c>
      <c r="H117" s="2" t="s">
        <v>95</v>
      </c>
      <c r="I117" s="2" t="s">
        <v>8857</v>
      </c>
      <c r="J117" s="2" t="s">
        <v>62</v>
      </c>
      <c r="K117" s="13" t="n">
        <v>45367</v>
      </c>
      <c r="L117" s="2" t="s">
        <v>8821</v>
      </c>
      <c r="M117" s="2" t="s">
        <v>36</v>
      </c>
    </row>
    <row r="118" customFormat="false" ht="15" hidden="false" customHeight="false" outlineLevel="0" collapsed="false">
      <c r="A118" s="2" t="s">
        <v>3873</v>
      </c>
      <c r="B118" s="2" t="s">
        <v>8817</v>
      </c>
      <c r="C118" s="2" t="s">
        <v>8870</v>
      </c>
      <c r="D118" s="2" t="s">
        <v>8819</v>
      </c>
      <c r="E118" s="13" t="n">
        <v>35035</v>
      </c>
      <c r="F118" s="2" t="n">
        <v>254752018286</v>
      </c>
      <c r="G118" s="2" t="n">
        <v>10</v>
      </c>
      <c r="H118" s="2" t="s">
        <v>8850</v>
      </c>
      <c r="I118" s="2" t="s">
        <v>8848</v>
      </c>
      <c r="J118" s="2" t="s">
        <v>61</v>
      </c>
      <c r="K118" s="13" t="n">
        <v>45373</v>
      </c>
      <c r="L118" s="2" t="s">
        <v>8855</v>
      </c>
      <c r="M118" s="2" t="s">
        <v>36</v>
      </c>
    </row>
    <row r="119" customFormat="false" ht="15" hidden="false" customHeight="false" outlineLevel="0" collapsed="false">
      <c r="A119" s="2" t="s">
        <v>2000</v>
      </c>
      <c r="B119" s="2" t="s">
        <v>8835</v>
      </c>
      <c r="C119" s="2" t="s">
        <v>8867</v>
      </c>
      <c r="D119" s="2" t="s">
        <v>8824</v>
      </c>
      <c r="E119" s="13" t="n">
        <v>28307</v>
      </c>
      <c r="F119" s="2" t="n">
        <v>254758567046</v>
      </c>
      <c r="G119" s="2" t="n">
        <v>2</v>
      </c>
      <c r="H119" s="2" t="s">
        <v>8850</v>
      </c>
      <c r="I119" s="2" t="s">
        <v>8825</v>
      </c>
      <c r="J119" s="2" t="s">
        <v>59</v>
      </c>
      <c r="K119" s="13" t="n">
        <v>45259</v>
      </c>
      <c r="L119" s="2" t="s">
        <v>8855</v>
      </c>
      <c r="M119" s="2" t="s">
        <v>8858</v>
      </c>
    </row>
    <row r="120" customFormat="false" ht="15" hidden="false" customHeight="false" outlineLevel="0" collapsed="false">
      <c r="A120" s="2" t="s">
        <v>1206</v>
      </c>
      <c r="B120" s="2" t="s">
        <v>8871</v>
      </c>
      <c r="C120" s="2" t="s">
        <v>8869</v>
      </c>
      <c r="D120" s="2" t="s">
        <v>8819</v>
      </c>
      <c r="E120" s="13" t="n">
        <v>27603</v>
      </c>
      <c r="F120" s="2" t="n">
        <v>254754703713</v>
      </c>
      <c r="G120" s="2" t="n">
        <v>13</v>
      </c>
      <c r="H120" s="2" t="s">
        <v>95</v>
      </c>
      <c r="I120" s="2" t="s">
        <v>8825</v>
      </c>
      <c r="J120" s="2" t="s">
        <v>62</v>
      </c>
      <c r="K120" s="13" t="n">
        <v>45244</v>
      </c>
      <c r="L120" s="2" t="s">
        <v>8821</v>
      </c>
      <c r="M120" s="2" t="s">
        <v>36</v>
      </c>
    </row>
    <row r="121" customFormat="false" ht="15" hidden="false" customHeight="false" outlineLevel="0" collapsed="false">
      <c r="A121" s="2" t="s">
        <v>8889</v>
      </c>
      <c r="B121" s="2" t="s">
        <v>8872</v>
      </c>
      <c r="C121" s="2" t="s">
        <v>8833</v>
      </c>
      <c r="D121" s="2" t="s">
        <v>8819</v>
      </c>
      <c r="E121" s="13" t="n">
        <v>33779</v>
      </c>
      <c r="F121" s="2" t="n">
        <v>254723798190</v>
      </c>
      <c r="G121" s="2" t="n">
        <v>3</v>
      </c>
      <c r="H121" s="2" t="s">
        <v>8850</v>
      </c>
      <c r="I121" s="2" t="s">
        <v>8831</v>
      </c>
      <c r="J121" s="2" t="s">
        <v>59</v>
      </c>
      <c r="K121" s="13" t="n">
        <v>45587</v>
      </c>
      <c r="L121" s="2" t="s">
        <v>8821</v>
      </c>
      <c r="M121" s="2" t="s">
        <v>36</v>
      </c>
    </row>
    <row r="122" customFormat="false" ht="15" hidden="false" customHeight="false" outlineLevel="0" collapsed="false">
      <c r="A122" s="2" t="s">
        <v>2733</v>
      </c>
      <c r="B122" s="2" t="s">
        <v>8853</v>
      </c>
      <c r="C122" s="2" t="s">
        <v>8881</v>
      </c>
      <c r="D122" s="2" t="s">
        <v>8824</v>
      </c>
      <c r="E122" s="13" t="n">
        <v>29906</v>
      </c>
      <c r="F122" s="2" t="n">
        <v>254785764804</v>
      </c>
      <c r="G122" s="2" t="n">
        <v>11</v>
      </c>
      <c r="H122" s="2" t="s">
        <v>8850</v>
      </c>
      <c r="I122" s="2" t="s">
        <v>8852</v>
      </c>
      <c r="J122" s="2" t="s">
        <v>60</v>
      </c>
      <c r="K122" s="13" t="n">
        <v>45402</v>
      </c>
      <c r="L122" s="2" t="s">
        <v>8821</v>
      </c>
      <c r="M122" s="2" t="s">
        <v>8858</v>
      </c>
    </row>
    <row r="123" customFormat="false" ht="15" hidden="false" customHeight="false" outlineLevel="0" collapsed="false">
      <c r="A123" s="2" t="s">
        <v>2462</v>
      </c>
      <c r="B123" s="2" t="s">
        <v>8883</v>
      </c>
      <c r="C123" s="2" t="s">
        <v>8846</v>
      </c>
      <c r="D123" s="2" t="s">
        <v>8819</v>
      </c>
      <c r="E123" s="13" t="n">
        <v>27256</v>
      </c>
      <c r="F123" s="2" t="n">
        <v>254757236885</v>
      </c>
      <c r="G123" s="2" t="n">
        <v>9</v>
      </c>
      <c r="H123" s="2" t="s">
        <v>95</v>
      </c>
      <c r="I123" s="2" t="s">
        <v>8834</v>
      </c>
      <c r="J123" s="2" t="s">
        <v>61</v>
      </c>
      <c r="K123" s="13" t="n">
        <v>45573</v>
      </c>
      <c r="L123" s="2" t="s">
        <v>8855</v>
      </c>
      <c r="M123" s="2" t="s">
        <v>36</v>
      </c>
    </row>
    <row r="124" customFormat="false" ht="15" hidden="false" customHeight="false" outlineLevel="0" collapsed="false">
      <c r="A124" s="2" t="s">
        <v>2698</v>
      </c>
      <c r="B124" s="2" t="s">
        <v>8826</v>
      </c>
      <c r="C124" s="2" t="s">
        <v>8827</v>
      </c>
      <c r="D124" s="2" t="s">
        <v>8824</v>
      </c>
      <c r="E124" s="13" t="n">
        <v>26842</v>
      </c>
      <c r="F124" s="2" t="n">
        <v>254772104107</v>
      </c>
      <c r="G124" s="2" t="n">
        <v>10</v>
      </c>
      <c r="H124" s="2" t="s">
        <v>95</v>
      </c>
      <c r="I124" s="2" t="s">
        <v>8847</v>
      </c>
      <c r="J124" s="2" t="s">
        <v>62</v>
      </c>
      <c r="K124" s="13" t="n">
        <v>45220</v>
      </c>
      <c r="L124" s="2" t="s">
        <v>8821</v>
      </c>
      <c r="M124" s="2" t="s">
        <v>36</v>
      </c>
    </row>
    <row r="125" customFormat="false" ht="15" hidden="false" customHeight="false" outlineLevel="0" collapsed="false">
      <c r="A125" s="2" t="s">
        <v>1532</v>
      </c>
      <c r="B125" s="2" t="s">
        <v>8860</v>
      </c>
      <c r="C125" s="2" t="s">
        <v>8830</v>
      </c>
      <c r="D125" s="2" t="s">
        <v>8824</v>
      </c>
      <c r="E125" s="13" t="n">
        <v>36774</v>
      </c>
      <c r="F125" s="2" t="n">
        <v>254721318464</v>
      </c>
      <c r="G125" s="2" t="n">
        <v>9</v>
      </c>
      <c r="H125" s="2" t="s">
        <v>95</v>
      </c>
      <c r="I125" s="2" t="s">
        <v>8820</v>
      </c>
      <c r="J125" s="2" t="s">
        <v>59</v>
      </c>
      <c r="K125" s="13" t="n">
        <v>44990</v>
      </c>
      <c r="L125" s="2" t="s">
        <v>8855</v>
      </c>
      <c r="M125" s="2" t="s">
        <v>8858</v>
      </c>
    </row>
    <row r="126" customFormat="false" ht="15" hidden="false" customHeight="false" outlineLevel="0" collapsed="false">
      <c r="A126" s="2" t="s">
        <v>3210</v>
      </c>
      <c r="B126" s="2" t="s">
        <v>8866</v>
      </c>
      <c r="C126" s="2" t="s">
        <v>8865</v>
      </c>
      <c r="D126" s="2" t="s">
        <v>8824</v>
      </c>
      <c r="E126" s="13" t="n">
        <v>29384</v>
      </c>
      <c r="F126" s="2" t="n">
        <v>254790246882</v>
      </c>
      <c r="G126" s="2" t="n">
        <v>1</v>
      </c>
      <c r="H126" s="2" t="s">
        <v>8850</v>
      </c>
      <c r="I126" s="2" t="s">
        <v>8825</v>
      </c>
      <c r="J126" s="2" t="s">
        <v>60</v>
      </c>
      <c r="K126" s="13" t="n">
        <v>45216</v>
      </c>
      <c r="L126" s="2" t="s">
        <v>8821</v>
      </c>
      <c r="M126" s="2" t="s">
        <v>8858</v>
      </c>
    </row>
    <row r="127" customFormat="false" ht="15" hidden="false" customHeight="false" outlineLevel="0" collapsed="false">
      <c r="A127" s="2" t="s">
        <v>5521</v>
      </c>
      <c r="B127" s="2" t="s">
        <v>8882</v>
      </c>
      <c r="C127" s="2" t="s">
        <v>8867</v>
      </c>
      <c r="D127" s="2" t="s">
        <v>8819</v>
      </c>
      <c r="E127" s="13" t="n">
        <v>32287</v>
      </c>
      <c r="F127" s="2" t="n">
        <v>254754743095</v>
      </c>
      <c r="G127" s="2" t="n">
        <v>2</v>
      </c>
      <c r="H127" s="2" t="s">
        <v>95</v>
      </c>
      <c r="I127" s="2" t="s">
        <v>8844</v>
      </c>
      <c r="J127" s="2" t="s">
        <v>60</v>
      </c>
      <c r="K127" s="13" t="n">
        <v>45599</v>
      </c>
      <c r="L127" s="2" t="s">
        <v>8855</v>
      </c>
      <c r="M127" s="2" t="s">
        <v>36</v>
      </c>
    </row>
    <row r="128" customFormat="false" ht="15" hidden="false" customHeight="false" outlineLevel="0" collapsed="false">
      <c r="A128" s="2" t="s">
        <v>4589</v>
      </c>
      <c r="B128" s="2" t="s">
        <v>8886</v>
      </c>
      <c r="C128" s="2" t="s">
        <v>8869</v>
      </c>
      <c r="D128" s="2" t="s">
        <v>8819</v>
      </c>
      <c r="E128" s="13" t="n">
        <v>27532</v>
      </c>
      <c r="F128" s="2" t="n">
        <v>254799941500</v>
      </c>
      <c r="G128" s="2" t="n">
        <v>12</v>
      </c>
      <c r="H128" s="2" t="s">
        <v>95</v>
      </c>
      <c r="I128" s="2" t="s">
        <v>8852</v>
      </c>
      <c r="J128" s="2" t="s">
        <v>61</v>
      </c>
      <c r="K128" s="13" t="n">
        <v>45312</v>
      </c>
      <c r="L128" s="2" t="s">
        <v>8821</v>
      </c>
      <c r="M128" s="2" t="s">
        <v>36</v>
      </c>
    </row>
    <row r="129" customFormat="false" ht="15" hidden="false" customHeight="false" outlineLevel="0" collapsed="false">
      <c r="A129" s="2" t="s">
        <v>4281</v>
      </c>
      <c r="B129" s="2" t="s">
        <v>8878</v>
      </c>
      <c r="C129" s="2" t="s">
        <v>8859</v>
      </c>
      <c r="D129" s="2" t="s">
        <v>8819</v>
      </c>
      <c r="E129" s="13" t="n">
        <v>34095</v>
      </c>
      <c r="F129" s="2" t="n">
        <v>254740406092</v>
      </c>
      <c r="G129" s="2" t="n">
        <v>3</v>
      </c>
      <c r="H129" s="2" t="s">
        <v>95</v>
      </c>
      <c r="I129" s="2" t="s">
        <v>8825</v>
      </c>
      <c r="J129" s="2" t="s">
        <v>60</v>
      </c>
      <c r="K129" s="13" t="n">
        <v>45146</v>
      </c>
      <c r="L129" s="2" t="s">
        <v>8821</v>
      </c>
      <c r="M129" s="2" t="s">
        <v>36</v>
      </c>
    </row>
    <row r="130" customFormat="false" ht="15" hidden="false" customHeight="false" outlineLevel="0" collapsed="false">
      <c r="A130" s="2" t="s">
        <v>4871</v>
      </c>
      <c r="B130" s="2" t="s">
        <v>8866</v>
      </c>
      <c r="C130" s="2" t="s">
        <v>8833</v>
      </c>
      <c r="D130" s="2" t="s">
        <v>8819</v>
      </c>
      <c r="E130" s="13" t="n">
        <v>33516</v>
      </c>
      <c r="F130" s="2" t="n">
        <v>254734272734</v>
      </c>
      <c r="G130" s="2" t="n">
        <v>14</v>
      </c>
      <c r="H130" s="2" t="s">
        <v>95</v>
      </c>
      <c r="I130" s="2" t="s">
        <v>8864</v>
      </c>
      <c r="J130" s="2" t="s">
        <v>61</v>
      </c>
      <c r="K130" s="13" t="n">
        <v>45538</v>
      </c>
      <c r="L130" s="2" t="s">
        <v>8821</v>
      </c>
      <c r="M130" s="2" t="s">
        <v>8858</v>
      </c>
    </row>
    <row r="131" customFormat="false" ht="15" hidden="false" customHeight="false" outlineLevel="0" collapsed="false">
      <c r="A131" s="2" t="s">
        <v>721</v>
      </c>
      <c r="B131" s="2" t="s">
        <v>8860</v>
      </c>
      <c r="C131" s="2" t="s">
        <v>8867</v>
      </c>
      <c r="D131" s="2" t="s">
        <v>8824</v>
      </c>
      <c r="E131" s="13" t="n">
        <v>34297</v>
      </c>
      <c r="F131" s="2" t="n">
        <v>254770254091</v>
      </c>
      <c r="G131" s="2" t="n">
        <v>4</v>
      </c>
      <c r="H131" s="2" t="s">
        <v>95</v>
      </c>
      <c r="I131" s="2" t="s">
        <v>8834</v>
      </c>
      <c r="J131" s="2" t="s">
        <v>61</v>
      </c>
      <c r="K131" s="13" t="n">
        <v>45170</v>
      </c>
      <c r="L131" s="2" t="s">
        <v>8821</v>
      </c>
      <c r="M131" s="2" t="s">
        <v>36</v>
      </c>
    </row>
    <row r="132" customFormat="false" ht="15" hidden="false" customHeight="false" outlineLevel="0" collapsed="false">
      <c r="A132" s="2" t="s">
        <v>2784</v>
      </c>
      <c r="B132" s="2" t="s">
        <v>8853</v>
      </c>
      <c r="C132" s="2" t="s">
        <v>8876</v>
      </c>
      <c r="D132" s="2" t="s">
        <v>8824</v>
      </c>
      <c r="E132" s="13" t="n">
        <v>36032</v>
      </c>
      <c r="F132" s="2" t="n">
        <v>254731751079</v>
      </c>
      <c r="G132" s="2" t="n">
        <v>14</v>
      </c>
      <c r="H132" s="2" t="s">
        <v>95</v>
      </c>
      <c r="I132" s="2" t="s">
        <v>8848</v>
      </c>
      <c r="J132" s="2" t="s">
        <v>59</v>
      </c>
      <c r="K132" s="13" t="n">
        <v>45215</v>
      </c>
      <c r="L132" s="2" t="s">
        <v>8821</v>
      </c>
      <c r="M132" s="2" t="s">
        <v>36</v>
      </c>
    </row>
    <row r="133" customFormat="false" ht="15" hidden="false" customHeight="false" outlineLevel="0" collapsed="false">
      <c r="A133" s="2" t="s">
        <v>1552</v>
      </c>
      <c r="B133" s="2" t="s">
        <v>8875</v>
      </c>
      <c r="C133" s="2" t="s">
        <v>8861</v>
      </c>
      <c r="D133" s="2" t="s">
        <v>8819</v>
      </c>
      <c r="E133" s="13" t="n">
        <v>36695</v>
      </c>
      <c r="F133" s="2" t="n">
        <v>254748260510</v>
      </c>
      <c r="G133" s="2" t="n">
        <v>2</v>
      </c>
      <c r="H133" s="2" t="s">
        <v>95</v>
      </c>
      <c r="I133" s="2" t="s">
        <v>8834</v>
      </c>
      <c r="J133" s="2" t="s">
        <v>61</v>
      </c>
      <c r="K133" s="13" t="n">
        <v>45032</v>
      </c>
      <c r="L133" s="2" t="s">
        <v>8821</v>
      </c>
      <c r="M133" s="2" t="s">
        <v>8858</v>
      </c>
    </row>
    <row r="134" customFormat="false" ht="15" hidden="false" customHeight="false" outlineLevel="0" collapsed="false">
      <c r="A134" s="2" t="s">
        <v>1451</v>
      </c>
      <c r="B134" s="2" t="s">
        <v>8880</v>
      </c>
      <c r="C134" s="2" t="s">
        <v>8888</v>
      </c>
      <c r="D134" s="2" t="s">
        <v>8819</v>
      </c>
      <c r="E134" s="13" t="n">
        <v>27511</v>
      </c>
      <c r="F134" s="2" t="n">
        <v>254765686520</v>
      </c>
      <c r="G134" s="2" t="n">
        <v>1</v>
      </c>
      <c r="H134" s="2" t="s">
        <v>8850</v>
      </c>
      <c r="I134" s="2" t="s">
        <v>8857</v>
      </c>
      <c r="J134" s="2" t="s">
        <v>60</v>
      </c>
      <c r="K134" s="13" t="n">
        <v>45388</v>
      </c>
      <c r="L134" s="2" t="s">
        <v>8821</v>
      </c>
      <c r="M134" s="2" t="s">
        <v>8858</v>
      </c>
    </row>
    <row r="135" customFormat="false" ht="15" hidden="false" customHeight="false" outlineLevel="0" collapsed="false">
      <c r="A135" s="2" t="s">
        <v>196</v>
      </c>
      <c r="B135" s="2" t="s">
        <v>8878</v>
      </c>
      <c r="C135" s="2" t="s">
        <v>8830</v>
      </c>
      <c r="D135" s="2" t="s">
        <v>8824</v>
      </c>
      <c r="E135" s="13" t="n">
        <v>27553</v>
      </c>
      <c r="F135" s="2" t="n">
        <v>254729602406</v>
      </c>
      <c r="G135" s="2" t="n">
        <v>3</v>
      </c>
      <c r="H135" s="2" t="s">
        <v>95</v>
      </c>
      <c r="I135" s="2" t="s">
        <v>8834</v>
      </c>
      <c r="J135" s="2" t="s">
        <v>61</v>
      </c>
      <c r="K135" s="13" t="n">
        <v>44955</v>
      </c>
      <c r="L135" s="2" t="s">
        <v>8821</v>
      </c>
      <c r="M135" s="2" t="s">
        <v>8858</v>
      </c>
    </row>
    <row r="136" customFormat="false" ht="15" hidden="false" customHeight="false" outlineLevel="0" collapsed="false">
      <c r="A136" s="2" t="s">
        <v>1442</v>
      </c>
      <c r="B136" s="2" t="s">
        <v>8817</v>
      </c>
      <c r="C136" s="2" t="s">
        <v>8846</v>
      </c>
      <c r="D136" s="2" t="s">
        <v>8819</v>
      </c>
      <c r="E136" s="13" t="n">
        <v>36069</v>
      </c>
      <c r="F136" s="2" t="n">
        <v>254730068183</v>
      </c>
      <c r="G136" s="2" t="n">
        <v>9</v>
      </c>
      <c r="H136" s="2" t="s">
        <v>8850</v>
      </c>
      <c r="I136" s="2" t="s">
        <v>8825</v>
      </c>
      <c r="J136" s="2" t="s">
        <v>60</v>
      </c>
      <c r="K136" s="13" t="n">
        <v>45008</v>
      </c>
      <c r="L136" s="2" t="s">
        <v>8821</v>
      </c>
      <c r="M136" s="2" t="s">
        <v>36</v>
      </c>
    </row>
    <row r="137" customFormat="false" ht="15" hidden="false" customHeight="false" outlineLevel="0" collapsed="false">
      <c r="A137" s="2" t="s">
        <v>206</v>
      </c>
      <c r="B137" s="2" t="s">
        <v>8886</v>
      </c>
      <c r="C137" s="2" t="s">
        <v>8867</v>
      </c>
      <c r="D137" s="2" t="s">
        <v>8824</v>
      </c>
      <c r="E137" s="13" t="n">
        <v>28133</v>
      </c>
      <c r="F137" s="2" t="n">
        <v>254718429833</v>
      </c>
      <c r="G137" s="2" t="n">
        <v>2</v>
      </c>
      <c r="H137" s="2" t="s">
        <v>8850</v>
      </c>
      <c r="I137" s="2" t="s">
        <v>8848</v>
      </c>
      <c r="J137" s="2" t="s">
        <v>62</v>
      </c>
      <c r="K137" s="13" t="n">
        <v>45356</v>
      </c>
      <c r="L137" s="2" t="s">
        <v>8821</v>
      </c>
      <c r="M137" s="2" t="s">
        <v>36</v>
      </c>
    </row>
    <row r="138" customFormat="false" ht="15" hidden="false" customHeight="false" outlineLevel="0" collapsed="false">
      <c r="A138" s="2" t="s">
        <v>3479</v>
      </c>
      <c r="B138" s="2" t="s">
        <v>8849</v>
      </c>
      <c r="C138" s="2" t="s">
        <v>8888</v>
      </c>
      <c r="D138" s="2" t="s">
        <v>8819</v>
      </c>
      <c r="E138" s="13" t="n">
        <v>28989</v>
      </c>
      <c r="F138" s="2" t="n">
        <v>254786593187</v>
      </c>
      <c r="G138" s="2" t="n">
        <v>7</v>
      </c>
      <c r="H138" s="2" t="s">
        <v>95</v>
      </c>
      <c r="I138" s="2" t="s">
        <v>8852</v>
      </c>
      <c r="J138" s="2" t="s">
        <v>58</v>
      </c>
      <c r="K138" s="13" t="n">
        <v>44928</v>
      </c>
      <c r="L138" s="2" t="s">
        <v>8821</v>
      </c>
      <c r="M138" s="2" t="s">
        <v>36</v>
      </c>
    </row>
    <row r="139" customFormat="false" ht="15" hidden="false" customHeight="false" outlineLevel="0" collapsed="false">
      <c r="A139" s="2" t="s">
        <v>2890</v>
      </c>
      <c r="B139" s="2" t="s">
        <v>8866</v>
      </c>
      <c r="C139" s="2" t="s">
        <v>8859</v>
      </c>
      <c r="D139" s="2" t="s">
        <v>8819</v>
      </c>
      <c r="E139" s="13" t="n">
        <v>37517</v>
      </c>
      <c r="F139" s="2" t="n">
        <v>254795318289</v>
      </c>
      <c r="G139" s="2" t="n">
        <v>7</v>
      </c>
      <c r="H139" s="2" t="s">
        <v>8850</v>
      </c>
      <c r="I139" s="2" t="s">
        <v>8834</v>
      </c>
      <c r="J139" s="2" t="s">
        <v>58</v>
      </c>
      <c r="K139" s="13" t="n">
        <v>44947</v>
      </c>
      <c r="L139" s="2" t="s">
        <v>8821</v>
      </c>
      <c r="M139" s="2" t="s">
        <v>36</v>
      </c>
    </row>
    <row r="140" customFormat="false" ht="15" hidden="false" customHeight="false" outlineLevel="0" collapsed="false">
      <c r="A140" s="2" t="s">
        <v>1753</v>
      </c>
      <c r="B140" s="2" t="s">
        <v>8886</v>
      </c>
      <c r="C140" s="2" t="s">
        <v>8830</v>
      </c>
      <c r="D140" s="2" t="s">
        <v>8824</v>
      </c>
      <c r="E140" s="13" t="n">
        <v>33718</v>
      </c>
      <c r="F140" s="2" t="n">
        <v>254727905932</v>
      </c>
      <c r="G140" s="2" t="n">
        <v>1</v>
      </c>
      <c r="H140" s="2" t="s">
        <v>8850</v>
      </c>
      <c r="I140" s="2" t="s">
        <v>8857</v>
      </c>
      <c r="J140" s="2" t="s">
        <v>60</v>
      </c>
      <c r="K140" s="13" t="n">
        <v>45599</v>
      </c>
      <c r="L140" s="2" t="s">
        <v>8821</v>
      </c>
      <c r="M140" s="2" t="s">
        <v>8858</v>
      </c>
    </row>
    <row r="141" customFormat="false" ht="15" hidden="false" customHeight="false" outlineLevel="0" collapsed="false">
      <c r="A141" s="2" t="s">
        <v>712</v>
      </c>
      <c r="B141" s="2" t="s">
        <v>8826</v>
      </c>
      <c r="C141" s="2" t="s">
        <v>8870</v>
      </c>
      <c r="D141" s="2" t="s">
        <v>8819</v>
      </c>
      <c r="E141" s="13" t="n">
        <v>36836</v>
      </c>
      <c r="F141" s="2" t="n">
        <v>254749385195</v>
      </c>
      <c r="G141" s="2" t="n">
        <v>4</v>
      </c>
      <c r="H141" s="2" t="s">
        <v>95</v>
      </c>
      <c r="I141" s="2" t="s">
        <v>8831</v>
      </c>
      <c r="J141" s="2" t="s">
        <v>58</v>
      </c>
      <c r="K141" s="13" t="n">
        <v>45065</v>
      </c>
      <c r="L141" s="2" t="s">
        <v>8821</v>
      </c>
      <c r="M141" s="2" t="s">
        <v>36</v>
      </c>
    </row>
    <row r="142" customFormat="false" ht="15" hidden="false" customHeight="false" outlineLevel="0" collapsed="false">
      <c r="A142" s="2" t="s">
        <v>6323</v>
      </c>
      <c r="B142" s="2" t="s">
        <v>8877</v>
      </c>
      <c r="C142" s="2" t="s">
        <v>8846</v>
      </c>
      <c r="D142" s="2" t="s">
        <v>8819</v>
      </c>
      <c r="E142" s="13" t="n">
        <v>37464</v>
      </c>
      <c r="F142" s="2" t="n">
        <v>254796825515</v>
      </c>
      <c r="G142" s="2" t="n">
        <v>4</v>
      </c>
      <c r="H142" s="2" t="s">
        <v>8850</v>
      </c>
      <c r="I142" s="2" t="s">
        <v>8844</v>
      </c>
      <c r="J142" s="2" t="s">
        <v>58</v>
      </c>
      <c r="K142" s="13" t="n">
        <v>45483</v>
      </c>
      <c r="L142" s="2" t="s">
        <v>8821</v>
      </c>
      <c r="M142" s="2" t="s">
        <v>36</v>
      </c>
    </row>
    <row r="143" customFormat="false" ht="15" hidden="false" customHeight="false" outlineLevel="0" collapsed="false">
      <c r="A143" s="2" t="s">
        <v>3301</v>
      </c>
      <c r="B143" s="2" t="s">
        <v>8871</v>
      </c>
      <c r="C143" s="2" t="s">
        <v>8870</v>
      </c>
      <c r="D143" s="2" t="s">
        <v>8824</v>
      </c>
      <c r="E143" s="13" t="n">
        <v>28290</v>
      </c>
      <c r="F143" s="2" t="n">
        <v>254755504725</v>
      </c>
      <c r="G143" s="2" t="n">
        <v>3</v>
      </c>
      <c r="H143" s="2" t="s">
        <v>8850</v>
      </c>
      <c r="I143" s="2" t="s">
        <v>8864</v>
      </c>
      <c r="J143" s="2" t="s">
        <v>61</v>
      </c>
      <c r="K143" s="13" t="n">
        <v>45336</v>
      </c>
      <c r="L143" s="2" t="s">
        <v>8821</v>
      </c>
      <c r="M143" s="2" t="s">
        <v>36</v>
      </c>
    </row>
    <row r="144" customFormat="false" ht="15" hidden="false" customHeight="false" outlineLevel="0" collapsed="false">
      <c r="A144" s="2" t="s">
        <v>4393</v>
      </c>
      <c r="B144" s="2" t="s">
        <v>8838</v>
      </c>
      <c r="C144" s="2" t="s">
        <v>8867</v>
      </c>
      <c r="D144" s="2" t="s">
        <v>8819</v>
      </c>
      <c r="E144" s="13" t="n">
        <v>27742</v>
      </c>
      <c r="F144" s="2" t="n">
        <v>254783212334</v>
      </c>
      <c r="G144" s="2" t="n">
        <v>5</v>
      </c>
      <c r="H144" s="2" t="s">
        <v>8850</v>
      </c>
      <c r="I144" s="2" t="s">
        <v>8825</v>
      </c>
      <c r="J144" s="2" t="s">
        <v>58</v>
      </c>
      <c r="K144" s="13" t="n">
        <v>45007</v>
      </c>
      <c r="L144" s="2" t="s">
        <v>8821</v>
      </c>
      <c r="M144" s="2" t="s">
        <v>36</v>
      </c>
    </row>
    <row r="145" customFormat="false" ht="15" hidden="false" customHeight="false" outlineLevel="0" collapsed="false">
      <c r="A145" s="2" t="s">
        <v>1076</v>
      </c>
      <c r="B145" s="2" t="s">
        <v>8835</v>
      </c>
      <c r="C145" s="2" t="s">
        <v>8870</v>
      </c>
      <c r="D145" s="2" t="s">
        <v>8824</v>
      </c>
      <c r="E145" s="13" t="n">
        <v>32740</v>
      </c>
      <c r="F145" s="2" t="n">
        <v>254770012727</v>
      </c>
      <c r="G145" s="2" t="n">
        <v>1</v>
      </c>
      <c r="H145" s="2" t="s">
        <v>8850</v>
      </c>
      <c r="I145" s="2" t="s">
        <v>8848</v>
      </c>
      <c r="J145" s="2" t="s">
        <v>61</v>
      </c>
      <c r="K145" s="13" t="n">
        <v>45363</v>
      </c>
      <c r="L145" s="2" t="s">
        <v>8821</v>
      </c>
      <c r="M145" s="2" t="s">
        <v>36</v>
      </c>
    </row>
    <row r="146" customFormat="false" ht="15" hidden="false" customHeight="false" outlineLevel="0" collapsed="false">
      <c r="A146" s="2" t="s">
        <v>5555</v>
      </c>
      <c r="B146" s="2" t="s">
        <v>8879</v>
      </c>
      <c r="C146" s="2" t="s">
        <v>8861</v>
      </c>
      <c r="D146" s="2" t="s">
        <v>8819</v>
      </c>
      <c r="E146" s="13" t="n">
        <v>27354</v>
      </c>
      <c r="F146" s="2" t="n">
        <v>254714179623</v>
      </c>
      <c r="G146" s="2" t="n">
        <v>3</v>
      </c>
      <c r="H146" s="2" t="s">
        <v>8850</v>
      </c>
      <c r="I146" s="2" t="s">
        <v>8820</v>
      </c>
      <c r="J146" s="2" t="s">
        <v>59</v>
      </c>
      <c r="K146" s="13" t="n">
        <v>45342</v>
      </c>
      <c r="L146" s="2" t="s">
        <v>8821</v>
      </c>
      <c r="M146" s="2" t="s">
        <v>36</v>
      </c>
    </row>
    <row r="147" customFormat="false" ht="15" hidden="false" customHeight="false" outlineLevel="0" collapsed="false">
      <c r="A147" s="2" t="s">
        <v>690</v>
      </c>
      <c r="B147" s="2" t="s">
        <v>8822</v>
      </c>
      <c r="C147" s="2" t="s">
        <v>8867</v>
      </c>
      <c r="D147" s="2" t="s">
        <v>8819</v>
      </c>
      <c r="E147" s="13" t="n">
        <v>34133</v>
      </c>
      <c r="F147" s="2" t="n">
        <v>254770387584</v>
      </c>
      <c r="G147" s="2" t="n">
        <v>6</v>
      </c>
      <c r="H147" s="2" t="s">
        <v>8850</v>
      </c>
      <c r="I147" s="2" t="s">
        <v>8847</v>
      </c>
      <c r="J147" s="2" t="s">
        <v>58</v>
      </c>
      <c r="K147" s="13" t="n">
        <v>45507</v>
      </c>
      <c r="L147" s="2" t="s">
        <v>8821</v>
      </c>
      <c r="M147" s="2" t="s">
        <v>36</v>
      </c>
    </row>
    <row r="148" customFormat="false" ht="15" hidden="false" customHeight="false" outlineLevel="0" collapsed="false">
      <c r="A148" s="2" t="s">
        <v>2630</v>
      </c>
      <c r="B148" s="2" t="s">
        <v>8843</v>
      </c>
      <c r="C148" s="2" t="s">
        <v>8830</v>
      </c>
      <c r="D148" s="2" t="s">
        <v>8819</v>
      </c>
      <c r="E148" s="13" t="n">
        <v>34871</v>
      </c>
      <c r="F148" s="2" t="n">
        <v>254734970946</v>
      </c>
      <c r="G148" s="2" t="n">
        <v>8</v>
      </c>
      <c r="H148" s="2" t="s">
        <v>8850</v>
      </c>
      <c r="I148" s="2" t="s">
        <v>8857</v>
      </c>
      <c r="J148" s="2" t="s">
        <v>58</v>
      </c>
      <c r="K148" s="13" t="n">
        <v>45212</v>
      </c>
      <c r="L148" s="2" t="s">
        <v>8821</v>
      </c>
      <c r="M148" s="2" t="s">
        <v>36</v>
      </c>
    </row>
    <row r="149" customFormat="false" ht="15" hidden="false" customHeight="false" outlineLevel="0" collapsed="false">
      <c r="A149" s="2" t="s">
        <v>336</v>
      </c>
      <c r="B149" s="2" t="s">
        <v>8875</v>
      </c>
      <c r="C149" s="2" t="s">
        <v>8859</v>
      </c>
      <c r="D149" s="2" t="s">
        <v>8819</v>
      </c>
      <c r="E149" s="13" t="n">
        <v>35905</v>
      </c>
      <c r="F149" s="2" t="n">
        <v>254726460116</v>
      </c>
      <c r="G149" s="2" t="n">
        <v>3</v>
      </c>
      <c r="H149" s="2" t="s">
        <v>95</v>
      </c>
      <c r="I149" s="2" t="s">
        <v>8847</v>
      </c>
      <c r="J149" s="2" t="s">
        <v>59</v>
      </c>
      <c r="K149" s="13" t="n">
        <v>45219</v>
      </c>
      <c r="L149" s="2" t="s">
        <v>8855</v>
      </c>
      <c r="M149" s="2" t="s">
        <v>36</v>
      </c>
    </row>
    <row r="150" customFormat="false" ht="15" hidden="false" customHeight="false" outlineLevel="0" collapsed="false">
      <c r="A150" s="2" t="s">
        <v>1228</v>
      </c>
      <c r="B150" s="2" t="s">
        <v>8826</v>
      </c>
      <c r="C150" s="2" t="s">
        <v>8863</v>
      </c>
      <c r="D150" s="2" t="s">
        <v>8824</v>
      </c>
      <c r="E150" s="13" t="n">
        <v>33189</v>
      </c>
      <c r="F150" s="2" t="n">
        <v>254750259503</v>
      </c>
      <c r="G150" s="2" t="n">
        <v>14</v>
      </c>
      <c r="H150" s="2" t="s">
        <v>95</v>
      </c>
      <c r="I150" s="2" t="s">
        <v>8864</v>
      </c>
      <c r="J150" s="2" t="s">
        <v>59</v>
      </c>
      <c r="K150" s="13" t="n">
        <v>45653</v>
      </c>
      <c r="L150" s="2" t="s">
        <v>8821</v>
      </c>
      <c r="M150" s="2" t="s">
        <v>36</v>
      </c>
    </row>
    <row r="151" customFormat="false" ht="15" hidden="false" customHeight="false" outlineLevel="0" collapsed="false">
      <c r="A151" s="2" t="s">
        <v>620</v>
      </c>
      <c r="B151" s="2" t="s">
        <v>8843</v>
      </c>
      <c r="C151" s="2" t="s">
        <v>8859</v>
      </c>
      <c r="D151" s="2" t="s">
        <v>8819</v>
      </c>
      <c r="E151" s="13" t="n">
        <v>28241</v>
      </c>
      <c r="F151" s="2" t="n">
        <v>254758438711</v>
      </c>
      <c r="G151" s="2" t="n">
        <v>9</v>
      </c>
      <c r="H151" s="2" t="s">
        <v>8850</v>
      </c>
      <c r="I151" s="2" t="s">
        <v>8847</v>
      </c>
      <c r="J151" s="2" t="s">
        <v>62</v>
      </c>
      <c r="K151" s="13" t="n">
        <v>45069</v>
      </c>
      <c r="L151" s="2" t="s">
        <v>8821</v>
      </c>
      <c r="M151" s="2" t="s">
        <v>36</v>
      </c>
    </row>
    <row r="152" customFormat="false" ht="15" hidden="false" customHeight="false" outlineLevel="0" collapsed="false">
      <c r="A152" s="2" t="s">
        <v>2925</v>
      </c>
      <c r="B152" s="2" t="s">
        <v>8868</v>
      </c>
      <c r="C152" s="2" t="s">
        <v>8865</v>
      </c>
      <c r="D152" s="2" t="s">
        <v>8824</v>
      </c>
      <c r="E152" s="13" t="n">
        <v>27162</v>
      </c>
      <c r="F152" s="2" t="n">
        <v>254787161840</v>
      </c>
      <c r="G152" s="2" t="n">
        <v>2</v>
      </c>
      <c r="H152" s="2" t="s">
        <v>95</v>
      </c>
      <c r="I152" s="2" t="s">
        <v>8844</v>
      </c>
      <c r="J152" s="2" t="s">
        <v>58</v>
      </c>
      <c r="K152" s="13" t="n">
        <v>45417</v>
      </c>
      <c r="L152" s="2" t="s">
        <v>8855</v>
      </c>
      <c r="M152" s="2" t="s">
        <v>8858</v>
      </c>
    </row>
    <row r="153" customFormat="false" ht="15" hidden="false" customHeight="false" outlineLevel="0" collapsed="false">
      <c r="A153" s="2" t="s">
        <v>5171</v>
      </c>
      <c r="B153" s="2" t="s">
        <v>8886</v>
      </c>
      <c r="C153" s="2" t="s">
        <v>8881</v>
      </c>
      <c r="D153" s="2" t="s">
        <v>8819</v>
      </c>
      <c r="E153" s="13" t="n">
        <v>33690</v>
      </c>
      <c r="F153" s="2" t="n">
        <v>254727318510</v>
      </c>
      <c r="G153" s="2" t="n">
        <v>7</v>
      </c>
      <c r="H153" s="2" t="s">
        <v>95</v>
      </c>
      <c r="I153" s="2" t="s">
        <v>8825</v>
      </c>
      <c r="J153" s="2" t="s">
        <v>62</v>
      </c>
      <c r="K153" s="13" t="n">
        <v>45491</v>
      </c>
      <c r="L153" s="2" t="s">
        <v>8821</v>
      </c>
      <c r="M153" s="2" t="s">
        <v>36</v>
      </c>
    </row>
    <row r="154" customFormat="false" ht="15" hidden="false" customHeight="false" outlineLevel="0" collapsed="false">
      <c r="A154" s="2" t="s">
        <v>4013</v>
      </c>
      <c r="B154" s="2" t="s">
        <v>8843</v>
      </c>
      <c r="C154" s="2" t="s">
        <v>8888</v>
      </c>
      <c r="D154" s="2" t="s">
        <v>8824</v>
      </c>
      <c r="E154" s="13" t="n">
        <v>29291</v>
      </c>
      <c r="F154" s="2" t="n">
        <v>254720584397</v>
      </c>
      <c r="G154" s="2" t="n">
        <v>5</v>
      </c>
      <c r="H154" s="2" t="s">
        <v>95</v>
      </c>
      <c r="I154" s="2" t="s">
        <v>8852</v>
      </c>
      <c r="J154" s="2" t="s">
        <v>62</v>
      </c>
      <c r="K154" s="13" t="n">
        <v>45653</v>
      </c>
      <c r="L154" s="2" t="s">
        <v>8821</v>
      </c>
      <c r="M154" s="2" t="s">
        <v>36</v>
      </c>
    </row>
    <row r="155" customFormat="false" ht="15" hidden="false" customHeight="false" outlineLevel="0" collapsed="false">
      <c r="A155" s="2" t="s">
        <v>2201</v>
      </c>
      <c r="B155" s="2" t="s">
        <v>8868</v>
      </c>
      <c r="C155" s="2" t="s">
        <v>8873</v>
      </c>
      <c r="D155" s="2" t="s">
        <v>8819</v>
      </c>
      <c r="E155" s="13" t="n">
        <v>32799</v>
      </c>
      <c r="F155" s="2" t="n">
        <v>254732978158</v>
      </c>
      <c r="G155" s="2" t="n">
        <v>11</v>
      </c>
      <c r="H155" s="2" t="s">
        <v>8850</v>
      </c>
      <c r="I155" s="2" t="s">
        <v>8848</v>
      </c>
      <c r="J155" s="2" t="s">
        <v>58</v>
      </c>
      <c r="K155" s="13" t="n">
        <v>45022</v>
      </c>
      <c r="L155" s="2" t="s">
        <v>8821</v>
      </c>
      <c r="M155" s="2" t="s">
        <v>36</v>
      </c>
    </row>
    <row r="156" customFormat="false" ht="15" hidden="false" customHeight="false" outlineLevel="0" collapsed="false">
      <c r="A156" s="2" t="s">
        <v>8231</v>
      </c>
      <c r="B156" s="2" t="s">
        <v>8845</v>
      </c>
      <c r="C156" s="2" t="s">
        <v>8841</v>
      </c>
      <c r="D156" s="2" t="s">
        <v>8824</v>
      </c>
      <c r="E156" s="13" t="n">
        <v>26628</v>
      </c>
      <c r="F156" s="2" t="n">
        <v>254792961108</v>
      </c>
      <c r="G156" s="2" t="n">
        <v>11</v>
      </c>
      <c r="H156" s="2" t="s">
        <v>95</v>
      </c>
      <c r="I156" s="2" t="s">
        <v>8847</v>
      </c>
      <c r="J156" s="2" t="s">
        <v>62</v>
      </c>
      <c r="K156" s="13" t="n">
        <v>45517</v>
      </c>
      <c r="L156" s="2" t="s">
        <v>8821</v>
      </c>
      <c r="M156" s="2" t="s">
        <v>36</v>
      </c>
    </row>
    <row r="157" customFormat="false" ht="15" hidden="false" customHeight="false" outlineLevel="0" collapsed="false">
      <c r="A157" s="2" t="s">
        <v>3929</v>
      </c>
      <c r="B157" s="2" t="s">
        <v>8866</v>
      </c>
      <c r="C157" s="2" t="s">
        <v>8854</v>
      </c>
      <c r="D157" s="2" t="s">
        <v>8824</v>
      </c>
      <c r="E157" s="13" t="n">
        <v>36642</v>
      </c>
      <c r="F157" s="2" t="n">
        <v>254719794273</v>
      </c>
      <c r="G157" s="2" t="n">
        <v>12</v>
      </c>
      <c r="H157" s="2" t="s">
        <v>95</v>
      </c>
      <c r="I157" s="2" t="s">
        <v>8828</v>
      </c>
      <c r="J157" s="2" t="s">
        <v>61</v>
      </c>
      <c r="K157" s="13" t="n">
        <v>45628</v>
      </c>
      <c r="L157" s="2" t="s">
        <v>8855</v>
      </c>
      <c r="M157" s="2" t="s">
        <v>8858</v>
      </c>
    </row>
    <row r="158" customFormat="false" ht="15" hidden="false" customHeight="false" outlineLevel="0" collapsed="false">
      <c r="A158" s="2" t="s">
        <v>266</v>
      </c>
      <c r="B158" s="2" t="s">
        <v>8832</v>
      </c>
      <c r="C158" s="2" t="s">
        <v>8869</v>
      </c>
      <c r="D158" s="2" t="s">
        <v>8824</v>
      </c>
      <c r="E158" s="13" t="n">
        <v>36261</v>
      </c>
      <c r="F158" s="2" t="n">
        <v>254756354851</v>
      </c>
      <c r="G158" s="2" t="n">
        <v>7</v>
      </c>
      <c r="H158" s="2" t="s">
        <v>95</v>
      </c>
      <c r="I158" s="2" t="s">
        <v>8844</v>
      </c>
      <c r="J158" s="2" t="s">
        <v>62</v>
      </c>
      <c r="K158" s="13" t="n">
        <v>45548</v>
      </c>
      <c r="L158" s="2" t="s">
        <v>8821</v>
      </c>
      <c r="M158" s="2" t="s">
        <v>36</v>
      </c>
    </row>
    <row r="159" customFormat="false" ht="15" hidden="false" customHeight="false" outlineLevel="0" collapsed="false">
      <c r="A159" s="2" t="s">
        <v>789</v>
      </c>
      <c r="B159" s="2" t="s">
        <v>8860</v>
      </c>
      <c r="C159" s="2" t="s">
        <v>8839</v>
      </c>
      <c r="D159" s="2" t="s">
        <v>8819</v>
      </c>
      <c r="E159" s="13" t="n">
        <v>31263</v>
      </c>
      <c r="F159" s="2" t="n">
        <v>254722993840</v>
      </c>
      <c r="G159" s="2" t="n">
        <v>1</v>
      </c>
      <c r="H159" s="2" t="s">
        <v>8850</v>
      </c>
      <c r="I159" s="2" t="s">
        <v>8842</v>
      </c>
      <c r="J159" s="2" t="s">
        <v>62</v>
      </c>
      <c r="K159" s="13" t="n">
        <v>45200</v>
      </c>
      <c r="L159" s="2" t="s">
        <v>8855</v>
      </c>
      <c r="M159" s="2" t="s">
        <v>36</v>
      </c>
    </row>
    <row r="160" customFormat="false" ht="15" hidden="false" customHeight="false" outlineLevel="0" collapsed="false">
      <c r="A160" s="2" t="s">
        <v>7173</v>
      </c>
      <c r="B160" s="2" t="s">
        <v>8840</v>
      </c>
      <c r="C160" s="2" t="s">
        <v>8873</v>
      </c>
      <c r="D160" s="2" t="s">
        <v>8824</v>
      </c>
      <c r="E160" s="13" t="n">
        <v>29391</v>
      </c>
      <c r="F160" s="2" t="n">
        <v>254779085198</v>
      </c>
      <c r="G160" s="2" t="n">
        <v>8</v>
      </c>
      <c r="H160" s="2" t="s">
        <v>8850</v>
      </c>
      <c r="I160" s="2" t="s">
        <v>8834</v>
      </c>
      <c r="J160" s="2" t="s">
        <v>61</v>
      </c>
      <c r="K160" s="13" t="n">
        <v>45247</v>
      </c>
      <c r="L160" s="2" t="s">
        <v>8821</v>
      </c>
      <c r="M160" s="2" t="s">
        <v>36</v>
      </c>
    </row>
    <row r="161" customFormat="false" ht="15" hidden="false" customHeight="false" outlineLevel="0" collapsed="false">
      <c r="A161" s="2" t="s">
        <v>8651</v>
      </c>
      <c r="B161" s="2" t="s">
        <v>8840</v>
      </c>
      <c r="C161" s="2" t="s">
        <v>8881</v>
      </c>
      <c r="D161" s="2" t="s">
        <v>8824</v>
      </c>
      <c r="E161" s="13" t="n">
        <v>34957</v>
      </c>
      <c r="F161" s="2" t="n">
        <v>254716530784</v>
      </c>
      <c r="G161" s="2" t="n">
        <v>1</v>
      </c>
      <c r="H161" s="2" t="s">
        <v>8850</v>
      </c>
      <c r="I161" s="2" t="s">
        <v>8847</v>
      </c>
      <c r="J161" s="2" t="s">
        <v>62</v>
      </c>
      <c r="K161" s="13" t="n">
        <v>45173</v>
      </c>
      <c r="L161" s="2" t="s">
        <v>8855</v>
      </c>
      <c r="M161" s="2" t="s">
        <v>36</v>
      </c>
    </row>
    <row r="162" customFormat="false" ht="15" hidden="false" customHeight="false" outlineLevel="0" collapsed="false">
      <c r="A162" s="2" t="s">
        <v>6813</v>
      </c>
      <c r="B162" s="2" t="s">
        <v>8880</v>
      </c>
      <c r="C162" s="2" t="s">
        <v>8846</v>
      </c>
      <c r="D162" s="2" t="s">
        <v>8824</v>
      </c>
      <c r="E162" s="13" t="n">
        <v>25613</v>
      </c>
      <c r="F162" s="2" t="n">
        <v>254764123845</v>
      </c>
      <c r="G162" s="2" t="n">
        <v>6</v>
      </c>
      <c r="H162" s="2" t="s">
        <v>95</v>
      </c>
      <c r="I162" s="2" t="s">
        <v>8842</v>
      </c>
      <c r="J162" s="2" t="s">
        <v>58</v>
      </c>
      <c r="K162" s="13" t="n">
        <v>45064</v>
      </c>
      <c r="L162" s="2" t="s">
        <v>8821</v>
      </c>
      <c r="M162" s="2" t="s">
        <v>36</v>
      </c>
    </row>
    <row r="163" customFormat="false" ht="15" hidden="false" customHeight="false" outlineLevel="0" collapsed="false">
      <c r="A163" s="2" t="s">
        <v>1944</v>
      </c>
      <c r="B163" s="2" t="s">
        <v>8860</v>
      </c>
      <c r="C163" s="2" t="s">
        <v>8863</v>
      </c>
      <c r="D163" s="2" t="s">
        <v>8824</v>
      </c>
      <c r="E163" s="13" t="n">
        <v>32186</v>
      </c>
      <c r="F163" s="2" t="n">
        <v>254793650068</v>
      </c>
      <c r="G163" s="2" t="n">
        <v>11</v>
      </c>
      <c r="H163" s="2" t="s">
        <v>95</v>
      </c>
      <c r="I163" s="2" t="s">
        <v>8828</v>
      </c>
      <c r="J163" s="2" t="s">
        <v>58</v>
      </c>
      <c r="K163" s="13" t="n">
        <v>45443</v>
      </c>
      <c r="L163" s="2" t="s">
        <v>8855</v>
      </c>
      <c r="M163" s="2" t="s">
        <v>36</v>
      </c>
    </row>
    <row r="164" customFormat="false" ht="15" hidden="false" customHeight="false" outlineLevel="0" collapsed="false">
      <c r="A164" s="2" t="s">
        <v>3467</v>
      </c>
      <c r="B164" s="2" t="s">
        <v>8840</v>
      </c>
      <c r="C164" s="2" t="s">
        <v>8867</v>
      </c>
      <c r="D164" s="2" t="s">
        <v>8824</v>
      </c>
      <c r="E164" s="13" t="n">
        <v>33493</v>
      </c>
      <c r="F164" s="2" t="n">
        <v>254777119320</v>
      </c>
      <c r="G164" s="2" t="n">
        <v>1</v>
      </c>
      <c r="H164" s="2" t="s">
        <v>95</v>
      </c>
      <c r="I164" s="2" t="s">
        <v>8820</v>
      </c>
      <c r="J164" s="2" t="s">
        <v>59</v>
      </c>
      <c r="K164" s="13" t="n">
        <v>45074</v>
      </c>
      <c r="L164" s="2" t="s">
        <v>8821</v>
      </c>
      <c r="M164" s="2" t="s">
        <v>8858</v>
      </c>
    </row>
    <row r="165" customFormat="false" ht="15" hidden="false" customHeight="false" outlineLevel="0" collapsed="false">
      <c r="A165" s="2" t="s">
        <v>2955</v>
      </c>
      <c r="B165" s="2" t="s">
        <v>8832</v>
      </c>
      <c r="C165" s="2" t="s">
        <v>8869</v>
      </c>
      <c r="D165" s="2" t="s">
        <v>8824</v>
      </c>
      <c r="E165" s="13" t="n">
        <v>36239</v>
      </c>
      <c r="F165" s="2" t="n">
        <v>254731810655</v>
      </c>
      <c r="G165" s="2" t="n">
        <v>7</v>
      </c>
      <c r="H165" s="2" t="s">
        <v>8850</v>
      </c>
      <c r="I165" s="2" t="s">
        <v>8848</v>
      </c>
      <c r="J165" s="2" t="s">
        <v>60</v>
      </c>
      <c r="K165" s="13" t="n">
        <v>45454</v>
      </c>
      <c r="L165" s="2" t="s">
        <v>8855</v>
      </c>
      <c r="M165" s="2" t="s">
        <v>36</v>
      </c>
    </row>
    <row r="166" customFormat="false" ht="15" hidden="false" customHeight="false" outlineLevel="0" collapsed="false">
      <c r="A166" s="2" t="s">
        <v>1739</v>
      </c>
      <c r="B166" s="2" t="s">
        <v>8856</v>
      </c>
      <c r="C166" s="2" t="s">
        <v>8830</v>
      </c>
      <c r="D166" s="2" t="s">
        <v>8824</v>
      </c>
      <c r="E166" s="13" t="n">
        <v>36537</v>
      </c>
      <c r="F166" s="2" t="n">
        <v>254788343175</v>
      </c>
      <c r="G166" s="2" t="n">
        <v>5</v>
      </c>
      <c r="H166" s="2" t="s">
        <v>95</v>
      </c>
      <c r="I166" s="2" t="s">
        <v>8848</v>
      </c>
      <c r="J166" s="2" t="s">
        <v>61</v>
      </c>
      <c r="K166" s="13" t="n">
        <v>45266</v>
      </c>
      <c r="L166" s="2" t="s">
        <v>8821</v>
      </c>
      <c r="M166" s="2" t="s">
        <v>36</v>
      </c>
    </row>
    <row r="167" customFormat="false" ht="15" hidden="false" customHeight="false" outlineLevel="0" collapsed="false">
      <c r="A167" s="2" t="s">
        <v>2287</v>
      </c>
      <c r="B167" s="2" t="s">
        <v>8868</v>
      </c>
      <c r="C167" s="2" t="s">
        <v>8867</v>
      </c>
      <c r="D167" s="2" t="s">
        <v>8824</v>
      </c>
      <c r="E167" s="13" t="n">
        <v>26953</v>
      </c>
      <c r="F167" s="2" t="n">
        <v>254729834119</v>
      </c>
      <c r="G167" s="2" t="n">
        <v>14</v>
      </c>
      <c r="H167" s="2" t="s">
        <v>95</v>
      </c>
      <c r="I167" s="2" t="s">
        <v>8820</v>
      </c>
      <c r="J167" s="2" t="s">
        <v>62</v>
      </c>
      <c r="K167" s="13" t="n">
        <v>45101</v>
      </c>
      <c r="L167" s="2" t="s">
        <v>8821</v>
      </c>
      <c r="M167" s="2" t="s">
        <v>36</v>
      </c>
    </row>
    <row r="168" customFormat="false" ht="15" hidden="false" customHeight="false" outlineLevel="0" collapsed="false">
      <c r="A168" s="2" t="s">
        <v>7415</v>
      </c>
      <c r="B168" s="2" t="s">
        <v>8832</v>
      </c>
      <c r="C168" s="2" t="s">
        <v>8865</v>
      </c>
      <c r="D168" s="2" t="s">
        <v>8819</v>
      </c>
      <c r="E168" s="13" t="n">
        <v>26156</v>
      </c>
      <c r="F168" s="2" t="n">
        <v>254765079923</v>
      </c>
      <c r="G168" s="2" t="n">
        <v>9</v>
      </c>
      <c r="H168" s="2" t="s">
        <v>8850</v>
      </c>
      <c r="I168" s="2" t="s">
        <v>8864</v>
      </c>
      <c r="J168" s="2" t="s">
        <v>58</v>
      </c>
      <c r="K168" s="13" t="n">
        <v>45355</v>
      </c>
      <c r="L168" s="2" t="s">
        <v>8821</v>
      </c>
      <c r="M168" s="2" t="s">
        <v>36</v>
      </c>
    </row>
    <row r="169" customFormat="false" ht="15" hidden="false" customHeight="false" outlineLevel="0" collapsed="false">
      <c r="A169" s="2" t="s">
        <v>2552</v>
      </c>
      <c r="B169" s="2" t="s">
        <v>8866</v>
      </c>
      <c r="C169" s="2" t="s">
        <v>8869</v>
      </c>
      <c r="D169" s="2" t="s">
        <v>8819</v>
      </c>
      <c r="E169" s="13" t="n">
        <v>33193</v>
      </c>
      <c r="F169" s="2" t="n">
        <v>254771694994</v>
      </c>
      <c r="G169" s="2" t="n">
        <v>15</v>
      </c>
      <c r="H169" s="2" t="s">
        <v>8850</v>
      </c>
      <c r="I169" s="2" t="s">
        <v>8857</v>
      </c>
      <c r="J169" s="2" t="s">
        <v>60</v>
      </c>
      <c r="K169" s="13" t="n">
        <v>45465</v>
      </c>
      <c r="L169" s="2" t="s">
        <v>8821</v>
      </c>
      <c r="M169" s="2" t="s">
        <v>8858</v>
      </c>
    </row>
    <row r="170" customFormat="false" ht="15" hidden="false" customHeight="false" outlineLevel="0" collapsed="false">
      <c r="A170" s="2" t="s">
        <v>2933</v>
      </c>
      <c r="B170" s="2" t="s">
        <v>8883</v>
      </c>
      <c r="C170" s="2" t="s">
        <v>8839</v>
      </c>
      <c r="D170" s="2" t="s">
        <v>8824</v>
      </c>
      <c r="E170" s="13" t="n">
        <v>30050</v>
      </c>
      <c r="F170" s="2" t="n">
        <v>254748789478</v>
      </c>
      <c r="G170" s="2" t="n">
        <v>12</v>
      </c>
      <c r="H170" s="2" t="s">
        <v>95</v>
      </c>
      <c r="I170" s="2" t="s">
        <v>8864</v>
      </c>
      <c r="J170" s="2" t="s">
        <v>61</v>
      </c>
      <c r="K170" s="13" t="n">
        <v>45498</v>
      </c>
      <c r="L170" s="2" t="s">
        <v>8821</v>
      </c>
      <c r="M170" s="2" t="s">
        <v>8858</v>
      </c>
    </row>
    <row r="171" customFormat="false" ht="15" hidden="false" customHeight="false" outlineLevel="0" collapsed="false">
      <c r="A171" s="2" t="s">
        <v>3471</v>
      </c>
      <c r="B171" s="2" t="s">
        <v>8883</v>
      </c>
      <c r="C171" s="2" t="s">
        <v>8830</v>
      </c>
      <c r="D171" s="2" t="s">
        <v>8824</v>
      </c>
      <c r="E171" s="13" t="n">
        <v>33873</v>
      </c>
      <c r="F171" s="2" t="n">
        <v>254762953249</v>
      </c>
      <c r="G171" s="2" t="n">
        <v>14</v>
      </c>
      <c r="H171" s="2" t="s">
        <v>8850</v>
      </c>
      <c r="I171" s="2" t="s">
        <v>8828</v>
      </c>
      <c r="J171" s="2" t="s">
        <v>60</v>
      </c>
      <c r="K171" s="13" t="n">
        <v>45207</v>
      </c>
      <c r="L171" s="2" t="s">
        <v>8821</v>
      </c>
      <c r="M171" s="2" t="s">
        <v>36</v>
      </c>
    </row>
    <row r="172" customFormat="false" ht="15" hidden="false" customHeight="false" outlineLevel="0" collapsed="false">
      <c r="A172" s="2" t="s">
        <v>5665</v>
      </c>
      <c r="B172" s="2" t="s">
        <v>8845</v>
      </c>
      <c r="C172" s="2" t="s">
        <v>8859</v>
      </c>
      <c r="D172" s="2" t="s">
        <v>8819</v>
      </c>
      <c r="E172" s="13" t="n">
        <v>27560</v>
      </c>
      <c r="F172" s="2" t="n">
        <v>254737121108</v>
      </c>
      <c r="G172" s="2" t="n">
        <v>14</v>
      </c>
      <c r="H172" s="2" t="s">
        <v>8850</v>
      </c>
      <c r="I172" s="2" t="s">
        <v>8857</v>
      </c>
      <c r="J172" s="2" t="s">
        <v>60</v>
      </c>
      <c r="K172" s="13" t="n">
        <v>45598</v>
      </c>
      <c r="L172" s="2" t="s">
        <v>8821</v>
      </c>
      <c r="M172" s="2" t="s">
        <v>36</v>
      </c>
    </row>
    <row r="173" customFormat="false" ht="15" hidden="false" customHeight="false" outlineLevel="0" collapsed="false">
      <c r="A173" s="2" t="s">
        <v>3493</v>
      </c>
      <c r="B173" s="2" t="s">
        <v>8880</v>
      </c>
      <c r="C173" s="2" t="s">
        <v>8861</v>
      </c>
      <c r="D173" s="2" t="s">
        <v>8819</v>
      </c>
      <c r="E173" s="13" t="n">
        <v>31139</v>
      </c>
      <c r="F173" s="2" t="n">
        <v>254795623471</v>
      </c>
      <c r="G173" s="2" t="n">
        <v>4</v>
      </c>
      <c r="H173" s="2" t="s">
        <v>95</v>
      </c>
      <c r="I173" s="2" t="s">
        <v>8825</v>
      </c>
      <c r="J173" s="2" t="s">
        <v>61</v>
      </c>
      <c r="K173" s="13" t="n">
        <v>45612</v>
      </c>
      <c r="L173" s="2" t="s">
        <v>8821</v>
      </c>
      <c r="M173" s="2" t="s">
        <v>8858</v>
      </c>
    </row>
    <row r="174" customFormat="false" ht="15" hidden="false" customHeight="false" outlineLevel="0" collapsed="false">
      <c r="A174" s="2" t="s">
        <v>943</v>
      </c>
      <c r="B174" s="2" t="s">
        <v>8817</v>
      </c>
      <c r="C174" s="2" t="s">
        <v>8863</v>
      </c>
      <c r="D174" s="2" t="s">
        <v>8819</v>
      </c>
      <c r="E174" s="13" t="n">
        <v>28089</v>
      </c>
      <c r="F174" s="2" t="n">
        <v>254764614193</v>
      </c>
      <c r="G174" s="2" t="n">
        <v>11</v>
      </c>
      <c r="H174" s="2" t="s">
        <v>8850</v>
      </c>
      <c r="I174" s="2" t="s">
        <v>8847</v>
      </c>
      <c r="J174" s="2" t="s">
        <v>59</v>
      </c>
      <c r="K174" s="13" t="n">
        <v>45067</v>
      </c>
      <c r="L174" s="2" t="s">
        <v>8821</v>
      </c>
      <c r="M174" s="2" t="s">
        <v>36</v>
      </c>
    </row>
    <row r="175" customFormat="false" ht="15" hidden="false" customHeight="false" outlineLevel="0" collapsed="false">
      <c r="A175" s="2" t="s">
        <v>3387</v>
      </c>
      <c r="B175" s="2" t="s">
        <v>8886</v>
      </c>
      <c r="C175" s="2" t="s">
        <v>8881</v>
      </c>
      <c r="D175" s="2" t="s">
        <v>8819</v>
      </c>
      <c r="E175" s="13" t="n">
        <v>32449</v>
      </c>
      <c r="F175" s="2" t="n">
        <v>254781826922</v>
      </c>
      <c r="G175" s="2" t="n">
        <v>12</v>
      </c>
      <c r="H175" s="2" t="s">
        <v>95</v>
      </c>
      <c r="I175" s="2" t="s">
        <v>8828</v>
      </c>
      <c r="J175" s="2" t="s">
        <v>61</v>
      </c>
      <c r="K175" s="13" t="n">
        <v>45018</v>
      </c>
      <c r="L175" s="2" t="s">
        <v>8821</v>
      </c>
      <c r="M175" s="2" t="s">
        <v>36</v>
      </c>
    </row>
    <row r="176" customFormat="false" ht="15" hidden="false" customHeight="false" outlineLevel="0" collapsed="false">
      <c r="A176" s="2" t="s">
        <v>2717</v>
      </c>
      <c r="B176" s="2" t="s">
        <v>8880</v>
      </c>
      <c r="C176" s="2" t="s">
        <v>8823</v>
      </c>
      <c r="D176" s="2" t="s">
        <v>8819</v>
      </c>
      <c r="E176" s="13" t="n">
        <v>34917</v>
      </c>
      <c r="F176" s="2" t="n">
        <v>254750049524</v>
      </c>
      <c r="G176" s="2" t="n">
        <v>10</v>
      </c>
      <c r="H176" s="2" t="s">
        <v>95</v>
      </c>
      <c r="I176" s="2" t="s">
        <v>8844</v>
      </c>
      <c r="J176" s="2" t="s">
        <v>60</v>
      </c>
      <c r="K176" s="13" t="n">
        <v>45223</v>
      </c>
      <c r="L176" s="2" t="s">
        <v>8855</v>
      </c>
      <c r="M176" s="2" t="s">
        <v>8858</v>
      </c>
    </row>
    <row r="177" customFormat="false" ht="15" hidden="false" customHeight="false" outlineLevel="0" collapsed="false">
      <c r="A177" s="2" t="s">
        <v>1328</v>
      </c>
      <c r="B177" s="2" t="s">
        <v>8840</v>
      </c>
      <c r="C177" s="2" t="s">
        <v>8830</v>
      </c>
      <c r="D177" s="2" t="s">
        <v>8824</v>
      </c>
      <c r="E177" s="13" t="n">
        <v>28748</v>
      </c>
      <c r="F177" s="2" t="n">
        <v>254731809610</v>
      </c>
      <c r="G177" s="2" t="n">
        <v>12</v>
      </c>
      <c r="H177" s="2" t="s">
        <v>8850</v>
      </c>
      <c r="I177" s="2" t="s">
        <v>8852</v>
      </c>
      <c r="J177" s="2" t="s">
        <v>60</v>
      </c>
      <c r="K177" s="13" t="n">
        <v>45206</v>
      </c>
      <c r="L177" s="2" t="s">
        <v>8821</v>
      </c>
      <c r="M177" s="2" t="s">
        <v>36</v>
      </c>
    </row>
    <row r="178" customFormat="false" ht="15" hidden="false" customHeight="false" outlineLevel="0" collapsed="false">
      <c r="A178" s="2" t="s">
        <v>3027</v>
      </c>
      <c r="B178" s="2" t="s">
        <v>8853</v>
      </c>
      <c r="C178" s="2" t="s">
        <v>8841</v>
      </c>
      <c r="D178" s="2" t="s">
        <v>8819</v>
      </c>
      <c r="E178" s="13" t="n">
        <v>33377</v>
      </c>
      <c r="F178" s="2" t="n">
        <v>254792000924</v>
      </c>
      <c r="G178" s="2" t="n">
        <v>14</v>
      </c>
      <c r="H178" s="2" t="s">
        <v>8850</v>
      </c>
      <c r="I178" s="2" t="s">
        <v>8842</v>
      </c>
      <c r="J178" s="2" t="s">
        <v>62</v>
      </c>
      <c r="K178" s="13" t="n">
        <v>45617</v>
      </c>
      <c r="L178" s="2" t="s">
        <v>8821</v>
      </c>
      <c r="M178" s="2" t="s">
        <v>36</v>
      </c>
    </row>
    <row r="179" customFormat="false" ht="15" hidden="false" customHeight="false" outlineLevel="0" collapsed="false">
      <c r="A179" s="2" t="s">
        <v>2303</v>
      </c>
      <c r="B179" s="2" t="s">
        <v>8832</v>
      </c>
      <c r="C179" s="2" t="s">
        <v>8859</v>
      </c>
      <c r="D179" s="2" t="s">
        <v>8824</v>
      </c>
      <c r="E179" s="13" t="n">
        <v>35007</v>
      </c>
      <c r="F179" s="2" t="n">
        <v>254743292316</v>
      </c>
      <c r="G179" s="2" t="n">
        <v>1</v>
      </c>
      <c r="H179" s="2" t="s">
        <v>8850</v>
      </c>
      <c r="I179" s="2" t="s">
        <v>8842</v>
      </c>
      <c r="J179" s="2" t="s">
        <v>59</v>
      </c>
      <c r="K179" s="13" t="n">
        <v>45116</v>
      </c>
      <c r="L179" s="2" t="s">
        <v>8855</v>
      </c>
      <c r="M179" s="2" t="s">
        <v>36</v>
      </c>
    </row>
    <row r="180" customFormat="false" ht="15" hidden="false" customHeight="false" outlineLevel="0" collapsed="false">
      <c r="A180" s="2" t="s">
        <v>4597</v>
      </c>
      <c r="B180" s="2" t="s">
        <v>8817</v>
      </c>
      <c r="C180" s="2" t="s">
        <v>8846</v>
      </c>
      <c r="D180" s="2" t="s">
        <v>8824</v>
      </c>
      <c r="E180" s="13" t="n">
        <v>33377</v>
      </c>
      <c r="F180" s="2" t="n">
        <v>254741715995</v>
      </c>
      <c r="G180" s="2" t="n">
        <v>1</v>
      </c>
      <c r="H180" s="2" t="s">
        <v>95</v>
      </c>
      <c r="I180" s="2" t="s">
        <v>8847</v>
      </c>
      <c r="J180" s="2" t="s">
        <v>60</v>
      </c>
      <c r="K180" s="13" t="n">
        <v>45513</v>
      </c>
      <c r="L180" s="2" t="s">
        <v>8821</v>
      </c>
      <c r="M180" s="2" t="s">
        <v>8858</v>
      </c>
    </row>
    <row r="181" customFormat="false" ht="15" hidden="false" customHeight="false" outlineLevel="0" collapsed="false">
      <c r="A181" s="2" t="s">
        <v>4253</v>
      </c>
      <c r="B181" s="2" t="s">
        <v>8875</v>
      </c>
      <c r="C181" s="2" t="s">
        <v>8830</v>
      </c>
      <c r="D181" s="2" t="s">
        <v>8824</v>
      </c>
      <c r="E181" s="13" t="n">
        <v>37615</v>
      </c>
      <c r="F181" s="2" t="n">
        <v>254759330907</v>
      </c>
      <c r="G181" s="2" t="n">
        <v>10</v>
      </c>
      <c r="H181" s="2" t="s">
        <v>95</v>
      </c>
      <c r="I181" s="2" t="s">
        <v>8831</v>
      </c>
      <c r="J181" s="2" t="s">
        <v>59</v>
      </c>
      <c r="K181" s="13" t="n">
        <v>45245</v>
      </c>
      <c r="L181" s="2" t="s">
        <v>8855</v>
      </c>
      <c r="M181" s="2" t="s">
        <v>36</v>
      </c>
    </row>
    <row r="182" customFormat="false" ht="15" hidden="false" customHeight="false" outlineLevel="0" collapsed="false">
      <c r="A182" s="2" t="s">
        <v>4795</v>
      </c>
      <c r="B182" s="2" t="s">
        <v>8838</v>
      </c>
      <c r="C182" s="2" t="s">
        <v>8863</v>
      </c>
      <c r="D182" s="2" t="s">
        <v>8824</v>
      </c>
      <c r="E182" s="13" t="n">
        <v>36514</v>
      </c>
      <c r="F182" s="2" t="n">
        <v>254782144402</v>
      </c>
      <c r="G182" s="2" t="n">
        <v>13</v>
      </c>
      <c r="H182" s="2" t="s">
        <v>95</v>
      </c>
      <c r="I182" s="2" t="s">
        <v>8831</v>
      </c>
      <c r="J182" s="2" t="s">
        <v>62</v>
      </c>
      <c r="K182" s="13" t="n">
        <v>45309</v>
      </c>
      <c r="L182" s="2" t="s">
        <v>8821</v>
      </c>
      <c r="M182" s="2" t="s">
        <v>8858</v>
      </c>
    </row>
    <row r="183" customFormat="false" ht="15" hidden="false" customHeight="false" outlineLevel="0" collapsed="false">
      <c r="A183" s="2" t="s">
        <v>802</v>
      </c>
      <c r="B183" s="2" t="s">
        <v>8822</v>
      </c>
      <c r="C183" s="2" t="s">
        <v>8863</v>
      </c>
      <c r="D183" s="2" t="s">
        <v>8819</v>
      </c>
      <c r="E183" s="13" t="n">
        <v>34019</v>
      </c>
      <c r="F183" s="2" t="n">
        <v>254786866717</v>
      </c>
      <c r="G183" s="2" t="n">
        <v>9</v>
      </c>
      <c r="H183" s="2" t="s">
        <v>95</v>
      </c>
      <c r="I183" s="2" t="s">
        <v>8828</v>
      </c>
      <c r="J183" s="2" t="s">
        <v>60</v>
      </c>
      <c r="K183" s="13" t="n">
        <v>45041</v>
      </c>
      <c r="L183" s="2" t="s">
        <v>8855</v>
      </c>
      <c r="M183" s="2" t="s">
        <v>36</v>
      </c>
    </row>
    <row r="184" customFormat="false" ht="15" hidden="false" customHeight="false" outlineLevel="0" collapsed="false">
      <c r="A184" s="2" t="s">
        <v>2334</v>
      </c>
      <c r="B184" s="2" t="s">
        <v>8826</v>
      </c>
      <c r="C184" s="2" t="s">
        <v>8861</v>
      </c>
      <c r="D184" s="2" t="s">
        <v>8824</v>
      </c>
      <c r="E184" s="13" t="n">
        <v>30669</v>
      </c>
      <c r="F184" s="2" t="n">
        <v>254717467311</v>
      </c>
      <c r="G184" s="2" t="n">
        <v>8</v>
      </c>
      <c r="H184" s="2" t="s">
        <v>95</v>
      </c>
      <c r="I184" s="2" t="s">
        <v>8857</v>
      </c>
      <c r="J184" s="2" t="s">
        <v>61</v>
      </c>
      <c r="K184" s="13" t="n">
        <v>45427</v>
      </c>
      <c r="L184" s="2" t="s">
        <v>8855</v>
      </c>
      <c r="M184" s="2" t="s">
        <v>36</v>
      </c>
    </row>
    <row r="185" customFormat="false" ht="15" hidden="false" customHeight="false" outlineLevel="0" collapsed="false">
      <c r="A185" s="2" t="s">
        <v>2564</v>
      </c>
      <c r="B185" s="2" t="s">
        <v>8871</v>
      </c>
      <c r="C185" s="2" t="s">
        <v>8818</v>
      </c>
      <c r="D185" s="2" t="s">
        <v>8824</v>
      </c>
      <c r="E185" s="13" t="n">
        <v>36490</v>
      </c>
      <c r="F185" s="2" t="n">
        <v>254744152669</v>
      </c>
      <c r="G185" s="2" t="n">
        <v>14</v>
      </c>
      <c r="H185" s="2" t="s">
        <v>95</v>
      </c>
      <c r="I185" s="2" t="s">
        <v>8864</v>
      </c>
      <c r="J185" s="2" t="s">
        <v>59</v>
      </c>
      <c r="K185" s="13" t="n">
        <v>45242</v>
      </c>
      <c r="L185" s="2" t="s">
        <v>8821</v>
      </c>
      <c r="M185" s="2" t="s">
        <v>36</v>
      </c>
    </row>
    <row r="186" customFormat="false" ht="15" hidden="false" customHeight="false" outlineLevel="0" collapsed="false">
      <c r="A186" s="2" t="s">
        <v>3593</v>
      </c>
      <c r="B186" s="2" t="s">
        <v>8851</v>
      </c>
      <c r="C186" s="2" t="s">
        <v>8823</v>
      </c>
      <c r="D186" s="2" t="s">
        <v>8819</v>
      </c>
      <c r="E186" s="13" t="n">
        <v>35604</v>
      </c>
      <c r="F186" s="2" t="n">
        <v>254773360324</v>
      </c>
      <c r="G186" s="2" t="n">
        <v>1</v>
      </c>
      <c r="H186" s="2" t="s">
        <v>8850</v>
      </c>
      <c r="I186" s="2" t="s">
        <v>8842</v>
      </c>
      <c r="J186" s="2" t="s">
        <v>59</v>
      </c>
      <c r="K186" s="13" t="n">
        <v>44992</v>
      </c>
      <c r="L186" s="2" t="s">
        <v>8821</v>
      </c>
      <c r="M186" s="2" t="s">
        <v>8858</v>
      </c>
    </row>
    <row r="187" customFormat="false" ht="15" hidden="false" customHeight="false" outlineLevel="0" collapsed="false">
      <c r="A187" s="2" t="s">
        <v>6217</v>
      </c>
      <c r="B187" s="2" t="s">
        <v>8866</v>
      </c>
      <c r="C187" s="2" t="s">
        <v>8827</v>
      </c>
      <c r="D187" s="2" t="s">
        <v>8819</v>
      </c>
      <c r="E187" s="13" t="n">
        <v>34165</v>
      </c>
      <c r="F187" s="2" t="n">
        <v>254797715861</v>
      </c>
      <c r="G187" s="2" t="n">
        <v>14</v>
      </c>
      <c r="H187" s="2" t="s">
        <v>8850</v>
      </c>
      <c r="I187" s="2" t="s">
        <v>8825</v>
      </c>
      <c r="J187" s="2" t="s">
        <v>59</v>
      </c>
      <c r="K187" s="13" t="n">
        <v>45313</v>
      </c>
      <c r="L187" s="2" t="s">
        <v>8855</v>
      </c>
      <c r="M187" s="2" t="s">
        <v>36</v>
      </c>
    </row>
    <row r="188" customFormat="false" ht="15" hidden="false" customHeight="false" outlineLevel="0" collapsed="false">
      <c r="A188" s="2" t="s">
        <v>1661</v>
      </c>
      <c r="B188" s="2" t="s">
        <v>8883</v>
      </c>
      <c r="C188" s="2" t="s">
        <v>8870</v>
      </c>
      <c r="D188" s="2" t="s">
        <v>8824</v>
      </c>
      <c r="E188" s="13" t="n">
        <v>30706</v>
      </c>
      <c r="F188" s="2" t="n">
        <v>254781394920</v>
      </c>
      <c r="G188" s="2" t="n">
        <v>7</v>
      </c>
      <c r="H188" s="2" t="s">
        <v>95</v>
      </c>
      <c r="I188" s="2" t="s">
        <v>8831</v>
      </c>
      <c r="J188" s="2" t="s">
        <v>61</v>
      </c>
      <c r="K188" s="13" t="n">
        <v>44950</v>
      </c>
      <c r="L188" s="2" t="s">
        <v>8821</v>
      </c>
      <c r="M188" s="2" t="s">
        <v>36</v>
      </c>
    </row>
    <row r="189" customFormat="false" ht="15" hidden="false" customHeight="false" outlineLevel="0" collapsed="false">
      <c r="A189" s="2" t="s">
        <v>615</v>
      </c>
      <c r="B189" s="2" t="s">
        <v>8822</v>
      </c>
      <c r="C189" s="2" t="s">
        <v>8865</v>
      </c>
      <c r="D189" s="2" t="s">
        <v>8819</v>
      </c>
      <c r="E189" s="13" t="n">
        <v>31891</v>
      </c>
      <c r="F189" s="2" t="n">
        <v>254742301683</v>
      </c>
      <c r="G189" s="2" t="n">
        <v>4</v>
      </c>
      <c r="H189" s="2" t="s">
        <v>95</v>
      </c>
      <c r="I189" s="2" t="s">
        <v>8825</v>
      </c>
      <c r="J189" s="2" t="s">
        <v>62</v>
      </c>
      <c r="K189" s="13" t="n">
        <v>45042</v>
      </c>
      <c r="L189" s="2" t="s">
        <v>8821</v>
      </c>
      <c r="M189" s="2" t="s">
        <v>8858</v>
      </c>
    </row>
    <row r="190" customFormat="false" ht="15" hidden="false" customHeight="false" outlineLevel="0" collapsed="false">
      <c r="A190" s="2" t="s">
        <v>2536</v>
      </c>
      <c r="B190" s="2" t="s">
        <v>8866</v>
      </c>
      <c r="C190" s="2" t="s">
        <v>8870</v>
      </c>
      <c r="D190" s="2" t="s">
        <v>8819</v>
      </c>
      <c r="E190" s="13" t="n">
        <v>26778</v>
      </c>
      <c r="F190" s="2" t="n">
        <v>254782445335</v>
      </c>
      <c r="G190" s="2" t="n">
        <v>4</v>
      </c>
      <c r="H190" s="2" t="s">
        <v>95</v>
      </c>
      <c r="I190" s="2" t="s">
        <v>8828</v>
      </c>
      <c r="J190" s="2" t="s">
        <v>62</v>
      </c>
      <c r="K190" s="13" t="n">
        <v>44972</v>
      </c>
      <c r="L190" s="2" t="s">
        <v>8821</v>
      </c>
      <c r="M190" s="2" t="s">
        <v>36</v>
      </c>
    </row>
    <row r="191" customFormat="false" ht="15" hidden="false" customHeight="false" outlineLevel="0" collapsed="false">
      <c r="A191" s="2" t="s">
        <v>4093</v>
      </c>
      <c r="B191" s="2" t="s">
        <v>8872</v>
      </c>
      <c r="C191" s="2" t="s">
        <v>8869</v>
      </c>
      <c r="D191" s="2" t="s">
        <v>8819</v>
      </c>
      <c r="E191" s="13" t="n">
        <v>33166</v>
      </c>
      <c r="F191" s="2" t="n">
        <v>254750502136</v>
      </c>
      <c r="G191" s="2" t="n">
        <v>15</v>
      </c>
      <c r="H191" s="2" t="s">
        <v>95</v>
      </c>
      <c r="I191" s="2" t="s">
        <v>8852</v>
      </c>
      <c r="J191" s="2" t="s">
        <v>62</v>
      </c>
      <c r="K191" s="13" t="n">
        <v>45615</v>
      </c>
      <c r="L191" s="2" t="s">
        <v>8821</v>
      </c>
      <c r="M191" s="2" t="s">
        <v>8858</v>
      </c>
    </row>
    <row r="192" customFormat="false" ht="15" hidden="false" customHeight="false" outlineLevel="0" collapsed="false">
      <c r="A192" s="2" t="s">
        <v>221</v>
      </c>
      <c r="B192" s="2" t="s">
        <v>8862</v>
      </c>
      <c r="C192" s="2" t="s">
        <v>8873</v>
      </c>
      <c r="D192" s="2" t="s">
        <v>8824</v>
      </c>
      <c r="E192" s="13" t="n">
        <v>32630</v>
      </c>
      <c r="F192" s="2" t="n">
        <v>254784605013</v>
      </c>
      <c r="G192" s="2" t="n">
        <v>8</v>
      </c>
      <c r="H192" s="2" t="s">
        <v>95</v>
      </c>
      <c r="I192" s="2" t="s">
        <v>8844</v>
      </c>
      <c r="J192" s="2" t="s">
        <v>61</v>
      </c>
      <c r="K192" s="13" t="n">
        <v>45497</v>
      </c>
      <c r="L192" s="2" t="s">
        <v>8821</v>
      </c>
      <c r="M192" s="2" t="s">
        <v>8858</v>
      </c>
    </row>
    <row r="193" customFormat="false" ht="15" hidden="false" customHeight="false" outlineLevel="0" collapsed="false">
      <c r="A193" s="2" t="s">
        <v>5715</v>
      </c>
      <c r="B193" s="2" t="s">
        <v>8835</v>
      </c>
      <c r="C193" s="2" t="s">
        <v>8863</v>
      </c>
      <c r="D193" s="2" t="s">
        <v>8824</v>
      </c>
      <c r="E193" s="13" t="n">
        <v>35134</v>
      </c>
      <c r="F193" s="2" t="n">
        <v>254742342202</v>
      </c>
      <c r="G193" s="2" t="n">
        <v>14</v>
      </c>
      <c r="H193" s="2" t="s">
        <v>95</v>
      </c>
      <c r="I193" s="2" t="s">
        <v>8834</v>
      </c>
      <c r="J193" s="2" t="s">
        <v>59</v>
      </c>
      <c r="K193" s="13" t="n">
        <v>45312</v>
      </c>
      <c r="L193" s="2" t="s">
        <v>8855</v>
      </c>
      <c r="M193" s="2" t="s">
        <v>36</v>
      </c>
    </row>
    <row r="194" customFormat="false" ht="15" hidden="false" customHeight="false" outlineLevel="0" collapsed="false">
      <c r="A194" s="2" t="s">
        <v>904</v>
      </c>
      <c r="B194" s="2" t="s">
        <v>8832</v>
      </c>
      <c r="C194" s="2" t="s">
        <v>8876</v>
      </c>
      <c r="D194" s="2" t="s">
        <v>8819</v>
      </c>
      <c r="E194" s="13" t="n">
        <v>35264</v>
      </c>
      <c r="F194" s="2" t="n">
        <v>254744224936</v>
      </c>
      <c r="G194" s="2" t="n">
        <v>4</v>
      </c>
      <c r="H194" s="2" t="s">
        <v>8850</v>
      </c>
      <c r="I194" s="2" t="s">
        <v>8852</v>
      </c>
      <c r="J194" s="2" t="s">
        <v>58</v>
      </c>
      <c r="K194" s="13" t="n">
        <v>45469</v>
      </c>
      <c r="L194" s="2" t="s">
        <v>8855</v>
      </c>
      <c r="M194" s="2" t="s">
        <v>36</v>
      </c>
    </row>
    <row r="195" customFormat="false" ht="15" hidden="false" customHeight="false" outlineLevel="0" collapsed="false">
      <c r="A195" s="2" t="s">
        <v>5285</v>
      </c>
      <c r="B195" s="2" t="s">
        <v>8822</v>
      </c>
      <c r="C195" s="2" t="s">
        <v>8846</v>
      </c>
      <c r="D195" s="2" t="s">
        <v>8824</v>
      </c>
      <c r="E195" s="13" t="n">
        <v>27661</v>
      </c>
      <c r="F195" s="2" t="n">
        <v>254791197624</v>
      </c>
      <c r="G195" s="2" t="n">
        <v>10</v>
      </c>
      <c r="H195" s="2" t="s">
        <v>95</v>
      </c>
      <c r="I195" s="2" t="s">
        <v>8825</v>
      </c>
      <c r="J195" s="2" t="s">
        <v>59</v>
      </c>
      <c r="K195" s="13" t="n">
        <v>45122</v>
      </c>
      <c r="L195" s="2" t="s">
        <v>8821</v>
      </c>
      <c r="M195" s="2" t="s">
        <v>8858</v>
      </c>
    </row>
    <row r="196" customFormat="false" ht="15" hidden="false" customHeight="false" outlineLevel="0" collapsed="false">
      <c r="A196" s="2" t="s">
        <v>2354</v>
      </c>
      <c r="B196" s="2" t="s">
        <v>8840</v>
      </c>
      <c r="C196" s="2" t="s">
        <v>8841</v>
      </c>
      <c r="D196" s="2" t="s">
        <v>8819</v>
      </c>
      <c r="E196" s="13" t="n">
        <v>30477</v>
      </c>
      <c r="F196" s="2" t="n">
        <v>254774279671</v>
      </c>
      <c r="G196" s="2" t="n">
        <v>15</v>
      </c>
      <c r="H196" s="2" t="s">
        <v>95</v>
      </c>
      <c r="I196" s="2" t="s">
        <v>8864</v>
      </c>
      <c r="J196" s="2" t="s">
        <v>62</v>
      </c>
      <c r="K196" s="13" t="n">
        <v>44942</v>
      </c>
      <c r="L196" s="2" t="s">
        <v>8821</v>
      </c>
      <c r="M196" s="2" t="s">
        <v>8858</v>
      </c>
    </row>
    <row r="197" customFormat="false" ht="15" hidden="false" customHeight="false" outlineLevel="0" collapsed="false">
      <c r="A197" s="2" t="s">
        <v>4759</v>
      </c>
      <c r="B197" s="2" t="s">
        <v>8866</v>
      </c>
      <c r="C197" s="2" t="s">
        <v>8870</v>
      </c>
      <c r="D197" s="2" t="s">
        <v>8824</v>
      </c>
      <c r="E197" s="13" t="n">
        <v>31301</v>
      </c>
      <c r="F197" s="2" t="n">
        <v>254751395738</v>
      </c>
      <c r="G197" s="2" t="n">
        <v>5</v>
      </c>
      <c r="H197" s="2" t="s">
        <v>8850</v>
      </c>
      <c r="I197" s="2" t="s">
        <v>8857</v>
      </c>
      <c r="J197" s="2" t="s">
        <v>61</v>
      </c>
      <c r="K197" s="13" t="n">
        <v>45216</v>
      </c>
      <c r="L197" s="2" t="s">
        <v>8855</v>
      </c>
      <c r="M197" s="2" t="s">
        <v>36</v>
      </c>
    </row>
    <row r="198" customFormat="false" ht="15" hidden="false" customHeight="false" outlineLevel="0" collapsed="false">
      <c r="A198" s="2" t="s">
        <v>1774</v>
      </c>
      <c r="B198" s="2" t="s">
        <v>8878</v>
      </c>
      <c r="C198" s="2" t="s">
        <v>8865</v>
      </c>
      <c r="D198" s="2" t="s">
        <v>8819</v>
      </c>
      <c r="E198" s="13" t="n">
        <v>36684</v>
      </c>
      <c r="F198" s="2" t="n">
        <v>254785500790</v>
      </c>
      <c r="G198" s="2" t="n">
        <v>14</v>
      </c>
      <c r="H198" s="2" t="s">
        <v>95</v>
      </c>
      <c r="I198" s="2" t="s">
        <v>8864</v>
      </c>
      <c r="J198" s="2" t="s">
        <v>59</v>
      </c>
      <c r="K198" s="13" t="n">
        <v>45306</v>
      </c>
      <c r="L198" s="2" t="s">
        <v>8821</v>
      </c>
      <c r="M198" s="2" t="s">
        <v>36</v>
      </c>
    </row>
    <row r="199" customFormat="false" ht="15" hidden="false" customHeight="false" outlineLevel="0" collapsed="false">
      <c r="A199" s="2" t="s">
        <v>1032</v>
      </c>
      <c r="B199" s="2" t="s">
        <v>8878</v>
      </c>
      <c r="C199" s="2" t="s">
        <v>8839</v>
      </c>
      <c r="D199" s="2" t="s">
        <v>8824</v>
      </c>
      <c r="E199" s="13" t="n">
        <v>35190</v>
      </c>
      <c r="F199" s="2" t="n">
        <v>254786475853</v>
      </c>
      <c r="G199" s="2" t="n">
        <v>14</v>
      </c>
      <c r="H199" s="2" t="s">
        <v>95</v>
      </c>
      <c r="I199" s="2" t="s">
        <v>8847</v>
      </c>
      <c r="J199" s="2" t="s">
        <v>62</v>
      </c>
      <c r="K199" s="13" t="n">
        <v>45127</v>
      </c>
      <c r="L199" s="2" t="s">
        <v>8821</v>
      </c>
      <c r="M199" s="2" t="s">
        <v>36</v>
      </c>
    </row>
    <row r="200" customFormat="false" ht="15" hidden="false" customHeight="false" outlineLevel="0" collapsed="false">
      <c r="A200" s="2" t="s">
        <v>741</v>
      </c>
      <c r="B200" s="2" t="s">
        <v>8860</v>
      </c>
      <c r="C200" s="2" t="s">
        <v>8873</v>
      </c>
      <c r="D200" s="2" t="s">
        <v>8824</v>
      </c>
      <c r="E200" s="13" t="n">
        <v>37246</v>
      </c>
      <c r="F200" s="2" t="n">
        <v>254732718459</v>
      </c>
      <c r="G200" s="2" t="n">
        <v>3</v>
      </c>
      <c r="H200" s="2" t="s">
        <v>8850</v>
      </c>
      <c r="I200" s="2" t="s">
        <v>8828</v>
      </c>
      <c r="J200" s="2" t="s">
        <v>62</v>
      </c>
      <c r="K200" s="13" t="n">
        <v>45429</v>
      </c>
      <c r="L200" s="2" t="s">
        <v>8821</v>
      </c>
      <c r="M200" s="2" t="s">
        <v>36</v>
      </c>
    </row>
    <row r="201" customFormat="false" ht="15" hidden="false" customHeight="false" outlineLevel="0" collapsed="false">
      <c r="A201" s="2" t="s">
        <v>2588</v>
      </c>
      <c r="B201" s="2" t="s">
        <v>8838</v>
      </c>
      <c r="C201" s="2" t="s">
        <v>8833</v>
      </c>
      <c r="D201" s="2" t="s">
        <v>8819</v>
      </c>
      <c r="E201" s="13" t="n">
        <v>27335</v>
      </c>
      <c r="F201" s="2" t="n">
        <v>254719122502</v>
      </c>
      <c r="G201" s="2" t="n">
        <v>12</v>
      </c>
      <c r="H201" s="2" t="s">
        <v>95</v>
      </c>
      <c r="I201" s="2" t="s">
        <v>8820</v>
      </c>
      <c r="J201" s="2" t="s">
        <v>59</v>
      </c>
      <c r="K201" s="13" t="n">
        <v>44933</v>
      </c>
      <c r="L201" s="2" t="s">
        <v>8855</v>
      </c>
      <c r="M201" s="2" t="s">
        <v>36</v>
      </c>
    </row>
    <row r="202" customFormat="false" ht="15" hidden="false" customHeight="false" outlineLevel="0" collapsed="false">
      <c r="A202" s="2" t="s">
        <v>4353</v>
      </c>
      <c r="B202" s="2" t="s">
        <v>8882</v>
      </c>
      <c r="C202" s="2" t="s">
        <v>8867</v>
      </c>
      <c r="D202" s="2" t="s">
        <v>8824</v>
      </c>
      <c r="E202" s="13" t="n">
        <v>26958</v>
      </c>
      <c r="F202" s="2" t="n">
        <v>254798487646</v>
      </c>
      <c r="G202" s="2" t="n">
        <v>8</v>
      </c>
      <c r="H202" s="2" t="s">
        <v>95</v>
      </c>
      <c r="I202" s="2" t="s">
        <v>8820</v>
      </c>
      <c r="J202" s="2" t="s">
        <v>62</v>
      </c>
      <c r="K202" s="13" t="n">
        <v>45609</v>
      </c>
      <c r="L202" s="2" t="s">
        <v>8855</v>
      </c>
      <c r="M202" s="2" t="s">
        <v>36</v>
      </c>
    </row>
    <row r="203" customFormat="false" ht="15" hidden="false" customHeight="false" outlineLevel="0" collapsed="false">
      <c r="A203" s="2" t="s">
        <v>5989</v>
      </c>
      <c r="B203" s="2" t="s">
        <v>8851</v>
      </c>
      <c r="C203" s="2" t="s">
        <v>8854</v>
      </c>
      <c r="D203" s="2" t="s">
        <v>8819</v>
      </c>
      <c r="E203" s="13" t="n">
        <v>26200</v>
      </c>
      <c r="F203" s="2" t="n">
        <v>254777406294</v>
      </c>
      <c r="G203" s="2" t="n">
        <v>14</v>
      </c>
      <c r="H203" s="2" t="s">
        <v>8850</v>
      </c>
      <c r="I203" s="2" t="s">
        <v>8828</v>
      </c>
      <c r="J203" s="2" t="s">
        <v>58</v>
      </c>
      <c r="K203" s="13" t="n">
        <v>45208</v>
      </c>
      <c r="L203" s="2" t="s">
        <v>8821</v>
      </c>
      <c r="M203" s="2" t="s">
        <v>36</v>
      </c>
    </row>
    <row r="204" customFormat="false" ht="15" hidden="false" customHeight="false" outlineLevel="0" collapsed="false">
      <c r="A204" s="2" t="s">
        <v>5811</v>
      </c>
      <c r="B204" s="2" t="s">
        <v>8845</v>
      </c>
      <c r="C204" s="2" t="s">
        <v>8888</v>
      </c>
      <c r="D204" s="2" t="s">
        <v>8824</v>
      </c>
      <c r="E204" s="13" t="n">
        <v>31157</v>
      </c>
      <c r="F204" s="2" t="n">
        <v>254763270536</v>
      </c>
      <c r="G204" s="2" t="n">
        <v>2</v>
      </c>
      <c r="H204" s="2" t="s">
        <v>8850</v>
      </c>
      <c r="I204" s="2" t="s">
        <v>8842</v>
      </c>
      <c r="J204" s="2" t="s">
        <v>61</v>
      </c>
      <c r="K204" s="13" t="n">
        <v>45466</v>
      </c>
      <c r="L204" s="2" t="s">
        <v>8821</v>
      </c>
      <c r="M204" s="2" t="s">
        <v>36</v>
      </c>
    </row>
    <row r="205" customFormat="false" ht="15" hidden="false" customHeight="false" outlineLevel="0" collapsed="false">
      <c r="A205" s="2" t="s">
        <v>1613</v>
      </c>
      <c r="B205" s="2" t="s">
        <v>8886</v>
      </c>
      <c r="C205" s="2" t="s">
        <v>8823</v>
      </c>
      <c r="D205" s="2" t="s">
        <v>8819</v>
      </c>
      <c r="E205" s="13" t="n">
        <v>32839</v>
      </c>
      <c r="F205" s="2" t="n">
        <v>254764395532</v>
      </c>
      <c r="G205" s="2" t="n">
        <v>7</v>
      </c>
      <c r="H205" s="2" t="s">
        <v>8850</v>
      </c>
      <c r="I205" s="2" t="s">
        <v>8857</v>
      </c>
      <c r="J205" s="2" t="s">
        <v>61</v>
      </c>
      <c r="K205" s="13" t="n">
        <v>45009</v>
      </c>
      <c r="L205" s="2" t="s">
        <v>8821</v>
      </c>
      <c r="M205" s="2" t="s">
        <v>36</v>
      </c>
    </row>
    <row r="206" customFormat="false" ht="15" hidden="false" customHeight="false" outlineLevel="0" collapsed="false">
      <c r="A206" s="2" t="s">
        <v>2738</v>
      </c>
      <c r="B206" s="2" t="s">
        <v>8886</v>
      </c>
      <c r="C206" s="2" t="s">
        <v>8869</v>
      </c>
      <c r="D206" s="2" t="s">
        <v>8819</v>
      </c>
      <c r="E206" s="13" t="n">
        <v>29267</v>
      </c>
      <c r="F206" s="2" t="n">
        <v>254780888325</v>
      </c>
      <c r="G206" s="2" t="n">
        <v>15</v>
      </c>
      <c r="H206" s="2" t="s">
        <v>95</v>
      </c>
      <c r="I206" s="2" t="s">
        <v>8831</v>
      </c>
      <c r="J206" s="2" t="s">
        <v>59</v>
      </c>
      <c r="K206" s="13" t="n">
        <v>45371</v>
      </c>
      <c r="L206" s="2" t="s">
        <v>8855</v>
      </c>
      <c r="M206" s="2" t="s">
        <v>36</v>
      </c>
    </row>
    <row r="207" customFormat="false" ht="15" hidden="false" customHeight="false" outlineLevel="0" collapsed="false">
      <c r="A207" s="2" t="s">
        <v>2077</v>
      </c>
      <c r="B207" s="2" t="s">
        <v>8880</v>
      </c>
      <c r="C207" s="2" t="s">
        <v>8863</v>
      </c>
      <c r="D207" s="2" t="s">
        <v>8819</v>
      </c>
      <c r="E207" s="13" t="n">
        <v>26351</v>
      </c>
      <c r="F207" s="2" t="n">
        <v>254734072553</v>
      </c>
      <c r="G207" s="2" t="n">
        <v>15</v>
      </c>
      <c r="H207" s="2" t="s">
        <v>8850</v>
      </c>
      <c r="I207" s="2" t="s">
        <v>8820</v>
      </c>
      <c r="J207" s="2" t="s">
        <v>59</v>
      </c>
      <c r="K207" s="13" t="n">
        <v>45214</v>
      </c>
      <c r="L207" s="2" t="s">
        <v>8821</v>
      </c>
      <c r="M207" s="2" t="s">
        <v>8858</v>
      </c>
    </row>
    <row r="208" customFormat="false" ht="15" hidden="false" customHeight="false" outlineLevel="0" collapsed="false">
      <c r="A208" s="2" t="s">
        <v>2748</v>
      </c>
      <c r="B208" s="2" t="s">
        <v>8843</v>
      </c>
      <c r="C208" s="2" t="s">
        <v>8881</v>
      </c>
      <c r="D208" s="2" t="s">
        <v>8824</v>
      </c>
      <c r="E208" s="13" t="n">
        <v>27155</v>
      </c>
      <c r="F208" s="2" t="n">
        <v>254782553061</v>
      </c>
      <c r="G208" s="2" t="n">
        <v>6</v>
      </c>
      <c r="H208" s="2" t="s">
        <v>8850</v>
      </c>
      <c r="I208" s="2" t="s">
        <v>8864</v>
      </c>
      <c r="J208" s="2" t="s">
        <v>59</v>
      </c>
      <c r="K208" s="13" t="n">
        <v>45504</v>
      </c>
      <c r="L208" s="2" t="s">
        <v>8821</v>
      </c>
      <c r="M208" s="2" t="s">
        <v>36</v>
      </c>
    </row>
    <row r="209" customFormat="false" ht="15" hidden="false" customHeight="false" outlineLevel="0" collapsed="false">
      <c r="A209" s="2" t="s">
        <v>1297</v>
      </c>
      <c r="B209" s="2" t="s">
        <v>8872</v>
      </c>
      <c r="C209" s="2" t="s">
        <v>8827</v>
      </c>
      <c r="D209" s="2" t="s">
        <v>8824</v>
      </c>
      <c r="E209" s="13" t="n">
        <v>26709</v>
      </c>
      <c r="F209" s="2" t="n">
        <v>254791224373</v>
      </c>
      <c r="G209" s="2" t="n">
        <v>13</v>
      </c>
      <c r="H209" s="2" t="s">
        <v>8850</v>
      </c>
      <c r="I209" s="2" t="s">
        <v>8844</v>
      </c>
      <c r="J209" s="2" t="s">
        <v>58</v>
      </c>
      <c r="K209" s="13" t="n">
        <v>45164</v>
      </c>
      <c r="L209" s="2" t="s">
        <v>8821</v>
      </c>
      <c r="M209" s="2" t="s">
        <v>8858</v>
      </c>
    </row>
    <row r="210" customFormat="false" ht="15" hidden="false" customHeight="false" outlineLevel="0" collapsed="false">
      <c r="A210" s="2" t="s">
        <v>1958</v>
      </c>
      <c r="B210" s="2" t="s">
        <v>8866</v>
      </c>
      <c r="C210" s="2" t="s">
        <v>8865</v>
      </c>
      <c r="D210" s="2" t="s">
        <v>8819</v>
      </c>
      <c r="E210" s="13" t="n">
        <v>36993</v>
      </c>
      <c r="F210" s="2" t="n">
        <v>254788634827</v>
      </c>
      <c r="G210" s="2" t="n">
        <v>11</v>
      </c>
      <c r="H210" s="2" t="s">
        <v>8850</v>
      </c>
      <c r="I210" s="2" t="s">
        <v>8825</v>
      </c>
      <c r="J210" s="2" t="s">
        <v>62</v>
      </c>
      <c r="K210" s="13" t="n">
        <v>45493</v>
      </c>
      <c r="L210" s="2" t="s">
        <v>8821</v>
      </c>
      <c r="M210" s="2" t="s">
        <v>36</v>
      </c>
    </row>
    <row r="211" customFormat="false" ht="15" hidden="false" customHeight="false" outlineLevel="0" collapsed="false">
      <c r="A211" s="2" t="s">
        <v>8293</v>
      </c>
      <c r="B211" s="2" t="s">
        <v>8866</v>
      </c>
      <c r="C211" s="2" t="s">
        <v>8833</v>
      </c>
      <c r="D211" s="2" t="s">
        <v>8824</v>
      </c>
      <c r="E211" s="13" t="n">
        <v>27069</v>
      </c>
      <c r="F211" s="2" t="n">
        <v>254752503832</v>
      </c>
      <c r="G211" s="2" t="n">
        <v>6</v>
      </c>
      <c r="H211" s="2" t="s">
        <v>95</v>
      </c>
      <c r="I211" s="2" t="s">
        <v>8825</v>
      </c>
      <c r="J211" s="2" t="s">
        <v>58</v>
      </c>
      <c r="K211" s="13" t="n">
        <v>45084</v>
      </c>
      <c r="L211" s="2" t="s">
        <v>8821</v>
      </c>
      <c r="M211" s="2" t="s">
        <v>8858</v>
      </c>
    </row>
    <row r="212" customFormat="false" ht="15" hidden="false" customHeight="false" outlineLevel="0" collapsed="false">
      <c r="A212" s="2" t="s">
        <v>3059</v>
      </c>
      <c r="B212" s="2" t="s">
        <v>8826</v>
      </c>
      <c r="C212" s="2" t="s">
        <v>8873</v>
      </c>
      <c r="D212" s="2" t="s">
        <v>8824</v>
      </c>
      <c r="E212" s="13" t="n">
        <v>34093</v>
      </c>
      <c r="F212" s="2" t="n">
        <v>254770242778</v>
      </c>
      <c r="G212" s="2" t="n">
        <v>9</v>
      </c>
      <c r="H212" s="2" t="s">
        <v>8850</v>
      </c>
      <c r="I212" s="2" t="s">
        <v>8825</v>
      </c>
      <c r="J212" s="2" t="s">
        <v>58</v>
      </c>
      <c r="K212" s="13" t="n">
        <v>45062</v>
      </c>
      <c r="L212" s="2" t="s">
        <v>8821</v>
      </c>
      <c r="M212" s="2" t="s">
        <v>36</v>
      </c>
    </row>
    <row r="213" customFormat="false" ht="15" hidden="false" customHeight="false" outlineLevel="0" collapsed="false">
      <c r="A213" s="2" t="s">
        <v>8890</v>
      </c>
      <c r="B213" s="2" t="s">
        <v>8885</v>
      </c>
      <c r="C213" s="2" t="s">
        <v>8876</v>
      </c>
      <c r="D213" s="2" t="s">
        <v>8819</v>
      </c>
      <c r="E213" s="13" t="n">
        <v>27687</v>
      </c>
      <c r="F213" s="2" t="n">
        <v>254749171088</v>
      </c>
      <c r="G213" s="2" t="n">
        <v>7</v>
      </c>
      <c r="H213" s="2" t="s">
        <v>8850</v>
      </c>
      <c r="I213" s="2" t="s">
        <v>8825</v>
      </c>
      <c r="J213" s="2" t="s">
        <v>62</v>
      </c>
      <c r="K213" s="13" t="n">
        <v>45259</v>
      </c>
      <c r="L213" s="2" t="s">
        <v>8821</v>
      </c>
      <c r="M213" s="2" t="s">
        <v>36</v>
      </c>
    </row>
    <row r="214" customFormat="false" ht="15" hidden="false" customHeight="false" outlineLevel="0" collapsed="false">
      <c r="A214" s="2" t="s">
        <v>670</v>
      </c>
      <c r="B214" s="2" t="s">
        <v>8883</v>
      </c>
      <c r="C214" s="2" t="s">
        <v>8846</v>
      </c>
      <c r="D214" s="2" t="s">
        <v>8824</v>
      </c>
      <c r="E214" s="13" t="n">
        <v>34398</v>
      </c>
      <c r="F214" s="2" t="n">
        <v>254729587040</v>
      </c>
      <c r="G214" s="2" t="n">
        <v>2</v>
      </c>
      <c r="H214" s="2" t="s">
        <v>95</v>
      </c>
      <c r="I214" s="2" t="s">
        <v>8842</v>
      </c>
      <c r="J214" s="2" t="s">
        <v>60</v>
      </c>
      <c r="K214" s="13" t="n">
        <v>45202</v>
      </c>
      <c r="L214" s="2" t="s">
        <v>8855</v>
      </c>
      <c r="M214" s="2" t="s">
        <v>36</v>
      </c>
    </row>
    <row r="215" customFormat="false" ht="15" hidden="false" customHeight="false" outlineLevel="0" collapsed="false">
      <c r="A215" s="2" t="s">
        <v>2709</v>
      </c>
      <c r="B215" s="2" t="s">
        <v>8843</v>
      </c>
      <c r="C215" s="2" t="s">
        <v>8859</v>
      </c>
      <c r="D215" s="2" t="s">
        <v>8819</v>
      </c>
      <c r="E215" s="13" t="n">
        <v>36568</v>
      </c>
      <c r="F215" s="2" t="n">
        <v>254771453148</v>
      </c>
      <c r="G215" s="2" t="n">
        <v>2</v>
      </c>
      <c r="H215" s="2" t="s">
        <v>95</v>
      </c>
      <c r="I215" s="2" t="s">
        <v>8834</v>
      </c>
      <c r="J215" s="2" t="s">
        <v>58</v>
      </c>
      <c r="K215" s="13" t="n">
        <v>45184</v>
      </c>
      <c r="L215" s="2" t="s">
        <v>8855</v>
      </c>
      <c r="M215" s="2" t="s">
        <v>36</v>
      </c>
    </row>
    <row r="216" customFormat="false" ht="15" hidden="false" customHeight="false" outlineLevel="0" collapsed="false">
      <c r="A216" s="2" t="s">
        <v>2114</v>
      </c>
      <c r="B216" s="2" t="s">
        <v>8838</v>
      </c>
      <c r="C216" s="2" t="s">
        <v>8867</v>
      </c>
      <c r="D216" s="2" t="s">
        <v>8819</v>
      </c>
      <c r="E216" s="13" t="n">
        <v>34500</v>
      </c>
      <c r="F216" s="2" t="n">
        <v>254750323741</v>
      </c>
      <c r="G216" s="2" t="n">
        <v>6</v>
      </c>
      <c r="H216" s="2" t="s">
        <v>95</v>
      </c>
      <c r="I216" s="2" t="s">
        <v>8847</v>
      </c>
      <c r="J216" s="2" t="s">
        <v>60</v>
      </c>
      <c r="K216" s="13" t="n">
        <v>45269</v>
      </c>
      <c r="L216" s="2" t="s">
        <v>8821</v>
      </c>
      <c r="M216" s="2" t="s">
        <v>8858</v>
      </c>
    </row>
    <row r="217" customFormat="false" ht="15" hidden="false" customHeight="false" outlineLevel="0" collapsed="false">
      <c r="A217" s="2" t="s">
        <v>824</v>
      </c>
      <c r="B217" s="2" t="s">
        <v>8886</v>
      </c>
      <c r="C217" s="2" t="s">
        <v>8859</v>
      </c>
      <c r="D217" s="2" t="s">
        <v>8819</v>
      </c>
      <c r="E217" s="13" t="n">
        <v>33017</v>
      </c>
      <c r="F217" s="2" t="n">
        <v>254753739710</v>
      </c>
      <c r="G217" s="2" t="n">
        <v>7</v>
      </c>
      <c r="H217" s="2" t="s">
        <v>8850</v>
      </c>
      <c r="I217" s="2" t="s">
        <v>8842</v>
      </c>
      <c r="J217" s="2" t="s">
        <v>60</v>
      </c>
      <c r="K217" s="13" t="n">
        <v>45638</v>
      </c>
      <c r="L217" s="2" t="s">
        <v>8821</v>
      </c>
      <c r="M217" s="2" t="s">
        <v>36</v>
      </c>
    </row>
    <row r="218" customFormat="false" ht="15" hidden="false" customHeight="false" outlineLevel="0" collapsed="false">
      <c r="A218" s="2" t="s">
        <v>953</v>
      </c>
      <c r="B218" s="2" t="s">
        <v>8817</v>
      </c>
      <c r="C218" s="2" t="s">
        <v>8870</v>
      </c>
      <c r="D218" s="2" t="s">
        <v>8819</v>
      </c>
      <c r="E218" s="13" t="n">
        <v>29915</v>
      </c>
      <c r="F218" s="2" t="n">
        <v>254768848427</v>
      </c>
      <c r="G218" s="2" t="n">
        <v>13</v>
      </c>
      <c r="H218" s="2" t="s">
        <v>8850</v>
      </c>
      <c r="I218" s="2" t="s">
        <v>8864</v>
      </c>
      <c r="J218" s="2" t="s">
        <v>58</v>
      </c>
      <c r="K218" s="13" t="n">
        <v>45490</v>
      </c>
      <c r="L218" s="2" t="s">
        <v>8855</v>
      </c>
      <c r="M218" s="2" t="s">
        <v>8858</v>
      </c>
    </row>
    <row r="219" customFormat="false" ht="15" hidden="false" customHeight="false" outlineLevel="0" collapsed="false">
      <c r="A219" s="2" t="s">
        <v>2476</v>
      </c>
      <c r="B219" s="2" t="s">
        <v>8845</v>
      </c>
      <c r="C219" s="2" t="s">
        <v>8833</v>
      </c>
      <c r="D219" s="2" t="s">
        <v>8824</v>
      </c>
      <c r="E219" s="13" t="n">
        <v>28804</v>
      </c>
      <c r="F219" s="2" t="n">
        <v>254760598851</v>
      </c>
      <c r="G219" s="2" t="n">
        <v>2</v>
      </c>
      <c r="H219" s="2" t="s">
        <v>8850</v>
      </c>
      <c r="I219" s="2" t="s">
        <v>8848</v>
      </c>
      <c r="J219" s="2" t="s">
        <v>61</v>
      </c>
      <c r="K219" s="13" t="n">
        <v>45174</v>
      </c>
      <c r="L219" s="2" t="s">
        <v>8855</v>
      </c>
      <c r="M219" s="2" t="s">
        <v>8858</v>
      </c>
    </row>
    <row r="220" customFormat="false" ht="15" hidden="false" customHeight="false" outlineLevel="0" collapsed="false">
      <c r="A220" s="2" t="s">
        <v>8891</v>
      </c>
      <c r="B220" s="2" t="s">
        <v>8849</v>
      </c>
      <c r="C220" s="2" t="s">
        <v>8827</v>
      </c>
      <c r="D220" s="2" t="s">
        <v>8819</v>
      </c>
      <c r="E220" s="13" t="n">
        <v>26473</v>
      </c>
      <c r="F220" s="2" t="n">
        <v>254743316996</v>
      </c>
      <c r="G220" s="2" t="n">
        <v>11</v>
      </c>
      <c r="H220" s="2" t="s">
        <v>8850</v>
      </c>
      <c r="I220" s="2" t="s">
        <v>8828</v>
      </c>
      <c r="J220" s="2" t="s">
        <v>62</v>
      </c>
      <c r="K220" s="13" t="n">
        <v>45476</v>
      </c>
      <c r="L220" s="2" t="s">
        <v>8821</v>
      </c>
      <c r="M220" s="2" t="s">
        <v>8858</v>
      </c>
    </row>
    <row r="221" customFormat="false" ht="15" hidden="false" customHeight="false" outlineLevel="0" collapsed="false">
      <c r="A221" s="2" t="s">
        <v>2652</v>
      </c>
      <c r="B221" s="2" t="s">
        <v>8829</v>
      </c>
      <c r="C221" s="2" t="s">
        <v>8846</v>
      </c>
      <c r="D221" s="2" t="s">
        <v>8819</v>
      </c>
      <c r="E221" s="13" t="n">
        <v>33423</v>
      </c>
      <c r="F221" s="2" t="n">
        <v>254778541804</v>
      </c>
      <c r="G221" s="2" t="n">
        <v>12</v>
      </c>
      <c r="H221" s="2" t="s">
        <v>95</v>
      </c>
      <c r="I221" s="2" t="s">
        <v>8847</v>
      </c>
      <c r="J221" s="2" t="s">
        <v>60</v>
      </c>
      <c r="K221" s="13" t="n">
        <v>44937</v>
      </c>
      <c r="L221" s="2" t="s">
        <v>8855</v>
      </c>
      <c r="M221" s="2" t="s">
        <v>8858</v>
      </c>
    </row>
    <row r="222" customFormat="false" ht="15" hidden="false" customHeight="false" outlineLevel="0" collapsed="false">
      <c r="A222" s="2" t="s">
        <v>3205</v>
      </c>
      <c r="B222" s="2" t="s">
        <v>8877</v>
      </c>
      <c r="C222" s="2" t="s">
        <v>8830</v>
      </c>
      <c r="D222" s="2" t="s">
        <v>8824</v>
      </c>
      <c r="E222" s="13" t="n">
        <v>37327</v>
      </c>
      <c r="F222" s="2" t="n">
        <v>254765831276</v>
      </c>
      <c r="G222" s="2" t="n">
        <v>15</v>
      </c>
      <c r="H222" s="2" t="s">
        <v>95</v>
      </c>
      <c r="I222" s="2" t="s">
        <v>8825</v>
      </c>
      <c r="J222" s="2" t="s">
        <v>59</v>
      </c>
      <c r="K222" s="13" t="n">
        <v>44952</v>
      </c>
      <c r="L222" s="2" t="s">
        <v>8821</v>
      </c>
      <c r="M222" s="2" t="s">
        <v>36</v>
      </c>
    </row>
    <row r="223" customFormat="false" ht="15" hidden="false" customHeight="false" outlineLevel="0" collapsed="false">
      <c r="A223" s="2" t="s">
        <v>2901</v>
      </c>
      <c r="B223" s="2" t="s">
        <v>8868</v>
      </c>
      <c r="C223" s="2" t="s">
        <v>8859</v>
      </c>
      <c r="D223" s="2" t="s">
        <v>8824</v>
      </c>
      <c r="E223" s="13" t="n">
        <v>33476</v>
      </c>
      <c r="F223" s="2" t="n">
        <v>254773909453</v>
      </c>
      <c r="G223" s="2" t="n">
        <v>2</v>
      </c>
      <c r="H223" s="2" t="s">
        <v>8850</v>
      </c>
      <c r="I223" s="2" t="s">
        <v>8864</v>
      </c>
      <c r="J223" s="2" t="s">
        <v>61</v>
      </c>
      <c r="K223" s="13" t="n">
        <v>45138</v>
      </c>
      <c r="L223" s="2" t="s">
        <v>8821</v>
      </c>
      <c r="M223" s="2" t="s">
        <v>36</v>
      </c>
    </row>
    <row r="224" customFormat="false" ht="15" hidden="false" customHeight="false" outlineLevel="0" collapsed="false">
      <c r="A224" s="2" t="s">
        <v>2397</v>
      </c>
      <c r="B224" s="2" t="s">
        <v>8829</v>
      </c>
      <c r="C224" s="2" t="s">
        <v>8818</v>
      </c>
      <c r="D224" s="2" t="s">
        <v>8824</v>
      </c>
      <c r="E224" s="13" t="n">
        <v>32534</v>
      </c>
      <c r="F224" s="2" t="n">
        <v>254796969050</v>
      </c>
      <c r="G224" s="2" t="n">
        <v>2</v>
      </c>
      <c r="H224" s="2" t="s">
        <v>95</v>
      </c>
      <c r="I224" s="2" t="s">
        <v>8864</v>
      </c>
      <c r="J224" s="2" t="s">
        <v>59</v>
      </c>
      <c r="K224" s="13" t="n">
        <v>45654</v>
      </c>
      <c r="L224" s="2" t="s">
        <v>8821</v>
      </c>
      <c r="M224" s="2" t="s">
        <v>36</v>
      </c>
    </row>
    <row r="225" customFormat="false" ht="15" hidden="false" customHeight="false" outlineLevel="0" collapsed="false">
      <c r="A225" s="2" t="s">
        <v>241</v>
      </c>
      <c r="B225" s="2" t="s">
        <v>8843</v>
      </c>
      <c r="C225" s="2" t="s">
        <v>8876</v>
      </c>
      <c r="D225" s="2" t="s">
        <v>8819</v>
      </c>
      <c r="E225" s="13" t="n">
        <v>33495</v>
      </c>
      <c r="F225" s="2" t="n">
        <v>254735016429</v>
      </c>
      <c r="G225" s="2" t="n">
        <v>11</v>
      </c>
      <c r="H225" s="2" t="s">
        <v>8850</v>
      </c>
      <c r="I225" s="2" t="s">
        <v>8842</v>
      </c>
      <c r="J225" s="2" t="s">
        <v>58</v>
      </c>
      <c r="K225" s="13" t="n">
        <v>45400</v>
      </c>
      <c r="L225" s="2" t="s">
        <v>8821</v>
      </c>
      <c r="M225" s="2" t="s">
        <v>8858</v>
      </c>
    </row>
    <row r="226" customFormat="false" ht="15" hidden="false" customHeight="false" outlineLevel="0" collapsed="false">
      <c r="A226" s="2" t="s">
        <v>2032</v>
      </c>
      <c r="B226" s="2" t="s">
        <v>8840</v>
      </c>
      <c r="C226" s="2" t="s">
        <v>8841</v>
      </c>
      <c r="D226" s="2" t="s">
        <v>8824</v>
      </c>
      <c r="E226" s="13" t="n">
        <v>35612</v>
      </c>
      <c r="F226" s="2" t="n">
        <v>254718397164</v>
      </c>
      <c r="G226" s="2" t="n">
        <v>10</v>
      </c>
      <c r="H226" s="2" t="s">
        <v>95</v>
      </c>
      <c r="I226" s="2" t="s">
        <v>8857</v>
      </c>
      <c r="J226" s="2" t="s">
        <v>59</v>
      </c>
      <c r="K226" s="13" t="n">
        <v>45648</v>
      </c>
      <c r="L226" s="2" t="s">
        <v>8821</v>
      </c>
      <c r="M226" s="2" t="s">
        <v>36</v>
      </c>
    </row>
    <row r="227" customFormat="false" ht="15" hidden="false" customHeight="false" outlineLevel="0" collapsed="false">
      <c r="A227" s="2" t="s">
        <v>1280</v>
      </c>
      <c r="B227" s="2" t="s">
        <v>8856</v>
      </c>
      <c r="C227" s="2" t="s">
        <v>8859</v>
      </c>
      <c r="D227" s="2" t="s">
        <v>8824</v>
      </c>
      <c r="E227" s="13" t="n">
        <v>30167</v>
      </c>
      <c r="F227" s="2" t="n">
        <v>254790124068</v>
      </c>
      <c r="G227" s="2" t="n">
        <v>7</v>
      </c>
      <c r="H227" s="2" t="s">
        <v>8850</v>
      </c>
      <c r="I227" s="2" t="s">
        <v>8848</v>
      </c>
      <c r="J227" s="2" t="s">
        <v>58</v>
      </c>
      <c r="K227" s="13" t="n">
        <v>45195</v>
      </c>
      <c r="L227" s="2" t="s">
        <v>8821</v>
      </c>
      <c r="M227" s="2" t="s">
        <v>36</v>
      </c>
    </row>
    <row r="228" customFormat="false" ht="15" hidden="false" customHeight="false" outlineLevel="0" collapsed="false">
      <c r="A228" s="2" t="s">
        <v>2269</v>
      </c>
      <c r="B228" s="2" t="s">
        <v>8875</v>
      </c>
      <c r="C228" s="2" t="s">
        <v>8854</v>
      </c>
      <c r="D228" s="2" t="s">
        <v>8819</v>
      </c>
      <c r="E228" s="13" t="n">
        <v>36439</v>
      </c>
      <c r="F228" s="2" t="n">
        <v>254727978165</v>
      </c>
      <c r="G228" s="2" t="n">
        <v>6</v>
      </c>
      <c r="H228" s="2" t="s">
        <v>95</v>
      </c>
      <c r="I228" s="2" t="s">
        <v>8831</v>
      </c>
      <c r="J228" s="2" t="s">
        <v>60</v>
      </c>
      <c r="K228" s="13" t="n">
        <v>45616</v>
      </c>
      <c r="L228" s="2" t="s">
        <v>8821</v>
      </c>
      <c r="M228" s="2" t="s">
        <v>36</v>
      </c>
    </row>
    <row r="229" customFormat="false" ht="15" hidden="false" customHeight="false" outlineLevel="0" collapsed="false">
      <c r="A229" s="2" t="s">
        <v>2122</v>
      </c>
      <c r="B229" s="2" t="s">
        <v>8866</v>
      </c>
      <c r="C229" s="2" t="s">
        <v>8865</v>
      </c>
      <c r="D229" s="2" t="s">
        <v>8819</v>
      </c>
      <c r="E229" s="13" t="n">
        <v>34308</v>
      </c>
      <c r="F229" s="2" t="n">
        <v>254787149161</v>
      </c>
      <c r="G229" s="2" t="n">
        <v>7</v>
      </c>
      <c r="H229" s="2" t="s">
        <v>8850</v>
      </c>
      <c r="I229" s="2" t="s">
        <v>8828</v>
      </c>
      <c r="J229" s="2" t="s">
        <v>61</v>
      </c>
      <c r="K229" s="13" t="n">
        <v>45450</v>
      </c>
      <c r="L229" s="2" t="s">
        <v>8821</v>
      </c>
      <c r="M229" s="2" t="s">
        <v>36</v>
      </c>
    </row>
    <row r="230" customFormat="false" ht="15" hidden="false" customHeight="false" outlineLevel="0" collapsed="false">
      <c r="A230" s="2" t="s">
        <v>2376</v>
      </c>
      <c r="B230" s="2" t="s">
        <v>8878</v>
      </c>
      <c r="C230" s="2" t="s">
        <v>8870</v>
      </c>
      <c r="D230" s="2" t="s">
        <v>8819</v>
      </c>
      <c r="E230" s="13" t="n">
        <v>37016</v>
      </c>
      <c r="F230" s="2" t="n">
        <v>254758189421</v>
      </c>
      <c r="G230" s="2" t="n">
        <v>1</v>
      </c>
      <c r="H230" s="2" t="s">
        <v>8850</v>
      </c>
      <c r="I230" s="2" t="s">
        <v>8828</v>
      </c>
      <c r="J230" s="2" t="s">
        <v>59</v>
      </c>
      <c r="K230" s="13" t="n">
        <v>45118</v>
      </c>
      <c r="L230" s="2" t="s">
        <v>8855</v>
      </c>
      <c r="M230" s="2" t="s">
        <v>8858</v>
      </c>
    </row>
    <row r="231" customFormat="false" ht="15" hidden="false" customHeight="false" outlineLevel="0" collapsed="false">
      <c r="A231" s="2" t="s">
        <v>4837</v>
      </c>
      <c r="B231" s="2" t="s">
        <v>8875</v>
      </c>
      <c r="C231" s="2" t="s">
        <v>8870</v>
      </c>
      <c r="D231" s="2" t="s">
        <v>8824</v>
      </c>
      <c r="E231" s="13" t="n">
        <v>35385</v>
      </c>
      <c r="F231" s="2" t="n">
        <v>254732448383</v>
      </c>
      <c r="G231" s="2" t="n">
        <v>2</v>
      </c>
      <c r="H231" s="2" t="s">
        <v>95</v>
      </c>
      <c r="I231" s="2" t="s">
        <v>8831</v>
      </c>
      <c r="J231" s="2" t="s">
        <v>60</v>
      </c>
      <c r="K231" s="13" t="n">
        <v>45352</v>
      </c>
      <c r="L231" s="2" t="s">
        <v>8821</v>
      </c>
      <c r="M231" s="2" t="s">
        <v>36</v>
      </c>
    </row>
    <row r="232" customFormat="false" ht="15" hidden="false" customHeight="false" outlineLevel="0" collapsed="false">
      <c r="A232" s="2" t="s">
        <v>8502</v>
      </c>
      <c r="B232" s="2" t="s">
        <v>8853</v>
      </c>
      <c r="C232" s="2" t="s">
        <v>8870</v>
      </c>
      <c r="D232" s="2" t="s">
        <v>8824</v>
      </c>
      <c r="E232" s="13" t="n">
        <v>30935</v>
      </c>
      <c r="F232" s="2" t="n">
        <v>254783782999</v>
      </c>
      <c r="G232" s="2" t="n">
        <v>9</v>
      </c>
      <c r="H232" s="2" t="s">
        <v>95</v>
      </c>
      <c r="I232" s="2" t="s">
        <v>8848</v>
      </c>
      <c r="J232" s="2" t="s">
        <v>58</v>
      </c>
      <c r="K232" s="13" t="n">
        <v>45099</v>
      </c>
      <c r="L232" s="2" t="s">
        <v>8821</v>
      </c>
      <c r="M232" s="2" t="s">
        <v>36</v>
      </c>
    </row>
    <row r="233" customFormat="false" ht="15" hidden="false" customHeight="false" outlineLevel="0" collapsed="false">
      <c r="A233" s="2" t="s">
        <v>1177</v>
      </c>
      <c r="B233" s="2" t="s">
        <v>8840</v>
      </c>
      <c r="C233" s="2" t="s">
        <v>8865</v>
      </c>
      <c r="D233" s="2" t="s">
        <v>8819</v>
      </c>
      <c r="E233" s="13" t="n">
        <v>26648</v>
      </c>
      <c r="F233" s="2" t="n">
        <v>254797734330</v>
      </c>
      <c r="G233" s="2" t="n">
        <v>13</v>
      </c>
      <c r="H233" s="2" t="s">
        <v>95</v>
      </c>
      <c r="I233" s="2" t="s">
        <v>8834</v>
      </c>
      <c r="J233" s="2" t="s">
        <v>58</v>
      </c>
      <c r="K233" s="13" t="n">
        <v>45486</v>
      </c>
      <c r="L233" s="2" t="s">
        <v>8855</v>
      </c>
      <c r="M233" s="2" t="s">
        <v>36</v>
      </c>
    </row>
    <row r="234" customFormat="false" ht="15" hidden="false" customHeight="false" outlineLevel="0" collapsed="false">
      <c r="A234" s="2" t="s">
        <v>8892</v>
      </c>
      <c r="B234" s="2" t="s">
        <v>8853</v>
      </c>
      <c r="C234" s="2" t="s">
        <v>8839</v>
      </c>
      <c r="D234" s="2" t="s">
        <v>8819</v>
      </c>
      <c r="E234" s="13" t="n">
        <v>33649</v>
      </c>
      <c r="F234" s="2" t="n">
        <v>254788909809</v>
      </c>
      <c r="G234" s="2" t="n">
        <v>12</v>
      </c>
      <c r="H234" s="2" t="s">
        <v>8850</v>
      </c>
      <c r="I234" s="2" t="s">
        <v>8864</v>
      </c>
      <c r="J234" s="2" t="s">
        <v>62</v>
      </c>
      <c r="K234" s="13" t="n">
        <v>45047</v>
      </c>
      <c r="L234" s="2" t="s">
        <v>8855</v>
      </c>
      <c r="M234" s="2" t="s">
        <v>36</v>
      </c>
    </row>
    <row r="235" customFormat="false" ht="15" hidden="false" customHeight="false" outlineLevel="0" collapsed="false">
      <c r="A235" s="2" t="s">
        <v>3055</v>
      </c>
      <c r="B235" s="2" t="s">
        <v>8874</v>
      </c>
      <c r="C235" s="2" t="s">
        <v>8823</v>
      </c>
      <c r="D235" s="2" t="s">
        <v>8824</v>
      </c>
      <c r="E235" s="13" t="n">
        <v>28607</v>
      </c>
      <c r="F235" s="2" t="n">
        <v>254781441519</v>
      </c>
      <c r="G235" s="2" t="n">
        <v>5</v>
      </c>
      <c r="H235" s="2" t="s">
        <v>95</v>
      </c>
      <c r="I235" s="2" t="s">
        <v>8844</v>
      </c>
      <c r="J235" s="2" t="s">
        <v>60</v>
      </c>
      <c r="K235" s="13" t="n">
        <v>45138</v>
      </c>
      <c r="L235" s="2" t="s">
        <v>8821</v>
      </c>
      <c r="M235" s="2" t="s">
        <v>36</v>
      </c>
    </row>
    <row r="236" customFormat="false" ht="15" hidden="false" customHeight="false" outlineLevel="0" collapsed="false">
      <c r="A236" s="2" t="s">
        <v>2180</v>
      </c>
      <c r="B236" s="2" t="s">
        <v>8832</v>
      </c>
      <c r="C236" s="2" t="s">
        <v>8865</v>
      </c>
      <c r="D236" s="2" t="s">
        <v>8819</v>
      </c>
      <c r="E236" s="13" t="n">
        <v>37587</v>
      </c>
      <c r="F236" s="2" t="n">
        <v>254747221734</v>
      </c>
      <c r="G236" s="2" t="n">
        <v>14</v>
      </c>
      <c r="H236" s="2" t="s">
        <v>95</v>
      </c>
      <c r="I236" s="2" t="s">
        <v>8864</v>
      </c>
      <c r="J236" s="2" t="s">
        <v>59</v>
      </c>
      <c r="K236" s="13" t="n">
        <v>45024</v>
      </c>
      <c r="L236" s="2" t="s">
        <v>8821</v>
      </c>
      <c r="M236" s="2" t="s">
        <v>36</v>
      </c>
    </row>
    <row r="237" customFormat="false" ht="15" hidden="false" customHeight="false" outlineLevel="0" collapsed="false">
      <c r="A237" s="2" t="s">
        <v>2295</v>
      </c>
      <c r="B237" s="2" t="s">
        <v>8866</v>
      </c>
      <c r="C237" s="2" t="s">
        <v>8859</v>
      </c>
      <c r="D237" s="2" t="s">
        <v>8819</v>
      </c>
      <c r="E237" s="13" t="n">
        <v>32988</v>
      </c>
      <c r="F237" s="2" t="n">
        <v>254787500742</v>
      </c>
      <c r="G237" s="2" t="n">
        <v>11</v>
      </c>
      <c r="H237" s="2" t="s">
        <v>8850</v>
      </c>
      <c r="I237" s="2" t="s">
        <v>8852</v>
      </c>
      <c r="J237" s="2" t="s">
        <v>61</v>
      </c>
      <c r="K237" s="13" t="n">
        <v>45619</v>
      </c>
      <c r="L237" s="2" t="s">
        <v>8855</v>
      </c>
      <c r="M237" s="2" t="s">
        <v>8858</v>
      </c>
    </row>
    <row r="238" customFormat="false" ht="15" hidden="false" customHeight="false" outlineLevel="0" collapsed="false">
      <c r="A238" s="2" t="s">
        <v>966</v>
      </c>
      <c r="B238" s="2" t="s">
        <v>8866</v>
      </c>
      <c r="C238" s="2" t="s">
        <v>8861</v>
      </c>
      <c r="D238" s="2" t="s">
        <v>8824</v>
      </c>
      <c r="E238" s="13" t="n">
        <v>27359</v>
      </c>
      <c r="F238" s="2" t="n">
        <v>254759535894</v>
      </c>
      <c r="G238" s="2" t="n">
        <v>8</v>
      </c>
      <c r="H238" s="2" t="s">
        <v>8850</v>
      </c>
      <c r="I238" s="2" t="s">
        <v>8844</v>
      </c>
      <c r="J238" s="2" t="s">
        <v>62</v>
      </c>
      <c r="K238" s="13" t="n">
        <v>45022</v>
      </c>
      <c r="L238" s="2" t="s">
        <v>8821</v>
      </c>
      <c r="M238" s="2" t="s">
        <v>36</v>
      </c>
    </row>
    <row r="239" customFormat="false" ht="15" hidden="false" customHeight="false" outlineLevel="0" collapsed="false">
      <c r="A239" s="2" t="s">
        <v>930</v>
      </c>
      <c r="B239" s="2" t="s">
        <v>8879</v>
      </c>
      <c r="C239" s="2" t="s">
        <v>8827</v>
      </c>
      <c r="D239" s="2" t="s">
        <v>8824</v>
      </c>
      <c r="E239" s="13" t="n">
        <v>36486</v>
      </c>
      <c r="F239" s="2" t="n">
        <v>254739236638</v>
      </c>
      <c r="G239" s="2" t="n">
        <v>7</v>
      </c>
      <c r="H239" s="2" t="s">
        <v>95</v>
      </c>
      <c r="I239" s="2" t="s">
        <v>8847</v>
      </c>
      <c r="J239" s="2" t="s">
        <v>60</v>
      </c>
      <c r="K239" s="13" t="n">
        <v>45641</v>
      </c>
      <c r="L239" s="2" t="s">
        <v>8821</v>
      </c>
      <c r="M239" s="2" t="s">
        <v>36</v>
      </c>
    </row>
    <row r="240" customFormat="false" ht="15" hidden="false" customHeight="false" outlineLevel="0" collapsed="false">
      <c r="A240" s="2" t="s">
        <v>6451</v>
      </c>
      <c r="B240" s="2" t="s">
        <v>8862</v>
      </c>
      <c r="C240" s="2" t="s">
        <v>8859</v>
      </c>
      <c r="D240" s="2" t="s">
        <v>8824</v>
      </c>
      <c r="E240" s="13" t="n">
        <v>33500</v>
      </c>
      <c r="F240" s="2" t="n">
        <v>254716497381</v>
      </c>
      <c r="G240" s="2" t="n">
        <v>1</v>
      </c>
      <c r="H240" s="2" t="s">
        <v>95</v>
      </c>
      <c r="I240" s="2" t="s">
        <v>8852</v>
      </c>
      <c r="J240" s="2" t="s">
        <v>61</v>
      </c>
      <c r="K240" s="13" t="n">
        <v>45060</v>
      </c>
      <c r="L240" s="2" t="s">
        <v>8821</v>
      </c>
      <c r="M240" s="2" t="s">
        <v>36</v>
      </c>
    </row>
    <row r="241" customFormat="false" ht="15" hidden="false" customHeight="false" outlineLevel="0" collapsed="false">
      <c r="A241" s="2" t="s">
        <v>3543</v>
      </c>
      <c r="B241" s="2" t="s">
        <v>8838</v>
      </c>
      <c r="C241" s="2" t="s">
        <v>8841</v>
      </c>
      <c r="D241" s="2" t="s">
        <v>8819</v>
      </c>
      <c r="E241" s="13" t="n">
        <v>29448</v>
      </c>
      <c r="F241" s="2" t="n">
        <v>254797241147</v>
      </c>
      <c r="G241" s="2" t="n">
        <v>5</v>
      </c>
      <c r="H241" s="2" t="s">
        <v>95</v>
      </c>
      <c r="I241" s="2" t="s">
        <v>8834</v>
      </c>
      <c r="J241" s="2" t="s">
        <v>58</v>
      </c>
      <c r="K241" s="13" t="n">
        <v>44927</v>
      </c>
      <c r="L241" s="2" t="s">
        <v>8821</v>
      </c>
      <c r="M241" s="2" t="s">
        <v>36</v>
      </c>
    </row>
    <row r="242" customFormat="false" ht="15" hidden="false" customHeight="false" outlineLevel="0" collapsed="false">
      <c r="A242" s="2" t="s">
        <v>1633</v>
      </c>
      <c r="B242" s="2" t="s">
        <v>8835</v>
      </c>
      <c r="C242" s="2" t="s">
        <v>8823</v>
      </c>
      <c r="D242" s="2" t="s">
        <v>8824</v>
      </c>
      <c r="E242" s="13" t="n">
        <v>27567</v>
      </c>
      <c r="F242" s="2" t="n">
        <v>254793967184</v>
      </c>
      <c r="G242" s="2" t="n">
        <v>5</v>
      </c>
      <c r="H242" s="2" t="s">
        <v>95</v>
      </c>
      <c r="I242" s="2" t="s">
        <v>8842</v>
      </c>
      <c r="J242" s="2" t="s">
        <v>58</v>
      </c>
      <c r="K242" s="13" t="n">
        <v>45591</v>
      </c>
      <c r="L242" s="2" t="s">
        <v>8821</v>
      </c>
      <c r="M242" s="2" t="s">
        <v>36</v>
      </c>
    </row>
    <row r="243" customFormat="false" ht="15" hidden="false" customHeight="false" outlineLevel="0" collapsed="false">
      <c r="A243" s="2" t="s">
        <v>6785</v>
      </c>
      <c r="B243" s="2" t="s">
        <v>8862</v>
      </c>
      <c r="C243" s="2" t="s">
        <v>8839</v>
      </c>
      <c r="D243" s="2" t="s">
        <v>8824</v>
      </c>
      <c r="E243" s="13" t="n">
        <v>30531</v>
      </c>
      <c r="F243" s="2" t="n">
        <v>254711246473</v>
      </c>
      <c r="G243" s="2" t="n">
        <v>1</v>
      </c>
      <c r="H243" s="2" t="s">
        <v>8850</v>
      </c>
      <c r="I243" s="2" t="s">
        <v>8825</v>
      </c>
      <c r="J243" s="2" t="s">
        <v>61</v>
      </c>
      <c r="K243" s="13" t="n">
        <v>45062</v>
      </c>
      <c r="L243" s="2" t="s">
        <v>8821</v>
      </c>
      <c r="M243" s="2" t="s">
        <v>8858</v>
      </c>
    </row>
    <row r="244" customFormat="false" ht="15" hidden="false" customHeight="false" outlineLevel="0" collapsed="false">
      <c r="A244" s="2" t="s">
        <v>1485</v>
      </c>
      <c r="B244" s="2" t="s">
        <v>8871</v>
      </c>
      <c r="C244" s="2" t="s">
        <v>8830</v>
      </c>
      <c r="D244" s="2" t="s">
        <v>8819</v>
      </c>
      <c r="E244" s="13" t="n">
        <v>27132</v>
      </c>
      <c r="F244" s="2" t="n">
        <v>254752057323</v>
      </c>
      <c r="G244" s="2" t="n">
        <v>6</v>
      </c>
      <c r="H244" s="2" t="s">
        <v>8850</v>
      </c>
      <c r="I244" s="2" t="s">
        <v>8828</v>
      </c>
      <c r="J244" s="2" t="s">
        <v>61</v>
      </c>
      <c r="K244" s="13" t="n">
        <v>45018</v>
      </c>
      <c r="L244" s="2" t="s">
        <v>8821</v>
      </c>
      <c r="M244" s="2" t="s">
        <v>36</v>
      </c>
    </row>
    <row r="245" customFormat="false" ht="15" hidden="false" customHeight="false" outlineLevel="0" collapsed="false">
      <c r="A245" s="2" t="s">
        <v>1809</v>
      </c>
      <c r="B245" s="2" t="s">
        <v>8849</v>
      </c>
      <c r="C245" s="2" t="s">
        <v>8873</v>
      </c>
      <c r="D245" s="2" t="s">
        <v>8824</v>
      </c>
      <c r="E245" s="13" t="n">
        <v>27291</v>
      </c>
      <c r="F245" s="2" t="n">
        <v>254757135617</v>
      </c>
      <c r="G245" s="2" t="n">
        <v>12</v>
      </c>
      <c r="H245" s="2" t="s">
        <v>95</v>
      </c>
      <c r="I245" s="2" t="s">
        <v>8852</v>
      </c>
      <c r="J245" s="2" t="s">
        <v>59</v>
      </c>
      <c r="K245" s="13" t="n">
        <v>44935</v>
      </c>
      <c r="L245" s="2" t="s">
        <v>8855</v>
      </c>
      <c r="M245" s="2" t="s">
        <v>8858</v>
      </c>
    </row>
    <row r="246" customFormat="false" ht="15" hidden="false" customHeight="false" outlineLevel="0" collapsed="false">
      <c r="A246" s="2" t="s">
        <v>3266</v>
      </c>
      <c r="B246" s="2" t="s">
        <v>8853</v>
      </c>
      <c r="C246" s="2" t="s">
        <v>8830</v>
      </c>
      <c r="D246" s="2" t="s">
        <v>8824</v>
      </c>
      <c r="E246" s="13" t="n">
        <v>30351</v>
      </c>
      <c r="F246" s="2" t="n">
        <v>254757182314</v>
      </c>
      <c r="G246" s="2" t="n">
        <v>7</v>
      </c>
      <c r="H246" s="2" t="s">
        <v>8850</v>
      </c>
      <c r="I246" s="2" t="s">
        <v>8828</v>
      </c>
      <c r="J246" s="2" t="s">
        <v>59</v>
      </c>
      <c r="K246" s="13" t="n">
        <v>45070</v>
      </c>
      <c r="L246" s="2" t="s">
        <v>8821</v>
      </c>
      <c r="M246" s="2" t="s">
        <v>36</v>
      </c>
    </row>
    <row r="247" customFormat="false" ht="15" hidden="false" customHeight="false" outlineLevel="0" collapsed="false">
      <c r="A247" s="2" t="s">
        <v>4125</v>
      </c>
      <c r="B247" s="2" t="s">
        <v>8871</v>
      </c>
      <c r="C247" s="2" t="s">
        <v>8867</v>
      </c>
      <c r="D247" s="2" t="s">
        <v>8824</v>
      </c>
      <c r="E247" s="13" t="n">
        <v>31310</v>
      </c>
      <c r="F247" s="2" t="n">
        <v>254713600310</v>
      </c>
      <c r="G247" s="2" t="n">
        <v>14</v>
      </c>
      <c r="H247" s="2" t="s">
        <v>8850</v>
      </c>
      <c r="I247" s="2" t="s">
        <v>8831</v>
      </c>
      <c r="J247" s="2" t="s">
        <v>62</v>
      </c>
      <c r="K247" s="13" t="n">
        <v>45541</v>
      </c>
      <c r="L247" s="2" t="s">
        <v>8821</v>
      </c>
      <c r="M247" s="2" t="s">
        <v>8858</v>
      </c>
    </row>
    <row r="248" customFormat="false" ht="15" hidden="false" customHeight="false" outlineLevel="0" collapsed="false">
      <c r="A248" s="2" t="s">
        <v>1793</v>
      </c>
      <c r="B248" s="2" t="s">
        <v>8877</v>
      </c>
      <c r="C248" s="2" t="s">
        <v>8876</v>
      </c>
      <c r="D248" s="2" t="s">
        <v>8819</v>
      </c>
      <c r="E248" s="13" t="n">
        <v>32449</v>
      </c>
      <c r="F248" s="2" t="n">
        <v>254742357445</v>
      </c>
      <c r="G248" s="2" t="n">
        <v>8</v>
      </c>
      <c r="H248" s="2" t="s">
        <v>95</v>
      </c>
      <c r="I248" s="2" t="s">
        <v>8857</v>
      </c>
      <c r="J248" s="2" t="s">
        <v>58</v>
      </c>
      <c r="K248" s="13" t="n">
        <v>45172</v>
      </c>
      <c r="L248" s="2" t="s">
        <v>8821</v>
      </c>
      <c r="M248" s="2" t="s">
        <v>36</v>
      </c>
    </row>
    <row r="249" customFormat="false" ht="15" hidden="false" customHeight="false" outlineLevel="0" collapsed="false">
      <c r="A249" s="2" t="s">
        <v>3355</v>
      </c>
      <c r="B249" s="2" t="s">
        <v>8838</v>
      </c>
      <c r="C249" s="2" t="s">
        <v>8888</v>
      </c>
      <c r="D249" s="2" t="s">
        <v>8819</v>
      </c>
      <c r="E249" s="13" t="n">
        <v>28699</v>
      </c>
      <c r="F249" s="2" t="n">
        <v>254773218512</v>
      </c>
      <c r="G249" s="2" t="n">
        <v>13</v>
      </c>
      <c r="H249" s="2" t="s">
        <v>95</v>
      </c>
      <c r="I249" s="2" t="s">
        <v>8820</v>
      </c>
      <c r="J249" s="2" t="s">
        <v>62</v>
      </c>
      <c r="K249" s="13" t="n">
        <v>45509</v>
      </c>
      <c r="L249" s="2" t="s">
        <v>8821</v>
      </c>
      <c r="M249" s="2" t="s">
        <v>36</v>
      </c>
    </row>
    <row r="250" customFormat="false" ht="15" hidden="false" customHeight="false" outlineLevel="0" collapsed="false">
      <c r="A250" s="2" t="s">
        <v>1731</v>
      </c>
      <c r="B250" s="2" t="s">
        <v>8874</v>
      </c>
      <c r="C250" s="2" t="s">
        <v>8876</v>
      </c>
      <c r="D250" s="2" t="s">
        <v>8824</v>
      </c>
      <c r="E250" s="13" t="n">
        <v>31504</v>
      </c>
      <c r="F250" s="2" t="n">
        <v>254794365330</v>
      </c>
      <c r="G250" s="2" t="n">
        <v>12</v>
      </c>
      <c r="H250" s="2" t="s">
        <v>8850</v>
      </c>
      <c r="I250" s="2" t="s">
        <v>8842</v>
      </c>
      <c r="J250" s="2" t="s">
        <v>61</v>
      </c>
      <c r="K250" s="13" t="n">
        <v>44988</v>
      </c>
      <c r="L250" s="2" t="s">
        <v>8821</v>
      </c>
      <c r="M250" s="2" t="s">
        <v>36</v>
      </c>
    </row>
    <row r="251" customFormat="false" ht="15" hidden="false" customHeight="false" outlineLevel="0" collapsed="false">
      <c r="A251" s="2" t="s">
        <v>5335</v>
      </c>
      <c r="B251" s="2" t="s">
        <v>8868</v>
      </c>
      <c r="C251" s="2" t="s">
        <v>8841</v>
      </c>
      <c r="D251" s="2" t="s">
        <v>8819</v>
      </c>
      <c r="E251" s="13" t="n">
        <v>31818</v>
      </c>
      <c r="F251" s="2" t="n">
        <v>254781993070</v>
      </c>
      <c r="G251" s="2" t="n">
        <v>6</v>
      </c>
      <c r="H251" s="2" t="s">
        <v>8850</v>
      </c>
      <c r="I251" s="2" t="s">
        <v>8848</v>
      </c>
      <c r="J251" s="2" t="s">
        <v>58</v>
      </c>
      <c r="K251" s="13" t="n">
        <v>45007</v>
      </c>
      <c r="L251" s="2" t="s">
        <v>8821</v>
      </c>
      <c r="M251" s="2" t="s">
        <v>8858</v>
      </c>
    </row>
    <row r="252" customFormat="false" ht="15" hidden="false" customHeight="false" outlineLevel="0" collapsed="false">
      <c r="A252" s="2" t="s">
        <v>4231</v>
      </c>
      <c r="B252" s="2" t="s">
        <v>8882</v>
      </c>
      <c r="C252" s="2" t="s">
        <v>8865</v>
      </c>
      <c r="D252" s="2" t="s">
        <v>8819</v>
      </c>
      <c r="E252" s="13" t="n">
        <v>31055</v>
      </c>
      <c r="F252" s="2" t="n">
        <v>254770850538</v>
      </c>
      <c r="G252" s="2" t="n">
        <v>10</v>
      </c>
      <c r="H252" s="2" t="s">
        <v>95</v>
      </c>
      <c r="I252" s="2" t="s">
        <v>8834</v>
      </c>
      <c r="J252" s="2" t="s">
        <v>59</v>
      </c>
      <c r="K252" s="13" t="n">
        <v>45015</v>
      </c>
      <c r="L252" s="2" t="s">
        <v>8821</v>
      </c>
      <c r="M252" s="2" t="s">
        <v>36</v>
      </c>
    </row>
    <row r="253" customFormat="false" ht="15" hidden="false" customHeight="false" outlineLevel="0" collapsed="false">
      <c r="A253" s="2" t="s">
        <v>3031</v>
      </c>
      <c r="B253" s="2" t="s">
        <v>8877</v>
      </c>
      <c r="C253" s="2" t="s">
        <v>8888</v>
      </c>
      <c r="D253" s="2" t="s">
        <v>8824</v>
      </c>
      <c r="E253" s="13" t="n">
        <v>28825</v>
      </c>
      <c r="F253" s="2" t="n">
        <v>254732409388</v>
      </c>
      <c r="G253" s="2" t="n">
        <v>6</v>
      </c>
      <c r="H253" s="2" t="s">
        <v>95</v>
      </c>
      <c r="I253" s="2" t="s">
        <v>8864</v>
      </c>
      <c r="J253" s="2" t="s">
        <v>60</v>
      </c>
      <c r="K253" s="13" t="n">
        <v>45094</v>
      </c>
      <c r="L253" s="2" t="s">
        <v>8821</v>
      </c>
      <c r="M253" s="2" t="s">
        <v>36</v>
      </c>
    </row>
    <row r="254" customFormat="false" ht="15" hidden="false" customHeight="false" outlineLevel="0" collapsed="false">
      <c r="A254" s="2" t="s">
        <v>4879</v>
      </c>
      <c r="B254" s="2" t="s">
        <v>8826</v>
      </c>
      <c r="C254" s="2" t="s">
        <v>8846</v>
      </c>
      <c r="D254" s="2" t="s">
        <v>8819</v>
      </c>
      <c r="E254" s="13" t="n">
        <v>33428</v>
      </c>
      <c r="F254" s="2" t="n">
        <v>254776591799</v>
      </c>
      <c r="G254" s="2" t="n">
        <v>8</v>
      </c>
      <c r="H254" s="2" t="s">
        <v>8850</v>
      </c>
      <c r="I254" s="2" t="s">
        <v>8820</v>
      </c>
      <c r="J254" s="2" t="s">
        <v>61</v>
      </c>
      <c r="K254" s="13" t="n">
        <v>45463</v>
      </c>
      <c r="L254" s="2" t="s">
        <v>8821</v>
      </c>
      <c r="M254" s="2" t="s">
        <v>36</v>
      </c>
    </row>
    <row r="255" customFormat="false" ht="15" hidden="false" customHeight="false" outlineLevel="0" collapsed="false">
      <c r="A255" s="2" t="s">
        <v>2051</v>
      </c>
      <c r="B255" s="2" t="s">
        <v>8880</v>
      </c>
      <c r="C255" s="2" t="s">
        <v>8881</v>
      </c>
      <c r="D255" s="2" t="s">
        <v>8819</v>
      </c>
      <c r="E255" s="13" t="n">
        <v>29366</v>
      </c>
      <c r="F255" s="2" t="n">
        <v>254740655922</v>
      </c>
      <c r="G255" s="2" t="n">
        <v>12</v>
      </c>
      <c r="H255" s="2" t="s">
        <v>95</v>
      </c>
      <c r="I255" s="2" t="s">
        <v>8820</v>
      </c>
      <c r="J255" s="2" t="s">
        <v>58</v>
      </c>
      <c r="K255" s="13" t="n">
        <v>45032</v>
      </c>
      <c r="L255" s="2" t="s">
        <v>8821</v>
      </c>
      <c r="M255" s="2" t="s">
        <v>36</v>
      </c>
    </row>
    <row r="256" customFormat="false" ht="15" hidden="false" customHeight="false" outlineLevel="0" collapsed="false">
      <c r="A256" s="2" t="s">
        <v>4763</v>
      </c>
      <c r="B256" s="2" t="s">
        <v>8835</v>
      </c>
      <c r="C256" s="2" t="s">
        <v>8823</v>
      </c>
      <c r="D256" s="2" t="s">
        <v>8824</v>
      </c>
      <c r="E256" s="13" t="n">
        <v>36690</v>
      </c>
      <c r="F256" s="2" t="n">
        <v>254740133935</v>
      </c>
      <c r="G256" s="2" t="n">
        <v>6</v>
      </c>
      <c r="H256" s="2" t="s">
        <v>95</v>
      </c>
      <c r="I256" s="2" t="s">
        <v>8842</v>
      </c>
      <c r="J256" s="2" t="s">
        <v>60</v>
      </c>
      <c r="K256" s="13" t="n">
        <v>45080</v>
      </c>
      <c r="L256" s="2" t="s">
        <v>8821</v>
      </c>
      <c r="M256" s="2" t="s">
        <v>36</v>
      </c>
    </row>
    <row r="257" customFormat="false" ht="15" hidden="false" customHeight="false" outlineLevel="0" collapsed="false">
      <c r="A257" s="2" t="s">
        <v>2338</v>
      </c>
      <c r="B257" s="2" t="s">
        <v>8880</v>
      </c>
      <c r="C257" s="2" t="s">
        <v>8823</v>
      </c>
      <c r="D257" s="2" t="s">
        <v>8819</v>
      </c>
      <c r="E257" s="13" t="n">
        <v>34017</v>
      </c>
      <c r="F257" s="2" t="n">
        <v>254739955391</v>
      </c>
      <c r="G257" s="2" t="n">
        <v>13</v>
      </c>
      <c r="H257" s="2" t="s">
        <v>95</v>
      </c>
      <c r="I257" s="2" t="s">
        <v>8842</v>
      </c>
      <c r="J257" s="2" t="s">
        <v>58</v>
      </c>
      <c r="K257" s="13" t="n">
        <v>45616</v>
      </c>
      <c r="L257" s="2" t="s">
        <v>8855</v>
      </c>
      <c r="M257" s="2" t="s">
        <v>36</v>
      </c>
    </row>
    <row r="258" customFormat="false" ht="15" hidden="false" customHeight="false" outlineLevel="0" collapsed="false">
      <c r="A258" s="2" t="s">
        <v>8473</v>
      </c>
      <c r="B258" s="2" t="s">
        <v>8860</v>
      </c>
      <c r="C258" s="2" t="s">
        <v>8818</v>
      </c>
      <c r="D258" s="2" t="s">
        <v>8824</v>
      </c>
      <c r="E258" s="13" t="n">
        <v>32662</v>
      </c>
      <c r="F258" s="2" t="n">
        <v>254736933626</v>
      </c>
      <c r="G258" s="2" t="n">
        <v>5</v>
      </c>
      <c r="H258" s="2" t="s">
        <v>8850</v>
      </c>
      <c r="I258" s="2" t="s">
        <v>8864</v>
      </c>
      <c r="J258" s="2" t="s">
        <v>62</v>
      </c>
      <c r="K258" s="13" t="n">
        <v>45493</v>
      </c>
      <c r="L258" s="2" t="s">
        <v>8821</v>
      </c>
      <c r="M258" s="2" t="s">
        <v>8858</v>
      </c>
    </row>
    <row r="259" customFormat="false" ht="15" hidden="false" customHeight="false" outlineLevel="0" collapsed="false">
      <c r="A259" s="2" t="s">
        <v>3367</v>
      </c>
      <c r="B259" s="2" t="s">
        <v>8871</v>
      </c>
      <c r="C259" s="2" t="s">
        <v>8863</v>
      </c>
      <c r="D259" s="2" t="s">
        <v>8819</v>
      </c>
      <c r="E259" s="13" t="n">
        <v>34258</v>
      </c>
      <c r="F259" s="2" t="n">
        <v>254730208677</v>
      </c>
      <c r="G259" s="2" t="n">
        <v>1</v>
      </c>
      <c r="H259" s="2" t="s">
        <v>8850</v>
      </c>
      <c r="I259" s="2" t="s">
        <v>8820</v>
      </c>
      <c r="J259" s="2" t="s">
        <v>59</v>
      </c>
      <c r="K259" s="13" t="n">
        <v>45127</v>
      </c>
      <c r="L259" s="2" t="s">
        <v>8821</v>
      </c>
      <c r="M259" s="2" t="s">
        <v>36</v>
      </c>
    </row>
    <row r="260" customFormat="false" ht="15" hidden="false" customHeight="false" outlineLevel="0" collapsed="false">
      <c r="A260" s="2" t="s">
        <v>7087</v>
      </c>
      <c r="B260" s="2" t="s">
        <v>8866</v>
      </c>
      <c r="C260" s="2" t="s">
        <v>8854</v>
      </c>
      <c r="D260" s="2" t="s">
        <v>8819</v>
      </c>
      <c r="E260" s="13" t="n">
        <v>33263</v>
      </c>
      <c r="F260" s="2" t="n">
        <v>254737540722</v>
      </c>
      <c r="G260" s="2" t="n">
        <v>9</v>
      </c>
      <c r="H260" s="2" t="s">
        <v>95</v>
      </c>
      <c r="I260" s="2" t="s">
        <v>8842</v>
      </c>
      <c r="J260" s="2" t="s">
        <v>61</v>
      </c>
      <c r="K260" s="13" t="n">
        <v>45600</v>
      </c>
      <c r="L260" s="2" t="s">
        <v>8821</v>
      </c>
      <c r="M260" s="2" t="s">
        <v>36</v>
      </c>
    </row>
    <row r="261" customFormat="false" ht="15" hidden="false" customHeight="false" outlineLevel="0" collapsed="false">
      <c r="A261" s="2" t="s">
        <v>4341</v>
      </c>
      <c r="B261" s="2" t="s">
        <v>8880</v>
      </c>
      <c r="C261" s="2" t="s">
        <v>8861</v>
      </c>
      <c r="D261" s="2" t="s">
        <v>8824</v>
      </c>
      <c r="E261" s="13" t="n">
        <v>31810</v>
      </c>
      <c r="F261" s="2" t="n">
        <v>254759995026</v>
      </c>
      <c r="G261" s="2" t="n">
        <v>8</v>
      </c>
      <c r="H261" s="2" t="s">
        <v>95</v>
      </c>
      <c r="I261" s="2" t="s">
        <v>8848</v>
      </c>
      <c r="J261" s="2" t="s">
        <v>58</v>
      </c>
      <c r="K261" s="13" t="n">
        <v>45164</v>
      </c>
      <c r="L261" s="2" t="s">
        <v>8821</v>
      </c>
      <c r="M261" s="2" t="s">
        <v>8858</v>
      </c>
    </row>
    <row r="262" customFormat="false" ht="15" hidden="false" customHeight="false" outlineLevel="0" collapsed="false">
      <c r="A262" s="2" t="s">
        <v>4115</v>
      </c>
      <c r="B262" s="2" t="s">
        <v>8838</v>
      </c>
      <c r="C262" s="2" t="s">
        <v>8833</v>
      </c>
      <c r="D262" s="2" t="s">
        <v>8819</v>
      </c>
      <c r="E262" s="13" t="n">
        <v>27321</v>
      </c>
      <c r="F262" s="2" t="n">
        <v>254749148093</v>
      </c>
      <c r="G262" s="2" t="n">
        <v>5</v>
      </c>
      <c r="H262" s="2" t="s">
        <v>8850</v>
      </c>
      <c r="I262" s="2" t="s">
        <v>8842</v>
      </c>
      <c r="J262" s="2" t="s">
        <v>60</v>
      </c>
      <c r="K262" s="13" t="n">
        <v>44990</v>
      </c>
      <c r="L262" s="2" t="s">
        <v>8821</v>
      </c>
      <c r="M262" s="2" t="s">
        <v>8858</v>
      </c>
    </row>
    <row r="263" customFormat="false" ht="15" hidden="false" customHeight="false" outlineLevel="0" collapsed="false">
      <c r="A263" s="2" t="s">
        <v>5383</v>
      </c>
      <c r="B263" s="2" t="s">
        <v>8832</v>
      </c>
      <c r="C263" s="2" t="s">
        <v>8881</v>
      </c>
      <c r="D263" s="2" t="s">
        <v>8819</v>
      </c>
      <c r="E263" s="13" t="n">
        <v>31870</v>
      </c>
      <c r="F263" s="2" t="n">
        <v>254730858851</v>
      </c>
      <c r="G263" s="2" t="n">
        <v>2</v>
      </c>
      <c r="H263" s="2" t="s">
        <v>95</v>
      </c>
      <c r="I263" s="2" t="s">
        <v>8847</v>
      </c>
      <c r="J263" s="2" t="s">
        <v>61</v>
      </c>
      <c r="K263" s="13" t="n">
        <v>45134</v>
      </c>
      <c r="L263" s="2" t="s">
        <v>8821</v>
      </c>
      <c r="M263" s="2" t="s">
        <v>8858</v>
      </c>
    </row>
    <row r="264" customFormat="false" ht="15" hidden="false" customHeight="false" outlineLevel="0" collapsed="false">
      <c r="A264" s="2" t="s">
        <v>4659</v>
      </c>
      <c r="B264" s="2" t="s">
        <v>8860</v>
      </c>
      <c r="C264" s="2" t="s">
        <v>8854</v>
      </c>
      <c r="D264" s="2" t="s">
        <v>8824</v>
      </c>
      <c r="E264" s="13" t="n">
        <v>28380</v>
      </c>
      <c r="F264" s="2" t="n">
        <v>254745568761</v>
      </c>
      <c r="G264" s="2" t="n">
        <v>14</v>
      </c>
      <c r="H264" s="2" t="s">
        <v>95</v>
      </c>
      <c r="I264" s="2" t="s">
        <v>8825</v>
      </c>
      <c r="J264" s="2" t="s">
        <v>59</v>
      </c>
      <c r="K264" s="13" t="n">
        <v>45139</v>
      </c>
      <c r="L264" s="2" t="s">
        <v>8821</v>
      </c>
      <c r="M264" s="2" t="s">
        <v>36</v>
      </c>
    </row>
    <row r="265" customFormat="false" ht="15" hidden="false" customHeight="false" outlineLevel="0" collapsed="false">
      <c r="A265" s="2" t="s">
        <v>3405</v>
      </c>
      <c r="B265" s="2" t="s">
        <v>8875</v>
      </c>
      <c r="C265" s="2" t="s">
        <v>8839</v>
      </c>
      <c r="D265" s="2" t="s">
        <v>8824</v>
      </c>
      <c r="E265" s="13" t="n">
        <v>30472</v>
      </c>
      <c r="F265" s="2" t="n">
        <v>254763183031</v>
      </c>
      <c r="G265" s="2" t="n">
        <v>9</v>
      </c>
      <c r="H265" s="2" t="s">
        <v>95</v>
      </c>
      <c r="I265" s="2" t="s">
        <v>8852</v>
      </c>
      <c r="J265" s="2" t="s">
        <v>60</v>
      </c>
      <c r="K265" s="13" t="n">
        <v>45020</v>
      </c>
      <c r="L265" s="2" t="s">
        <v>8821</v>
      </c>
      <c r="M265" s="2" t="s">
        <v>36</v>
      </c>
    </row>
    <row r="266" customFormat="false" ht="15" hidden="false" customHeight="false" outlineLevel="0" collapsed="false">
      <c r="A266" s="2" t="s">
        <v>1675</v>
      </c>
      <c r="B266" s="2" t="s">
        <v>8851</v>
      </c>
      <c r="C266" s="2" t="s">
        <v>8863</v>
      </c>
      <c r="D266" s="2" t="s">
        <v>8819</v>
      </c>
      <c r="E266" s="13" t="n">
        <v>26142</v>
      </c>
      <c r="F266" s="2" t="n">
        <v>254722713811</v>
      </c>
      <c r="G266" s="2" t="n">
        <v>8</v>
      </c>
      <c r="H266" s="2" t="s">
        <v>95</v>
      </c>
      <c r="I266" s="2" t="s">
        <v>8828</v>
      </c>
      <c r="J266" s="2" t="s">
        <v>58</v>
      </c>
      <c r="K266" s="13" t="n">
        <v>45390</v>
      </c>
      <c r="L266" s="2" t="s">
        <v>8821</v>
      </c>
      <c r="M266" s="2" t="s">
        <v>36</v>
      </c>
    </row>
    <row r="267" customFormat="false" ht="15" hidden="false" customHeight="false" outlineLevel="0" collapsed="false">
      <c r="A267" s="2" t="s">
        <v>2723</v>
      </c>
      <c r="B267" s="2" t="s">
        <v>8879</v>
      </c>
      <c r="C267" s="2" t="s">
        <v>8827</v>
      </c>
      <c r="D267" s="2" t="s">
        <v>8824</v>
      </c>
      <c r="E267" s="13" t="n">
        <v>30748</v>
      </c>
      <c r="F267" s="2" t="n">
        <v>254720064609</v>
      </c>
      <c r="G267" s="2" t="n">
        <v>1</v>
      </c>
      <c r="H267" s="2" t="s">
        <v>95</v>
      </c>
      <c r="I267" s="2" t="s">
        <v>8831</v>
      </c>
      <c r="J267" s="2" t="s">
        <v>61</v>
      </c>
      <c r="K267" s="13" t="n">
        <v>45337</v>
      </c>
      <c r="L267" s="2" t="s">
        <v>8821</v>
      </c>
      <c r="M267" s="2" t="s">
        <v>36</v>
      </c>
    </row>
    <row r="268" customFormat="false" ht="15" hidden="false" customHeight="false" outlineLevel="0" collapsed="false">
      <c r="A268" s="2" t="s">
        <v>8893</v>
      </c>
      <c r="B268" s="2" t="s">
        <v>8822</v>
      </c>
      <c r="C268" s="2" t="s">
        <v>8873</v>
      </c>
      <c r="D268" s="2" t="s">
        <v>8824</v>
      </c>
      <c r="E268" s="13" t="n">
        <v>33271</v>
      </c>
      <c r="F268" s="2" t="n">
        <v>254763015826</v>
      </c>
      <c r="G268" s="2" t="n">
        <v>8</v>
      </c>
      <c r="H268" s="2" t="s">
        <v>95</v>
      </c>
      <c r="I268" s="2" t="s">
        <v>8842</v>
      </c>
      <c r="J268" s="2" t="s">
        <v>61</v>
      </c>
      <c r="K268" s="13" t="n">
        <v>45399</v>
      </c>
      <c r="L268" s="2" t="s">
        <v>8821</v>
      </c>
      <c r="M268" s="2" t="s">
        <v>36</v>
      </c>
    </row>
    <row r="269" customFormat="false" ht="15" hidden="false" customHeight="false" outlineLevel="0" collapsed="false">
      <c r="A269" s="2" t="s">
        <v>7933</v>
      </c>
      <c r="B269" s="2" t="s">
        <v>8860</v>
      </c>
      <c r="C269" s="2" t="s">
        <v>8833</v>
      </c>
      <c r="D269" s="2" t="s">
        <v>8819</v>
      </c>
      <c r="E269" s="13" t="n">
        <v>30384</v>
      </c>
      <c r="F269" s="2" t="n">
        <v>254792423989</v>
      </c>
      <c r="G269" s="2" t="n">
        <v>10</v>
      </c>
      <c r="H269" s="2" t="s">
        <v>95</v>
      </c>
      <c r="I269" s="2" t="s">
        <v>8852</v>
      </c>
      <c r="J269" s="2" t="s">
        <v>60</v>
      </c>
      <c r="K269" s="13" t="n">
        <v>45213</v>
      </c>
      <c r="L269" s="2" t="s">
        <v>8855</v>
      </c>
      <c r="M269" s="2" t="s">
        <v>8858</v>
      </c>
    </row>
    <row r="270" customFormat="false" ht="15" hidden="false" customHeight="false" outlineLevel="0" collapsed="false">
      <c r="A270" s="2" t="s">
        <v>2384</v>
      </c>
      <c r="B270" s="2" t="s">
        <v>8866</v>
      </c>
      <c r="C270" s="2" t="s">
        <v>8833</v>
      </c>
      <c r="D270" s="2" t="s">
        <v>8824</v>
      </c>
      <c r="E270" s="13" t="n">
        <v>36528</v>
      </c>
      <c r="F270" s="2" t="n">
        <v>254736770773</v>
      </c>
      <c r="G270" s="2" t="n">
        <v>11</v>
      </c>
      <c r="H270" s="2" t="s">
        <v>95</v>
      </c>
      <c r="I270" s="2" t="s">
        <v>8852</v>
      </c>
      <c r="J270" s="2" t="s">
        <v>62</v>
      </c>
      <c r="K270" s="13" t="n">
        <v>45213</v>
      </c>
      <c r="L270" s="2" t="s">
        <v>8821</v>
      </c>
      <c r="M270" s="2" t="s">
        <v>8858</v>
      </c>
    </row>
    <row r="271" customFormat="false" ht="15" hidden="false" customHeight="false" outlineLevel="0" collapsed="false">
      <c r="A271" s="2" t="s">
        <v>7387</v>
      </c>
      <c r="B271" s="2" t="s">
        <v>8879</v>
      </c>
      <c r="C271" s="2" t="s">
        <v>8881</v>
      </c>
      <c r="D271" s="2" t="s">
        <v>8824</v>
      </c>
      <c r="E271" s="13" t="n">
        <v>33834</v>
      </c>
      <c r="F271" s="2" t="n">
        <v>254762127652</v>
      </c>
      <c r="G271" s="2" t="n">
        <v>5</v>
      </c>
      <c r="H271" s="2" t="s">
        <v>95</v>
      </c>
      <c r="I271" s="2" t="s">
        <v>8820</v>
      </c>
      <c r="J271" s="2" t="s">
        <v>60</v>
      </c>
      <c r="K271" s="13" t="n">
        <v>45423</v>
      </c>
      <c r="L271" s="2" t="s">
        <v>8821</v>
      </c>
      <c r="M271" s="2" t="s">
        <v>36</v>
      </c>
    </row>
    <row r="272" customFormat="false" ht="15" hidden="false" customHeight="false" outlineLevel="0" collapsed="false">
      <c r="A272" s="2" t="s">
        <v>3349</v>
      </c>
      <c r="B272" s="2" t="s">
        <v>8868</v>
      </c>
      <c r="C272" s="2" t="s">
        <v>8888</v>
      </c>
      <c r="D272" s="2" t="s">
        <v>8819</v>
      </c>
      <c r="E272" s="13" t="n">
        <v>31803</v>
      </c>
      <c r="F272" s="2" t="n">
        <v>254731424479</v>
      </c>
      <c r="G272" s="2" t="n">
        <v>2</v>
      </c>
      <c r="H272" s="2" t="s">
        <v>95</v>
      </c>
      <c r="I272" s="2" t="s">
        <v>8852</v>
      </c>
      <c r="J272" s="2" t="s">
        <v>59</v>
      </c>
      <c r="K272" s="13" t="n">
        <v>45410</v>
      </c>
      <c r="L272" s="2" t="s">
        <v>8821</v>
      </c>
      <c r="M272" s="2" t="s">
        <v>36</v>
      </c>
    </row>
    <row r="273" customFormat="false" ht="15" hidden="false" customHeight="false" outlineLevel="0" collapsed="false">
      <c r="A273" s="2" t="s">
        <v>5595</v>
      </c>
      <c r="B273" s="2" t="s">
        <v>8879</v>
      </c>
      <c r="C273" s="2" t="s">
        <v>8873</v>
      </c>
      <c r="D273" s="2" t="s">
        <v>8819</v>
      </c>
      <c r="E273" s="13" t="n">
        <v>30983</v>
      </c>
      <c r="F273" s="2" t="n">
        <v>254741749355</v>
      </c>
      <c r="G273" s="2" t="n">
        <v>10</v>
      </c>
      <c r="H273" s="2" t="s">
        <v>8850</v>
      </c>
      <c r="I273" s="2" t="s">
        <v>8864</v>
      </c>
      <c r="J273" s="2" t="s">
        <v>60</v>
      </c>
      <c r="K273" s="13" t="n">
        <v>45324</v>
      </c>
      <c r="L273" s="2" t="s">
        <v>8821</v>
      </c>
      <c r="M273" s="2" t="s">
        <v>36</v>
      </c>
    </row>
    <row r="274" customFormat="false" ht="15" hidden="false" customHeight="false" outlineLevel="0" collapsed="false">
      <c r="A274" s="2" t="s">
        <v>391</v>
      </c>
      <c r="B274" s="2" t="s">
        <v>8851</v>
      </c>
      <c r="C274" s="2" t="s">
        <v>8854</v>
      </c>
      <c r="D274" s="2" t="s">
        <v>8819</v>
      </c>
      <c r="E274" s="13" t="n">
        <v>29135</v>
      </c>
      <c r="F274" s="2" t="n">
        <v>254775825262</v>
      </c>
      <c r="G274" s="2" t="n">
        <v>1</v>
      </c>
      <c r="H274" s="2" t="s">
        <v>95</v>
      </c>
      <c r="I274" s="2" t="s">
        <v>8820</v>
      </c>
      <c r="J274" s="2" t="s">
        <v>59</v>
      </c>
      <c r="K274" s="13" t="n">
        <v>45431</v>
      </c>
      <c r="L274" s="2" t="s">
        <v>8821</v>
      </c>
      <c r="M274" s="2" t="s">
        <v>36</v>
      </c>
    </row>
    <row r="275" customFormat="false" ht="15" hidden="false" customHeight="false" outlineLevel="0" collapsed="false">
      <c r="A275" s="2" t="s">
        <v>1781</v>
      </c>
      <c r="B275" s="2" t="s">
        <v>8840</v>
      </c>
      <c r="C275" s="2" t="s">
        <v>8833</v>
      </c>
      <c r="D275" s="2" t="s">
        <v>8824</v>
      </c>
      <c r="E275" s="13" t="n">
        <v>36536</v>
      </c>
      <c r="F275" s="2" t="n">
        <v>254733818260</v>
      </c>
      <c r="G275" s="2" t="n">
        <v>15</v>
      </c>
      <c r="H275" s="2" t="s">
        <v>8850</v>
      </c>
      <c r="I275" s="2" t="s">
        <v>8820</v>
      </c>
      <c r="J275" s="2" t="s">
        <v>58</v>
      </c>
      <c r="K275" s="13" t="n">
        <v>45555</v>
      </c>
      <c r="L275" s="2" t="s">
        <v>8821</v>
      </c>
      <c r="M275" s="2" t="s">
        <v>36</v>
      </c>
    </row>
    <row r="276" customFormat="false" ht="15" hidden="false" customHeight="false" outlineLevel="0" collapsed="false">
      <c r="A276" s="2" t="s">
        <v>5487</v>
      </c>
      <c r="B276" s="2" t="s">
        <v>8826</v>
      </c>
      <c r="C276" s="2" t="s">
        <v>8888</v>
      </c>
      <c r="D276" s="2" t="s">
        <v>8824</v>
      </c>
      <c r="E276" s="13" t="n">
        <v>28396</v>
      </c>
      <c r="F276" s="2" t="n">
        <v>254788653825</v>
      </c>
      <c r="G276" s="2" t="n">
        <v>2</v>
      </c>
      <c r="H276" s="2" t="s">
        <v>8850</v>
      </c>
      <c r="I276" s="2" t="s">
        <v>8834</v>
      </c>
      <c r="J276" s="2" t="s">
        <v>60</v>
      </c>
      <c r="K276" s="13" t="n">
        <v>45300</v>
      </c>
      <c r="L276" s="2" t="s">
        <v>8821</v>
      </c>
      <c r="M276" s="2" t="s">
        <v>36</v>
      </c>
    </row>
    <row r="277" customFormat="false" ht="15" hidden="false" customHeight="false" outlineLevel="0" collapsed="false">
      <c r="A277" s="2" t="s">
        <v>957</v>
      </c>
      <c r="B277" s="2" t="s">
        <v>8878</v>
      </c>
      <c r="C277" s="2" t="s">
        <v>8873</v>
      </c>
      <c r="D277" s="2" t="s">
        <v>8824</v>
      </c>
      <c r="E277" s="13" t="n">
        <v>35750</v>
      </c>
      <c r="F277" s="2" t="n">
        <v>254739962391</v>
      </c>
      <c r="G277" s="2" t="n">
        <v>11</v>
      </c>
      <c r="H277" s="2" t="s">
        <v>95</v>
      </c>
      <c r="I277" s="2" t="s">
        <v>8842</v>
      </c>
      <c r="J277" s="2" t="s">
        <v>60</v>
      </c>
      <c r="K277" s="13" t="n">
        <v>45591</v>
      </c>
      <c r="L277" s="2" t="s">
        <v>8821</v>
      </c>
      <c r="M277" s="2" t="s">
        <v>36</v>
      </c>
    </row>
    <row r="278" customFormat="false" ht="15" hidden="false" customHeight="false" outlineLevel="0" collapsed="false">
      <c r="A278" s="2" t="s">
        <v>4051</v>
      </c>
      <c r="B278" s="2" t="s">
        <v>8862</v>
      </c>
      <c r="C278" s="2" t="s">
        <v>8876</v>
      </c>
      <c r="D278" s="2" t="s">
        <v>8819</v>
      </c>
      <c r="E278" s="13" t="n">
        <v>29921</v>
      </c>
      <c r="F278" s="2" t="n">
        <v>254734438599</v>
      </c>
      <c r="G278" s="2" t="n">
        <v>10</v>
      </c>
      <c r="H278" s="2" t="s">
        <v>8850</v>
      </c>
      <c r="I278" s="2" t="s">
        <v>8848</v>
      </c>
      <c r="J278" s="2" t="s">
        <v>59</v>
      </c>
      <c r="K278" s="13" t="n">
        <v>45645</v>
      </c>
      <c r="L278" s="2" t="s">
        <v>8821</v>
      </c>
      <c r="M278" s="2" t="s">
        <v>8858</v>
      </c>
    </row>
    <row r="279" customFormat="false" ht="15" hidden="false" customHeight="false" outlineLevel="0" collapsed="false">
      <c r="A279" s="2" t="s">
        <v>2466</v>
      </c>
      <c r="B279" s="2" t="s">
        <v>8843</v>
      </c>
      <c r="C279" s="2" t="s">
        <v>8888</v>
      </c>
      <c r="D279" s="2" t="s">
        <v>8824</v>
      </c>
      <c r="E279" s="13" t="n">
        <v>29030</v>
      </c>
      <c r="F279" s="2" t="n">
        <v>254732533467</v>
      </c>
      <c r="G279" s="2" t="n">
        <v>11</v>
      </c>
      <c r="H279" s="2" t="s">
        <v>95</v>
      </c>
      <c r="I279" s="2" t="s">
        <v>8864</v>
      </c>
      <c r="J279" s="2" t="s">
        <v>60</v>
      </c>
      <c r="K279" s="13" t="n">
        <v>45006</v>
      </c>
      <c r="L279" s="2" t="s">
        <v>8855</v>
      </c>
      <c r="M279" s="2" t="s">
        <v>36</v>
      </c>
    </row>
    <row r="280" customFormat="false" ht="15" hidden="false" customHeight="false" outlineLevel="0" collapsed="false">
      <c r="A280" s="2" t="s">
        <v>4121</v>
      </c>
      <c r="B280" s="2" t="s">
        <v>8826</v>
      </c>
      <c r="C280" s="2" t="s">
        <v>8888</v>
      </c>
      <c r="D280" s="2" t="s">
        <v>8824</v>
      </c>
      <c r="E280" s="13" t="n">
        <v>31510</v>
      </c>
      <c r="F280" s="2" t="n">
        <v>254724500158</v>
      </c>
      <c r="G280" s="2" t="n">
        <v>12</v>
      </c>
      <c r="H280" s="2" t="s">
        <v>95</v>
      </c>
      <c r="I280" s="2" t="s">
        <v>8820</v>
      </c>
      <c r="J280" s="2" t="s">
        <v>61</v>
      </c>
      <c r="K280" s="13" t="n">
        <v>45636</v>
      </c>
      <c r="L280" s="2" t="s">
        <v>8855</v>
      </c>
      <c r="M280" s="2" t="s">
        <v>8858</v>
      </c>
    </row>
    <row r="281" customFormat="false" ht="15" hidden="false" customHeight="false" outlineLevel="0" collapsed="false">
      <c r="A281" s="2" t="s">
        <v>4913</v>
      </c>
      <c r="B281" s="2" t="s">
        <v>8879</v>
      </c>
      <c r="C281" s="2" t="s">
        <v>8863</v>
      </c>
      <c r="D281" s="2" t="s">
        <v>8824</v>
      </c>
      <c r="E281" s="13" t="n">
        <v>29418</v>
      </c>
      <c r="F281" s="2" t="n">
        <v>254723613510</v>
      </c>
      <c r="G281" s="2" t="n">
        <v>14</v>
      </c>
      <c r="H281" s="2" t="s">
        <v>8850</v>
      </c>
      <c r="I281" s="2" t="s">
        <v>8848</v>
      </c>
      <c r="J281" s="2" t="s">
        <v>59</v>
      </c>
      <c r="K281" s="13" t="n">
        <v>45314</v>
      </c>
      <c r="L281" s="2" t="s">
        <v>8821</v>
      </c>
      <c r="M281" s="2" t="s">
        <v>8858</v>
      </c>
    </row>
    <row r="282" customFormat="false" ht="15" hidden="false" customHeight="false" outlineLevel="0" collapsed="false">
      <c r="A282" s="2" t="s">
        <v>6063</v>
      </c>
      <c r="B282" s="2" t="s">
        <v>8878</v>
      </c>
      <c r="C282" s="2" t="s">
        <v>8846</v>
      </c>
      <c r="D282" s="2" t="s">
        <v>8819</v>
      </c>
      <c r="E282" s="13" t="n">
        <v>27039</v>
      </c>
      <c r="F282" s="2" t="n">
        <v>254719959009</v>
      </c>
      <c r="G282" s="2" t="n">
        <v>6</v>
      </c>
      <c r="H282" s="2" t="s">
        <v>95</v>
      </c>
      <c r="I282" s="2" t="s">
        <v>8842</v>
      </c>
      <c r="J282" s="2" t="s">
        <v>59</v>
      </c>
      <c r="K282" s="13" t="n">
        <v>44947</v>
      </c>
      <c r="L282" s="2" t="s">
        <v>8821</v>
      </c>
      <c r="M282" s="2" t="s">
        <v>36</v>
      </c>
    </row>
    <row r="283" customFormat="false" ht="15" hidden="false" customHeight="false" outlineLevel="0" collapsed="false">
      <c r="A283" s="2" t="s">
        <v>4467</v>
      </c>
      <c r="B283" s="2" t="s">
        <v>8875</v>
      </c>
      <c r="C283" s="2" t="s">
        <v>8818</v>
      </c>
      <c r="D283" s="2" t="s">
        <v>8824</v>
      </c>
      <c r="E283" s="13" t="n">
        <v>33531</v>
      </c>
      <c r="F283" s="2" t="n">
        <v>254797729428</v>
      </c>
      <c r="G283" s="2" t="n">
        <v>3</v>
      </c>
      <c r="H283" s="2" t="s">
        <v>8850</v>
      </c>
      <c r="I283" s="2" t="s">
        <v>8828</v>
      </c>
      <c r="J283" s="2" t="s">
        <v>58</v>
      </c>
      <c r="K283" s="13" t="n">
        <v>45421</v>
      </c>
      <c r="L283" s="2" t="s">
        <v>8821</v>
      </c>
      <c r="M283" s="2" t="s">
        <v>36</v>
      </c>
    </row>
    <row r="284" customFormat="false" ht="15" hidden="false" customHeight="false" outlineLevel="0" collapsed="false">
      <c r="A284" s="2" t="s">
        <v>1314</v>
      </c>
      <c r="B284" s="2" t="s">
        <v>8851</v>
      </c>
      <c r="C284" s="2" t="s">
        <v>8863</v>
      </c>
      <c r="D284" s="2" t="s">
        <v>8824</v>
      </c>
      <c r="E284" s="13" t="n">
        <v>30420</v>
      </c>
      <c r="F284" s="2" t="n">
        <v>254798663948</v>
      </c>
      <c r="G284" s="2" t="n">
        <v>5</v>
      </c>
      <c r="H284" s="2" t="s">
        <v>8850</v>
      </c>
      <c r="I284" s="2" t="s">
        <v>8831</v>
      </c>
      <c r="J284" s="2" t="s">
        <v>58</v>
      </c>
      <c r="K284" s="13" t="n">
        <v>45640</v>
      </c>
      <c r="L284" s="2" t="s">
        <v>8821</v>
      </c>
      <c r="M284" s="2" t="s">
        <v>8858</v>
      </c>
    </row>
    <row r="285" customFormat="false" ht="15" hidden="false" customHeight="false" outlineLevel="0" collapsed="false">
      <c r="A285" s="2" t="s">
        <v>6669</v>
      </c>
      <c r="B285" s="2" t="s">
        <v>8817</v>
      </c>
      <c r="C285" s="2" t="s">
        <v>8865</v>
      </c>
      <c r="D285" s="2" t="s">
        <v>8819</v>
      </c>
      <c r="E285" s="13" t="n">
        <v>36952</v>
      </c>
      <c r="F285" s="2" t="n">
        <v>254749533757</v>
      </c>
      <c r="G285" s="2" t="n">
        <v>14</v>
      </c>
      <c r="H285" s="2" t="s">
        <v>8850</v>
      </c>
      <c r="I285" s="2" t="s">
        <v>8831</v>
      </c>
      <c r="J285" s="2" t="s">
        <v>58</v>
      </c>
      <c r="K285" s="13" t="n">
        <v>45296</v>
      </c>
      <c r="L285" s="2" t="s">
        <v>8821</v>
      </c>
      <c r="M285" s="2" t="s">
        <v>36</v>
      </c>
    </row>
    <row r="286" customFormat="false" ht="15" hidden="false" customHeight="false" outlineLevel="0" collapsed="false">
      <c r="A286" s="2" t="s">
        <v>1560</v>
      </c>
      <c r="B286" s="2" t="s">
        <v>8877</v>
      </c>
      <c r="C286" s="2" t="s">
        <v>8830</v>
      </c>
      <c r="D286" s="2" t="s">
        <v>8824</v>
      </c>
      <c r="E286" s="13" t="n">
        <v>29535</v>
      </c>
      <c r="F286" s="2" t="n">
        <v>254763347164</v>
      </c>
      <c r="G286" s="2" t="n">
        <v>8</v>
      </c>
      <c r="H286" s="2" t="s">
        <v>8850</v>
      </c>
      <c r="I286" s="2" t="s">
        <v>8852</v>
      </c>
      <c r="J286" s="2" t="s">
        <v>60</v>
      </c>
      <c r="K286" s="13" t="n">
        <v>45010</v>
      </c>
      <c r="L286" s="2" t="s">
        <v>8821</v>
      </c>
      <c r="M286" s="2" t="s">
        <v>8858</v>
      </c>
    </row>
    <row r="287" customFormat="false" ht="15" hidden="false" customHeight="false" outlineLevel="0" collapsed="false">
      <c r="A287" s="2" t="s">
        <v>8447</v>
      </c>
      <c r="B287" s="2" t="s">
        <v>8835</v>
      </c>
      <c r="C287" s="2" t="s">
        <v>8870</v>
      </c>
      <c r="D287" s="2" t="s">
        <v>8819</v>
      </c>
      <c r="E287" s="13" t="n">
        <v>29750</v>
      </c>
      <c r="F287" s="2" t="n">
        <v>254745338986</v>
      </c>
      <c r="G287" s="2" t="n">
        <v>8</v>
      </c>
      <c r="H287" s="2" t="s">
        <v>8850</v>
      </c>
      <c r="I287" s="2" t="s">
        <v>8834</v>
      </c>
      <c r="J287" s="2" t="s">
        <v>59</v>
      </c>
      <c r="K287" s="13" t="n">
        <v>45305</v>
      </c>
      <c r="L287" s="2" t="s">
        <v>8821</v>
      </c>
      <c r="M287" s="2" t="s">
        <v>36</v>
      </c>
    </row>
    <row r="288" customFormat="false" ht="15" hidden="false" customHeight="false" outlineLevel="0" collapsed="false">
      <c r="A288" s="2" t="s">
        <v>1430</v>
      </c>
      <c r="B288" s="2" t="s">
        <v>8826</v>
      </c>
      <c r="C288" s="2" t="s">
        <v>8888</v>
      </c>
      <c r="D288" s="2" t="s">
        <v>8824</v>
      </c>
      <c r="E288" s="13" t="n">
        <v>29211</v>
      </c>
      <c r="F288" s="2" t="n">
        <v>254789151743</v>
      </c>
      <c r="G288" s="2" t="n">
        <v>4</v>
      </c>
      <c r="H288" s="2" t="s">
        <v>95</v>
      </c>
      <c r="I288" s="2" t="s">
        <v>8842</v>
      </c>
      <c r="J288" s="2" t="s">
        <v>62</v>
      </c>
      <c r="K288" s="13" t="n">
        <v>45026</v>
      </c>
      <c r="L288" s="2" t="s">
        <v>8855</v>
      </c>
      <c r="M288" s="2" t="s">
        <v>8858</v>
      </c>
    </row>
    <row r="289" customFormat="false" ht="15" hidden="false" customHeight="false" outlineLevel="0" collapsed="false">
      <c r="A289" s="2" t="s">
        <v>3177</v>
      </c>
      <c r="B289" s="2" t="s">
        <v>8866</v>
      </c>
      <c r="C289" s="2" t="s">
        <v>8823</v>
      </c>
      <c r="D289" s="2" t="s">
        <v>8819</v>
      </c>
      <c r="E289" s="13" t="n">
        <v>31269</v>
      </c>
      <c r="F289" s="2" t="n">
        <v>254726143959</v>
      </c>
      <c r="G289" s="2" t="n">
        <v>13</v>
      </c>
      <c r="H289" s="2" t="s">
        <v>8850</v>
      </c>
      <c r="I289" s="2" t="s">
        <v>8828</v>
      </c>
      <c r="J289" s="2" t="s">
        <v>59</v>
      </c>
      <c r="K289" s="13" t="n">
        <v>45007</v>
      </c>
      <c r="L289" s="2" t="s">
        <v>8821</v>
      </c>
      <c r="M289" s="2" t="s">
        <v>36</v>
      </c>
    </row>
    <row r="290" customFormat="false" ht="15" hidden="false" customHeight="false" outlineLevel="0" collapsed="false">
      <c r="A290" s="2" t="s">
        <v>6737</v>
      </c>
      <c r="B290" s="2" t="s">
        <v>8856</v>
      </c>
      <c r="C290" s="2" t="s">
        <v>8865</v>
      </c>
      <c r="D290" s="2" t="s">
        <v>8819</v>
      </c>
      <c r="E290" s="13" t="n">
        <v>28504</v>
      </c>
      <c r="F290" s="2" t="n">
        <v>254794184877</v>
      </c>
      <c r="G290" s="2" t="n">
        <v>3</v>
      </c>
      <c r="H290" s="2" t="s">
        <v>8850</v>
      </c>
      <c r="I290" s="2" t="s">
        <v>8844</v>
      </c>
      <c r="J290" s="2" t="s">
        <v>58</v>
      </c>
      <c r="K290" s="13" t="n">
        <v>45007</v>
      </c>
      <c r="L290" s="2" t="s">
        <v>8821</v>
      </c>
      <c r="M290" s="2" t="s">
        <v>8858</v>
      </c>
    </row>
    <row r="291" customFormat="false" ht="15" hidden="false" customHeight="false" outlineLevel="0" collapsed="false">
      <c r="A291" s="2" t="s">
        <v>5061</v>
      </c>
      <c r="B291" s="2" t="s">
        <v>8868</v>
      </c>
      <c r="C291" s="2" t="s">
        <v>8870</v>
      </c>
      <c r="D291" s="2" t="s">
        <v>8819</v>
      </c>
      <c r="E291" s="13" t="n">
        <v>34953</v>
      </c>
      <c r="F291" s="2" t="n">
        <v>254793625419</v>
      </c>
      <c r="G291" s="2" t="n">
        <v>10</v>
      </c>
      <c r="H291" s="2" t="s">
        <v>8850</v>
      </c>
      <c r="I291" s="2" t="s">
        <v>8825</v>
      </c>
      <c r="J291" s="2" t="s">
        <v>61</v>
      </c>
      <c r="K291" s="13" t="n">
        <v>45209</v>
      </c>
      <c r="L291" s="2" t="s">
        <v>8821</v>
      </c>
      <c r="M291" s="2" t="s">
        <v>36</v>
      </c>
    </row>
    <row r="292" customFormat="false" ht="15" hidden="false" customHeight="false" outlineLevel="0" collapsed="false">
      <c r="A292" s="2" t="s">
        <v>8894</v>
      </c>
      <c r="B292" s="2" t="s">
        <v>8874</v>
      </c>
      <c r="C292" s="2" t="s">
        <v>8854</v>
      </c>
      <c r="D292" s="2" t="s">
        <v>8824</v>
      </c>
      <c r="E292" s="13" t="n">
        <v>27809</v>
      </c>
      <c r="F292" s="2" t="n">
        <v>254765148727</v>
      </c>
      <c r="G292" s="2" t="n">
        <v>5</v>
      </c>
      <c r="H292" s="2" t="s">
        <v>8850</v>
      </c>
      <c r="I292" s="2" t="s">
        <v>8852</v>
      </c>
      <c r="J292" s="2" t="s">
        <v>61</v>
      </c>
      <c r="K292" s="13" t="n">
        <v>45030</v>
      </c>
      <c r="L292" s="2" t="s">
        <v>8855</v>
      </c>
      <c r="M292" s="2" t="s">
        <v>36</v>
      </c>
    </row>
    <row r="293" customFormat="false" ht="15" hidden="false" customHeight="false" outlineLevel="0" collapsed="false">
      <c r="A293" s="2" t="s">
        <v>3807</v>
      </c>
      <c r="B293" s="2" t="s">
        <v>8849</v>
      </c>
      <c r="C293" s="2" t="s">
        <v>8867</v>
      </c>
      <c r="D293" s="2" t="s">
        <v>8824</v>
      </c>
      <c r="E293" s="13" t="n">
        <v>29719</v>
      </c>
      <c r="F293" s="2" t="n">
        <v>254715205303</v>
      </c>
      <c r="G293" s="2" t="n">
        <v>7</v>
      </c>
      <c r="H293" s="2" t="s">
        <v>8850</v>
      </c>
      <c r="I293" s="2" t="s">
        <v>8864</v>
      </c>
      <c r="J293" s="2" t="s">
        <v>59</v>
      </c>
      <c r="K293" s="13" t="n">
        <v>45074</v>
      </c>
      <c r="L293" s="2" t="s">
        <v>8821</v>
      </c>
      <c r="M293" s="2" t="s">
        <v>8858</v>
      </c>
    </row>
    <row r="294" customFormat="false" ht="15" hidden="false" customHeight="false" outlineLevel="0" collapsed="false">
      <c r="A294" s="2" t="s">
        <v>3603</v>
      </c>
      <c r="B294" s="2" t="s">
        <v>8872</v>
      </c>
      <c r="C294" s="2" t="s">
        <v>8854</v>
      </c>
      <c r="D294" s="2" t="s">
        <v>8824</v>
      </c>
      <c r="E294" s="13" t="n">
        <v>31929</v>
      </c>
      <c r="F294" s="2" t="n">
        <v>254747627490</v>
      </c>
      <c r="G294" s="2" t="n">
        <v>14</v>
      </c>
      <c r="H294" s="2" t="s">
        <v>8850</v>
      </c>
      <c r="I294" s="2" t="s">
        <v>8864</v>
      </c>
      <c r="J294" s="2" t="s">
        <v>58</v>
      </c>
      <c r="K294" s="13" t="n">
        <v>45272</v>
      </c>
      <c r="L294" s="2" t="s">
        <v>8821</v>
      </c>
      <c r="M294" s="2" t="s">
        <v>36</v>
      </c>
    </row>
    <row r="295" customFormat="false" ht="15" hidden="false" customHeight="false" outlineLevel="0" collapsed="false">
      <c r="A295" s="2" t="s">
        <v>451</v>
      </c>
      <c r="B295" s="2" t="s">
        <v>8845</v>
      </c>
      <c r="C295" s="2" t="s">
        <v>8865</v>
      </c>
      <c r="D295" s="2" t="s">
        <v>8819</v>
      </c>
      <c r="E295" s="13" t="n">
        <v>32857</v>
      </c>
      <c r="F295" s="2" t="n">
        <v>254735224301</v>
      </c>
      <c r="G295" s="2" t="n">
        <v>8</v>
      </c>
      <c r="H295" s="2" t="s">
        <v>95</v>
      </c>
      <c r="I295" s="2" t="s">
        <v>8842</v>
      </c>
      <c r="J295" s="2" t="s">
        <v>61</v>
      </c>
      <c r="K295" s="13" t="n">
        <v>45255</v>
      </c>
      <c r="L295" s="2" t="s">
        <v>8821</v>
      </c>
      <c r="M295" s="2" t="s">
        <v>36</v>
      </c>
    </row>
    <row r="296" customFormat="false" ht="15" hidden="false" customHeight="false" outlineLevel="0" collapsed="false">
      <c r="A296" s="2" t="s">
        <v>2500</v>
      </c>
      <c r="B296" s="2" t="s">
        <v>8875</v>
      </c>
      <c r="C296" s="2" t="s">
        <v>8861</v>
      </c>
      <c r="D296" s="2" t="s">
        <v>8824</v>
      </c>
      <c r="E296" s="13" t="n">
        <v>37318</v>
      </c>
      <c r="F296" s="2" t="n">
        <v>254728206610</v>
      </c>
      <c r="G296" s="2" t="n">
        <v>13</v>
      </c>
      <c r="H296" s="2" t="s">
        <v>95</v>
      </c>
      <c r="I296" s="2" t="s">
        <v>8828</v>
      </c>
      <c r="J296" s="2" t="s">
        <v>59</v>
      </c>
      <c r="K296" s="13" t="n">
        <v>45245</v>
      </c>
      <c r="L296" s="2" t="s">
        <v>8821</v>
      </c>
      <c r="M296" s="2" t="s">
        <v>36</v>
      </c>
    </row>
    <row r="297" customFormat="false" ht="15" hidden="false" customHeight="false" outlineLevel="0" collapsed="false">
      <c r="A297" s="2" t="s">
        <v>8895</v>
      </c>
      <c r="B297" s="2" t="s">
        <v>8882</v>
      </c>
      <c r="C297" s="2" t="s">
        <v>8888</v>
      </c>
      <c r="D297" s="2" t="s">
        <v>8819</v>
      </c>
      <c r="E297" s="13" t="n">
        <v>31062</v>
      </c>
      <c r="F297" s="2" t="n">
        <v>254746772637</v>
      </c>
      <c r="G297" s="2" t="n">
        <v>6</v>
      </c>
      <c r="H297" s="2" t="s">
        <v>8850</v>
      </c>
      <c r="I297" s="2" t="s">
        <v>8857</v>
      </c>
      <c r="J297" s="2" t="s">
        <v>61</v>
      </c>
      <c r="K297" s="13" t="n">
        <v>44978</v>
      </c>
      <c r="L297" s="2" t="s">
        <v>8821</v>
      </c>
      <c r="M297" s="2" t="s">
        <v>36</v>
      </c>
    </row>
    <row r="298" customFormat="false" ht="15" hidden="false" customHeight="false" outlineLevel="0" collapsed="false">
      <c r="A298" s="2" t="s">
        <v>2526</v>
      </c>
      <c r="B298" s="2" t="s">
        <v>8860</v>
      </c>
      <c r="C298" s="2" t="s">
        <v>8873</v>
      </c>
      <c r="D298" s="2" t="s">
        <v>8824</v>
      </c>
      <c r="E298" s="13" t="n">
        <v>31214</v>
      </c>
      <c r="F298" s="2" t="n">
        <v>254788769733</v>
      </c>
      <c r="G298" s="2" t="n">
        <v>9</v>
      </c>
      <c r="H298" s="2" t="s">
        <v>8850</v>
      </c>
      <c r="I298" s="2" t="s">
        <v>8844</v>
      </c>
      <c r="J298" s="2" t="s">
        <v>59</v>
      </c>
      <c r="K298" s="13" t="n">
        <v>45535</v>
      </c>
      <c r="L298" s="2" t="s">
        <v>8821</v>
      </c>
      <c r="M298" s="2" t="s">
        <v>36</v>
      </c>
    </row>
    <row r="299" customFormat="false" ht="15" hidden="false" customHeight="false" outlineLevel="0" collapsed="false">
      <c r="A299" s="2" t="s">
        <v>526</v>
      </c>
      <c r="B299" s="2" t="s">
        <v>8835</v>
      </c>
      <c r="C299" s="2" t="s">
        <v>8881</v>
      </c>
      <c r="D299" s="2" t="s">
        <v>8819</v>
      </c>
      <c r="E299" s="13" t="n">
        <v>32155</v>
      </c>
      <c r="F299" s="2" t="n">
        <v>254739709238</v>
      </c>
      <c r="G299" s="2" t="n">
        <v>11</v>
      </c>
      <c r="H299" s="2" t="s">
        <v>95</v>
      </c>
      <c r="I299" s="2" t="s">
        <v>8852</v>
      </c>
      <c r="J299" s="2" t="s">
        <v>59</v>
      </c>
      <c r="K299" s="13" t="n">
        <v>44977</v>
      </c>
      <c r="L299" s="2" t="s">
        <v>8821</v>
      </c>
      <c r="M299" s="2" t="s">
        <v>8858</v>
      </c>
    </row>
    <row r="300" customFormat="false" ht="15" hidden="false" customHeight="false" outlineLevel="0" collapsed="false">
      <c r="A300" s="2" t="s">
        <v>3433</v>
      </c>
      <c r="B300" s="2" t="s">
        <v>8817</v>
      </c>
      <c r="C300" s="2" t="s">
        <v>8859</v>
      </c>
      <c r="D300" s="2" t="s">
        <v>8819</v>
      </c>
      <c r="E300" s="13" t="n">
        <v>37284</v>
      </c>
      <c r="F300" s="2" t="n">
        <v>254796888739</v>
      </c>
      <c r="G300" s="2" t="n">
        <v>3</v>
      </c>
      <c r="H300" s="2" t="s">
        <v>95</v>
      </c>
      <c r="I300" s="2" t="s">
        <v>8831</v>
      </c>
      <c r="J300" s="2" t="s">
        <v>60</v>
      </c>
      <c r="K300" s="13" t="n">
        <v>45625</v>
      </c>
      <c r="L300" s="2" t="s">
        <v>8821</v>
      </c>
      <c r="M300" s="2" t="s">
        <v>36</v>
      </c>
    </row>
    <row r="301" customFormat="false" ht="15" hidden="false" customHeight="false" outlineLevel="0" collapsed="false">
      <c r="A301" s="2" t="s">
        <v>8896</v>
      </c>
      <c r="B301" s="2" t="s">
        <v>8860</v>
      </c>
      <c r="C301" s="2" t="s">
        <v>8846</v>
      </c>
      <c r="D301" s="2" t="s">
        <v>8819</v>
      </c>
      <c r="E301" s="13" t="n">
        <v>35639</v>
      </c>
      <c r="F301" s="2" t="n">
        <v>254772639147</v>
      </c>
      <c r="G301" s="2" t="n">
        <v>5</v>
      </c>
      <c r="H301" s="2" t="s">
        <v>8850</v>
      </c>
      <c r="I301" s="2" t="s">
        <v>8848</v>
      </c>
      <c r="J301" s="2" t="s">
        <v>58</v>
      </c>
      <c r="K301" s="13" t="n">
        <v>45284</v>
      </c>
      <c r="L301" s="2" t="s">
        <v>8821</v>
      </c>
      <c r="M301" s="2" t="s">
        <v>36</v>
      </c>
    </row>
    <row r="302" customFormat="false" ht="15" hidden="false" customHeight="false" outlineLevel="0" collapsed="false">
      <c r="A302" s="2" t="s">
        <v>1720</v>
      </c>
      <c r="B302" s="2" t="s">
        <v>8877</v>
      </c>
      <c r="C302" s="2" t="s">
        <v>8827</v>
      </c>
      <c r="D302" s="2" t="s">
        <v>8824</v>
      </c>
      <c r="E302" s="13" t="n">
        <v>32285</v>
      </c>
      <c r="F302" s="2" t="n">
        <v>254747108953</v>
      </c>
      <c r="G302" s="2" t="n">
        <v>11</v>
      </c>
      <c r="H302" s="2" t="s">
        <v>8850</v>
      </c>
      <c r="I302" s="2" t="s">
        <v>8834</v>
      </c>
      <c r="J302" s="2" t="s">
        <v>60</v>
      </c>
      <c r="K302" s="13" t="n">
        <v>45037</v>
      </c>
      <c r="L302" s="2" t="s">
        <v>8821</v>
      </c>
      <c r="M302" s="2" t="s">
        <v>36</v>
      </c>
    </row>
    <row r="303" customFormat="false" ht="15" hidden="false" customHeight="false" outlineLevel="0" collapsed="false">
      <c r="A303" s="2" t="s">
        <v>8073</v>
      </c>
      <c r="B303" s="2" t="s">
        <v>8880</v>
      </c>
      <c r="C303" s="2" t="s">
        <v>8823</v>
      </c>
      <c r="D303" s="2" t="s">
        <v>8824</v>
      </c>
      <c r="E303" s="13" t="n">
        <v>29123</v>
      </c>
      <c r="F303" s="2" t="n">
        <v>254798654879</v>
      </c>
      <c r="G303" s="2" t="n">
        <v>6</v>
      </c>
      <c r="H303" s="2" t="s">
        <v>95</v>
      </c>
      <c r="I303" s="2" t="s">
        <v>8864</v>
      </c>
      <c r="J303" s="2" t="s">
        <v>58</v>
      </c>
      <c r="K303" s="13" t="n">
        <v>45173</v>
      </c>
      <c r="L303" s="2" t="s">
        <v>8855</v>
      </c>
      <c r="M303" s="2" t="s">
        <v>36</v>
      </c>
    </row>
    <row r="304" customFormat="false" ht="15" hidden="false" customHeight="false" outlineLevel="0" collapsed="false">
      <c r="A304" s="2" t="s">
        <v>3765</v>
      </c>
      <c r="B304" s="2" t="s">
        <v>8871</v>
      </c>
      <c r="C304" s="2" t="s">
        <v>8823</v>
      </c>
      <c r="D304" s="2" t="s">
        <v>8819</v>
      </c>
      <c r="E304" s="13" t="n">
        <v>31606</v>
      </c>
      <c r="F304" s="2" t="n">
        <v>254756059101</v>
      </c>
      <c r="G304" s="2" t="n">
        <v>12</v>
      </c>
      <c r="H304" s="2" t="s">
        <v>95</v>
      </c>
      <c r="I304" s="2" t="s">
        <v>8852</v>
      </c>
      <c r="J304" s="2" t="s">
        <v>62</v>
      </c>
      <c r="K304" s="13" t="n">
        <v>45324</v>
      </c>
      <c r="L304" s="2" t="s">
        <v>8855</v>
      </c>
      <c r="M304" s="2" t="s">
        <v>36</v>
      </c>
    </row>
    <row r="305" customFormat="false" ht="15" hidden="false" customHeight="false" outlineLevel="0" collapsed="false">
      <c r="A305" s="2" t="s">
        <v>5175</v>
      </c>
      <c r="B305" s="2" t="s">
        <v>8872</v>
      </c>
      <c r="C305" s="2" t="s">
        <v>8863</v>
      </c>
      <c r="D305" s="2" t="s">
        <v>8819</v>
      </c>
      <c r="E305" s="13" t="n">
        <v>37404</v>
      </c>
      <c r="F305" s="2" t="n">
        <v>254749431028</v>
      </c>
      <c r="G305" s="2" t="n">
        <v>2</v>
      </c>
      <c r="H305" s="2" t="s">
        <v>8850</v>
      </c>
      <c r="I305" s="2" t="s">
        <v>8828</v>
      </c>
      <c r="J305" s="2" t="s">
        <v>60</v>
      </c>
      <c r="K305" s="13" t="n">
        <v>45101</v>
      </c>
      <c r="L305" s="2" t="s">
        <v>8821</v>
      </c>
      <c r="M305" s="2" t="s">
        <v>36</v>
      </c>
    </row>
    <row r="306" customFormat="false" ht="15" hidden="false" customHeight="false" outlineLevel="0" collapsed="false">
      <c r="A306" s="2" t="s">
        <v>2522</v>
      </c>
      <c r="B306" s="2" t="s">
        <v>8871</v>
      </c>
      <c r="C306" s="2" t="s">
        <v>8854</v>
      </c>
      <c r="D306" s="2" t="s">
        <v>8824</v>
      </c>
      <c r="E306" s="13" t="n">
        <v>27496</v>
      </c>
      <c r="F306" s="2" t="n">
        <v>254754468633</v>
      </c>
      <c r="G306" s="2" t="n">
        <v>6</v>
      </c>
      <c r="H306" s="2" t="s">
        <v>8850</v>
      </c>
      <c r="I306" s="2" t="s">
        <v>8848</v>
      </c>
      <c r="J306" s="2" t="s">
        <v>60</v>
      </c>
      <c r="K306" s="13" t="n">
        <v>45155</v>
      </c>
      <c r="L306" s="2" t="s">
        <v>8855</v>
      </c>
      <c r="M306" s="2" t="s">
        <v>36</v>
      </c>
    </row>
    <row r="307" customFormat="false" ht="15" hidden="false" customHeight="false" outlineLevel="0" collapsed="false">
      <c r="A307" s="2" t="s">
        <v>1355</v>
      </c>
      <c r="B307" s="2" t="s">
        <v>8862</v>
      </c>
      <c r="C307" s="2" t="s">
        <v>8881</v>
      </c>
      <c r="D307" s="2" t="s">
        <v>8819</v>
      </c>
      <c r="E307" s="13" t="n">
        <v>36553</v>
      </c>
      <c r="F307" s="2" t="n">
        <v>254773380252</v>
      </c>
      <c r="G307" s="2" t="n">
        <v>15</v>
      </c>
      <c r="H307" s="2" t="s">
        <v>95</v>
      </c>
      <c r="I307" s="2" t="s">
        <v>8857</v>
      </c>
      <c r="J307" s="2" t="s">
        <v>58</v>
      </c>
      <c r="K307" s="13" t="n">
        <v>45576</v>
      </c>
      <c r="L307" s="2" t="s">
        <v>8855</v>
      </c>
      <c r="M307" s="2" t="s">
        <v>36</v>
      </c>
    </row>
    <row r="308" customFormat="false" ht="15" hidden="false" customHeight="false" outlineLevel="0" collapsed="false">
      <c r="A308" s="2" t="s">
        <v>726</v>
      </c>
      <c r="B308" s="2" t="s">
        <v>8832</v>
      </c>
      <c r="C308" s="2" t="s">
        <v>8841</v>
      </c>
      <c r="D308" s="2" t="s">
        <v>8824</v>
      </c>
      <c r="E308" s="13" t="n">
        <v>35092</v>
      </c>
      <c r="F308" s="2" t="n">
        <v>254764920799</v>
      </c>
      <c r="G308" s="2" t="n">
        <v>10</v>
      </c>
      <c r="H308" s="2" t="s">
        <v>8850</v>
      </c>
      <c r="I308" s="2" t="s">
        <v>8828</v>
      </c>
      <c r="J308" s="2" t="s">
        <v>60</v>
      </c>
      <c r="K308" s="13" t="n">
        <v>45081</v>
      </c>
      <c r="L308" s="2" t="s">
        <v>8821</v>
      </c>
      <c r="M308" s="2" t="s">
        <v>36</v>
      </c>
    </row>
    <row r="309" customFormat="false" ht="15" hidden="false" customHeight="false" outlineLevel="0" collapsed="false">
      <c r="A309" s="2" t="s">
        <v>5271</v>
      </c>
      <c r="B309" s="2" t="s">
        <v>8878</v>
      </c>
      <c r="C309" s="2" t="s">
        <v>8823</v>
      </c>
      <c r="D309" s="2" t="s">
        <v>8819</v>
      </c>
      <c r="E309" s="13" t="n">
        <v>37063</v>
      </c>
      <c r="F309" s="2" t="n">
        <v>254770673557</v>
      </c>
      <c r="G309" s="2" t="n">
        <v>5</v>
      </c>
      <c r="H309" s="2" t="s">
        <v>95</v>
      </c>
      <c r="I309" s="2" t="s">
        <v>8828</v>
      </c>
      <c r="J309" s="2" t="s">
        <v>62</v>
      </c>
      <c r="K309" s="13" t="n">
        <v>45108</v>
      </c>
      <c r="L309" s="2" t="s">
        <v>8821</v>
      </c>
      <c r="M309" s="2" t="s">
        <v>8858</v>
      </c>
    </row>
    <row r="310" customFormat="false" ht="15" hidden="false" customHeight="false" outlineLevel="0" collapsed="false">
      <c r="A310" s="2" t="s">
        <v>2876</v>
      </c>
      <c r="B310" s="2" t="s">
        <v>8886</v>
      </c>
      <c r="C310" s="2" t="s">
        <v>8865</v>
      </c>
      <c r="D310" s="2" t="s">
        <v>8824</v>
      </c>
      <c r="E310" s="13" t="n">
        <v>27473</v>
      </c>
      <c r="F310" s="2" t="n">
        <v>254767582820</v>
      </c>
      <c r="G310" s="2" t="n">
        <v>8</v>
      </c>
      <c r="H310" s="2" t="s">
        <v>8850</v>
      </c>
      <c r="I310" s="2" t="s">
        <v>8820</v>
      </c>
      <c r="J310" s="2" t="s">
        <v>58</v>
      </c>
      <c r="K310" s="13" t="n">
        <v>45371</v>
      </c>
      <c r="L310" s="2" t="s">
        <v>8821</v>
      </c>
      <c r="M310" s="2" t="s">
        <v>36</v>
      </c>
    </row>
    <row r="311" customFormat="false" ht="15" hidden="false" customHeight="false" outlineLevel="0" collapsed="false">
      <c r="A311" s="2" t="s">
        <v>1857</v>
      </c>
      <c r="B311" s="2" t="s">
        <v>8840</v>
      </c>
      <c r="C311" s="2" t="s">
        <v>8818</v>
      </c>
      <c r="D311" s="2" t="s">
        <v>8819</v>
      </c>
      <c r="E311" s="13" t="n">
        <v>25744</v>
      </c>
      <c r="F311" s="2" t="n">
        <v>254794112495</v>
      </c>
      <c r="G311" s="2" t="n">
        <v>12</v>
      </c>
      <c r="H311" s="2" t="s">
        <v>95</v>
      </c>
      <c r="I311" s="2" t="s">
        <v>8831</v>
      </c>
      <c r="J311" s="2" t="s">
        <v>60</v>
      </c>
      <c r="K311" s="13" t="n">
        <v>45470</v>
      </c>
      <c r="L311" s="2" t="s">
        <v>8821</v>
      </c>
      <c r="M311" s="2" t="s">
        <v>36</v>
      </c>
    </row>
    <row r="312" customFormat="false" ht="15" hidden="false" customHeight="false" outlineLevel="0" collapsed="false">
      <c r="A312" s="2" t="s">
        <v>6461</v>
      </c>
      <c r="B312" s="2" t="s">
        <v>8883</v>
      </c>
      <c r="C312" s="2" t="s">
        <v>8873</v>
      </c>
      <c r="D312" s="2" t="s">
        <v>8819</v>
      </c>
      <c r="E312" s="13" t="n">
        <v>27958</v>
      </c>
      <c r="F312" s="2" t="n">
        <v>254716136213</v>
      </c>
      <c r="G312" s="2" t="n">
        <v>5</v>
      </c>
      <c r="H312" s="2" t="s">
        <v>8850</v>
      </c>
      <c r="I312" s="2" t="s">
        <v>8847</v>
      </c>
      <c r="J312" s="2" t="s">
        <v>62</v>
      </c>
      <c r="K312" s="13" t="n">
        <v>45529</v>
      </c>
      <c r="L312" s="2" t="s">
        <v>8821</v>
      </c>
      <c r="M312" s="2" t="s">
        <v>8858</v>
      </c>
    </row>
    <row r="313" customFormat="false" ht="15" hidden="false" customHeight="false" outlineLevel="0" collapsed="false">
      <c r="A313" s="2" t="s">
        <v>4609</v>
      </c>
      <c r="B313" s="2" t="s">
        <v>8853</v>
      </c>
      <c r="C313" s="2" t="s">
        <v>8841</v>
      </c>
      <c r="D313" s="2" t="s">
        <v>8819</v>
      </c>
      <c r="E313" s="13" t="n">
        <v>28657</v>
      </c>
      <c r="F313" s="2" t="n">
        <v>254764142310</v>
      </c>
      <c r="G313" s="2" t="n">
        <v>1</v>
      </c>
      <c r="H313" s="2" t="s">
        <v>95</v>
      </c>
      <c r="I313" s="2" t="s">
        <v>8831</v>
      </c>
      <c r="J313" s="2" t="s">
        <v>59</v>
      </c>
      <c r="K313" s="13" t="n">
        <v>45294</v>
      </c>
      <c r="L313" s="2" t="s">
        <v>8821</v>
      </c>
      <c r="M313" s="2" t="s">
        <v>36</v>
      </c>
    </row>
    <row r="314" customFormat="false" ht="15" hidden="false" customHeight="false" outlineLevel="0" collapsed="false">
      <c r="A314" s="2" t="s">
        <v>8799</v>
      </c>
      <c r="B314" s="2" t="s">
        <v>8875</v>
      </c>
      <c r="C314" s="2" t="s">
        <v>8823</v>
      </c>
      <c r="D314" s="2" t="s">
        <v>8824</v>
      </c>
      <c r="E314" s="13" t="n">
        <v>37319</v>
      </c>
      <c r="F314" s="2" t="n">
        <v>254795942441</v>
      </c>
      <c r="G314" s="2" t="n">
        <v>5</v>
      </c>
      <c r="H314" s="2" t="s">
        <v>95</v>
      </c>
      <c r="I314" s="2" t="s">
        <v>8848</v>
      </c>
      <c r="J314" s="2" t="s">
        <v>58</v>
      </c>
      <c r="K314" s="13" t="n">
        <v>45302</v>
      </c>
      <c r="L314" s="2" t="s">
        <v>8821</v>
      </c>
      <c r="M314" s="2" t="s">
        <v>36</v>
      </c>
    </row>
    <row r="315" customFormat="false" ht="15" hidden="false" customHeight="false" outlineLevel="0" collapsed="false">
      <c r="A315" s="2" t="s">
        <v>5389</v>
      </c>
      <c r="B315" s="2" t="s">
        <v>8860</v>
      </c>
      <c r="C315" s="2" t="s">
        <v>8876</v>
      </c>
      <c r="D315" s="2" t="s">
        <v>8819</v>
      </c>
      <c r="E315" s="13" t="n">
        <v>27002</v>
      </c>
      <c r="F315" s="2" t="n">
        <v>254783454998</v>
      </c>
      <c r="G315" s="2" t="n">
        <v>5</v>
      </c>
      <c r="H315" s="2" t="s">
        <v>8850</v>
      </c>
      <c r="I315" s="2" t="s">
        <v>8864</v>
      </c>
      <c r="J315" s="2" t="s">
        <v>59</v>
      </c>
      <c r="K315" s="13" t="n">
        <v>45353</v>
      </c>
      <c r="L315" s="2" t="s">
        <v>8821</v>
      </c>
      <c r="M315" s="2" t="s">
        <v>36</v>
      </c>
    </row>
    <row r="316" customFormat="false" ht="15" hidden="false" customHeight="false" outlineLevel="0" collapsed="false">
      <c r="A316" s="2" t="s">
        <v>1411</v>
      </c>
      <c r="B316" s="2" t="s">
        <v>8856</v>
      </c>
      <c r="C316" s="2" t="s">
        <v>8861</v>
      </c>
      <c r="D316" s="2" t="s">
        <v>8824</v>
      </c>
      <c r="E316" s="13" t="n">
        <v>32711</v>
      </c>
      <c r="F316" s="2" t="n">
        <v>254793590502</v>
      </c>
      <c r="G316" s="2" t="n">
        <v>10</v>
      </c>
      <c r="H316" s="2" t="s">
        <v>95</v>
      </c>
      <c r="I316" s="2" t="s">
        <v>8842</v>
      </c>
      <c r="J316" s="2" t="s">
        <v>58</v>
      </c>
      <c r="K316" s="13" t="n">
        <v>45030</v>
      </c>
      <c r="L316" s="2" t="s">
        <v>8821</v>
      </c>
      <c r="M316" s="2" t="s">
        <v>36</v>
      </c>
    </row>
    <row r="317" customFormat="false" ht="15" hidden="false" customHeight="false" outlineLevel="0" collapsed="false">
      <c r="A317" s="2" t="s">
        <v>924</v>
      </c>
      <c r="B317" s="2" t="s">
        <v>8849</v>
      </c>
      <c r="C317" s="2" t="s">
        <v>8841</v>
      </c>
      <c r="D317" s="2" t="s">
        <v>8824</v>
      </c>
      <c r="E317" s="13" t="n">
        <v>28172</v>
      </c>
      <c r="F317" s="2" t="n">
        <v>254780215481</v>
      </c>
      <c r="G317" s="2" t="n">
        <v>4</v>
      </c>
      <c r="H317" s="2" t="s">
        <v>8850</v>
      </c>
      <c r="I317" s="2" t="s">
        <v>8864</v>
      </c>
      <c r="J317" s="2" t="s">
        <v>61</v>
      </c>
      <c r="K317" s="13" t="n">
        <v>45130</v>
      </c>
      <c r="L317" s="2" t="s">
        <v>8821</v>
      </c>
      <c r="M317" s="2" t="s">
        <v>36</v>
      </c>
    </row>
    <row r="318" customFormat="false" ht="15" hidden="false" customHeight="false" outlineLevel="0" collapsed="false">
      <c r="A318" s="2" t="s">
        <v>1829</v>
      </c>
      <c r="B318" s="2" t="s">
        <v>8875</v>
      </c>
      <c r="C318" s="2" t="s">
        <v>8859</v>
      </c>
      <c r="D318" s="2" t="s">
        <v>8824</v>
      </c>
      <c r="E318" s="13" t="n">
        <v>26558</v>
      </c>
      <c r="F318" s="2" t="n">
        <v>254741474764</v>
      </c>
      <c r="G318" s="2" t="n">
        <v>1</v>
      </c>
      <c r="H318" s="2" t="s">
        <v>95</v>
      </c>
      <c r="I318" s="2" t="s">
        <v>8852</v>
      </c>
      <c r="J318" s="2" t="s">
        <v>58</v>
      </c>
      <c r="K318" s="13" t="n">
        <v>45139</v>
      </c>
      <c r="L318" s="2" t="s">
        <v>8821</v>
      </c>
      <c r="M318" s="2" t="s">
        <v>8858</v>
      </c>
    </row>
    <row r="319" customFormat="false" ht="15" hidden="false" customHeight="false" outlineLevel="0" collapsed="false">
      <c r="A319" s="2" t="s">
        <v>411</v>
      </c>
      <c r="B319" s="2" t="s">
        <v>8826</v>
      </c>
      <c r="C319" s="2" t="s">
        <v>8830</v>
      </c>
      <c r="D319" s="2" t="s">
        <v>8824</v>
      </c>
      <c r="E319" s="13" t="n">
        <v>28911</v>
      </c>
      <c r="F319" s="2" t="n">
        <v>254796481420</v>
      </c>
      <c r="G319" s="2" t="n">
        <v>4</v>
      </c>
      <c r="H319" s="2" t="s">
        <v>8850</v>
      </c>
      <c r="I319" s="2" t="s">
        <v>8834</v>
      </c>
      <c r="J319" s="2" t="s">
        <v>60</v>
      </c>
      <c r="K319" s="13" t="n">
        <v>45450</v>
      </c>
      <c r="L319" s="2" t="s">
        <v>8855</v>
      </c>
      <c r="M319" s="2" t="s">
        <v>36</v>
      </c>
    </row>
    <row r="320" customFormat="false" ht="15" hidden="false" customHeight="false" outlineLevel="0" collapsed="false">
      <c r="A320" s="2" t="s">
        <v>1743</v>
      </c>
      <c r="B320" s="2" t="s">
        <v>8885</v>
      </c>
      <c r="C320" s="2" t="s">
        <v>8854</v>
      </c>
      <c r="D320" s="2" t="s">
        <v>8824</v>
      </c>
      <c r="E320" s="13" t="n">
        <v>27847</v>
      </c>
      <c r="F320" s="2" t="n">
        <v>254751970837</v>
      </c>
      <c r="G320" s="2" t="n">
        <v>7</v>
      </c>
      <c r="H320" s="2" t="s">
        <v>95</v>
      </c>
      <c r="I320" s="2" t="s">
        <v>8825</v>
      </c>
      <c r="J320" s="2" t="s">
        <v>58</v>
      </c>
      <c r="K320" s="13" t="n">
        <v>44967</v>
      </c>
      <c r="L320" s="2" t="s">
        <v>8821</v>
      </c>
      <c r="M320" s="2" t="s">
        <v>36</v>
      </c>
    </row>
    <row r="321" customFormat="false" ht="15" hidden="false" customHeight="false" outlineLevel="0" collapsed="false">
      <c r="A321" s="2" t="s">
        <v>1706</v>
      </c>
      <c r="B321" s="2" t="s">
        <v>8849</v>
      </c>
      <c r="C321" s="2" t="s">
        <v>8846</v>
      </c>
      <c r="D321" s="2" t="s">
        <v>8819</v>
      </c>
      <c r="E321" s="13" t="n">
        <v>29384</v>
      </c>
      <c r="F321" s="2" t="n">
        <v>254760012498</v>
      </c>
      <c r="G321" s="2" t="n">
        <v>14</v>
      </c>
      <c r="H321" s="2" t="s">
        <v>8850</v>
      </c>
      <c r="I321" s="2" t="s">
        <v>8828</v>
      </c>
      <c r="J321" s="2" t="s">
        <v>58</v>
      </c>
      <c r="K321" s="13" t="n">
        <v>45375</v>
      </c>
      <c r="L321" s="2" t="s">
        <v>8855</v>
      </c>
      <c r="M321" s="2" t="s">
        <v>8858</v>
      </c>
    </row>
    <row r="322" customFormat="false" ht="15" hidden="false" customHeight="false" outlineLevel="0" collapsed="false">
      <c r="A322" s="2" t="s">
        <v>602</v>
      </c>
      <c r="B322" s="2" t="s">
        <v>8875</v>
      </c>
      <c r="C322" s="2" t="s">
        <v>8859</v>
      </c>
      <c r="D322" s="2" t="s">
        <v>8824</v>
      </c>
      <c r="E322" s="13" t="n">
        <v>36307</v>
      </c>
      <c r="F322" s="2" t="n">
        <v>254797086700</v>
      </c>
      <c r="G322" s="2" t="n">
        <v>15</v>
      </c>
      <c r="H322" s="2" t="s">
        <v>95</v>
      </c>
      <c r="I322" s="2" t="s">
        <v>8825</v>
      </c>
      <c r="J322" s="2" t="s">
        <v>59</v>
      </c>
      <c r="K322" s="13" t="n">
        <v>45321</v>
      </c>
      <c r="L322" s="2" t="s">
        <v>8821</v>
      </c>
      <c r="M322" s="2" t="s">
        <v>36</v>
      </c>
    </row>
    <row r="323" customFormat="false" ht="15" hidden="false" customHeight="false" outlineLevel="0" collapsed="false">
      <c r="A323" s="2" t="s">
        <v>1714</v>
      </c>
      <c r="B323" s="2" t="s">
        <v>8874</v>
      </c>
      <c r="C323" s="2" t="s">
        <v>8881</v>
      </c>
      <c r="D323" s="2" t="s">
        <v>8824</v>
      </c>
      <c r="E323" s="13" t="n">
        <v>27960</v>
      </c>
      <c r="F323" s="2" t="n">
        <v>254734328380</v>
      </c>
      <c r="G323" s="2" t="n">
        <v>10</v>
      </c>
      <c r="H323" s="2" t="s">
        <v>8850</v>
      </c>
      <c r="I323" s="2" t="s">
        <v>8844</v>
      </c>
      <c r="J323" s="2" t="s">
        <v>62</v>
      </c>
      <c r="K323" s="13" t="n">
        <v>45421</v>
      </c>
      <c r="L323" s="2" t="s">
        <v>8821</v>
      </c>
      <c r="M323" s="2" t="s">
        <v>36</v>
      </c>
    </row>
    <row r="324" customFormat="false" ht="15" hidden="false" customHeight="false" outlineLevel="0" collapsed="false">
      <c r="A324" s="2" t="s">
        <v>3775</v>
      </c>
      <c r="B324" s="2" t="s">
        <v>8860</v>
      </c>
      <c r="C324" s="2" t="s">
        <v>8823</v>
      </c>
      <c r="D324" s="2" t="s">
        <v>8819</v>
      </c>
      <c r="E324" s="13" t="n">
        <v>36742</v>
      </c>
      <c r="F324" s="2" t="n">
        <v>254745113084</v>
      </c>
      <c r="G324" s="2" t="n">
        <v>11</v>
      </c>
      <c r="H324" s="2" t="s">
        <v>8850</v>
      </c>
      <c r="I324" s="2" t="s">
        <v>8820</v>
      </c>
      <c r="J324" s="2" t="s">
        <v>62</v>
      </c>
      <c r="K324" s="13" t="n">
        <v>45348</v>
      </c>
      <c r="L324" s="2" t="s">
        <v>8821</v>
      </c>
      <c r="M324" s="2" t="s">
        <v>36</v>
      </c>
    </row>
    <row r="325" customFormat="false" ht="15" hidden="false" customHeight="false" outlineLevel="0" collapsed="false">
      <c r="A325" s="2" t="s">
        <v>7331</v>
      </c>
      <c r="B325" s="2" t="s">
        <v>8877</v>
      </c>
      <c r="C325" s="2" t="s">
        <v>8888</v>
      </c>
      <c r="D325" s="2" t="s">
        <v>8824</v>
      </c>
      <c r="E325" s="13" t="n">
        <v>27963</v>
      </c>
      <c r="F325" s="2" t="n">
        <v>254729952062</v>
      </c>
      <c r="G325" s="2" t="n">
        <v>14</v>
      </c>
      <c r="H325" s="2" t="s">
        <v>95</v>
      </c>
      <c r="I325" s="2" t="s">
        <v>8820</v>
      </c>
      <c r="J325" s="2" t="s">
        <v>59</v>
      </c>
      <c r="K325" s="13" t="n">
        <v>45181</v>
      </c>
      <c r="L325" s="2" t="s">
        <v>8855</v>
      </c>
      <c r="M325" s="2" t="s">
        <v>8858</v>
      </c>
    </row>
    <row r="326" customFormat="false" ht="15" hidden="false" customHeight="false" outlineLevel="0" collapsed="false">
      <c r="A326" s="2" t="s">
        <v>4001</v>
      </c>
      <c r="B326" s="2" t="s">
        <v>8878</v>
      </c>
      <c r="C326" s="2" t="s">
        <v>8839</v>
      </c>
      <c r="D326" s="2" t="s">
        <v>8824</v>
      </c>
      <c r="E326" s="13" t="n">
        <v>29276</v>
      </c>
      <c r="F326" s="2" t="n">
        <v>254747333618</v>
      </c>
      <c r="G326" s="2" t="n">
        <v>1</v>
      </c>
      <c r="H326" s="2" t="s">
        <v>95</v>
      </c>
      <c r="I326" s="2" t="s">
        <v>8857</v>
      </c>
      <c r="J326" s="2" t="s">
        <v>61</v>
      </c>
      <c r="K326" s="13" t="n">
        <v>45430</v>
      </c>
      <c r="L326" s="2" t="s">
        <v>8855</v>
      </c>
      <c r="M326" s="2" t="s">
        <v>36</v>
      </c>
    </row>
    <row r="327" customFormat="false" ht="15" hidden="false" customHeight="false" outlineLevel="0" collapsed="false">
      <c r="A327" s="2" t="s">
        <v>3759</v>
      </c>
      <c r="B327" s="2" t="s">
        <v>8860</v>
      </c>
      <c r="C327" s="2" t="s">
        <v>8827</v>
      </c>
      <c r="D327" s="2" t="s">
        <v>8824</v>
      </c>
      <c r="E327" s="13" t="n">
        <v>27621</v>
      </c>
      <c r="F327" s="2" t="n">
        <v>254770004467</v>
      </c>
      <c r="G327" s="2" t="n">
        <v>6</v>
      </c>
      <c r="H327" s="2" t="s">
        <v>95</v>
      </c>
      <c r="I327" s="2" t="s">
        <v>8847</v>
      </c>
      <c r="J327" s="2" t="s">
        <v>58</v>
      </c>
      <c r="K327" s="13" t="n">
        <v>45513</v>
      </c>
      <c r="L327" s="2" t="s">
        <v>8821</v>
      </c>
      <c r="M327" s="2" t="s">
        <v>8858</v>
      </c>
    </row>
    <row r="328" customFormat="false" ht="15" hidden="false" customHeight="false" outlineLevel="0" collapsed="false">
      <c r="A328" s="2" t="s">
        <v>251</v>
      </c>
      <c r="B328" s="2" t="s">
        <v>8817</v>
      </c>
      <c r="C328" s="2" t="s">
        <v>8827</v>
      </c>
      <c r="D328" s="2" t="s">
        <v>8824</v>
      </c>
      <c r="E328" s="13" t="n">
        <v>35082</v>
      </c>
      <c r="F328" s="2" t="n">
        <v>254778227936</v>
      </c>
      <c r="G328" s="2" t="n">
        <v>9</v>
      </c>
      <c r="H328" s="2" t="s">
        <v>95</v>
      </c>
      <c r="I328" s="2" t="s">
        <v>8852</v>
      </c>
      <c r="J328" s="2" t="s">
        <v>61</v>
      </c>
      <c r="K328" s="13" t="n">
        <v>45489</v>
      </c>
      <c r="L328" s="2" t="s">
        <v>8821</v>
      </c>
      <c r="M328" s="2" t="s">
        <v>36</v>
      </c>
    </row>
    <row r="329" customFormat="false" ht="15" hidden="false" customHeight="false" outlineLevel="0" collapsed="false">
      <c r="A329" s="2" t="s">
        <v>564</v>
      </c>
      <c r="B329" s="2" t="s">
        <v>8878</v>
      </c>
      <c r="C329" s="2" t="s">
        <v>8863</v>
      </c>
      <c r="D329" s="2" t="s">
        <v>8824</v>
      </c>
      <c r="E329" s="13" t="n">
        <v>26782</v>
      </c>
      <c r="F329" s="2" t="n">
        <v>254798203489</v>
      </c>
      <c r="G329" s="2" t="n">
        <v>6</v>
      </c>
      <c r="H329" s="2" t="s">
        <v>8850</v>
      </c>
      <c r="I329" s="2" t="s">
        <v>8825</v>
      </c>
      <c r="J329" s="2" t="s">
        <v>58</v>
      </c>
      <c r="K329" s="13" t="n">
        <v>45392</v>
      </c>
      <c r="L329" s="2" t="s">
        <v>8821</v>
      </c>
      <c r="M329" s="2" t="s">
        <v>36</v>
      </c>
    </row>
    <row r="330" customFormat="false" ht="15" hidden="false" customHeight="false" outlineLevel="0" collapsed="false">
      <c r="A330" s="2" t="s">
        <v>456</v>
      </c>
      <c r="B330" s="2" t="s">
        <v>8874</v>
      </c>
      <c r="C330" s="2" t="s">
        <v>8854</v>
      </c>
      <c r="D330" s="2" t="s">
        <v>8824</v>
      </c>
      <c r="E330" s="13" t="n">
        <v>33416</v>
      </c>
      <c r="F330" s="2" t="n">
        <v>254724270328</v>
      </c>
      <c r="G330" s="2" t="n">
        <v>1</v>
      </c>
      <c r="H330" s="2" t="s">
        <v>95</v>
      </c>
      <c r="I330" s="2" t="s">
        <v>8847</v>
      </c>
      <c r="J330" s="2" t="s">
        <v>59</v>
      </c>
      <c r="K330" s="13" t="n">
        <v>45575</v>
      </c>
      <c r="L330" s="2" t="s">
        <v>8855</v>
      </c>
      <c r="M330" s="2" t="s">
        <v>36</v>
      </c>
    </row>
    <row r="331" customFormat="false" ht="15" hidden="false" customHeight="false" outlineLevel="0" collapsed="false">
      <c r="A331" s="2" t="s">
        <v>2762</v>
      </c>
      <c r="B331" s="2" t="s">
        <v>8829</v>
      </c>
      <c r="C331" s="2" t="s">
        <v>8876</v>
      </c>
      <c r="D331" s="2" t="s">
        <v>8819</v>
      </c>
      <c r="E331" s="13" t="n">
        <v>31692</v>
      </c>
      <c r="F331" s="2" t="n">
        <v>254771343676</v>
      </c>
      <c r="G331" s="2" t="n">
        <v>14</v>
      </c>
      <c r="H331" s="2" t="s">
        <v>95</v>
      </c>
      <c r="I331" s="2" t="s">
        <v>8864</v>
      </c>
      <c r="J331" s="2" t="s">
        <v>60</v>
      </c>
      <c r="K331" s="13" t="n">
        <v>45119</v>
      </c>
      <c r="L331" s="2" t="s">
        <v>8821</v>
      </c>
      <c r="M331" s="2" t="s">
        <v>8858</v>
      </c>
    </row>
    <row r="332" customFormat="false" ht="15" hidden="false" customHeight="false" outlineLevel="0" collapsed="false">
      <c r="A332" s="2" t="s">
        <v>346</v>
      </c>
      <c r="B332" s="2" t="s">
        <v>8862</v>
      </c>
      <c r="C332" s="2" t="s">
        <v>8830</v>
      </c>
      <c r="D332" s="2" t="s">
        <v>8824</v>
      </c>
      <c r="E332" s="13" t="n">
        <v>26630</v>
      </c>
      <c r="F332" s="2" t="n">
        <v>254771389561</v>
      </c>
      <c r="G332" s="2" t="n">
        <v>11</v>
      </c>
      <c r="H332" s="2" t="s">
        <v>95</v>
      </c>
      <c r="I332" s="2" t="s">
        <v>8847</v>
      </c>
      <c r="J332" s="2" t="s">
        <v>58</v>
      </c>
      <c r="K332" s="13" t="n">
        <v>45615</v>
      </c>
      <c r="L332" s="2" t="s">
        <v>8821</v>
      </c>
      <c r="M332" s="2" t="s">
        <v>8858</v>
      </c>
    </row>
    <row r="333" customFormat="false" ht="15" hidden="false" customHeight="false" outlineLevel="0" collapsed="false">
      <c r="A333" s="2" t="s">
        <v>3653</v>
      </c>
      <c r="B333" s="2" t="s">
        <v>8875</v>
      </c>
      <c r="C333" s="2" t="s">
        <v>8881</v>
      </c>
      <c r="D333" s="2" t="s">
        <v>8819</v>
      </c>
      <c r="E333" s="13" t="n">
        <v>36794</v>
      </c>
      <c r="F333" s="2" t="n">
        <v>254727231111</v>
      </c>
      <c r="G333" s="2" t="n">
        <v>2</v>
      </c>
      <c r="H333" s="2" t="s">
        <v>8850</v>
      </c>
      <c r="I333" s="2" t="s">
        <v>8852</v>
      </c>
      <c r="J333" s="2" t="s">
        <v>62</v>
      </c>
      <c r="K333" s="13" t="n">
        <v>45108</v>
      </c>
      <c r="L333" s="2" t="s">
        <v>8821</v>
      </c>
      <c r="M333" s="2" t="s">
        <v>8858</v>
      </c>
    </row>
    <row r="334" customFormat="false" ht="15" hidden="false" customHeight="false" outlineLevel="0" collapsed="false">
      <c r="A334" s="2" t="s">
        <v>6003</v>
      </c>
      <c r="B334" s="2" t="s">
        <v>8845</v>
      </c>
      <c r="C334" s="2" t="s">
        <v>8876</v>
      </c>
      <c r="D334" s="2" t="s">
        <v>8824</v>
      </c>
      <c r="E334" s="13" t="n">
        <v>35361</v>
      </c>
      <c r="F334" s="2" t="n">
        <v>254749483304</v>
      </c>
      <c r="G334" s="2" t="n">
        <v>8</v>
      </c>
      <c r="H334" s="2" t="s">
        <v>95</v>
      </c>
      <c r="I334" s="2" t="s">
        <v>8828</v>
      </c>
      <c r="J334" s="2" t="s">
        <v>61</v>
      </c>
      <c r="K334" s="13" t="n">
        <v>45181</v>
      </c>
      <c r="L334" s="2" t="s">
        <v>8821</v>
      </c>
      <c r="M334" s="2" t="s">
        <v>36</v>
      </c>
    </row>
    <row r="335" customFormat="false" ht="15" hidden="false" customHeight="false" outlineLevel="0" collapsed="false">
      <c r="A335" s="2" t="s">
        <v>2882</v>
      </c>
      <c r="B335" s="2" t="s">
        <v>8875</v>
      </c>
      <c r="C335" s="2" t="s">
        <v>8854</v>
      </c>
      <c r="D335" s="2" t="s">
        <v>8824</v>
      </c>
      <c r="E335" s="13" t="n">
        <v>30413</v>
      </c>
      <c r="F335" s="2" t="n">
        <v>254727806897</v>
      </c>
      <c r="G335" s="2" t="n">
        <v>12</v>
      </c>
      <c r="H335" s="2" t="s">
        <v>95</v>
      </c>
      <c r="I335" s="2" t="s">
        <v>8857</v>
      </c>
      <c r="J335" s="2" t="s">
        <v>62</v>
      </c>
      <c r="K335" s="13" t="n">
        <v>45566</v>
      </c>
      <c r="L335" s="2" t="s">
        <v>8821</v>
      </c>
      <c r="M335" s="2" t="s">
        <v>36</v>
      </c>
    </row>
    <row r="336" customFormat="false" ht="15" hidden="false" customHeight="false" outlineLevel="0" collapsed="false">
      <c r="A336" s="2" t="s">
        <v>2411</v>
      </c>
      <c r="B336" s="2" t="s">
        <v>8862</v>
      </c>
      <c r="C336" s="2" t="s">
        <v>8865</v>
      </c>
      <c r="D336" s="2" t="s">
        <v>8824</v>
      </c>
      <c r="E336" s="13" t="n">
        <v>33863</v>
      </c>
      <c r="F336" s="2" t="n">
        <v>254766691738</v>
      </c>
      <c r="G336" s="2" t="n">
        <v>13</v>
      </c>
      <c r="H336" s="2" t="s">
        <v>95</v>
      </c>
      <c r="I336" s="2" t="s">
        <v>8857</v>
      </c>
      <c r="J336" s="2" t="s">
        <v>58</v>
      </c>
      <c r="K336" s="13" t="n">
        <v>45523</v>
      </c>
      <c r="L336" s="2" t="s">
        <v>8821</v>
      </c>
      <c r="M336" s="2" t="s">
        <v>8858</v>
      </c>
    </row>
    <row r="337" customFormat="false" ht="15" hidden="false" customHeight="false" outlineLevel="0" collapsed="false">
      <c r="A337" s="2" t="s">
        <v>2600</v>
      </c>
      <c r="B337" s="2" t="s">
        <v>8840</v>
      </c>
      <c r="C337" s="2" t="s">
        <v>8846</v>
      </c>
      <c r="D337" s="2" t="s">
        <v>8819</v>
      </c>
      <c r="E337" s="13" t="n">
        <v>28877</v>
      </c>
      <c r="F337" s="2" t="n">
        <v>254748468887</v>
      </c>
      <c r="G337" s="2" t="n">
        <v>11</v>
      </c>
      <c r="H337" s="2" t="s">
        <v>8850</v>
      </c>
      <c r="I337" s="2" t="s">
        <v>8828</v>
      </c>
      <c r="J337" s="2" t="s">
        <v>58</v>
      </c>
      <c r="K337" s="13" t="n">
        <v>44984</v>
      </c>
      <c r="L337" s="2" t="s">
        <v>8821</v>
      </c>
      <c r="M337" s="2" t="s">
        <v>36</v>
      </c>
    </row>
    <row r="338" customFormat="false" ht="15" hidden="false" customHeight="false" outlineLevel="0" collapsed="false">
      <c r="A338" s="2" t="s">
        <v>777</v>
      </c>
      <c r="B338" s="2" t="s">
        <v>8829</v>
      </c>
      <c r="C338" s="2" t="s">
        <v>8867</v>
      </c>
      <c r="D338" s="2" t="s">
        <v>8819</v>
      </c>
      <c r="E338" s="13" t="n">
        <v>26477</v>
      </c>
      <c r="F338" s="2" t="n">
        <v>254796854901</v>
      </c>
      <c r="G338" s="2" t="n">
        <v>9</v>
      </c>
      <c r="H338" s="2" t="s">
        <v>8850</v>
      </c>
      <c r="I338" s="2" t="s">
        <v>8831</v>
      </c>
      <c r="J338" s="2" t="s">
        <v>62</v>
      </c>
      <c r="K338" s="13" t="n">
        <v>45390</v>
      </c>
      <c r="L338" s="2" t="s">
        <v>8821</v>
      </c>
      <c r="M338" s="2" t="s">
        <v>36</v>
      </c>
    </row>
    <row r="339" customFormat="false" ht="15" hidden="false" customHeight="false" outlineLevel="0" collapsed="false">
      <c r="A339" s="2" t="s">
        <v>2470</v>
      </c>
      <c r="B339" s="2" t="s">
        <v>8878</v>
      </c>
      <c r="C339" s="2" t="s">
        <v>8863</v>
      </c>
      <c r="D339" s="2" t="s">
        <v>8819</v>
      </c>
      <c r="E339" s="13" t="n">
        <v>34529</v>
      </c>
      <c r="F339" s="2" t="n">
        <v>254711740164</v>
      </c>
      <c r="G339" s="2" t="n">
        <v>12</v>
      </c>
      <c r="H339" s="2" t="s">
        <v>8850</v>
      </c>
      <c r="I339" s="2" t="s">
        <v>8831</v>
      </c>
      <c r="J339" s="2" t="s">
        <v>62</v>
      </c>
      <c r="K339" s="13" t="n">
        <v>45628</v>
      </c>
      <c r="L339" s="2" t="s">
        <v>8855</v>
      </c>
      <c r="M339" s="2" t="s">
        <v>36</v>
      </c>
    </row>
    <row r="340" customFormat="false" ht="15" hidden="false" customHeight="false" outlineLevel="0" collapsed="false">
      <c r="A340" s="2" t="s">
        <v>5913</v>
      </c>
      <c r="B340" s="2" t="s">
        <v>8840</v>
      </c>
      <c r="C340" s="2" t="s">
        <v>8841</v>
      </c>
      <c r="D340" s="2" t="s">
        <v>8824</v>
      </c>
      <c r="E340" s="13" t="n">
        <v>34260</v>
      </c>
      <c r="F340" s="2" t="n">
        <v>254770238919</v>
      </c>
      <c r="G340" s="2" t="n">
        <v>3</v>
      </c>
      <c r="H340" s="2" t="s">
        <v>95</v>
      </c>
      <c r="I340" s="2" t="s">
        <v>8828</v>
      </c>
      <c r="J340" s="2" t="s">
        <v>59</v>
      </c>
      <c r="K340" s="13" t="n">
        <v>45544</v>
      </c>
      <c r="L340" s="2" t="s">
        <v>8821</v>
      </c>
      <c r="M340" s="2" t="s">
        <v>8858</v>
      </c>
    </row>
    <row r="341" customFormat="false" ht="15" hidden="false" customHeight="false" outlineLevel="0" collapsed="false">
      <c r="A341" s="2" t="s">
        <v>2020</v>
      </c>
      <c r="B341" s="2" t="s">
        <v>8845</v>
      </c>
      <c r="C341" s="2" t="s">
        <v>8833</v>
      </c>
      <c r="D341" s="2" t="s">
        <v>8819</v>
      </c>
      <c r="E341" s="13" t="n">
        <v>26489</v>
      </c>
      <c r="F341" s="2" t="n">
        <v>254788381281</v>
      </c>
      <c r="G341" s="2" t="n">
        <v>14</v>
      </c>
      <c r="H341" s="2" t="s">
        <v>8850</v>
      </c>
      <c r="I341" s="2" t="s">
        <v>8820</v>
      </c>
      <c r="J341" s="2" t="s">
        <v>60</v>
      </c>
      <c r="K341" s="13" t="n">
        <v>45496</v>
      </c>
      <c r="L341" s="2" t="s">
        <v>8855</v>
      </c>
      <c r="M341" s="2" t="s">
        <v>36</v>
      </c>
    </row>
    <row r="342" customFormat="false" ht="15" hidden="false" customHeight="false" outlineLevel="0" collapsed="false">
      <c r="A342" s="2" t="s">
        <v>6913</v>
      </c>
      <c r="B342" s="2" t="s">
        <v>8822</v>
      </c>
      <c r="C342" s="2" t="s">
        <v>8867</v>
      </c>
      <c r="D342" s="2" t="s">
        <v>8824</v>
      </c>
      <c r="E342" s="13" t="n">
        <v>26369</v>
      </c>
      <c r="F342" s="2" t="n">
        <v>254775840632</v>
      </c>
      <c r="G342" s="2" t="n">
        <v>13</v>
      </c>
      <c r="H342" s="2" t="s">
        <v>8850</v>
      </c>
      <c r="I342" s="2" t="s">
        <v>8825</v>
      </c>
      <c r="J342" s="2" t="s">
        <v>60</v>
      </c>
      <c r="K342" s="13" t="n">
        <v>45538</v>
      </c>
      <c r="L342" s="2" t="s">
        <v>8821</v>
      </c>
      <c r="M342" s="2" t="s">
        <v>36</v>
      </c>
    </row>
    <row r="343" customFormat="false" ht="15" hidden="false" customHeight="false" outlineLevel="0" collapsed="false">
      <c r="A343" s="2" t="s">
        <v>1167</v>
      </c>
      <c r="B343" s="2" t="s">
        <v>8851</v>
      </c>
      <c r="C343" s="2" t="s">
        <v>8863</v>
      </c>
      <c r="D343" s="2" t="s">
        <v>8824</v>
      </c>
      <c r="E343" s="13" t="n">
        <v>27278</v>
      </c>
      <c r="F343" s="2" t="n">
        <v>254722340723</v>
      </c>
      <c r="G343" s="2" t="n">
        <v>6</v>
      </c>
      <c r="H343" s="2" t="s">
        <v>95</v>
      </c>
      <c r="I343" s="2" t="s">
        <v>8831</v>
      </c>
      <c r="J343" s="2" t="s">
        <v>60</v>
      </c>
      <c r="K343" s="13" t="n">
        <v>45352</v>
      </c>
      <c r="L343" s="2" t="s">
        <v>8821</v>
      </c>
      <c r="M343" s="2" t="s">
        <v>36</v>
      </c>
    </row>
    <row r="344" customFormat="false" ht="15" hidden="false" customHeight="false" outlineLevel="0" collapsed="false">
      <c r="A344" s="2" t="s">
        <v>4903</v>
      </c>
      <c r="B344" s="2" t="s">
        <v>8868</v>
      </c>
      <c r="C344" s="2" t="s">
        <v>8859</v>
      </c>
      <c r="D344" s="2" t="s">
        <v>8819</v>
      </c>
      <c r="E344" s="13" t="n">
        <v>32258</v>
      </c>
      <c r="F344" s="2" t="n">
        <v>254725397719</v>
      </c>
      <c r="G344" s="2" t="n">
        <v>11</v>
      </c>
      <c r="H344" s="2" t="s">
        <v>8850</v>
      </c>
      <c r="I344" s="2" t="s">
        <v>8847</v>
      </c>
      <c r="J344" s="2" t="s">
        <v>59</v>
      </c>
      <c r="K344" s="13" t="n">
        <v>45560</v>
      </c>
      <c r="L344" s="2" t="s">
        <v>8821</v>
      </c>
      <c r="M344" s="2" t="s">
        <v>36</v>
      </c>
    </row>
    <row r="345" customFormat="false" ht="15" hidden="false" customHeight="false" outlineLevel="0" collapsed="false">
      <c r="A345" s="2" t="s">
        <v>3631</v>
      </c>
      <c r="B345" s="2" t="s">
        <v>8866</v>
      </c>
      <c r="C345" s="2" t="s">
        <v>8846</v>
      </c>
      <c r="D345" s="2" t="s">
        <v>8824</v>
      </c>
      <c r="E345" s="13" t="n">
        <v>33080</v>
      </c>
      <c r="F345" s="2" t="n">
        <v>254713315946</v>
      </c>
      <c r="G345" s="2" t="n">
        <v>15</v>
      </c>
      <c r="H345" s="2" t="s">
        <v>8850</v>
      </c>
      <c r="I345" s="2" t="s">
        <v>8857</v>
      </c>
      <c r="J345" s="2" t="s">
        <v>62</v>
      </c>
      <c r="K345" s="13" t="n">
        <v>45043</v>
      </c>
      <c r="L345" s="2" t="s">
        <v>8855</v>
      </c>
      <c r="M345" s="2" t="s">
        <v>8858</v>
      </c>
    </row>
    <row r="346" customFormat="false" ht="15" hidden="false" customHeight="false" outlineLevel="0" collapsed="false">
      <c r="A346" s="2" t="s">
        <v>4833</v>
      </c>
      <c r="B346" s="2" t="s">
        <v>8878</v>
      </c>
      <c r="C346" s="2" t="s">
        <v>8861</v>
      </c>
      <c r="D346" s="2" t="s">
        <v>8819</v>
      </c>
      <c r="E346" s="13" t="n">
        <v>26440</v>
      </c>
      <c r="F346" s="2" t="n">
        <v>254722879054</v>
      </c>
      <c r="G346" s="2" t="n">
        <v>3</v>
      </c>
      <c r="H346" s="2" t="s">
        <v>95</v>
      </c>
      <c r="I346" s="2" t="s">
        <v>8852</v>
      </c>
      <c r="J346" s="2" t="s">
        <v>58</v>
      </c>
      <c r="K346" s="13" t="n">
        <v>45124</v>
      </c>
      <c r="L346" s="2" t="s">
        <v>8821</v>
      </c>
      <c r="M346" s="2" t="s">
        <v>36</v>
      </c>
    </row>
    <row r="347" customFormat="false" ht="15" hidden="false" customHeight="false" outlineLevel="0" collapsed="false">
      <c r="A347" s="2" t="s">
        <v>276</v>
      </c>
      <c r="B347" s="2" t="s">
        <v>8872</v>
      </c>
      <c r="C347" s="2" t="s">
        <v>8865</v>
      </c>
      <c r="D347" s="2" t="s">
        <v>8819</v>
      </c>
      <c r="E347" s="13" t="n">
        <v>35468</v>
      </c>
      <c r="F347" s="2" t="n">
        <v>254730636590</v>
      </c>
      <c r="G347" s="2" t="n">
        <v>1</v>
      </c>
      <c r="H347" s="2" t="s">
        <v>8850</v>
      </c>
      <c r="I347" s="2" t="s">
        <v>8864</v>
      </c>
      <c r="J347" s="2" t="s">
        <v>60</v>
      </c>
      <c r="K347" s="13" t="n">
        <v>45477</v>
      </c>
      <c r="L347" s="2" t="s">
        <v>8821</v>
      </c>
      <c r="M347" s="2" t="s">
        <v>36</v>
      </c>
    </row>
    <row r="348" customFormat="false" ht="15" hidden="false" customHeight="false" outlineLevel="0" collapsed="false">
      <c r="A348" s="2" t="s">
        <v>4605</v>
      </c>
      <c r="B348" s="2" t="s">
        <v>8851</v>
      </c>
      <c r="C348" s="2" t="s">
        <v>8827</v>
      </c>
      <c r="D348" s="2" t="s">
        <v>8819</v>
      </c>
      <c r="E348" s="13" t="n">
        <v>27035</v>
      </c>
      <c r="F348" s="2" t="n">
        <v>254744715141</v>
      </c>
      <c r="G348" s="2" t="n">
        <v>7</v>
      </c>
      <c r="H348" s="2" t="s">
        <v>8850</v>
      </c>
      <c r="I348" s="2" t="s">
        <v>8847</v>
      </c>
      <c r="J348" s="2" t="s">
        <v>61</v>
      </c>
      <c r="K348" s="13" t="n">
        <v>45184</v>
      </c>
      <c r="L348" s="2" t="s">
        <v>8855</v>
      </c>
      <c r="M348" s="2" t="s">
        <v>36</v>
      </c>
    </row>
    <row r="349" customFormat="false" ht="15" hidden="false" customHeight="false" outlineLevel="0" collapsed="false">
      <c r="A349" s="2" t="s">
        <v>1072</v>
      </c>
      <c r="B349" s="2" t="s">
        <v>8851</v>
      </c>
      <c r="C349" s="2" t="s">
        <v>8818</v>
      </c>
      <c r="D349" s="2" t="s">
        <v>8819</v>
      </c>
      <c r="E349" s="13" t="n">
        <v>26136</v>
      </c>
      <c r="F349" s="2" t="n">
        <v>254788598977</v>
      </c>
      <c r="G349" s="2" t="n">
        <v>1</v>
      </c>
      <c r="H349" s="2" t="s">
        <v>95</v>
      </c>
      <c r="I349" s="2" t="s">
        <v>8844</v>
      </c>
      <c r="J349" s="2" t="s">
        <v>62</v>
      </c>
      <c r="K349" s="13" t="n">
        <v>45048</v>
      </c>
      <c r="L349" s="2" t="s">
        <v>8821</v>
      </c>
      <c r="M349" s="2" t="s">
        <v>36</v>
      </c>
    </row>
    <row r="350" customFormat="false" ht="15" hidden="false" customHeight="false" outlineLevel="0" collapsed="false">
      <c r="A350" s="2" t="s">
        <v>3521</v>
      </c>
      <c r="B350" s="2" t="s">
        <v>8853</v>
      </c>
      <c r="C350" s="2" t="s">
        <v>8870</v>
      </c>
      <c r="D350" s="2" t="s">
        <v>8824</v>
      </c>
      <c r="E350" s="13" t="n">
        <v>32784</v>
      </c>
      <c r="F350" s="2" t="n">
        <v>254763031203</v>
      </c>
      <c r="G350" s="2" t="n">
        <v>14</v>
      </c>
      <c r="H350" s="2" t="s">
        <v>95</v>
      </c>
      <c r="I350" s="2" t="s">
        <v>8847</v>
      </c>
      <c r="J350" s="2" t="s">
        <v>59</v>
      </c>
      <c r="K350" s="13" t="n">
        <v>45215</v>
      </c>
      <c r="L350" s="2" t="s">
        <v>8821</v>
      </c>
      <c r="M350" s="2" t="s">
        <v>36</v>
      </c>
    </row>
    <row r="351" customFormat="false" ht="15" hidden="false" customHeight="false" outlineLevel="0" collapsed="false">
      <c r="A351" s="2" t="s">
        <v>296</v>
      </c>
      <c r="B351" s="2" t="s">
        <v>8832</v>
      </c>
      <c r="C351" s="2" t="s">
        <v>8854</v>
      </c>
      <c r="D351" s="2" t="s">
        <v>8824</v>
      </c>
      <c r="E351" s="13" t="n">
        <v>34952</v>
      </c>
      <c r="F351" s="2" t="n">
        <v>254711496555</v>
      </c>
      <c r="G351" s="2" t="n">
        <v>9</v>
      </c>
      <c r="H351" s="2" t="s">
        <v>95</v>
      </c>
      <c r="I351" s="2" t="s">
        <v>8825</v>
      </c>
      <c r="J351" s="2" t="s">
        <v>58</v>
      </c>
      <c r="K351" s="13" t="n">
        <v>45576</v>
      </c>
      <c r="L351" s="2" t="s">
        <v>8821</v>
      </c>
      <c r="M351" s="2" t="s">
        <v>8858</v>
      </c>
    </row>
    <row r="352" customFormat="false" ht="15" hidden="false" customHeight="false" outlineLevel="0" collapsed="false">
      <c r="A352" s="2" t="s">
        <v>7435</v>
      </c>
      <c r="B352" s="2" t="s">
        <v>8840</v>
      </c>
      <c r="C352" s="2" t="s">
        <v>8865</v>
      </c>
      <c r="D352" s="2" t="s">
        <v>8819</v>
      </c>
      <c r="E352" s="13" t="n">
        <v>27521</v>
      </c>
      <c r="F352" s="2" t="n">
        <v>254731602928</v>
      </c>
      <c r="G352" s="2" t="n">
        <v>3</v>
      </c>
      <c r="H352" s="2" t="s">
        <v>95</v>
      </c>
      <c r="I352" s="2" t="s">
        <v>8848</v>
      </c>
      <c r="J352" s="2" t="s">
        <v>60</v>
      </c>
      <c r="K352" s="13" t="n">
        <v>45279</v>
      </c>
      <c r="L352" s="2" t="s">
        <v>8821</v>
      </c>
      <c r="M352" s="2" t="s">
        <v>36</v>
      </c>
    </row>
    <row r="353" customFormat="false" ht="15" hidden="false" customHeight="false" outlineLevel="0" collapsed="false">
      <c r="A353" s="2" t="s">
        <v>4701</v>
      </c>
      <c r="B353" s="2" t="s">
        <v>8885</v>
      </c>
      <c r="C353" s="2" t="s">
        <v>8823</v>
      </c>
      <c r="D353" s="2" t="s">
        <v>8824</v>
      </c>
      <c r="E353" s="13" t="n">
        <v>29916</v>
      </c>
      <c r="F353" s="2" t="n">
        <v>254796526748</v>
      </c>
      <c r="G353" s="2" t="n">
        <v>9</v>
      </c>
      <c r="H353" s="2" t="s">
        <v>95</v>
      </c>
      <c r="I353" s="2" t="s">
        <v>8834</v>
      </c>
      <c r="J353" s="2" t="s">
        <v>58</v>
      </c>
      <c r="K353" s="13" t="n">
        <v>45507</v>
      </c>
      <c r="L353" s="2" t="s">
        <v>8821</v>
      </c>
      <c r="M353" s="2" t="s">
        <v>36</v>
      </c>
    </row>
    <row r="354" customFormat="false" ht="15" hidden="false" customHeight="false" outlineLevel="0" collapsed="false">
      <c r="A354" s="2" t="s">
        <v>2040</v>
      </c>
      <c r="B354" s="2" t="s">
        <v>8878</v>
      </c>
      <c r="C354" s="2" t="s">
        <v>8888</v>
      </c>
      <c r="D354" s="2" t="s">
        <v>8819</v>
      </c>
      <c r="E354" s="13" t="n">
        <v>30304</v>
      </c>
      <c r="F354" s="2" t="n">
        <v>254797976094</v>
      </c>
      <c r="G354" s="2" t="n">
        <v>4</v>
      </c>
      <c r="H354" s="2" t="s">
        <v>95</v>
      </c>
      <c r="I354" s="2" t="s">
        <v>8834</v>
      </c>
      <c r="J354" s="2" t="s">
        <v>62</v>
      </c>
      <c r="K354" s="13" t="n">
        <v>45425</v>
      </c>
      <c r="L354" s="2" t="s">
        <v>8821</v>
      </c>
      <c r="M354" s="2" t="s">
        <v>36</v>
      </c>
    </row>
    <row r="355" customFormat="false" ht="15" hidden="false" customHeight="false" outlineLevel="0" collapsed="false">
      <c r="A355" s="2" t="s">
        <v>1463</v>
      </c>
      <c r="B355" s="2" t="s">
        <v>8849</v>
      </c>
      <c r="C355" s="2" t="s">
        <v>8854</v>
      </c>
      <c r="D355" s="2" t="s">
        <v>8819</v>
      </c>
      <c r="E355" s="13" t="n">
        <v>33100</v>
      </c>
      <c r="F355" s="2" t="n">
        <v>254785907105</v>
      </c>
      <c r="G355" s="2" t="n">
        <v>10</v>
      </c>
      <c r="H355" s="2" t="s">
        <v>8850</v>
      </c>
      <c r="I355" s="2" t="s">
        <v>8844</v>
      </c>
      <c r="J355" s="2" t="s">
        <v>61</v>
      </c>
      <c r="K355" s="13" t="n">
        <v>45263</v>
      </c>
      <c r="L355" s="2" t="s">
        <v>8821</v>
      </c>
      <c r="M355" s="2" t="s">
        <v>36</v>
      </c>
    </row>
    <row r="356" customFormat="false" ht="15" hidden="false" customHeight="false" outlineLevel="0" collapsed="false">
      <c r="A356" s="2" t="s">
        <v>1757</v>
      </c>
      <c r="B356" s="2" t="s">
        <v>8875</v>
      </c>
      <c r="C356" s="2" t="s">
        <v>8865</v>
      </c>
      <c r="D356" s="2" t="s">
        <v>8824</v>
      </c>
      <c r="E356" s="13" t="n">
        <v>32989</v>
      </c>
      <c r="F356" s="2" t="n">
        <v>254758249394</v>
      </c>
      <c r="G356" s="2" t="n">
        <v>3</v>
      </c>
      <c r="H356" s="2" t="s">
        <v>8850</v>
      </c>
      <c r="I356" s="2" t="s">
        <v>8847</v>
      </c>
      <c r="J356" s="2" t="s">
        <v>61</v>
      </c>
      <c r="K356" s="13" t="n">
        <v>45153</v>
      </c>
      <c r="L356" s="2" t="s">
        <v>8855</v>
      </c>
      <c r="M356" s="2" t="s">
        <v>36</v>
      </c>
    </row>
    <row r="357" customFormat="false" ht="15" hidden="false" customHeight="false" outlineLevel="0" collapsed="false">
      <c r="A357" s="2" t="s">
        <v>8205</v>
      </c>
      <c r="B357" s="2" t="s">
        <v>8835</v>
      </c>
      <c r="C357" s="2" t="s">
        <v>8867</v>
      </c>
      <c r="D357" s="2" t="s">
        <v>8819</v>
      </c>
      <c r="E357" s="13" t="n">
        <v>32738</v>
      </c>
      <c r="F357" s="2" t="n">
        <v>254747663633</v>
      </c>
      <c r="G357" s="2" t="n">
        <v>14</v>
      </c>
      <c r="H357" s="2" t="s">
        <v>95</v>
      </c>
      <c r="I357" s="2" t="s">
        <v>8857</v>
      </c>
      <c r="J357" s="2" t="s">
        <v>59</v>
      </c>
      <c r="K357" s="13" t="n">
        <v>45038</v>
      </c>
      <c r="L357" s="2" t="s">
        <v>8821</v>
      </c>
      <c r="M357" s="2" t="s">
        <v>36</v>
      </c>
    </row>
    <row r="358" customFormat="false" ht="15" hidden="false" customHeight="false" outlineLevel="0" collapsed="false">
      <c r="A358" s="2" t="s">
        <v>2407</v>
      </c>
      <c r="B358" s="2" t="s">
        <v>8886</v>
      </c>
      <c r="C358" s="2" t="s">
        <v>8818</v>
      </c>
      <c r="D358" s="2" t="s">
        <v>8824</v>
      </c>
      <c r="E358" s="13" t="n">
        <v>27057</v>
      </c>
      <c r="F358" s="2" t="n">
        <v>254789193333</v>
      </c>
      <c r="G358" s="2" t="n">
        <v>4</v>
      </c>
      <c r="H358" s="2" t="s">
        <v>95</v>
      </c>
      <c r="I358" s="2" t="s">
        <v>8857</v>
      </c>
      <c r="J358" s="2" t="s">
        <v>60</v>
      </c>
      <c r="K358" s="13" t="n">
        <v>45446</v>
      </c>
      <c r="L358" s="2" t="s">
        <v>8855</v>
      </c>
      <c r="M358" s="2" t="s">
        <v>36</v>
      </c>
    </row>
    <row r="359" customFormat="false" ht="15" hidden="false" customHeight="false" outlineLevel="0" collapsed="false">
      <c r="A359" s="2" t="s">
        <v>2237</v>
      </c>
      <c r="B359" s="2" t="s">
        <v>8871</v>
      </c>
      <c r="C359" s="2" t="s">
        <v>8854</v>
      </c>
      <c r="D359" s="2" t="s">
        <v>8819</v>
      </c>
      <c r="E359" s="13" t="n">
        <v>34158</v>
      </c>
      <c r="F359" s="2" t="n">
        <v>254772371131</v>
      </c>
      <c r="G359" s="2" t="n">
        <v>9</v>
      </c>
      <c r="H359" s="2" t="s">
        <v>95</v>
      </c>
      <c r="I359" s="2" t="s">
        <v>8842</v>
      </c>
      <c r="J359" s="2" t="s">
        <v>60</v>
      </c>
      <c r="K359" s="13" t="n">
        <v>45530</v>
      </c>
      <c r="L359" s="2" t="s">
        <v>8821</v>
      </c>
      <c r="M359" s="2" t="s">
        <v>36</v>
      </c>
    </row>
    <row r="360" customFormat="false" ht="15" hidden="false" customHeight="false" outlineLevel="0" collapsed="false">
      <c r="A360" s="2" t="s">
        <v>4695</v>
      </c>
      <c r="B360" s="2" t="s">
        <v>8835</v>
      </c>
      <c r="C360" s="2" t="s">
        <v>8873</v>
      </c>
      <c r="D360" s="2" t="s">
        <v>8819</v>
      </c>
      <c r="E360" s="13" t="n">
        <v>29469</v>
      </c>
      <c r="F360" s="2" t="n">
        <v>254774894729</v>
      </c>
      <c r="G360" s="2" t="n">
        <v>6</v>
      </c>
      <c r="H360" s="2" t="s">
        <v>95</v>
      </c>
      <c r="I360" s="2" t="s">
        <v>8831</v>
      </c>
      <c r="J360" s="2" t="s">
        <v>61</v>
      </c>
      <c r="K360" s="13" t="n">
        <v>45383</v>
      </c>
      <c r="L360" s="2" t="s">
        <v>8821</v>
      </c>
      <c r="M360" s="2" t="s">
        <v>36</v>
      </c>
    </row>
    <row r="361" customFormat="false" ht="15" hidden="false" customHeight="false" outlineLevel="0" collapsed="false">
      <c r="A361" s="2" t="s">
        <v>5517</v>
      </c>
      <c r="B361" s="2" t="s">
        <v>8856</v>
      </c>
      <c r="C361" s="2" t="s">
        <v>8841</v>
      </c>
      <c r="D361" s="2" t="s">
        <v>8824</v>
      </c>
      <c r="E361" s="13" t="n">
        <v>31571</v>
      </c>
      <c r="F361" s="2" t="n">
        <v>254762088975</v>
      </c>
      <c r="G361" s="2" t="n">
        <v>8</v>
      </c>
      <c r="H361" s="2" t="s">
        <v>8850</v>
      </c>
      <c r="I361" s="2" t="s">
        <v>8820</v>
      </c>
      <c r="J361" s="2" t="s">
        <v>58</v>
      </c>
      <c r="K361" s="13" t="n">
        <v>44970</v>
      </c>
      <c r="L361" s="2" t="s">
        <v>8821</v>
      </c>
      <c r="M361" s="2" t="s">
        <v>36</v>
      </c>
    </row>
    <row r="362" customFormat="false" ht="15" hidden="false" customHeight="false" outlineLevel="0" collapsed="false">
      <c r="A362" s="2" t="s">
        <v>2209</v>
      </c>
      <c r="B362" s="2" t="s">
        <v>8851</v>
      </c>
      <c r="C362" s="2" t="s">
        <v>8881</v>
      </c>
      <c r="D362" s="2" t="s">
        <v>8819</v>
      </c>
      <c r="E362" s="13" t="n">
        <v>32120</v>
      </c>
      <c r="F362" s="2" t="n">
        <v>254760554391</v>
      </c>
      <c r="G362" s="2" t="n">
        <v>11</v>
      </c>
      <c r="H362" s="2" t="s">
        <v>8850</v>
      </c>
      <c r="I362" s="2" t="s">
        <v>8844</v>
      </c>
      <c r="J362" s="2" t="s">
        <v>62</v>
      </c>
      <c r="K362" s="13" t="n">
        <v>45519</v>
      </c>
      <c r="L362" s="2" t="s">
        <v>8821</v>
      </c>
      <c r="M362" s="2" t="s">
        <v>36</v>
      </c>
    </row>
    <row r="363" customFormat="false" ht="15" hidden="false" customHeight="false" outlineLevel="0" collapsed="false">
      <c r="A363" s="2" t="s">
        <v>979</v>
      </c>
      <c r="B363" s="2" t="s">
        <v>8879</v>
      </c>
      <c r="C363" s="2" t="s">
        <v>8888</v>
      </c>
      <c r="D363" s="2" t="s">
        <v>8824</v>
      </c>
      <c r="E363" s="13" t="n">
        <v>34441</v>
      </c>
      <c r="F363" s="2" t="n">
        <v>254774707720</v>
      </c>
      <c r="G363" s="2" t="n">
        <v>15</v>
      </c>
      <c r="H363" s="2" t="s">
        <v>95</v>
      </c>
      <c r="I363" s="2" t="s">
        <v>8857</v>
      </c>
      <c r="J363" s="2" t="s">
        <v>59</v>
      </c>
      <c r="K363" s="13" t="n">
        <v>45342</v>
      </c>
      <c r="L363" s="2" t="s">
        <v>8855</v>
      </c>
      <c r="M363" s="2" t="s">
        <v>36</v>
      </c>
    </row>
    <row r="364" customFormat="false" ht="15" hidden="false" customHeight="false" outlineLevel="0" collapsed="false">
      <c r="A364" s="2" t="s">
        <v>3659</v>
      </c>
      <c r="B364" s="2" t="s">
        <v>8845</v>
      </c>
      <c r="C364" s="2" t="s">
        <v>8841</v>
      </c>
      <c r="D364" s="2" t="s">
        <v>8819</v>
      </c>
      <c r="E364" s="13" t="n">
        <v>30729</v>
      </c>
      <c r="F364" s="2" t="n">
        <v>254735086055</v>
      </c>
      <c r="G364" s="2" t="n">
        <v>3</v>
      </c>
      <c r="H364" s="2" t="s">
        <v>8850</v>
      </c>
      <c r="I364" s="2" t="s">
        <v>8848</v>
      </c>
      <c r="J364" s="2" t="s">
        <v>58</v>
      </c>
      <c r="K364" s="13" t="n">
        <v>45585</v>
      </c>
      <c r="L364" s="2" t="s">
        <v>8821</v>
      </c>
      <c r="M364" s="2" t="s">
        <v>8858</v>
      </c>
    </row>
    <row r="365" customFormat="false" ht="15" hidden="false" customHeight="false" outlineLevel="0" collapsed="false">
      <c r="A365" s="2" t="s">
        <v>3189</v>
      </c>
      <c r="B365" s="2" t="s">
        <v>8856</v>
      </c>
      <c r="C365" s="2" t="s">
        <v>8859</v>
      </c>
      <c r="D365" s="2" t="s">
        <v>8824</v>
      </c>
      <c r="E365" s="13" t="n">
        <v>33576</v>
      </c>
      <c r="F365" s="2" t="n">
        <v>254738280205</v>
      </c>
      <c r="G365" s="2" t="n">
        <v>10</v>
      </c>
      <c r="H365" s="2" t="s">
        <v>95</v>
      </c>
      <c r="I365" s="2" t="s">
        <v>8852</v>
      </c>
      <c r="J365" s="2" t="s">
        <v>61</v>
      </c>
      <c r="K365" s="13" t="n">
        <v>45420</v>
      </c>
      <c r="L365" s="2" t="s">
        <v>8821</v>
      </c>
      <c r="M365" s="2" t="s">
        <v>36</v>
      </c>
    </row>
    <row r="366" customFormat="false" ht="15" hidden="false" customHeight="false" outlineLevel="0" collapsed="false">
      <c r="A366" s="2" t="s">
        <v>4451</v>
      </c>
      <c r="B366" s="2" t="s">
        <v>8835</v>
      </c>
      <c r="C366" s="2" t="s">
        <v>8833</v>
      </c>
      <c r="D366" s="2" t="s">
        <v>8819</v>
      </c>
      <c r="E366" s="13" t="n">
        <v>26377</v>
      </c>
      <c r="F366" s="2" t="n">
        <v>254786808685</v>
      </c>
      <c r="G366" s="2" t="n">
        <v>3</v>
      </c>
      <c r="H366" s="2" t="s">
        <v>95</v>
      </c>
      <c r="I366" s="2" t="s">
        <v>8828</v>
      </c>
      <c r="J366" s="2" t="s">
        <v>60</v>
      </c>
      <c r="K366" s="13" t="n">
        <v>45533</v>
      </c>
      <c r="L366" s="2" t="s">
        <v>8821</v>
      </c>
      <c r="M366" s="2" t="s">
        <v>8858</v>
      </c>
    </row>
    <row r="367" customFormat="false" ht="15" hidden="false" customHeight="false" outlineLevel="0" collapsed="false">
      <c r="A367" s="2" t="s">
        <v>3897</v>
      </c>
      <c r="B367" s="2" t="s">
        <v>8872</v>
      </c>
      <c r="C367" s="2" t="s">
        <v>8854</v>
      </c>
      <c r="D367" s="2" t="s">
        <v>8819</v>
      </c>
      <c r="E367" s="13" t="n">
        <v>26291</v>
      </c>
      <c r="F367" s="2" t="n">
        <v>254739070676</v>
      </c>
      <c r="G367" s="2" t="n">
        <v>8</v>
      </c>
      <c r="H367" s="2" t="s">
        <v>8850</v>
      </c>
      <c r="I367" s="2" t="s">
        <v>8847</v>
      </c>
      <c r="J367" s="2" t="s">
        <v>59</v>
      </c>
      <c r="K367" s="13" t="n">
        <v>45604</v>
      </c>
      <c r="L367" s="2" t="s">
        <v>8821</v>
      </c>
      <c r="M367" s="2" t="s">
        <v>8858</v>
      </c>
    </row>
    <row r="368" customFormat="false" ht="15" hidden="false" customHeight="false" outlineLevel="0" collapsed="false">
      <c r="A368" s="2" t="s">
        <v>7683</v>
      </c>
      <c r="B368" s="2" t="s">
        <v>8849</v>
      </c>
      <c r="C368" s="2" t="s">
        <v>8861</v>
      </c>
      <c r="D368" s="2" t="s">
        <v>8824</v>
      </c>
      <c r="E368" s="13" t="n">
        <v>29155</v>
      </c>
      <c r="F368" s="2" t="n">
        <v>254732511225</v>
      </c>
      <c r="G368" s="2" t="n">
        <v>12</v>
      </c>
      <c r="H368" s="2" t="s">
        <v>8850</v>
      </c>
      <c r="I368" s="2" t="s">
        <v>8847</v>
      </c>
      <c r="J368" s="2" t="s">
        <v>62</v>
      </c>
      <c r="K368" s="13" t="n">
        <v>45113</v>
      </c>
      <c r="L368" s="2" t="s">
        <v>8821</v>
      </c>
      <c r="M368" s="2" t="s">
        <v>36</v>
      </c>
    </row>
    <row r="369" customFormat="false" ht="15" hidden="false" customHeight="false" outlineLevel="0" collapsed="false">
      <c r="A369" s="2" t="s">
        <v>3781</v>
      </c>
      <c r="B369" s="2" t="s">
        <v>8817</v>
      </c>
      <c r="C369" s="2" t="s">
        <v>8841</v>
      </c>
      <c r="D369" s="2" t="s">
        <v>8824</v>
      </c>
      <c r="E369" s="13" t="n">
        <v>34520</v>
      </c>
      <c r="F369" s="2" t="n">
        <v>254730073763</v>
      </c>
      <c r="G369" s="2" t="n">
        <v>10</v>
      </c>
      <c r="H369" s="2" t="s">
        <v>95</v>
      </c>
      <c r="I369" s="2" t="s">
        <v>8828</v>
      </c>
      <c r="J369" s="2" t="s">
        <v>61</v>
      </c>
      <c r="K369" s="13" t="n">
        <v>45038</v>
      </c>
      <c r="L369" s="2" t="s">
        <v>8821</v>
      </c>
      <c r="M369" s="2" t="s">
        <v>36</v>
      </c>
    </row>
    <row r="370" customFormat="false" ht="15" hidden="false" customHeight="false" outlineLevel="0" collapsed="false">
      <c r="A370" s="2" t="s">
        <v>6513</v>
      </c>
      <c r="B370" s="2" t="s">
        <v>8880</v>
      </c>
      <c r="C370" s="2" t="s">
        <v>8867</v>
      </c>
      <c r="D370" s="2" t="s">
        <v>8819</v>
      </c>
      <c r="E370" s="13" t="n">
        <v>27628</v>
      </c>
      <c r="F370" s="2" t="n">
        <v>254797138408</v>
      </c>
      <c r="G370" s="2" t="n">
        <v>7</v>
      </c>
      <c r="H370" s="2" t="s">
        <v>8850</v>
      </c>
      <c r="I370" s="2" t="s">
        <v>8844</v>
      </c>
      <c r="J370" s="2" t="s">
        <v>58</v>
      </c>
      <c r="K370" s="13" t="n">
        <v>45060</v>
      </c>
      <c r="L370" s="2" t="s">
        <v>8855</v>
      </c>
      <c r="M370" s="2" t="s">
        <v>36</v>
      </c>
    </row>
    <row r="371" customFormat="false" ht="15" hidden="false" customHeight="false" outlineLevel="0" collapsed="false">
      <c r="A371" s="2" t="s">
        <v>406</v>
      </c>
      <c r="B371" s="2" t="s">
        <v>8874</v>
      </c>
      <c r="C371" s="2" t="s">
        <v>8881</v>
      </c>
      <c r="D371" s="2" t="s">
        <v>8819</v>
      </c>
      <c r="E371" s="13" t="n">
        <v>36719</v>
      </c>
      <c r="F371" s="2" t="n">
        <v>254767108220</v>
      </c>
      <c r="G371" s="2" t="n">
        <v>3</v>
      </c>
      <c r="H371" s="2" t="s">
        <v>8850</v>
      </c>
      <c r="I371" s="2" t="s">
        <v>8847</v>
      </c>
      <c r="J371" s="2" t="s">
        <v>59</v>
      </c>
      <c r="K371" s="13" t="n">
        <v>45530</v>
      </c>
      <c r="L371" s="2" t="s">
        <v>8821</v>
      </c>
      <c r="M371" s="2" t="s">
        <v>36</v>
      </c>
    </row>
    <row r="372" customFormat="false" ht="15" hidden="false" customHeight="false" outlineLevel="0" collapsed="false">
      <c r="A372" s="2" t="s">
        <v>881</v>
      </c>
      <c r="B372" s="2" t="s">
        <v>8875</v>
      </c>
      <c r="C372" s="2" t="s">
        <v>8818</v>
      </c>
      <c r="D372" s="2" t="s">
        <v>8819</v>
      </c>
      <c r="E372" s="13" t="n">
        <v>35192</v>
      </c>
      <c r="F372" s="2" t="n">
        <v>254779761254</v>
      </c>
      <c r="G372" s="2" t="n">
        <v>1</v>
      </c>
      <c r="H372" s="2" t="s">
        <v>8850</v>
      </c>
      <c r="I372" s="2" t="s">
        <v>8852</v>
      </c>
      <c r="J372" s="2" t="s">
        <v>59</v>
      </c>
      <c r="K372" s="13" t="n">
        <v>44932</v>
      </c>
      <c r="L372" s="2" t="s">
        <v>8821</v>
      </c>
      <c r="M372" s="2" t="s">
        <v>8858</v>
      </c>
    </row>
    <row r="373" customFormat="false" ht="15" hidden="false" customHeight="false" outlineLevel="0" collapsed="false">
      <c r="A373" s="2" t="s">
        <v>156</v>
      </c>
      <c r="B373" s="2" t="s">
        <v>8886</v>
      </c>
      <c r="C373" s="2" t="s">
        <v>8881</v>
      </c>
      <c r="D373" s="2" t="s">
        <v>8824</v>
      </c>
      <c r="E373" s="13" t="n">
        <v>34005</v>
      </c>
      <c r="F373" s="2" t="n">
        <v>254745071480</v>
      </c>
      <c r="G373" s="2" t="n">
        <v>14</v>
      </c>
      <c r="H373" s="2" t="s">
        <v>8850</v>
      </c>
      <c r="I373" s="2" t="s">
        <v>8848</v>
      </c>
      <c r="J373" s="2" t="s">
        <v>60</v>
      </c>
      <c r="K373" s="13" t="n">
        <v>45363</v>
      </c>
      <c r="L373" s="2" t="s">
        <v>8821</v>
      </c>
      <c r="M373" s="2" t="s">
        <v>8858</v>
      </c>
    </row>
    <row r="374" customFormat="false" ht="15" hidden="false" customHeight="false" outlineLevel="0" collapsed="false">
      <c r="A374" s="2" t="s">
        <v>2152</v>
      </c>
      <c r="B374" s="2" t="s">
        <v>8877</v>
      </c>
      <c r="C374" s="2" t="s">
        <v>8873</v>
      </c>
      <c r="D374" s="2" t="s">
        <v>8824</v>
      </c>
      <c r="E374" s="13" t="n">
        <v>30515</v>
      </c>
      <c r="F374" s="2" t="n">
        <v>254785040303</v>
      </c>
      <c r="G374" s="2" t="n">
        <v>9</v>
      </c>
      <c r="H374" s="2" t="s">
        <v>8850</v>
      </c>
      <c r="I374" s="2" t="s">
        <v>8834</v>
      </c>
      <c r="J374" s="2" t="s">
        <v>60</v>
      </c>
      <c r="K374" s="13" t="n">
        <v>45497</v>
      </c>
      <c r="L374" s="2" t="s">
        <v>8821</v>
      </c>
      <c r="M374" s="2" t="s">
        <v>8858</v>
      </c>
    </row>
    <row r="375" customFormat="false" ht="15" hidden="false" customHeight="false" outlineLevel="0" collapsed="false">
      <c r="A375" s="2" t="s">
        <v>4663</v>
      </c>
      <c r="B375" s="2" t="s">
        <v>8860</v>
      </c>
      <c r="C375" s="2" t="s">
        <v>8873</v>
      </c>
      <c r="D375" s="2" t="s">
        <v>8819</v>
      </c>
      <c r="E375" s="13" t="n">
        <v>28798</v>
      </c>
      <c r="F375" s="2" t="n">
        <v>254738784084</v>
      </c>
      <c r="G375" s="2" t="n">
        <v>9</v>
      </c>
      <c r="H375" s="2" t="s">
        <v>8850</v>
      </c>
      <c r="I375" s="2" t="s">
        <v>8844</v>
      </c>
      <c r="J375" s="2" t="s">
        <v>62</v>
      </c>
      <c r="K375" s="13" t="n">
        <v>45162</v>
      </c>
      <c r="L375" s="2" t="s">
        <v>8821</v>
      </c>
      <c r="M375" s="2" t="s">
        <v>36</v>
      </c>
    </row>
    <row r="376" customFormat="false" ht="15" hidden="false" customHeight="false" outlineLevel="0" collapsed="false">
      <c r="A376" s="2" t="s">
        <v>1108</v>
      </c>
      <c r="B376" s="2" t="s">
        <v>8872</v>
      </c>
      <c r="C376" s="2" t="s">
        <v>8833</v>
      </c>
      <c r="D376" s="2" t="s">
        <v>8824</v>
      </c>
      <c r="E376" s="13" t="n">
        <v>34639</v>
      </c>
      <c r="F376" s="2" t="n">
        <v>254790563579</v>
      </c>
      <c r="G376" s="2" t="n">
        <v>7</v>
      </c>
      <c r="H376" s="2" t="s">
        <v>95</v>
      </c>
      <c r="I376" s="2" t="s">
        <v>8825</v>
      </c>
      <c r="J376" s="2" t="s">
        <v>60</v>
      </c>
      <c r="K376" s="13" t="n">
        <v>45020</v>
      </c>
      <c r="L376" s="2" t="s">
        <v>8821</v>
      </c>
      <c r="M376" s="2" t="s">
        <v>36</v>
      </c>
    </row>
    <row r="377" customFormat="false" ht="15" hidden="false" customHeight="false" outlineLevel="0" collapsed="false">
      <c r="A377" s="2" t="s">
        <v>539</v>
      </c>
      <c r="B377" s="2" t="s">
        <v>8882</v>
      </c>
      <c r="C377" s="2" t="s">
        <v>8876</v>
      </c>
      <c r="D377" s="2" t="s">
        <v>8824</v>
      </c>
      <c r="E377" s="13" t="n">
        <v>27669</v>
      </c>
      <c r="F377" s="2" t="n">
        <v>254790191410</v>
      </c>
      <c r="G377" s="2" t="n">
        <v>1</v>
      </c>
      <c r="H377" s="2" t="s">
        <v>95</v>
      </c>
      <c r="I377" s="2" t="s">
        <v>8852</v>
      </c>
      <c r="J377" s="2" t="s">
        <v>61</v>
      </c>
      <c r="K377" s="13" t="n">
        <v>45320</v>
      </c>
      <c r="L377" s="2" t="s">
        <v>8855</v>
      </c>
      <c r="M377" s="2" t="s">
        <v>36</v>
      </c>
    </row>
    <row r="378" customFormat="false" ht="15" hidden="false" customHeight="false" outlineLevel="0" collapsed="false">
      <c r="A378" s="2" t="s">
        <v>1842</v>
      </c>
      <c r="B378" s="2" t="s">
        <v>8883</v>
      </c>
      <c r="C378" s="2" t="s">
        <v>8841</v>
      </c>
      <c r="D378" s="2" t="s">
        <v>8819</v>
      </c>
      <c r="E378" s="13" t="n">
        <v>30281</v>
      </c>
      <c r="F378" s="2" t="n">
        <v>254790465529</v>
      </c>
      <c r="G378" s="2" t="n">
        <v>9</v>
      </c>
      <c r="H378" s="2" t="s">
        <v>95</v>
      </c>
      <c r="I378" s="2" t="s">
        <v>8848</v>
      </c>
      <c r="J378" s="2" t="s">
        <v>59</v>
      </c>
      <c r="K378" s="13" t="n">
        <v>45457</v>
      </c>
      <c r="L378" s="2" t="s">
        <v>8821</v>
      </c>
      <c r="M378" s="2" t="s">
        <v>36</v>
      </c>
    </row>
    <row r="379" customFormat="false" ht="15" hidden="false" customHeight="false" outlineLevel="0" collapsed="false">
      <c r="A379" s="2" t="s">
        <v>1137</v>
      </c>
      <c r="B379" s="2" t="s">
        <v>8826</v>
      </c>
      <c r="C379" s="2" t="s">
        <v>8846</v>
      </c>
      <c r="D379" s="2" t="s">
        <v>8824</v>
      </c>
      <c r="E379" s="13" t="n">
        <v>31352</v>
      </c>
      <c r="F379" s="2" t="n">
        <v>254757395992</v>
      </c>
      <c r="G379" s="2" t="n">
        <v>11</v>
      </c>
      <c r="H379" s="2" t="s">
        <v>8850</v>
      </c>
      <c r="I379" s="2" t="s">
        <v>8842</v>
      </c>
      <c r="J379" s="2" t="s">
        <v>62</v>
      </c>
      <c r="K379" s="13" t="n">
        <v>45088</v>
      </c>
      <c r="L379" s="2" t="s">
        <v>8821</v>
      </c>
      <c r="M379" s="2" t="s">
        <v>36</v>
      </c>
    </row>
    <row r="380" customFormat="false" ht="15" hidden="false" customHeight="false" outlineLevel="0" collapsed="false">
      <c r="A380" s="2" t="s">
        <v>1399</v>
      </c>
      <c r="B380" s="2" t="s">
        <v>8871</v>
      </c>
      <c r="C380" s="2" t="s">
        <v>8863</v>
      </c>
      <c r="D380" s="2" t="s">
        <v>8824</v>
      </c>
      <c r="E380" s="13" t="n">
        <v>27078</v>
      </c>
      <c r="F380" s="2" t="n">
        <v>254756637316</v>
      </c>
      <c r="G380" s="2" t="n">
        <v>14</v>
      </c>
      <c r="H380" s="2" t="s">
        <v>8850</v>
      </c>
      <c r="I380" s="2" t="s">
        <v>8831</v>
      </c>
      <c r="J380" s="2" t="s">
        <v>62</v>
      </c>
      <c r="K380" s="13" t="n">
        <v>45218</v>
      </c>
      <c r="L380" s="2" t="s">
        <v>8821</v>
      </c>
      <c r="M380" s="2" t="s">
        <v>8858</v>
      </c>
    </row>
    <row r="381" customFormat="false" ht="15" hidden="false" customHeight="false" outlineLevel="0" collapsed="false">
      <c r="A381" s="2" t="s">
        <v>3641</v>
      </c>
      <c r="B381" s="2" t="s">
        <v>8835</v>
      </c>
      <c r="C381" s="2" t="s">
        <v>8865</v>
      </c>
      <c r="D381" s="2" t="s">
        <v>8819</v>
      </c>
      <c r="E381" s="13" t="n">
        <v>34973</v>
      </c>
      <c r="F381" s="2" t="n">
        <v>254784978145</v>
      </c>
      <c r="G381" s="2" t="n">
        <v>2</v>
      </c>
      <c r="H381" s="2" t="s">
        <v>8850</v>
      </c>
      <c r="I381" s="2" t="s">
        <v>8844</v>
      </c>
      <c r="J381" s="2" t="s">
        <v>58</v>
      </c>
      <c r="K381" s="13" t="n">
        <v>45194</v>
      </c>
      <c r="L381" s="2" t="s">
        <v>8821</v>
      </c>
      <c r="M381" s="2" t="s">
        <v>36</v>
      </c>
    </row>
    <row r="382" customFormat="false" ht="15" hidden="false" customHeight="false" outlineLevel="0" collapsed="false">
      <c r="A382" s="2" t="s">
        <v>2666</v>
      </c>
      <c r="B382" s="2" t="s">
        <v>8853</v>
      </c>
      <c r="C382" s="2" t="s">
        <v>8839</v>
      </c>
      <c r="D382" s="2" t="s">
        <v>8824</v>
      </c>
      <c r="E382" s="13" t="n">
        <v>35995</v>
      </c>
      <c r="F382" s="2" t="n">
        <v>254771585593</v>
      </c>
      <c r="G382" s="2" t="n">
        <v>11</v>
      </c>
      <c r="H382" s="2" t="s">
        <v>8850</v>
      </c>
      <c r="I382" s="2" t="s">
        <v>8848</v>
      </c>
      <c r="J382" s="2" t="s">
        <v>58</v>
      </c>
      <c r="K382" s="13" t="n">
        <v>45422</v>
      </c>
      <c r="L382" s="2" t="s">
        <v>8855</v>
      </c>
      <c r="M382" s="2" t="s">
        <v>36</v>
      </c>
    </row>
    <row r="383" customFormat="false" ht="15" hidden="false" customHeight="false" outlineLevel="0" collapsed="false">
      <c r="A383" s="2" t="s">
        <v>1873</v>
      </c>
      <c r="B383" s="2" t="s">
        <v>8874</v>
      </c>
      <c r="C383" s="2" t="s">
        <v>8839</v>
      </c>
      <c r="D383" s="2" t="s">
        <v>8819</v>
      </c>
      <c r="E383" s="13" t="n">
        <v>31456</v>
      </c>
      <c r="F383" s="2" t="n">
        <v>254752376656</v>
      </c>
      <c r="G383" s="2" t="n">
        <v>7</v>
      </c>
      <c r="H383" s="2" t="s">
        <v>8850</v>
      </c>
      <c r="I383" s="2" t="s">
        <v>8857</v>
      </c>
      <c r="J383" s="2" t="s">
        <v>62</v>
      </c>
      <c r="K383" s="13" t="n">
        <v>45575</v>
      </c>
      <c r="L383" s="2" t="s">
        <v>8821</v>
      </c>
      <c r="M383" s="2" t="s">
        <v>36</v>
      </c>
    </row>
    <row r="384" customFormat="false" ht="15" hidden="false" customHeight="false" outlineLevel="0" collapsed="false">
      <c r="A384" s="2" t="s">
        <v>3597</v>
      </c>
      <c r="B384" s="2" t="s">
        <v>8856</v>
      </c>
      <c r="C384" s="2" t="s">
        <v>8869</v>
      </c>
      <c r="D384" s="2" t="s">
        <v>8819</v>
      </c>
      <c r="E384" s="13" t="n">
        <v>31170</v>
      </c>
      <c r="F384" s="2" t="n">
        <v>254784430642</v>
      </c>
      <c r="G384" s="2" t="n">
        <v>15</v>
      </c>
      <c r="H384" s="2" t="s">
        <v>95</v>
      </c>
      <c r="I384" s="2" t="s">
        <v>8847</v>
      </c>
      <c r="J384" s="2" t="s">
        <v>60</v>
      </c>
      <c r="K384" s="13" t="n">
        <v>45335</v>
      </c>
      <c r="L384" s="2" t="s">
        <v>8821</v>
      </c>
      <c r="M384" s="2" t="s">
        <v>36</v>
      </c>
    </row>
    <row r="385" customFormat="false" ht="15" hidden="false" customHeight="false" outlineLevel="0" collapsed="false">
      <c r="A385" s="2" t="s">
        <v>3007</v>
      </c>
      <c r="B385" s="2" t="s">
        <v>8882</v>
      </c>
      <c r="C385" s="2" t="s">
        <v>8841</v>
      </c>
      <c r="D385" s="2" t="s">
        <v>8824</v>
      </c>
      <c r="E385" s="13" t="n">
        <v>31860</v>
      </c>
      <c r="F385" s="2" t="n">
        <v>254736798789</v>
      </c>
      <c r="G385" s="2" t="n">
        <v>4</v>
      </c>
      <c r="H385" s="2" t="s">
        <v>95</v>
      </c>
      <c r="I385" s="2" t="s">
        <v>8834</v>
      </c>
      <c r="J385" s="2" t="s">
        <v>59</v>
      </c>
      <c r="K385" s="13" t="n">
        <v>45626</v>
      </c>
      <c r="L385" s="2" t="s">
        <v>8821</v>
      </c>
      <c r="M385" s="2" t="s">
        <v>36</v>
      </c>
    </row>
    <row r="386" customFormat="false" ht="15" hidden="false" customHeight="false" outlineLevel="0" collapsed="false">
      <c r="A386" s="2" t="s">
        <v>3587</v>
      </c>
      <c r="B386" s="2" t="s">
        <v>8853</v>
      </c>
      <c r="C386" s="2" t="s">
        <v>8830</v>
      </c>
      <c r="D386" s="2" t="s">
        <v>8819</v>
      </c>
      <c r="E386" s="13" t="n">
        <v>31332</v>
      </c>
      <c r="F386" s="2" t="n">
        <v>254720534423</v>
      </c>
      <c r="G386" s="2" t="n">
        <v>11</v>
      </c>
      <c r="H386" s="2" t="s">
        <v>8850</v>
      </c>
      <c r="I386" s="2" t="s">
        <v>8848</v>
      </c>
      <c r="J386" s="2" t="s">
        <v>58</v>
      </c>
      <c r="K386" s="13" t="n">
        <v>45086</v>
      </c>
      <c r="L386" s="2" t="s">
        <v>8821</v>
      </c>
      <c r="M386" s="2" t="s">
        <v>8858</v>
      </c>
    </row>
    <row r="387" customFormat="false" ht="15" hidden="false" customHeight="false" outlineLevel="0" collapsed="false">
      <c r="A387" s="2" t="s">
        <v>2342</v>
      </c>
      <c r="B387" s="2" t="s">
        <v>8880</v>
      </c>
      <c r="C387" s="2" t="s">
        <v>8881</v>
      </c>
      <c r="D387" s="2" t="s">
        <v>8824</v>
      </c>
      <c r="E387" s="13" t="n">
        <v>34253</v>
      </c>
      <c r="F387" s="2" t="n">
        <v>254775874779</v>
      </c>
      <c r="G387" s="2" t="n">
        <v>3</v>
      </c>
      <c r="H387" s="2" t="s">
        <v>8850</v>
      </c>
      <c r="I387" s="2" t="s">
        <v>8842</v>
      </c>
      <c r="J387" s="2" t="s">
        <v>59</v>
      </c>
      <c r="K387" s="13" t="n">
        <v>45431</v>
      </c>
      <c r="L387" s="2" t="s">
        <v>8821</v>
      </c>
      <c r="M387" s="2" t="s">
        <v>36</v>
      </c>
    </row>
    <row r="388" customFormat="false" ht="15" hidden="false" customHeight="false" outlineLevel="0" collapsed="false">
      <c r="A388" s="2" t="s">
        <v>6587</v>
      </c>
      <c r="B388" s="2" t="s">
        <v>8868</v>
      </c>
      <c r="C388" s="2" t="s">
        <v>8888</v>
      </c>
      <c r="D388" s="2" t="s">
        <v>8824</v>
      </c>
      <c r="E388" s="13" t="n">
        <v>35660</v>
      </c>
      <c r="F388" s="2" t="n">
        <v>254733461307</v>
      </c>
      <c r="G388" s="2" t="n">
        <v>8</v>
      </c>
      <c r="H388" s="2" t="s">
        <v>95</v>
      </c>
      <c r="I388" s="2" t="s">
        <v>8864</v>
      </c>
      <c r="J388" s="2" t="s">
        <v>62</v>
      </c>
      <c r="K388" s="13" t="n">
        <v>44960</v>
      </c>
      <c r="L388" s="2" t="s">
        <v>8855</v>
      </c>
      <c r="M388" s="2" t="s">
        <v>36</v>
      </c>
    </row>
    <row r="389" customFormat="false" ht="15" hidden="false" customHeight="false" outlineLevel="0" collapsed="false">
      <c r="A389" s="2" t="s">
        <v>5203</v>
      </c>
      <c r="B389" s="2" t="s">
        <v>8866</v>
      </c>
      <c r="C389" s="2" t="s">
        <v>8881</v>
      </c>
      <c r="D389" s="2" t="s">
        <v>8819</v>
      </c>
      <c r="E389" s="13" t="n">
        <v>25590</v>
      </c>
      <c r="F389" s="2" t="n">
        <v>254753679307</v>
      </c>
      <c r="G389" s="2" t="n">
        <v>6</v>
      </c>
      <c r="H389" s="2" t="s">
        <v>8850</v>
      </c>
      <c r="I389" s="2" t="s">
        <v>8828</v>
      </c>
      <c r="J389" s="2" t="s">
        <v>62</v>
      </c>
      <c r="K389" s="13" t="n">
        <v>45142</v>
      </c>
      <c r="L389" s="2" t="s">
        <v>8821</v>
      </c>
      <c r="M389" s="2" t="s">
        <v>36</v>
      </c>
    </row>
    <row r="390" customFormat="false" ht="15" hidden="false" customHeight="false" outlineLevel="0" collapsed="false">
      <c r="A390" s="2" t="s">
        <v>171</v>
      </c>
      <c r="B390" s="2" t="s">
        <v>8879</v>
      </c>
      <c r="C390" s="2" t="s">
        <v>8873</v>
      </c>
      <c r="D390" s="2" t="s">
        <v>8824</v>
      </c>
      <c r="E390" s="13" t="n">
        <v>32009</v>
      </c>
      <c r="F390" s="2" t="n">
        <v>254766900650</v>
      </c>
      <c r="G390" s="2" t="n">
        <v>4</v>
      </c>
      <c r="H390" s="2" t="s">
        <v>8850</v>
      </c>
      <c r="I390" s="2" t="s">
        <v>8864</v>
      </c>
      <c r="J390" s="2" t="s">
        <v>60</v>
      </c>
      <c r="K390" s="13" t="n">
        <v>45278</v>
      </c>
      <c r="L390" s="2" t="s">
        <v>8821</v>
      </c>
      <c r="M390" s="2" t="s">
        <v>8858</v>
      </c>
    </row>
    <row r="391" customFormat="false" ht="15" hidden="false" customHeight="false" outlineLevel="0" collapsed="false">
      <c r="A391" s="2" t="s">
        <v>3147</v>
      </c>
      <c r="B391" s="2" t="s">
        <v>8832</v>
      </c>
      <c r="C391" s="2" t="s">
        <v>8881</v>
      </c>
      <c r="D391" s="2" t="s">
        <v>8819</v>
      </c>
      <c r="E391" s="13" t="n">
        <v>31995</v>
      </c>
      <c r="F391" s="2" t="n">
        <v>254723404289</v>
      </c>
      <c r="G391" s="2" t="n">
        <v>12</v>
      </c>
      <c r="H391" s="2" t="s">
        <v>8850</v>
      </c>
      <c r="I391" s="2" t="s">
        <v>8831</v>
      </c>
      <c r="J391" s="2" t="s">
        <v>62</v>
      </c>
      <c r="K391" s="13" t="n">
        <v>45512</v>
      </c>
      <c r="L391" s="2" t="s">
        <v>8855</v>
      </c>
      <c r="M391" s="2" t="s">
        <v>8858</v>
      </c>
    </row>
    <row r="392" customFormat="false" ht="15" hidden="false" customHeight="false" outlineLevel="0" collapsed="false">
      <c r="A392" s="2" t="s">
        <v>2279</v>
      </c>
      <c r="B392" s="2" t="s">
        <v>8877</v>
      </c>
      <c r="C392" s="2" t="s">
        <v>8818</v>
      </c>
      <c r="D392" s="2" t="s">
        <v>8819</v>
      </c>
      <c r="E392" s="13" t="n">
        <v>30036</v>
      </c>
      <c r="F392" s="2" t="n">
        <v>254766575546</v>
      </c>
      <c r="G392" s="2" t="n">
        <v>8</v>
      </c>
      <c r="H392" s="2" t="s">
        <v>95</v>
      </c>
      <c r="I392" s="2" t="s">
        <v>8852</v>
      </c>
      <c r="J392" s="2" t="s">
        <v>62</v>
      </c>
      <c r="K392" s="13" t="n">
        <v>45080</v>
      </c>
      <c r="L392" s="2" t="s">
        <v>8821</v>
      </c>
      <c r="M392" s="2" t="s">
        <v>8858</v>
      </c>
    </row>
    <row r="393" customFormat="false" ht="15" hidden="false" customHeight="false" outlineLevel="0" collapsed="false">
      <c r="A393" s="2" t="s">
        <v>8690</v>
      </c>
      <c r="B393" s="2" t="s">
        <v>8822</v>
      </c>
      <c r="C393" s="2" t="s">
        <v>8876</v>
      </c>
      <c r="D393" s="2" t="s">
        <v>8819</v>
      </c>
      <c r="E393" s="13" t="n">
        <v>32646</v>
      </c>
      <c r="F393" s="2" t="n">
        <v>254731923376</v>
      </c>
      <c r="G393" s="2" t="n">
        <v>1</v>
      </c>
      <c r="H393" s="2" t="s">
        <v>95</v>
      </c>
      <c r="I393" s="2" t="s">
        <v>8834</v>
      </c>
      <c r="J393" s="2" t="s">
        <v>61</v>
      </c>
      <c r="K393" s="13" t="n">
        <v>45508</v>
      </c>
      <c r="L393" s="2" t="s">
        <v>8821</v>
      </c>
      <c r="M393" s="2" t="s">
        <v>8858</v>
      </c>
    </row>
    <row r="394" customFormat="false" ht="15" hidden="false" customHeight="false" outlineLevel="0" collapsed="false">
      <c r="A394" s="2" t="s">
        <v>2057</v>
      </c>
      <c r="B394" s="2" t="s">
        <v>8851</v>
      </c>
      <c r="C394" s="2" t="s">
        <v>8863</v>
      </c>
      <c r="D394" s="2" t="s">
        <v>8824</v>
      </c>
      <c r="E394" s="13" t="n">
        <v>33370</v>
      </c>
      <c r="F394" s="2" t="n">
        <v>254756189726</v>
      </c>
      <c r="G394" s="2" t="n">
        <v>1</v>
      </c>
      <c r="H394" s="2" t="s">
        <v>8850</v>
      </c>
      <c r="I394" s="2" t="s">
        <v>8825</v>
      </c>
      <c r="J394" s="2" t="s">
        <v>60</v>
      </c>
      <c r="K394" s="13" t="n">
        <v>45295</v>
      </c>
      <c r="L394" s="2" t="s">
        <v>8821</v>
      </c>
      <c r="M394" s="2" t="s">
        <v>36</v>
      </c>
    </row>
    <row r="395" customFormat="false" ht="15" hidden="false" customHeight="false" outlineLevel="0" collapsed="false">
      <c r="A395" s="2" t="s">
        <v>998</v>
      </c>
      <c r="B395" s="2" t="s">
        <v>8868</v>
      </c>
      <c r="C395" s="2" t="s">
        <v>8859</v>
      </c>
      <c r="D395" s="2" t="s">
        <v>8824</v>
      </c>
      <c r="E395" s="13" t="n">
        <v>32305</v>
      </c>
      <c r="F395" s="2" t="n">
        <v>254720523679</v>
      </c>
      <c r="G395" s="2" t="n">
        <v>7</v>
      </c>
      <c r="H395" s="2" t="s">
        <v>8850</v>
      </c>
      <c r="I395" s="2" t="s">
        <v>8847</v>
      </c>
      <c r="J395" s="2" t="s">
        <v>59</v>
      </c>
      <c r="K395" s="13" t="n">
        <v>45616</v>
      </c>
      <c r="L395" s="2" t="s">
        <v>8821</v>
      </c>
      <c r="M395" s="2" t="s">
        <v>36</v>
      </c>
    </row>
    <row r="396" customFormat="false" ht="15" hidden="false" customHeight="false" outlineLevel="0" collapsed="false">
      <c r="A396" s="2" t="s">
        <v>2100</v>
      </c>
      <c r="B396" s="2" t="s">
        <v>8866</v>
      </c>
      <c r="C396" s="2" t="s">
        <v>8827</v>
      </c>
      <c r="D396" s="2" t="s">
        <v>8819</v>
      </c>
      <c r="E396" s="13" t="n">
        <v>35389</v>
      </c>
      <c r="F396" s="2" t="n">
        <v>254731743203</v>
      </c>
      <c r="G396" s="2" t="n">
        <v>6</v>
      </c>
      <c r="H396" s="2" t="s">
        <v>95</v>
      </c>
      <c r="I396" s="2" t="s">
        <v>8844</v>
      </c>
      <c r="J396" s="2" t="s">
        <v>60</v>
      </c>
      <c r="K396" s="13" t="n">
        <v>45512</v>
      </c>
      <c r="L396" s="2" t="s">
        <v>8821</v>
      </c>
      <c r="M396" s="2" t="s">
        <v>36</v>
      </c>
    </row>
    <row r="397" customFormat="false" ht="15" hidden="false" customHeight="false" outlineLevel="0" collapsed="false">
      <c r="A397" s="2" t="s">
        <v>5357</v>
      </c>
      <c r="B397" s="2" t="s">
        <v>8871</v>
      </c>
      <c r="C397" s="2" t="s">
        <v>8881</v>
      </c>
      <c r="D397" s="2" t="s">
        <v>8824</v>
      </c>
      <c r="E397" s="13" t="n">
        <v>34834</v>
      </c>
      <c r="F397" s="2" t="n">
        <v>254765564671</v>
      </c>
      <c r="G397" s="2" t="n">
        <v>3</v>
      </c>
      <c r="H397" s="2" t="s">
        <v>95</v>
      </c>
      <c r="I397" s="2" t="s">
        <v>8820</v>
      </c>
      <c r="J397" s="2" t="s">
        <v>59</v>
      </c>
      <c r="K397" s="13" t="n">
        <v>45298</v>
      </c>
      <c r="L397" s="2" t="s">
        <v>8821</v>
      </c>
      <c r="M397" s="2" t="s">
        <v>36</v>
      </c>
    </row>
    <row r="398" customFormat="false" ht="15" hidden="false" customHeight="false" outlineLevel="0" collapsed="false">
      <c r="A398" s="2" t="s">
        <v>5577</v>
      </c>
      <c r="B398" s="2" t="s">
        <v>8829</v>
      </c>
      <c r="C398" s="2" t="s">
        <v>8830</v>
      </c>
      <c r="D398" s="2" t="s">
        <v>8819</v>
      </c>
      <c r="E398" s="13" t="n">
        <v>27490</v>
      </c>
      <c r="F398" s="2" t="n">
        <v>254773509922</v>
      </c>
      <c r="G398" s="2" t="n">
        <v>9</v>
      </c>
      <c r="H398" s="2" t="s">
        <v>95</v>
      </c>
      <c r="I398" s="2" t="s">
        <v>8820</v>
      </c>
      <c r="J398" s="2" t="s">
        <v>61</v>
      </c>
      <c r="K398" s="13" t="n">
        <v>45333</v>
      </c>
      <c r="L398" s="2" t="s">
        <v>8821</v>
      </c>
      <c r="M398" s="2" t="s">
        <v>36</v>
      </c>
    </row>
    <row r="399" customFormat="false" ht="15" hidden="false" customHeight="false" outlineLevel="0" collapsed="false">
      <c r="A399" s="2" t="s">
        <v>3755</v>
      </c>
      <c r="B399" s="2" t="s">
        <v>8886</v>
      </c>
      <c r="C399" s="2" t="s">
        <v>8876</v>
      </c>
      <c r="D399" s="2" t="s">
        <v>8824</v>
      </c>
      <c r="E399" s="13" t="n">
        <v>31690</v>
      </c>
      <c r="F399" s="2" t="n">
        <v>254740783635</v>
      </c>
      <c r="G399" s="2" t="n">
        <v>4</v>
      </c>
      <c r="H399" s="2" t="s">
        <v>8850</v>
      </c>
      <c r="I399" s="2" t="s">
        <v>8847</v>
      </c>
      <c r="J399" s="2" t="s">
        <v>59</v>
      </c>
      <c r="K399" s="13" t="n">
        <v>45013</v>
      </c>
      <c r="L399" s="2" t="s">
        <v>8821</v>
      </c>
      <c r="M399" s="2" t="s">
        <v>36</v>
      </c>
    </row>
    <row r="400" customFormat="false" ht="15" hidden="false" customHeight="false" outlineLevel="0" collapsed="false">
      <c r="A400" s="2" t="s">
        <v>4149</v>
      </c>
      <c r="B400" s="2" t="s">
        <v>8885</v>
      </c>
      <c r="C400" s="2" t="s">
        <v>8869</v>
      </c>
      <c r="D400" s="2" t="s">
        <v>8824</v>
      </c>
      <c r="E400" s="13" t="n">
        <v>25955</v>
      </c>
      <c r="F400" s="2" t="n">
        <v>254772705646</v>
      </c>
      <c r="G400" s="2" t="n">
        <v>14</v>
      </c>
      <c r="H400" s="2" t="s">
        <v>8850</v>
      </c>
      <c r="I400" s="2" t="s">
        <v>8857</v>
      </c>
      <c r="J400" s="2" t="s">
        <v>61</v>
      </c>
      <c r="K400" s="13" t="n">
        <v>45292</v>
      </c>
      <c r="L400" s="2" t="s">
        <v>8821</v>
      </c>
      <c r="M400" s="2" t="s">
        <v>36</v>
      </c>
    </row>
    <row r="401" customFormat="false" ht="15" hidden="false" customHeight="false" outlineLevel="0" collapsed="false">
      <c r="A401" s="2" t="s">
        <v>2556</v>
      </c>
      <c r="B401" s="2" t="s">
        <v>8880</v>
      </c>
      <c r="C401" s="2" t="s">
        <v>8881</v>
      </c>
      <c r="D401" s="2" t="s">
        <v>8824</v>
      </c>
      <c r="E401" s="13" t="n">
        <v>36488</v>
      </c>
      <c r="F401" s="2" t="n">
        <v>254780257585</v>
      </c>
      <c r="G401" s="2" t="n">
        <v>11</v>
      </c>
      <c r="H401" s="2" t="s">
        <v>8850</v>
      </c>
      <c r="I401" s="2" t="s">
        <v>8844</v>
      </c>
      <c r="J401" s="2" t="s">
        <v>61</v>
      </c>
      <c r="K401" s="13" t="n">
        <v>45578</v>
      </c>
      <c r="L401" s="2" t="s">
        <v>8821</v>
      </c>
      <c r="M401" s="2" t="s">
        <v>36</v>
      </c>
    </row>
    <row r="402" customFormat="false" ht="15" hidden="false" customHeight="false" outlineLevel="0" collapsed="false">
      <c r="A402" s="2" t="s">
        <v>3089</v>
      </c>
      <c r="B402" s="2" t="s">
        <v>8845</v>
      </c>
      <c r="C402" s="2" t="s">
        <v>8833</v>
      </c>
      <c r="D402" s="2" t="s">
        <v>8824</v>
      </c>
      <c r="E402" s="13" t="n">
        <v>35927</v>
      </c>
      <c r="F402" s="2" t="n">
        <v>254711416778</v>
      </c>
      <c r="G402" s="2" t="n">
        <v>1</v>
      </c>
      <c r="H402" s="2" t="s">
        <v>95</v>
      </c>
      <c r="I402" s="2" t="s">
        <v>8844</v>
      </c>
      <c r="J402" s="2" t="s">
        <v>60</v>
      </c>
      <c r="K402" s="13" t="n">
        <v>45349</v>
      </c>
      <c r="L402" s="2" t="s">
        <v>8855</v>
      </c>
      <c r="M402" s="2" t="s">
        <v>36</v>
      </c>
    </row>
    <row r="403" customFormat="false" ht="15" hidden="false" customHeight="false" outlineLevel="0" collapsed="false">
      <c r="A403" s="2" t="s">
        <v>1172</v>
      </c>
      <c r="B403" s="2" t="s">
        <v>8853</v>
      </c>
      <c r="C403" s="2" t="s">
        <v>8865</v>
      </c>
      <c r="D403" s="2" t="s">
        <v>8824</v>
      </c>
      <c r="E403" s="13" t="n">
        <v>37113</v>
      </c>
      <c r="F403" s="2" t="n">
        <v>254790128487</v>
      </c>
      <c r="G403" s="2" t="n">
        <v>4</v>
      </c>
      <c r="H403" s="2" t="s">
        <v>95</v>
      </c>
      <c r="I403" s="2" t="s">
        <v>8857</v>
      </c>
      <c r="J403" s="2" t="s">
        <v>60</v>
      </c>
      <c r="K403" s="13" t="n">
        <v>44936</v>
      </c>
      <c r="L403" s="2" t="s">
        <v>8821</v>
      </c>
      <c r="M403" s="2" t="s">
        <v>8858</v>
      </c>
    </row>
    <row r="404" customFormat="false" ht="15" hidden="false" customHeight="false" outlineLevel="0" collapsed="false">
      <c r="A404" s="2" t="s">
        <v>3835</v>
      </c>
      <c r="B404" s="2" t="s">
        <v>8875</v>
      </c>
      <c r="C404" s="2" t="s">
        <v>8876</v>
      </c>
      <c r="D404" s="2" t="s">
        <v>8824</v>
      </c>
      <c r="E404" s="13" t="n">
        <v>35619</v>
      </c>
      <c r="F404" s="2" t="n">
        <v>254739607414</v>
      </c>
      <c r="G404" s="2" t="n">
        <v>5</v>
      </c>
      <c r="H404" s="2" t="s">
        <v>95</v>
      </c>
      <c r="I404" s="2" t="s">
        <v>8842</v>
      </c>
      <c r="J404" s="2" t="s">
        <v>59</v>
      </c>
      <c r="K404" s="13" t="n">
        <v>45094</v>
      </c>
      <c r="L404" s="2" t="s">
        <v>8821</v>
      </c>
      <c r="M404" s="2" t="s">
        <v>36</v>
      </c>
    </row>
    <row r="405" customFormat="false" ht="15" hidden="false" customHeight="false" outlineLevel="0" collapsed="false">
      <c r="A405" s="2" t="s">
        <v>706</v>
      </c>
      <c r="B405" s="2" t="s">
        <v>8835</v>
      </c>
      <c r="C405" s="2" t="s">
        <v>8833</v>
      </c>
      <c r="D405" s="2" t="s">
        <v>8824</v>
      </c>
      <c r="E405" s="13" t="n">
        <v>31965</v>
      </c>
      <c r="F405" s="2" t="n">
        <v>254724811778</v>
      </c>
      <c r="G405" s="2" t="n">
        <v>11</v>
      </c>
      <c r="H405" s="2" t="s">
        <v>8850</v>
      </c>
      <c r="I405" s="2" t="s">
        <v>8848</v>
      </c>
      <c r="J405" s="2" t="s">
        <v>61</v>
      </c>
      <c r="K405" s="13" t="n">
        <v>44997</v>
      </c>
      <c r="L405" s="2" t="s">
        <v>8821</v>
      </c>
      <c r="M405" s="2" t="s">
        <v>8858</v>
      </c>
    </row>
    <row r="406" customFormat="false" ht="15" hidden="false" customHeight="false" outlineLevel="0" collapsed="false">
      <c r="A406" s="2" t="s">
        <v>6045</v>
      </c>
      <c r="B406" s="2" t="s">
        <v>8822</v>
      </c>
      <c r="C406" s="2" t="s">
        <v>8863</v>
      </c>
      <c r="D406" s="2" t="s">
        <v>8819</v>
      </c>
      <c r="E406" s="13" t="n">
        <v>30103</v>
      </c>
      <c r="F406" s="2" t="n">
        <v>254734956121</v>
      </c>
      <c r="G406" s="2" t="n">
        <v>2</v>
      </c>
      <c r="H406" s="2" t="s">
        <v>8850</v>
      </c>
      <c r="I406" s="2" t="s">
        <v>8834</v>
      </c>
      <c r="J406" s="2" t="s">
        <v>59</v>
      </c>
      <c r="K406" s="13" t="n">
        <v>45082</v>
      </c>
      <c r="L406" s="2" t="s">
        <v>8855</v>
      </c>
      <c r="M406" s="2" t="s">
        <v>36</v>
      </c>
    </row>
    <row r="407" customFormat="false" ht="15" hidden="false" customHeight="false" outlineLevel="0" collapsed="false">
      <c r="A407" s="2" t="s">
        <v>2660</v>
      </c>
      <c r="B407" s="2" t="s">
        <v>8877</v>
      </c>
      <c r="C407" s="2" t="s">
        <v>8841</v>
      </c>
      <c r="D407" s="2" t="s">
        <v>8824</v>
      </c>
      <c r="E407" s="13" t="n">
        <v>30717</v>
      </c>
      <c r="F407" s="2" t="n">
        <v>254766404064</v>
      </c>
      <c r="G407" s="2" t="n">
        <v>5</v>
      </c>
      <c r="H407" s="2" t="s">
        <v>8850</v>
      </c>
      <c r="I407" s="2" t="s">
        <v>8844</v>
      </c>
      <c r="J407" s="2" t="s">
        <v>61</v>
      </c>
      <c r="K407" s="13" t="n">
        <v>44942</v>
      </c>
      <c r="L407" s="2" t="s">
        <v>8821</v>
      </c>
      <c r="M407" s="2" t="s">
        <v>36</v>
      </c>
    </row>
    <row r="408" customFormat="false" ht="15" hidden="false" customHeight="false" outlineLevel="0" collapsed="false">
      <c r="A408" s="2" t="s">
        <v>2156</v>
      </c>
      <c r="B408" s="2" t="s">
        <v>8853</v>
      </c>
      <c r="C408" s="2" t="s">
        <v>8876</v>
      </c>
      <c r="D408" s="2" t="s">
        <v>8819</v>
      </c>
      <c r="E408" s="13" t="n">
        <v>27455</v>
      </c>
      <c r="F408" s="2" t="n">
        <v>254782905989</v>
      </c>
      <c r="G408" s="2" t="n">
        <v>8</v>
      </c>
      <c r="H408" s="2" t="s">
        <v>95</v>
      </c>
      <c r="I408" s="2" t="s">
        <v>8831</v>
      </c>
      <c r="J408" s="2" t="s">
        <v>60</v>
      </c>
      <c r="K408" s="13" t="n">
        <v>45199</v>
      </c>
      <c r="L408" s="2" t="s">
        <v>8855</v>
      </c>
      <c r="M408" s="2" t="s">
        <v>36</v>
      </c>
    </row>
    <row r="409" customFormat="false" ht="15" hidden="false" customHeight="false" outlineLevel="0" collapsed="false">
      <c r="A409" s="2" t="s">
        <v>5565</v>
      </c>
      <c r="B409" s="2" t="s">
        <v>8853</v>
      </c>
      <c r="C409" s="2" t="s">
        <v>8870</v>
      </c>
      <c r="D409" s="2" t="s">
        <v>8819</v>
      </c>
      <c r="E409" s="13" t="n">
        <v>28467</v>
      </c>
      <c r="F409" s="2" t="n">
        <v>254714497675</v>
      </c>
      <c r="G409" s="2" t="n">
        <v>4</v>
      </c>
      <c r="H409" s="2" t="s">
        <v>8850</v>
      </c>
      <c r="I409" s="2" t="s">
        <v>8864</v>
      </c>
      <c r="J409" s="2" t="s">
        <v>58</v>
      </c>
      <c r="K409" s="13" t="n">
        <v>45321</v>
      </c>
      <c r="L409" s="2" t="s">
        <v>8821</v>
      </c>
      <c r="M409" s="2" t="s">
        <v>8858</v>
      </c>
    </row>
    <row r="410" customFormat="false" ht="15" hidden="false" customHeight="false" outlineLevel="0" collapsed="false">
      <c r="A410" s="2" t="s">
        <v>1258</v>
      </c>
      <c r="B410" s="2" t="s">
        <v>8835</v>
      </c>
      <c r="C410" s="2" t="s">
        <v>8823</v>
      </c>
      <c r="D410" s="2" t="s">
        <v>8819</v>
      </c>
      <c r="E410" s="13" t="n">
        <v>34648</v>
      </c>
      <c r="F410" s="2" t="n">
        <v>254743999060</v>
      </c>
      <c r="G410" s="2" t="n">
        <v>8</v>
      </c>
      <c r="H410" s="2" t="s">
        <v>8850</v>
      </c>
      <c r="I410" s="2" t="s">
        <v>8831</v>
      </c>
      <c r="J410" s="2" t="s">
        <v>60</v>
      </c>
      <c r="K410" s="13" t="n">
        <v>45257</v>
      </c>
      <c r="L410" s="2" t="s">
        <v>8821</v>
      </c>
      <c r="M410" s="2" t="s">
        <v>36</v>
      </c>
    </row>
    <row r="411" customFormat="false" ht="15" hidden="false" customHeight="false" outlineLevel="0" collapsed="false">
      <c r="A411" s="2" t="s">
        <v>5993</v>
      </c>
      <c r="B411" s="2" t="s">
        <v>8878</v>
      </c>
      <c r="C411" s="2" t="s">
        <v>8818</v>
      </c>
      <c r="D411" s="2" t="s">
        <v>8819</v>
      </c>
      <c r="E411" s="13" t="n">
        <v>28236</v>
      </c>
      <c r="F411" s="2" t="n">
        <v>254747057520</v>
      </c>
      <c r="G411" s="2" t="n">
        <v>10</v>
      </c>
      <c r="H411" s="2" t="s">
        <v>95</v>
      </c>
      <c r="I411" s="2" t="s">
        <v>8842</v>
      </c>
      <c r="J411" s="2" t="s">
        <v>59</v>
      </c>
      <c r="K411" s="13" t="n">
        <v>45371</v>
      </c>
      <c r="L411" s="2" t="s">
        <v>8821</v>
      </c>
      <c r="M411" s="2" t="s">
        <v>36</v>
      </c>
    </row>
    <row r="412" customFormat="false" ht="15" hidden="false" customHeight="false" outlineLevel="0" collapsed="false">
      <c r="A412" s="2" t="s">
        <v>2184</v>
      </c>
      <c r="B412" s="2" t="s">
        <v>8879</v>
      </c>
      <c r="C412" s="2" t="s">
        <v>8827</v>
      </c>
      <c r="D412" s="2" t="s">
        <v>8819</v>
      </c>
      <c r="E412" s="13" t="n">
        <v>36880</v>
      </c>
      <c r="F412" s="2" t="n">
        <v>254731165928</v>
      </c>
      <c r="G412" s="2" t="n">
        <v>8</v>
      </c>
      <c r="H412" s="2" t="s">
        <v>95</v>
      </c>
      <c r="I412" s="2" t="s">
        <v>8852</v>
      </c>
      <c r="J412" s="2" t="s">
        <v>62</v>
      </c>
      <c r="K412" s="13" t="n">
        <v>45085</v>
      </c>
      <c r="L412" s="2" t="s">
        <v>8821</v>
      </c>
      <c r="M412" s="2" t="s">
        <v>36</v>
      </c>
    </row>
    <row r="413" customFormat="false" ht="15" hidden="false" customHeight="false" outlineLevel="0" collapsed="false">
      <c r="A413" s="2" t="s">
        <v>2087</v>
      </c>
      <c r="B413" s="2" t="s">
        <v>8875</v>
      </c>
      <c r="C413" s="2" t="s">
        <v>8863</v>
      </c>
      <c r="D413" s="2" t="s">
        <v>8819</v>
      </c>
      <c r="E413" s="13" t="n">
        <v>26836</v>
      </c>
      <c r="F413" s="2" t="n">
        <v>254726888275</v>
      </c>
      <c r="G413" s="2" t="n">
        <v>8</v>
      </c>
      <c r="H413" s="2" t="s">
        <v>95</v>
      </c>
      <c r="I413" s="2" t="s">
        <v>8844</v>
      </c>
      <c r="J413" s="2" t="s">
        <v>62</v>
      </c>
      <c r="K413" s="13" t="n">
        <v>45084</v>
      </c>
      <c r="L413" s="2" t="s">
        <v>8821</v>
      </c>
      <c r="M413" s="2" t="s">
        <v>8858</v>
      </c>
    </row>
    <row r="414" customFormat="false" ht="15" hidden="false" customHeight="false" outlineLevel="0" collapsed="false">
      <c r="A414" s="2" t="s">
        <v>1337</v>
      </c>
      <c r="B414" s="2" t="s">
        <v>8879</v>
      </c>
      <c r="C414" s="2" t="s">
        <v>8833</v>
      </c>
      <c r="D414" s="2" t="s">
        <v>8824</v>
      </c>
      <c r="E414" s="13" t="n">
        <v>29974</v>
      </c>
      <c r="F414" s="2" t="n">
        <v>254715300062</v>
      </c>
      <c r="G414" s="2" t="n">
        <v>8</v>
      </c>
      <c r="H414" s="2" t="s">
        <v>8850</v>
      </c>
      <c r="I414" s="2" t="s">
        <v>8857</v>
      </c>
      <c r="J414" s="2" t="s">
        <v>60</v>
      </c>
      <c r="K414" s="13" t="n">
        <v>45313</v>
      </c>
      <c r="L414" s="2" t="s">
        <v>8855</v>
      </c>
      <c r="M414" s="2" t="s">
        <v>36</v>
      </c>
    </row>
    <row r="415" customFormat="false" ht="15" hidden="false" customHeight="false" outlineLevel="0" collapsed="false">
      <c r="A415" s="2" t="s">
        <v>746</v>
      </c>
      <c r="B415" s="2" t="s">
        <v>8871</v>
      </c>
      <c r="C415" s="2" t="s">
        <v>8870</v>
      </c>
      <c r="D415" s="2" t="s">
        <v>8824</v>
      </c>
      <c r="E415" s="13" t="n">
        <v>29841</v>
      </c>
      <c r="F415" s="2" t="n">
        <v>254790353461</v>
      </c>
      <c r="G415" s="2" t="n">
        <v>15</v>
      </c>
      <c r="H415" s="2" t="s">
        <v>95</v>
      </c>
      <c r="I415" s="2" t="s">
        <v>8825</v>
      </c>
      <c r="J415" s="2" t="s">
        <v>62</v>
      </c>
      <c r="K415" s="13" t="n">
        <v>45258</v>
      </c>
      <c r="L415" s="2" t="s">
        <v>8821</v>
      </c>
      <c r="M415" s="2" t="s">
        <v>8858</v>
      </c>
    </row>
    <row r="416" customFormat="false" ht="15" hidden="false" customHeight="false" outlineLevel="0" collapsed="false">
      <c r="A416" s="2" t="s">
        <v>1103</v>
      </c>
      <c r="B416" s="2" t="s">
        <v>8860</v>
      </c>
      <c r="C416" s="2" t="s">
        <v>8818</v>
      </c>
      <c r="D416" s="2" t="s">
        <v>8824</v>
      </c>
      <c r="E416" s="13" t="n">
        <v>32281</v>
      </c>
      <c r="F416" s="2" t="n">
        <v>254734901990</v>
      </c>
      <c r="G416" s="2" t="n">
        <v>15</v>
      </c>
      <c r="H416" s="2" t="s">
        <v>95</v>
      </c>
      <c r="I416" s="2" t="s">
        <v>8848</v>
      </c>
      <c r="J416" s="2" t="s">
        <v>60</v>
      </c>
      <c r="K416" s="13" t="n">
        <v>45302</v>
      </c>
      <c r="L416" s="2" t="s">
        <v>8821</v>
      </c>
      <c r="M416" s="2" t="s">
        <v>36</v>
      </c>
    </row>
    <row r="417" customFormat="false" ht="15" hidden="false" customHeight="false" outlineLevel="0" collapsed="false">
      <c r="A417" s="2" t="s">
        <v>793</v>
      </c>
      <c r="B417" s="2" t="s">
        <v>8840</v>
      </c>
      <c r="C417" s="2" t="s">
        <v>8861</v>
      </c>
      <c r="D417" s="2" t="s">
        <v>8824</v>
      </c>
      <c r="E417" s="13" t="n">
        <v>27351</v>
      </c>
      <c r="F417" s="2" t="n">
        <v>254784016756</v>
      </c>
      <c r="G417" s="2" t="n">
        <v>3</v>
      </c>
      <c r="H417" s="2" t="s">
        <v>8850</v>
      </c>
      <c r="I417" s="2" t="s">
        <v>8844</v>
      </c>
      <c r="J417" s="2" t="s">
        <v>61</v>
      </c>
      <c r="K417" s="13" t="n">
        <v>45323</v>
      </c>
      <c r="L417" s="2" t="s">
        <v>8821</v>
      </c>
      <c r="M417" s="2" t="s">
        <v>36</v>
      </c>
    </row>
    <row r="418" customFormat="false" ht="15" hidden="false" customHeight="false" outlineLevel="0" collapsed="false">
      <c r="A418" s="2" t="s">
        <v>7595</v>
      </c>
      <c r="B418" s="2" t="s">
        <v>8822</v>
      </c>
      <c r="C418" s="2" t="s">
        <v>8833</v>
      </c>
      <c r="D418" s="2" t="s">
        <v>8819</v>
      </c>
      <c r="E418" s="13" t="n">
        <v>28025</v>
      </c>
      <c r="F418" s="2" t="n">
        <v>254714197492</v>
      </c>
      <c r="G418" s="2" t="n">
        <v>4</v>
      </c>
      <c r="H418" s="2" t="s">
        <v>95</v>
      </c>
      <c r="I418" s="2" t="s">
        <v>8847</v>
      </c>
      <c r="J418" s="2" t="s">
        <v>59</v>
      </c>
      <c r="K418" s="13" t="n">
        <v>44995</v>
      </c>
      <c r="L418" s="2" t="s">
        <v>8821</v>
      </c>
      <c r="M418" s="2" t="s">
        <v>36</v>
      </c>
    </row>
    <row r="419" customFormat="false" ht="15" hidden="false" customHeight="false" outlineLevel="0" collapsed="false">
      <c r="A419" s="2" t="s">
        <v>948</v>
      </c>
      <c r="B419" s="2" t="s">
        <v>8849</v>
      </c>
      <c r="C419" s="2" t="s">
        <v>8881</v>
      </c>
      <c r="D419" s="2" t="s">
        <v>8824</v>
      </c>
      <c r="E419" s="13" t="n">
        <v>34654</v>
      </c>
      <c r="F419" s="2" t="n">
        <v>254716588161</v>
      </c>
      <c r="G419" s="2" t="n">
        <v>6</v>
      </c>
      <c r="H419" s="2" t="s">
        <v>95</v>
      </c>
      <c r="I419" s="2" t="s">
        <v>8848</v>
      </c>
      <c r="J419" s="2" t="s">
        <v>58</v>
      </c>
      <c r="K419" s="13" t="n">
        <v>45465</v>
      </c>
      <c r="L419" s="2" t="s">
        <v>8821</v>
      </c>
      <c r="M419" s="2" t="s">
        <v>36</v>
      </c>
    </row>
    <row r="420" customFormat="false" ht="15" hidden="false" customHeight="false" outlineLevel="0" collapsed="false">
      <c r="A420" s="2" t="s">
        <v>8702</v>
      </c>
      <c r="B420" s="2" t="s">
        <v>8822</v>
      </c>
      <c r="C420" s="2" t="s">
        <v>8888</v>
      </c>
      <c r="D420" s="2" t="s">
        <v>8824</v>
      </c>
      <c r="E420" s="13" t="n">
        <v>36937</v>
      </c>
      <c r="F420" s="2" t="n">
        <v>254759535555</v>
      </c>
      <c r="G420" s="2" t="n">
        <v>13</v>
      </c>
      <c r="H420" s="2" t="s">
        <v>95</v>
      </c>
      <c r="I420" s="2" t="s">
        <v>8848</v>
      </c>
      <c r="J420" s="2" t="s">
        <v>60</v>
      </c>
      <c r="K420" s="13" t="n">
        <v>45581</v>
      </c>
      <c r="L420" s="2" t="s">
        <v>8821</v>
      </c>
      <c r="M420" s="2" t="s">
        <v>36</v>
      </c>
    </row>
    <row r="421" customFormat="false" ht="15" hidden="false" customHeight="false" outlineLevel="0" collapsed="false">
      <c r="A421" s="2" t="s">
        <v>2618</v>
      </c>
      <c r="B421" s="2" t="s">
        <v>8829</v>
      </c>
      <c r="C421" s="2" t="s">
        <v>8830</v>
      </c>
      <c r="D421" s="2" t="s">
        <v>8819</v>
      </c>
      <c r="E421" s="13" t="n">
        <v>32546</v>
      </c>
      <c r="F421" s="2" t="n">
        <v>254781358338</v>
      </c>
      <c r="G421" s="2" t="n">
        <v>7</v>
      </c>
      <c r="H421" s="2" t="s">
        <v>95</v>
      </c>
      <c r="I421" s="2" t="s">
        <v>8831</v>
      </c>
      <c r="J421" s="2" t="s">
        <v>62</v>
      </c>
      <c r="K421" s="13" t="n">
        <v>45458</v>
      </c>
      <c r="L421" s="2" t="s">
        <v>8821</v>
      </c>
      <c r="M421" s="2" t="s">
        <v>36</v>
      </c>
    </row>
    <row r="422" customFormat="false" ht="15" hidden="false" customHeight="false" outlineLevel="0" collapsed="false">
      <c r="A422" s="2" t="s">
        <v>4463</v>
      </c>
      <c r="B422" s="2" t="s">
        <v>8862</v>
      </c>
      <c r="C422" s="2" t="s">
        <v>8888</v>
      </c>
      <c r="D422" s="2" t="s">
        <v>8824</v>
      </c>
      <c r="E422" s="13" t="n">
        <v>35403</v>
      </c>
      <c r="F422" s="2" t="n">
        <v>254799287317</v>
      </c>
      <c r="G422" s="2" t="n">
        <v>7</v>
      </c>
      <c r="H422" s="2" t="s">
        <v>95</v>
      </c>
      <c r="I422" s="2" t="s">
        <v>8828</v>
      </c>
      <c r="J422" s="2" t="s">
        <v>59</v>
      </c>
      <c r="K422" s="13" t="n">
        <v>45580</v>
      </c>
      <c r="L422" s="2" t="s">
        <v>8855</v>
      </c>
      <c r="M422" s="2" t="s">
        <v>36</v>
      </c>
    </row>
    <row r="423" customFormat="false" ht="15" hidden="false" customHeight="false" outlineLevel="0" collapsed="false">
      <c r="A423" s="2" t="s">
        <v>8897</v>
      </c>
      <c r="B423" s="2" t="s">
        <v>8882</v>
      </c>
      <c r="C423" s="2" t="s">
        <v>8888</v>
      </c>
      <c r="D423" s="2" t="s">
        <v>8824</v>
      </c>
      <c r="E423" s="13" t="n">
        <v>29484</v>
      </c>
      <c r="F423" s="2" t="n">
        <v>254783830667</v>
      </c>
      <c r="G423" s="2" t="n">
        <v>6</v>
      </c>
      <c r="H423" s="2" t="s">
        <v>8850</v>
      </c>
      <c r="I423" s="2" t="s">
        <v>8842</v>
      </c>
      <c r="J423" s="2" t="s">
        <v>61</v>
      </c>
      <c r="K423" s="13" t="n">
        <v>45380</v>
      </c>
      <c r="L423" s="2" t="s">
        <v>8821</v>
      </c>
      <c r="M423" s="2" t="s">
        <v>36</v>
      </c>
    </row>
    <row r="424" customFormat="false" ht="15" hidden="false" customHeight="false" outlineLevel="0" collapsed="false">
      <c r="A424" s="2" t="s">
        <v>1564</v>
      </c>
      <c r="B424" s="2" t="s">
        <v>8882</v>
      </c>
      <c r="C424" s="2" t="s">
        <v>8846</v>
      </c>
      <c r="D424" s="2" t="s">
        <v>8824</v>
      </c>
      <c r="E424" s="13" t="n">
        <v>30522</v>
      </c>
      <c r="F424" s="2" t="n">
        <v>254770720566</v>
      </c>
      <c r="G424" s="2" t="n">
        <v>8</v>
      </c>
      <c r="H424" s="2" t="s">
        <v>8850</v>
      </c>
      <c r="I424" s="2" t="s">
        <v>8820</v>
      </c>
      <c r="J424" s="2" t="s">
        <v>58</v>
      </c>
      <c r="K424" s="13" t="n">
        <v>45490</v>
      </c>
      <c r="L424" s="2" t="s">
        <v>8821</v>
      </c>
      <c r="M424" s="2" t="s">
        <v>36</v>
      </c>
    </row>
    <row r="425" customFormat="false" ht="15" hidden="false" customHeight="false" outlineLevel="0" collapsed="false">
      <c r="A425" s="2" t="s">
        <v>4829</v>
      </c>
      <c r="B425" s="2" t="s">
        <v>8843</v>
      </c>
      <c r="C425" s="2" t="s">
        <v>8841</v>
      </c>
      <c r="D425" s="2" t="s">
        <v>8824</v>
      </c>
      <c r="E425" s="13" t="n">
        <v>28611</v>
      </c>
      <c r="F425" s="2" t="n">
        <v>254712912708</v>
      </c>
      <c r="G425" s="2" t="n">
        <v>13</v>
      </c>
      <c r="H425" s="2" t="s">
        <v>8850</v>
      </c>
      <c r="I425" s="2" t="s">
        <v>8857</v>
      </c>
      <c r="J425" s="2" t="s">
        <v>62</v>
      </c>
      <c r="K425" s="13" t="n">
        <v>45234</v>
      </c>
      <c r="L425" s="2" t="s">
        <v>8821</v>
      </c>
      <c r="M425" s="2" t="s">
        <v>36</v>
      </c>
    </row>
    <row r="426" customFormat="false" ht="15" hidden="false" customHeight="false" outlineLevel="0" collapsed="false">
      <c r="A426" s="2" t="s">
        <v>2358</v>
      </c>
      <c r="B426" s="2" t="s">
        <v>8832</v>
      </c>
      <c r="C426" s="2" t="s">
        <v>8846</v>
      </c>
      <c r="D426" s="2" t="s">
        <v>8824</v>
      </c>
      <c r="E426" s="13" t="n">
        <v>26523</v>
      </c>
      <c r="F426" s="2" t="n">
        <v>254788135616</v>
      </c>
      <c r="G426" s="2" t="n">
        <v>4</v>
      </c>
      <c r="H426" s="2" t="s">
        <v>95</v>
      </c>
      <c r="I426" s="2" t="s">
        <v>8834</v>
      </c>
      <c r="J426" s="2" t="s">
        <v>60</v>
      </c>
      <c r="K426" s="13" t="n">
        <v>45086</v>
      </c>
      <c r="L426" s="2" t="s">
        <v>8821</v>
      </c>
      <c r="M426" s="2" t="s">
        <v>8858</v>
      </c>
    </row>
    <row r="427" customFormat="false" ht="15" hidden="false" customHeight="false" outlineLevel="0" collapsed="false">
      <c r="A427" s="2" t="s">
        <v>1051</v>
      </c>
      <c r="B427" s="2" t="s">
        <v>8874</v>
      </c>
      <c r="C427" s="2" t="s">
        <v>8859</v>
      </c>
      <c r="D427" s="2" t="s">
        <v>8819</v>
      </c>
      <c r="E427" s="13" t="n">
        <v>30653</v>
      </c>
      <c r="F427" s="2" t="n">
        <v>254775535348</v>
      </c>
      <c r="G427" s="2" t="n">
        <v>14</v>
      </c>
      <c r="H427" s="2" t="s">
        <v>95</v>
      </c>
      <c r="I427" s="2" t="s">
        <v>8848</v>
      </c>
      <c r="J427" s="2" t="s">
        <v>60</v>
      </c>
      <c r="K427" s="13" t="n">
        <v>45259</v>
      </c>
      <c r="L427" s="2" t="s">
        <v>8821</v>
      </c>
      <c r="M427" s="2" t="s">
        <v>8858</v>
      </c>
    </row>
    <row r="428" customFormat="false" ht="15" hidden="false" customHeight="false" outlineLevel="0" collapsed="false">
      <c r="A428" s="2" t="s">
        <v>4163</v>
      </c>
      <c r="B428" s="2" t="s">
        <v>8879</v>
      </c>
      <c r="C428" s="2" t="s">
        <v>8865</v>
      </c>
      <c r="D428" s="2" t="s">
        <v>8824</v>
      </c>
      <c r="E428" s="13" t="n">
        <v>27419</v>
      </c>
      <c r="F428" s="2" t="n">
        <v>254726178675</v>
      </c>
      <c r="G428" s="2" t="n">
        <v>14</v>
      </c>
      <c r="H428" s="2" t="s">
        <v>95</v>
      </c>
      <c r="I428" s="2" t="s">
        <v>8864</v>
      </c>
      <c r="J428" s="2" t="s">
        <v>62</v>
      </c>
      <c r="K428" s="13" t="n">
        <v>45269</v>
      </c>
      <c r="L428" s="2" t="s">
        <v>8821</v>
      </c>
      <c r="M428" s="2" t="s">
        <v>8858</v>
      </c>
    </row>
    <row r="429" customFormat="false" ht="15" hidden="false" customHeight="false" outlineLevel="0" collapsed="false">
      <c r="A429" s="2" t="s">
        <v>846</v>
      </c>
      <c r="B429" s="2" t="s">
        <v>8878</v>
      </c>
      <c r="C429" s="2" t="s">
        <v>8863</v>
      </c>
      <c r="D429" s="2" t="s">
        <v>8819</v>
      </c>
      <c r="E429" s="13" t="n">
        <v>26801</v>
      </c>
      <c r="F429" s="2" t="n">
        <v>254753866598</v>
      </c>
      <c r="G429" s="2" t="n">
        <v>9</v>
      </c>
      <c r="H429" s="2" t="s">
        <v>95</v>
      </c>
      <c r="I429" s="2" t="s">
        <v>8828</v>
      </c>
      <c r="J429" s="2" t="s">
        <v>58</v>
      </c>
      <c r="K429" s="13" t="n">
        <v>44969</v>
      </c>
      <c r="L429" s="2" t="s">
        <v>8855</v>
      </c>
      <c r="M429" s="2" t="s">
        <v>8858</v>
      </c>
    </row>
    <row r="430" customFormat="false" ht="15" hidden="false" customHeight="false" outlineLevel="0" collapsed="false">
      <c r="A430" s="2" t="s">
        <v>1643</v>
      </c>
      <c r="B430" s="2" t="s">
        <v>8883</v>
      </c>
      <c r="C430" s="2" t="s">
        <v>8876</v>
      </c>
      <c r="D430" s="2" t="s">
        <v>8819</v>
      </c>
      <c r="E430" s="13" t="n">
        <v>37295</v>
      </c>
      <c r="F430" s="2" t="n">
        <v>254727742113</v>
      </c>
      <c r="G430" s="2" t="n">
        <v>6</v>
      </c>
      <c r="H430" s="2" t="s">
        <v>95</v>
      </c>
      <c r="I430" s="2" t="s">
        <v>8847</v>
      </c>
      <c r="J430" s="2" t="s">
        <v>62</v>
      </c>
      <c r="K430" s="13" t="n">
        <v>45369</v>
      </c>
      <c r="L430" s="2" t="s">
        <v>8821</v>
      </c>
      <c r="M430" s="2" t="s">
        <v>8858</v>
      </c>
    </row>
    <row r="431" customFormat="false" ht="15" hidden="false" customHeight="false" outlineLevel="0" collapsed="false">
      <c r="A431" s="2" t="s">
        <v>7391</v>
      </c>
      <c r="B431" s="2" t="s">
        <v>8838</v>
      </c>
      <c r="C431" s="2" t="s">
        <v>8833</v>
      </c>
      <c r="D431" s="2" t="s">
        <v>8819</v>
      </c>
      <c r="E431" s="13" t="n">
        <v>31456</v>
      </c>
      <c r="F431" s="2" t="n">
        <v>254774548325</v>
      </c>
      <c r="G431" s="2" t="n">
        <v>9</v>
      </c>
      <c r="H431" s="2" t="s">
        <v>95</v>
      </c>
      <c r="I431" s="2" t="s">
        <v>8847</v>
      </c>
      <c r="J431" s="2" t="s">
        <v>61</v>
      </c>
      <c r="K431" s="13" t="n">
        <v>45440</v>
      </c>
      <c r="L431" s="2" t="s">
        <v>8821</v>
      </c>
      <c r="M431" s="2" t="s">
        <v>36</v>
      </c>
    </row>
    <row r="432" customFormat="false" ht="15" hidden="false" customHeight="false" outlineLevel="0" collapsed="false">
      <c r="A432" s="2" t="s">
        <v>3393</v>
      </c>
      <c r="B432" s="2" t="s">
        <v>8878</v>
      </c>
      <c r="C432" s="2" t="s">
        <v>8881</v>
      </c>
      <c r="D432" s="2" t="s">
        <v>8819</v>
      </c>
      <c r="E432" s="13" t="n">
        <v>31087</v>
      </c>
      <c r="F432" s="2" t="n">
        <v>254725103503</v>
      </c>
      <c r="G432" s="2" t="n">
        <v>11</v>
      </c>
      <c r="H432" s="2" t="s">
        <v>8850</v>
      </c>
      <c r="I432" s="2" t="s">
        <v>8842</v>
      </c>
      <c r="J432" s="2" t="s">
        <v>60</v>
      </c>
      <c r="K432" s="13" t="n">
        <v>45367</v>
      </c>
      <c r="L432" s="2" t="s">
        <v>8821</v>
      </c>
      <c r="M432" s="2" t="s">
        <v>36</v>
      </c>
    </row>
    <row r="433" customFormat="false" ht="15" hidden="false" customHeight="false" outlineLevel="0" collapsed="false">
      <c r="A433" s="2" t="s">
        <v>2530</v>
      </c>
      <c r="B433" s="2" t="s">
        <v>8817</v>
      </c>
      <c r="C433" s="2" t="s">
        <v>8854</v>
      </c>
      <c r="D433" s="2" t="s">
        <v>8819</v>
      </c>
      <c r="E433" s="13" t="n">
        <v>33044</v>
      </c>
      <c r="F433" s="2" t="n">
        <v>254756938140</v>
      </c>
      <c r="G433" s="2" t="n">
        <v>10</v>
      </c>
      <c r="H433" s="2" t="s">
        <v>8850</v>
      </c>
      <c r="I433" s="2" t="s">
        <v>8848</v>
      </c>
      <c r="J433" s="2" t="s">
        <v>59</v>
      </c>
      <c r="K433" s="13" t="n">
        <v>45598</v>
      </c>
      <c r="L433" s="2" t="s">
        <v>8855</v>
      </c>
      <c r="M433" s="2" t="s">
        <v>36</v>
      </c>
    </row>
    <row r="434" customFormat="false" ht="15" hidden="false" customHeight="false" outlineLevel="0" collapsed="false">
      <c r="A434" s="2" t="s">
        <v>1835</v>
      </c>
      <c r="B434" s="2" t="s">
        <v>8832</v>
      </c>
      <c r="C434" s="2" t="s">
        <v>8827</v>
      </c>
      <c r="D434" s="2" t="s">
        <v>8819</v>
      </c>
      <c r="E434" s="13" t="n">
        <v>30794</v>
      </c>
      <c r="F434" s="2" t="n">
        <v>254717319968</v>
      </c>
      <c r="G434" s="2" t="n">
        <v>4</v>
      </c>
      <c r="H434" s="2" t="s">
        <v>95</v>
      </c>
      <c r="I434" s="2" t="s">
        <v>8834</v>
      </c>
      <c r="J434" s="2" t="s">
        <v>58</v>
      </c>
      <c r="K434" s="13" t="n">
        <v>45309</v>
      </c>
      <c r="L434" s="2" t="s">
        <v>8821</v>
      </c>
      <c r="M434" s="2" t="s">
        <v>36</v>
      </c>
    </row>
    <row r="435" customFormat="false" ht="15" hidden="false" customHeight="false" outlineLevel="0" collapsed="false">
      <c r="A435" s="2" t="s">
        <v>4755</v>
      </c>
      <c r="B435" s="2" t="s">
        <v>8878</v>
      </c>
      <c r="C435" s="2" t="s">
        <v>8841</v>
      </c>
      <c r="D435" s="2" t="s">
        <v>8819</v>
      </c>
      <c r="E435" s="13" t="n">
        <v>32736</v>
      </c>
      <c r="F435" s="2" t="n">
        <v>254737353754</v>
      </c>
      <c r="G435" s="2" t="n">
        <v>9</v>
      </c>
      <c r="H435" s="2" t="s">
        <v>8850</v>
      </c>
      <c r="I435" s="2" t="s">
        <v>8857</v>
      </c>
      <c r="J435" s="2" t="s">
        <v>61</v>
      </c>
      <c r="K435" s="13" t="n">
        <v>44950</v>
      </c>
      <c r="L435" s="2" t="s">
        <v>8821</v>
      </c>
      <c r="M435" s="2" t="s">
        <v>36</v>
      </c>
    </row>
    <row r="436" customFormat="false" ht="15" hidden="false" customHeight="false" outlineLevel="0" collapsed="false">
      <c r="A436" s="2" t="s">
        <v>4247</v>
      </c>
      <c r="B436" s="2" t="s">
        <v>8822</v>
      </c>
      <c r="C436" s="2" t="s">
        <v>8846</v>
      </c>
      <c r="D436" s="2" t="s">
        <v>8819</v>
      </c>
      <c r="E436" s="13" t="n">
        <v>34629</v>
      </c>
      <c r="F436" s="2" t="n">
        <v>254718067834</v>
      </c>
      <c r="G436" s="2" t="n">
        <v>5</v>
      </c>
      <c r="H436" s="2" t="s">
        <v>95</v>
      </c>
      <c r="I436" s="2" t="s">
        <v>8864</v>
      </c>
      <c r="J436" s="2" t="s">
        <v>62</v>
      </c>
      <c r="K436" s="13" t="n">
        <v>45466</v>
      </c>
      <c r="L436" s="2" t="s">
        <v>8821</v>
      </c>
      <c r="M436" s="2" t="s">
        <v>36</v>
      </c>
    </row>
    <row r="437" customFormat="false" ht="15" hidden="false" customHeight="false" outlineLevel="0" collapsed="false">
      <c r="A437" s="2" t="s">
        <v>2508</v>
      </c>
      <c r="B437" s="2" t="s">
        <v>8866</v>
      </c>
      <c r="C437" s="2" t="s">
        <v>8846</v>
      </c>
      <c r="D437" s="2" t="s">
        <v>8824</v>
      </c>
      <c r="E437" s="13" t="n">
        <v>36465</v>
      </c>
      <c r="F437" s="2" t="n">
        <v>254724480943</v>
      </c>
      <c r="G437" s="2" t="n">
        <v>1</v>
      </c>
      <c r="H437" s="2" t="s">
        <v>8850</v>
      </c>
      <c r="I437" s="2" t="s">
        <v>8852</v>
      </c>
      <c r="J437" s="2" t="s">
        <v>61</v>
      </c>
      <c r="K437" s="13" t="n">
        <v>44995</v>
      </c>
      <c r="L437" s="2" t="s">
        <v>8821</v>
      </c>
      <c r="M437" s="2" t="s">
        <v>8858</v>
      </c>
    </row>
    <row r="438" customFormat="false" ht="15" hidden="false" customHeight="false" outlineLevel="0" collapsed="false">
      <c r="A438" s="2" t="s">
        <v>989</v>
      </c>
      <c r="B438" s="2" t="s">
        <v>8877</v>
      </c>
      <c r="C438" s="2" t="s">
        <v>8867</v>
      </c>
      <c r="D438" s="2" t="s">
        <v>8819</v>
      </c>
      <c r="E438" s="13" t="n">
        <v>37594</v>
      </c>
      <c r="F438" s="2" t="n">
        <v>254735020518</v>
      </c>
      <c r="G438" s="2" t="n">
        <v>4</v>
      </c>
      <c r="H438" s="2" t="s">
        <v>8850</v>
      </c>
      <c r="I438" s="2" t="s">
        <v>8857</v>
      </c>
      <c r="J438" s="2" t="s">
        <v>58</v>
      </c>
      <c r="K438" s="13" t="n">
        <v>45250</v>
      </c>
      <c r="L438" s="2" t="s">
        <v>8821</v>
      </c>
      <c r="M438" s="2" t="s">
        <v>36</v>
      </c>
    </row>
    <row r="439" customFormat="false" ht="15" hidden="false" customHeight="false" outlineLevel="0" collapsed="false">
      <c r="A439" s="2" t="s">
        <v>2484</v>
      </c>
      <c r="B439" s="2" t="s">
        <v>8871</v>
      </c>
      <c r="C439" s="2" t="s">
        <v>8873</v>
      </c>
      <c r="D439" s="2" t="s">
        <v>8819</v>
      </c>
      <c r="E439" s="13" t="n">
        <v>32675</v>
      </c>
      <c r="F439" s="2" t="n">
        <v>254756544010</v>
      </c>
      <c r="G439" s="2" t="n">
        <v>11</v>
      </c>
      <c r="H439" s="2" t="s">
        <v>8850</v>
      </c>
      <c r="I439" s="2" t="s">
        <v>8844</v>
      </c>
      <c r="J439" s="2" t="s">
        <v>60</v>
      </c>
      <c r="K439" s="13" t="n">
        <v>45329</v>
      </c>
      <c r="L439" s="2" t="s">
        <v>8821</v>
      </c>
      <c r="M439" s="2" t="s">
        <v>36</v>
      </c>
    </row>
    <row r="440" customFormat="false" ht="15" hidden="false" customHeight="false" outlineLevel="0" collapsed="false">
      <c r="A440" s="2" t="s">
        <v>2191</v>
      </c>
      <c r="B440" s="2" t="s">
        <v>8880</v>
      </c>
      <c r="C440" s="2" t="s">
        <v>8818</v>
      </c>
      <c r="D440" s="2" t="s">
        <v>8824</v>
      </c>
      <c r="E440" s="13" t="n">
        <v>26977</v>
      </c>
      <c r="F440" s="2" t="n">
        <v>254740277197</v>
      </c>
      <c r="G440" s="2" t="n">
        <v>3</v>
      </c>
      <c r="H440" s="2" t="s">
        <v>8850</v>
      </c>
      <c r="I440" s="2" t="s">
        <v>8842</v>
      </c>
      <c r="J440" s="2" t="s">
        <v>59</v>
      </c>
      <c r="K440" s="13" t="n">
        <v>45323</v>
      </c>
      <c r="L440" s="2" t="s">
        <v>8821</v>
      </c>
      <c r="M440" s="2" t="s">
        <v>8858</v>
      </c>
    </row>
    <row r="441" customFormat="false" ht="15" hidden="false" customHeight="false" outlineLevel="0" collapsed="false">
      <c r="A441" s="2" t="s">
        <v>8451</v>
      </c>
      <c r="B441" s="2" t="s">
        <v>8832</v>
      </c>
      <c r="C441" s="2" t="s">
        <v>8865</v>
      </c>
      <c r="D441" s="2" t="s">
        <v>8824</v>
      </c>
      <c r="E441" s="13" t="n">
        <v>30871</v>
      </c>
      <c r="F441" s="2" t="n">
        <v>254791251236</v>
      </c>
      <c r="G441" s="2" t="n">
        <v>6</v>
      </c>
      <c r="H441" s="2" t="s">
        <v>8850</v>
      </c>
      <c r="I441" s="2" t="s">
        <v>8857</v>
      </c>
      <c r="J441" s="2" t="s">
        <v>59</v>
      </c>
      <c r="K441" s="13" t="n">
        <v>45513</v>
      </c>
      <c r="L441" s="2" t="s">
        <v>8821</v>
      </c>
      <c r="M441" s="2" t="s">
        <v>36</v>
      </c>
    </row>
    <row r="442" customFormat="false" ht="15" hidden="false" customHeight="false" outlineLevel="0" collapsed="false">
      <c r="A442" s="2" t="s">
        <v>3037</v>
      </c>
      <c r="B442" s="2" t="s">
        <v>8875</v>
      </c>
      <c r="C442" s="2" t="s">
        <v>8861</v>
      </c>
      <c r="D442" s="2" t="s">
        <v>8819</v>
      </c>
      <c r="E442" s="13" t="n">
        <v>30020</v>
      </c>
      <c r="F442" s="2" t="n">
        <v>254767722252</v>
      </c>
      <c r="G442" s="2" t="n">
        <v>15</v>
      </c>
      <c r="H442" s="2" t="s">
        <v>95</v>
      </c>
      <c r="I442" s="2" t="s">
        <v>8852</v>
      </c>
      <c r="J442" s="2" t="s">
        <v>62</v>
      </c>
      <c r="K442" s="13" t="n">
        <v>45632</v>
      </c>
      <c r="L442" s="2" t="s">
        <v>8821</v>
      </c>
      <c r="M442" s="2" t="s">
        <v>36</v>
      </c>
    </row>
    <row r="443" customFormat="false" ht="15" hidden="false" customHeight="false" outlineLevel="0" collapsed="false">
      <c r="A443" s="2" t="s">
        <v>4411</v>
      </c>
      <c r="B443" s="2" t="s">
        <v>8835</v>
      </c>
      <c r="C443" s="2" t="s">
        <v>8869</v>
      </c>
      <c r="D443" s="2" t="s">
        <v>8819</v>
      </c>
      <c r="E443" s="13" t="n">
        <v>27290</v>
      </c>
      <c r="F443" s="2" t="n">
        <v>254713957187</v>
      </c>
      <c r="G443" s="2" t="n">
        <v>13</v>
      </c>
      <c r="H443" s="2" t="s">
        <v>8850</v>
      </c>
      <c r="I443" s="2" t="s">
        <v>8842</v>
      </c>
      <c r="J443" s="2" t="s">
        <v>61</v>
      </c>
      <c r="K443" s="13" t="n">
        <v>45048</v>
      </c>
      <c r="L443" s="2" t="s">
        <v>8821</v>
      </c>
      <c r="M443" s="2" t="s">
        <v>8858</v>
      </c>
    </row>
    <row r="444" customFormat="false" ht="15" hidden="false" customHeight="false" outlineLevel="0" collapsed="false">
      <c r="A444" s="2" t="s">
        <v>4775</v>
      </c>
      <c r="B444" s="2" t="s">
        <v>8829</v>
      </c>
      <c r="C444" s="2" t="s">
        <v>8833</v>
      </c>
      <c r="D444" s="2" t="s">
        <v>8819</v>
      </c>
      <c r="E444" s="13" t="n">
        <v>31861</v>
      </c>
      <c r="F444" s="2" t="n">
        <v>254713516265</v>
      </c>
      <c r="G444" s="2" t="n">
        <v>13</v>
      </c>
      <c r="H444" s="2" t="s">
        <v>8850</v>
      </c>
      <c r="I444" s="2" t="s">
        <v>8848</v>
      </c>
      <c r="J444" s="2" t="s">
        <v>62</v>
      </c>
      <c r="K444" s="13" t="n">
        <v>45119</v>
      </c>
      <c r="L444" s="2" t="s">
        <v>8821</v>
      </c>
      <c r="M444" s="2" t="s">
        <v>36</v>
      </c>
    </row>
    <row r="445" customFormat="false" ht="15" hidden="false" customHeight="false" outlineLevel="0" collapsed="false">
      <c r="A445" s="2" t="s">
        <v>750</v>
      </c>
      <c r="B445" s="2" t="s">
        <v>8826</v>
      </c>
      <c r="C445" s="2" t="s">
        <v>8859</v>
      </c>
      <c r="D445" s="2" t="s">
        <v>8819</v>
      </c>
      <c r="E445" s="13" t="n">
        <v>30987</v>
      </c>
      <c r="F445" s="2" t="n">
        <v>254777420864</v>
      </c>
      <c r="G445" s="2" t="n">
        <v>14</v>
      </c>
      <c r="H445" s="2" t="s">
        <v>8850</v>
      </c>
      <c r="I445" s="2" t="s">
        <v>8864</v>
      </c>
      <c r="J445" s="2" t="s">
        <v>60</v>
      </c>
      <c r="K445" s="13" t="n">
        <v>45294</v>
      </c>
      <c r="L445" s="2" t="s">
        <v>8821</v>
      </c>
      <c r="M445" s="2" t="s">
        <v>8858</v>
      </c>
    </row>
    <row r="446" customFormat="false" ht="15" hidden="false" customHeight="false" outlineLevel="0" collapsed="false">
      <c r="A446" s="2" t="s">
        <v>271</v>
      </c>
      <c r="B446" s="2" t="s">
        <v>8840</v>
      </c>
      <c r="C446" s="2" t="s">
        <v>8839</v>
      </c>
      <c r="D446" s="2" t="s">
        <v>8819</v>
      </c>
      <c r="E446" s="13" t="n">
        <v>37108</v>
      </c>
      <c r="F446" s="2" t="n">
        <v>254764839908</v>
      </c>
      <c r="G446" s="2" t="n">
        <v>13</v>
      </c>
      <c r="H446" s="2" t="s">
        <v>95</v>
      </c>
      <c r="I446" s="2" t="s">
        <v>8834</v>
      </c>
      <c r="J446" s="2" t="s">
        <v>61</v>
      </c>
      <c r="K446" s="13" t="n">
        <v>45094</v>
      </c>
      <c r="L446" s="2" t="s">
        <v>8821</v>
      </c>
      <c r="M446" s="2" t="s">
        <v>36</v>
      </c>
    </row>
    <row r="447" customFormat="false" ht="15" hidden="false" customHeight="false" outlineLevel="0" collapsed="false">
      <c r="A447" s="2" t="s">
        <v>4989</v>
      </c>
      <c r="B447" s="2" t="s">
        <v>8885</v>
      </c>
      <c r="C447" s="2" t="s">
        <v>8867</v>
      </c>
      <c r="D447" s="2" t="s">
        <v>8824</v>
      </c>
      <c r="E447" s="13" t="n">
        <v>30353</v>
      </c>
      <c r="F447" s="2" t="n">
        <v>254753606752</v>
      </c>
      <c r="G447" s="2" t="n">
        <v>14</v>
      </c>
      <c r="H447" s="2" t="s">
        <v>8850</v>
      </c>
      <c r="I447" s="2" t="s">
        <v>8831</v>
      </c>
      <c r="J447" s="2" t="s">
        <v>61</v>
      </c>
      <c r="K447" s="13" t="n">
        <v>45376</v>
      </c>
      <c r="L447" s="2" t="s">
        <v>8855</v>
      </c>
      <c r="M447" s="2" t="s">
        <v>36</v>
      </c>
    </row>
    <row r="448" customFormat="false" ht="15" hidden="false" customHeight="false" outlineLevel="0" collapsed="false">
      <c r="A448" s="2" t="s">
        <v>3375</v>
      </c>
      <c r="B448" s="2" t="s">
        <v>8849</v>
      </c>
      <c r="C448" s="2" t="s">
        <v>8881</v>
      </c>
      <c r="D448" s="2" t="s">
        <v>8819</v>
      </c>
      <c r="E448" s="13" t="n">
        <v>34679</v>
      </c>
      <c r="F448" s="2" t="n">
        <v>254779880338</v>
      </c>
      <c r="G448" s="2" t="n">
        <v>2</v>
      </c>
      <c r="H448" s="2" t="s">
        <v>8850</v>
      </c>
      <c r="I448" s="2" t="s">
        <v>8847</v>
      </c>
      <c r="J448" s="2" t="s">
        <v>58</v>
      </c>
      <c r="K448" s="13" t="n">
        <v>45330</v>
      </c>
      <c r="L448" s="2" t="s">
        <v>8821</v>
      </c>
      <c r="M448" s="2" t="s">
        <v>8858</v>
      </c>
    </row>
    <row r="449" customFormat="false" ht="15" hidden="false" customHeight="false" outlineLevel="0" collapsed="false">
      <c r="A449" s="2" t="s">
        <v>6277</v>
      </c>
      <c r="B449" s="2" t="s">
        <v>8853</v>
      </c>
      <c r="C449" s="2" t="s">
        <v>8823</v>
      </c>
      <c r="D449" s="2" t="s">
        <v>8819</v>
      </c>
      <c r="E449" s="13" t="n">
        <v>26555</v>
      </c>
      <c r="F449" s="2" t="n">
        <v>254749081432</v>
      </c>
      <c r="G449" s="2" t="n">
        <v>8</v>
      </c>
      <c r="H449" s="2" t="s">
        <v>8850</v>
      </c>
      <c r="I449" s="2" t="s">
        <v>8834</v>
      </c>
      <c r="J449" s="2" t="s">
        <v>60</v>
      </c>
      <c r="K449" s="13" t="n">
        <v>45455</v>
      </c>
      <c r="L449" s="2" t="s">
        <v>8855</v>
      </c>
      <c r="M449" s="2" t="s">
        <v>36</v>
      </c>
    </row>
    <row r="450" customFormat="false" ht="15" hidden="false" customHeight="false" outlineLevel="0" collapsed="false">
      <c r="A450" s="2" t="s">
        <v>5121</v>
      </c>
      <c r="B450" s="2" t="s">
        <v>8875</v>
      </c>
      <c r="C450" s="2" t="s">
        <v>8861</v>
      </c>
      <c r="D450" s="2" t="s">
        <v>8819</v>
      </c>
      <c r="E450" s="13" t="n">
        <v>35570</v>
      </c>
      <c r="F450" s="2" t="n">
        <v>254772220513</v>
      </c>
      <c r="G450" s="2" t="n">
        <v>14</v>
      </c>
      <c r="H450" s="2" t="s">
        <v>8850</v>
      </c>
      <c r="I450" s="2" t="s">
        <v>8825</v>
      </c>
      <c r="J450" s="2" t="s">
        <v>62</v>
      </c>
      <c r="K450" s="13" t="n">
        <v>44982</v>
      </c>
      <c r="L450" s="2" t="s">
        <v>8821</v>
      </c>
      <c r="M450" s="2" t="s">
        <v>36</v>
      </c>
    </row>
    <row r="451" customFormat="false" ht="15" hidden="false" customHeight="false" outlineLevel="0" collapsed="false">
      <c r="A451" s="2" t="s">
        <v>4291</v>
      </c>
      <c r="B451" s="2" t="s">
        <v>8860</v>
      </c>
      <c r="C451" s="2" t="s">
        <v>8818</v>
      </c>
      <c r="D451" s="2" t="s">
        <v>8819</v>
      </c>
      <c r="E451" s="13" t="n">
        <v>28685</v>
      </c>
      <c r="F451" s="2" t="n">
        <v>254770891997</v>
      </c>
      <c r="G451" s="2" t="n">
        <v>10</v>
      </c>
      <c r="H451" s="2" t="s">
        <v>95</v>
      </c>
      <c r="I451" s="2" t="s">
        <v>8847</v>
      </c>
      <c r="J451" s="2" t="s">
        <v>58</v>
      </c>
      <c r="K451" s="13" t="n">
        <v>45258</v>
      </c>
      <c r="L451" s="2" t="s">
        <v>8821</v>
      </c>
      <c r="M451" s="2" t="s">
        <v>36</v>
      </c>
    </row>
    <row r="452" customFormat="false" ht="15" hidden="false" customHeight="false" outlineLevel="0" collapsed="false">
      <c r="A452" s="2" t="s">
        <v>1948</v>
      </c>
      <c r="B452" s="2" t="s">
        <v>8826</v>
      </c>
      <c r="C452" s="2" t="s">
        <v>8830</v>
      </c>
      <c r="D452" s="2" t="s">
        <v>8824</v>
      </c>
      <c r="E452" s="13" t="n">
        <v>29579</v>
      </c>
      <c r="F452" s="2" t="n">
        <v>254795103759</v>
      </c>
      <c r="G452" s="2" t="n">
        <v>6</v>
      </c>
      <c r="H452" s="2" t="s">
        <v>95</v>
      </c>
      <c r="I452" s="2" t="s">
        <v>8857</v>
      </c>
      <c r="J452" s="2" t="s">
        <v>61</v>
      </c>
      <c r="K452" s="13" t="n">
        <v>45053</v>
      </c>
      <c r="L452" s="2" t="s">
        <v>8821</v>
      </c>
      <c r="M452" s="2" t="s">
        <v>8858</v>
      </c>
    </row>
    <row r="453" customFormat="false" ht="15" hidden="false" customHeight="false" outlineLevel="0" collapsed="false">
      <c r="A453" s="2" t="s">
        <v>4085</v>
      </c>
      <c r="B453" s="2" t="s">
        <v>8882</v>
      </c>
      <c r="C453" s="2" t="s">
        <v>8869</v>
      </c>
      <c r="D453" s="2" t="s">
        <v>8819</v>
      </c>
      <c r="E453" s="13" t="n">
        <v>34359</v>
      </c>
      <c r="F453" s="2" t="n">
        <v>254731759927</v>
      </c>
      <c r="G453" s="2" t="n">
        <v>14</v>
      </c>
      <c r="H453" s="2" t="s">
        <v>95</v>
      </c>
      <c r="I453" s="2" t="s">
        <v>8828</v>
      </c>
      <c r="J453" s="2" t="s">
        <v>58</v>
      </c>
      <c r="K453" s="13" t="n">
        <v>45101</v>
      </c>
      <c r="L453" s="2" t="s">
        <v>8855</v>
      </c>
      <c r="M453" s="2" t="s">
        <v>36</v>
      </c>
    </row>
    <row r="454" customFormat="false" ht="15" hidden="false" customHeight="false" outlineLevel="0" collapsed="false">
      <c r="A454" s="2" t="s">
        <v>6245</v>
      </c>
      <c r="B454" s="2" t="s">
        <v>8883</v>
      </c>
      <c r="C454" s="2" t="s">
        <v>8873</v>
      </c>
      <c r="D454" s="2" t="s">
        <v>8819</v>
      </c>
      <c r="E454" s="13" t="n">
        <v>32867</v>
      </c>
      <c r="F454" s="2" t="n">
        <v>254727659164</v>
      </c>
      <c r="G454" s="2" t="n">
        <v>4</v>
      </c>
      <c r="H454" s="2" t="s">
        <v>95</v>
      </c>
      <c r="I454" s="2" t="s">
        <v>8848</v>
      </c>
      <c r="J454" s="2" t="s">
        <v>60</v>
      </c>
      <c r="K454" s="13" t="n">
        <v>45383</v>
      </c>
      <c r="L454" s="2" t="s">
        <v>8821</v>
      </c>
      <c r="M454" s="2" t="s">
        <v>8858</v>
      </c>
    </row>
    <row r="455" customFormat="false" ht="15" hidden="false" customHeight="false" outlineLevel="0" collapsed="false">
      <c r="A455" s="2" t="s">
        <v>4569</v>
      </c>
      <c r="B455" s="2" t="s">
        <v>8849</v>
      </c>
      <c r="C455" s="2" t="s">
        <v>8859</v>
      </c>
      <c r="D455" s="2" t="s">
        <v>8819</v>
      </c>
      <c r="E455" s="13" t="n">
        <v>37121</v>
      </c>
      <c r="F455" s="2" t="n">
        <v>254739108314</v>
      </c>
      <c r="G455" s="2" t="n">
        <v>10</v>
      </c>
      <c r="H455" s="2" t="s">
        <v>8850</v>
      </c>
      <c r="I455" s="2" t="s">
        <v>8847</v>
      </c>
      <c r="J455" s="2" t="s">
        <v>61</v>
      </c>
      <c r="K455" s="13" t="n">
        <v>44932</v>
      </c>
      <c r="L455" s="2" t="s">
        <v>8855</v>
      </c>
      <c r="M455" s="2" t="s">
        <v>36</v>
      </c>
    </row>
    <row r="456" customFormat="false" ht="15" hidden="false" customHeight="false" outlineLevel="0" collapsed="false">
      <c r="A456" s="2" t="s">
        <v>3111</v>
      </c>
      <c r="B456" s="2" t="s">
        <v>8849</v>
      </c>
      <c r="C456" s="2" t="s">
        <v>8863</v>
      </c>
      <c r="D456" s="2" t="s">
        <v>8819</v>
      </c>
      <c r="E456" s="13" t="n">
        <v>25676</v>
      </c>
      <c r="F456" s="2" t="n">
        <v>254716565770</v>
      </c>
      <c r="G456" s="2" t="n">
        <v>3</v>
      </c>
      <c r="H456" s="2" t="s">
        <v>95</v>
      </c>
      <c r="I456" s="2" t="s">
        <v>8820</v>
      </c>
      <c r="J456" s="2" t="s">
        <v>60</v>
      </c>
      <c r="K456" s="13" t="n">
        <v>45211</v>
      </c>
      <c r="L456" s="2" t="s">
        <v>8821</v>
      </c>
      <c r="M456" s="2" t="s">
        <v>36</v>
      </c>
    </row>
    <row r="457" customFormat="false" ht="15" hidden="false" customHeight="false" outlineLevel="0" collapsed="false">
      <c r="A457" s="2" t="s">
        <v>2450</v>
      </c>
      <c r="B457" s="2" t="s">
        <v>8883</v>
      </c>
      <c r="C457" s="2" t="s">
        <v>8869</v>
      </c>
      <c r="D457" s="2" t="s">
        <v>8819</v>
      </c>
      <c r="E457" s="13" t="n">
        <v>26622</v>
      </c>
      <c r="F457" s="2" t="n">
        <v>254716580878</v>
      </c>
      <c r="G457" s="2" t="n">
        <v>2</v>
      </c>
      <c r="H457" s="2" t="s">
        <v>8850</v>
      </c>
      <c r="I457" s="2" t="s">
        <v>8828</v>
      </c>
      <c r="J457" s="2" t="s">
        <v>59</v>
      </c>
      <c r="K457" s="13" t="n">
        <v>45544</v>
      </c>
      <c r="L457" s="2" t="s">
        <v>8821</v>
      </c>
      <c r="M457" s="2" t="s">
        <v>36</v>
      </c>
    </row>
    <row r="458" customFormat="false" ht="15" hidden="false" customHeight="false" outlineLevel="0" collapsed="false">
      <c r="A458" s="2" t="s">
        <v>655</v>
      </c>
      <c r="B458" s="2" t="s">
        <v>8882</v>
      </c>
      <c r="C458" s="2" t="s">
        <v>8823</v>
      </c>
      <c r="D458" s="2" t="s">
        <v>8819</v>
      </c>
      <c r="E458" s="13" t="n">
        <v>36513</v>
      </c>
      <c r="F458" s="2" t="n">
        <v>254750170625</v>
      </c>
      <c r="G458" s="2" t="n">
        <v>6</v>
      </c>
      <c r="H458" s="2" t="s">
        <v>8850</v>
      </c>
      <c r="I458" s="2" t="s">
        <v>8842</v>
      </c>
      <c r="J458" s="2" t="s">
        <v>58</v>
      </c>
      <c r="K458" s="13" t="n">
        <v>45295</v>
      </c>
      <c r="L458" s="2" t="s">
        <v>8855</v>
      </c>
      <c r="M458" s="2" t="s">
        <v>36</v>
      </c>
    </row>
    <row r="459" customFormat="false" ht="15" hidden="false" customHeight="false" outlineLevel="0" collapsed="false">
      <c r="A459" s="2" t="s">
        <v>6997</v>
      </c>
      <c r="B459" s="2" t="s">
        <v>8875</v>
      </c>
      <c r="C459" s="2" t="s">
        <v>8846</v>
      </c>
      <c r="D459" s="2" t="s">
        <v>8824</v>
      </c>
      <c r="E459" s="13" t="n">
        <v>32360</v>
      </c>
      <c r="F459" s="2" t="n">
        <v>254780739820</v>
      </c>
      <c r="G459" s="2" t="n">
        <v>7</v>
      </c>
      <c r="H459" s="2" t="s">
        <v>95</v>
      </c>
      <c r="I459" s="2" t="s">
        <v>8864</v>
      </c>
      <c r="J459" s="2" t="s">
        <v>59</v>
      </c>
      <c r="K459" s="13" t="n">
        <v>45051</v>
      </c>
      <c r="L459" s="2" t="s">
        <v>8821</v>
      </c>
      <c r="M459" s="2" t="s">
        <v>36</v>
      </c>
    </row>
    <row r="460" customFormat="false" ht="15" hidden="false" customHeight="false" outlineLevel="0" collapsed="false">
      <c r="A460" s="2" t="s">
        <v>1584</v>
      </c>
      <c r="B460" s="2" t="s">
        <v>8849</v>
      </c>
      <c r="C460" s="2" t="s">
        <v>8854</v>
      </c>
      <c r="D460" s="2" t="s">
        <v>8824</v>
      </c>
      <c r="E460" s="13" t="n">
        <v>27630</v>
      </c>
      <c r="F460" s="2" t="n">
        <v>254791717739</v>
      </c>
      <c r="G460" s="2" t="n">
        <v>14</v>
      </c>
      <c r="H460" s="2" t="s">
        <v>8850</v>
      </c>
      <c r="I460" s="2" t="s">
        <v>8834</v>
      </c>
      <c r="J460" s="2" t="s">
        <v>62</v>
      </c>
      <c r="K460" s="13" t="n">
        <v>45632</v>
      </c>
      <c r="L460" s="2" t="s">
        <v>8821</v>
      </c>
      <c r="M460" s="2" t="s">
        <v>36</v>
      </c>
    </row>
    <row r="461" customFormat="false" ht="15" hidden="false" customHeight="false" outlineLevel="0" collapsed="false">
      <c r="A461" s="2" t="s">
        <v>8898</v>
      </c>
      <c r="B461" s="2" t="s">
        <v>8877</v>
      </c>
      <c r="C461" s="2" t="s">
        <v>8859</v>
      </c>
      <c r="D461" s="2" t="s">
        <v>8819</v>
      </c>
      <c r="E461" s="13" t="n">
        <v>37158</v>
      </c>
      <c r="F461" s="2" t="n">
        <v>254791793056</v>
      </c>
      <c r="G461" s="2" t="n">
        <v>4</v>
      </c>
      <c r="H461" s="2" t="s">
        <v>8850</v>
      </c>
      <c r="I461" s="2" t="s">
        <v>8831</v>
      </c>
      <c r="J461" s="2" t="s">
        <v>58</v>
      </c>
      <c r="K461" s="13" t="n">
        <v>45574</v>
      </c>
      <c r="L461" s="2" t="s">
        <v>8821</v>
      </c>
      <c r="M461" s="2" t="s">
        <v>36</v>
      </c>
    </row>
    <row r="462" customFormat="false" ht="15" hidden="false" customHeight="false" outlineLevel="0" collapsed="false">
      <c r="A462" s="2" t="s">
        <v>4257</v>
      </c>
      <c r="B462" s="2" t="s">
        <v>8871</v>
      </c>
      <c r="C462" s="2" t="s">
        <v>8841</v>
      </c>
      <c r="D462" s="2" t="s">
        <v>8824</v>
      </c>
      <c r="E462" s="13" t="n">
        <v>36490</v>
      </c>
      <c r="F462" s="2" t="n">
        <v>254765571661</v>
      </c>
      <c r="G462" s="2" t="n">
        <v>1</v>
      </c>
      <c r="H462" s="2" t="s">
        <v>8850</v>
      </c>
      <c r="I462" s="2" t="s">
        <v>8844</v>
      </c>
      <c r="J462" s="2" t="s">
        <v>62</v>
      </c>
      <c r="K462" s="13" t="n">
        <v>45047</v>
      </c>
      <c r="L462" s="2" t="s">
        <v>8821</v>
      </c>
      <c r="M462" s="2" t="s">
        <v>36</v>
      </c>
    </row>
    <row r="463" customFormat="false" ht="15" hidden="false" customHeight="false" outlineLevel="0" collapsed="false">
      <c r="A463" s="2" t="s">
        <v>4865</v>
      </c>
      <c r="B463" s="2" t="s">
        <v>8874</v>
      </c>
      <c r="C463" s="2" t="s">
        <v>8827</v>
      </c>
      <c r="D463" s="2" t="s">
        <v>8824</v>
      </c>
      <c r="E463" s="13" t="n">
        <v>30295</v>
      </c>
      <c r="F463" s="2" t="n">
        <v>254750303435</v>
      </c>
      <c r="G463" s="2" t="n">
        <v>9</v>
      </c>
      <c r="H463" s="2" t="s">
        <v>8850</v>
      </c>
      <c r="I463" s="2" t="s">
        <v>8820</v>
      </c>
      <c r="J463" s="2" t="s">
        <v>58</v>
      </c>
      <c r="K463" s="13" t="n">
        <v>45187</v>
      </c>
      <c r="L463" s="2" t="s">
        <v>8821</v>
      </c>
      <c r="M463" s="2" t="s">
        <v>36</v>
      </c>
    </row>
    <row r="464" customFormat="false" ht="15" hidden="false" customHeight="false" outlineLevel="0" collapsed="false">
      <c r="A464" s="2" t="s">
        <v>1215</v>
      </c>
      <c r="B464" s="2" t="s">
        <v>8817</v>
      </c>
      <c r="C464" s="2" t="s">
        <v>8873</v>
      </c>
      <c r="D464" s="2" t="s">
        <v>8819</v>
      </c>
      <c r="E464" s="13" t="n">
        <v>35052</v>
      </c>
      <c r="F464" s="2" t="n">
        <v>254754360949</v>
      </c>
      <c r="G464" s="2" t="n">
        <v>14</v>
      </c>
      <c r="H464" s="2" t="s">
        <v>8850</v>
      </c>
      <c r="I464" s="2" t="s">
        <v>8852</v>
      </c>
      <c r="J464" s="2" t="s">
        <v>61</v>
      </c>
      <c r="K464" s="13" t="n">
        <v>45557</v>
      </c>
      <c r="L464" s="2" t="s">
        <v>8855</v>
      </c>
      <c r="M464" s="2" t="s">
        <v>36</v>
      </c>
    </row>
    <row r="465" customFormat="false" ht="15" hidden="false" customHeight="false" outlineLevel="0" collapsed="false">
      <c r="A465" s="2" t="s">
        <v>7725</v>
      </c>
      <c r="B465" s="2" t="s">
        <v>8860</v>
      </c>
      <c r="C465" s="2" t="s">
        <v>8863</v>
      </c>
      <c r="D465" s="2" t="s">
        <v>8824</v>
      </c>
      <c r="E465" s="13" t="n">
        <v>28707</v>
      </c>
      <c r="F465" s="2" t="n">
        <v>254772071682</v>
      </c>
      <c r="G465" s="2" t="n">
        <v>13</v>
      </c>
      <c r="H465" s="2" t="s">
        <v>8850</v>
      </c>
      <c r="I465" s="2" t="s">
        <v>8864</v>
      </c>
      <c r="J465" s="2" t="s">
        <v>58</v>
      </c>
      <c r="K465" s="13" t="n">
        <v>45569</v>
      </c>
      <c r="L465" s="2" t="s">
        <v>8821</v>
      </c>
      <c r="M465" s="2" t="s">
        <v>36</v>
      </c>
    </row>
    <row r="466" customFormat="false" ht="15" hidden="false" customHeight="false" outlineLevel="0" collapsed="false">
      <c r="A466" s="2" t="s">
        <v>4485</v>
      </c>
      <c r="B466" s="2" t="s">
        <v>8878</v>
      </c>
      <c r="C466" s="2" t="s">
        <v>8888</v>
      </c>
      <c r="D466" s="2" t="s">
        <v>8819</v>
      </c>
      <c r="E466" s="13" t="n">
        <v>26042</v>
      </c>
      <c r="F466" s="2" t="n">
        <v>254730039365</v>
      </c>
      <c r="G466" s="2" t="n">
        <v>5</v>
      </c>
      <c r="H466" s="2" t="s">
        <v>95</v>
      </c>
      <c r="I466" s="2" t="s">
        <v>8844</v>
      </c>
      <c r="J466" s="2" t="s">
        <v>61</v>
      </c>
      <c r="K466" s="13" t="n">
        <v>45628</v>
      </c>
      <c r="L466" s="2" t="s">
        <v>8821</v>
      </c>
      <c r="M466" s="2" t="s">
        <v>8858</v>
      </c>
    </row>
    <row r="467" customFormat="false" ht="15" hidden="false" customHeight="false" outlineLevel="0" collapsed="false">
      <c r="A467" s="2" t="s">
        <v>511</v>
      </c>
      <c r="B467" s="2" t="s">
        <v>8875</v>
      </c>
      <c r="C467" s="2" t="s">
        <v>8869</v>
      </c>
      <c r="D467" s="2" t="s">
        <v>8819</v>
      </c>
      <c r="E467" s="13" t="n">
        <v>29863</v>
      </c>
      <c r="F467" s="2" t="n">
        <v>254746439766</v>
      </c>
      <c r="G467" s="2" t="n">
        <v>7</v>
      </c>
      <c r="H467" s="2" t="s">
        <v>95</v>
      </c>
      <c r="I467" s="2" t="s">
        <v>8847</v>
      </c>
      <c r="J467" s="2" t="s">
        <v>59</v>
      </c>
      <c r="K467" s="13" t="n">
        <v>45242</v>
      </c>
      <c r="L467" s="2" t="s">
        <v>8821</v>
      </c>
      <c r="M467" s="2" t="s">
        <v>8858</v>
      </c>
    </row>
    <row r="468" customFormat="false" ht="15" hidden="false" customHeight="false" outlineLevel="0" collapsed="false">
      <c r="A468" s="2" t="s">
        <v>1541</v>
      </c>
      <c r="B468" s="2" t="s">
        <v>8835</v>
      </c>
      <c r="C468" s="2" t="s">
        <v>8830</v>
      </c>
      <c r="D468" s="2" t="s">
        <v>8824</v>
      </c>
      <c r="E468" s="13" t="n">
        <v>32615</v>
      </c>
      <c r="F468" s="2" t="n">
        <v>254715019076</v>
      </c>
      <c r="G468" s="2" t="n">
        <v>13</v>
      </c>
      <c r="H468" s="2" t="s">
        <v>95</v>
      </c>
      <c r="I468" s="2" t="s">
        <v>8825</v>
      </c>
      <c r="J468" s="2" t="s">
        <v>61</v>
      </c>
      <c r="K468" s="13" t="n">
        <v>45236</v>
      </c>
      <c r="L468" s="2" t="s">
        <v>8821</v>
      </c>
      <c r="M468" s="2" t="s">
        <v>8858</v>
      </c>
    </row>
    <row r="469" customFormat="false" ht="15" hidden="false" customHeight="false" outlineLevel="0" collapsed="false">
      <c r="A469" s="2" t="s">
        <v>431</v>
      </c>
      <c r="B469" s="2" t="s">
        <v>8882</v>
      </c>
      <c r="C469" s="2" t="s">
        <v>8859</v>
      </c>
      <c r="D469" s="2" t="s">
        <v>8824</v>
      </c>
      <c r="E469" s="13" t="n">
        <v>37322</v>
      </c>
      <c r="F469" s="2" t="n">
        <v>254753934556</v>
      </c>
      <c r="G469" s="2" t="n">
        <v>3</v>
      </c>
      <c r="H469" s="2" t="s">
        <v>95</v>
      </c>
      <c r="I469" s="2" t="s">
        <v>8857</v>
      </c>
      <c r="J469" s="2" t="s">
        <v>59</v>
      </c>
      <c r="K469" s="13" t="n">
        <v>45275</v>
      </c>
      <c r="L469" s="2" t="s">
        <v>8821</v>
      </c>
      <c r="M469" s="2" t="s">
        <v>36</v>
      </c>
    </row>
    <row r="470" customFormat="false" ht="15" hidden="false" customHeight="false" outlineLevel="0" collapsed="false">
      <c r="A470" s="2" t="s">
        <v>1239</v>
      </c>
      <c r="B470" s="2" t="s">
        <v>8829</v>
      </c>
      <c r="C470" s="2" t="s">
        <v>8818</v>
      </c>
      <c r="D470" s="2" t="s">
        <v>8824</v>
      </c>
      <c r="E470" s="13" t="n">
        <v>36364</v>
      </c>
      <c r="F470" s="2" t="n">
        <v>254715909601</v>
      </c>
      <c r="G470" s="2" t="n">
        <v>11</v>
      </c>
      <c r="H470" s="2" t="s">
        <v>95</v>
      </c>
      <c r="I470" s="2" t="s">
        <v>8844</v>
      </c>
      <c r="J470" s="2" t="s">
        <v>61</v>
      </c>
      <c r="K470" s="13" t="n">
        <v>45461</v>
      </c>
      <c r="L470" s="2" t="s">
        <v>8821</v>
      </c>
      <c r="M470" s="2" t="s">
        <v>36</v>
      </c>
    </row>
    <row r="471" customFormat="false" ht="15" hidden="false" customHeight="false" outlineLevel="0" collapsed="false">
      <c r="A471" s="2" t="s">
        <v>5153</v>
      </c>
      <c r="B471" s="2" t="s">
        <v>8886</v>
      </c>
      <c r="C471" s="2" t="s">
        <v>8841</v>
      </c>
      <c r="D471" s="2" t="s">
        <v>8824</v>
      </c>
      <c r="E471" s="13" t="n">
        <v>32527</v>
      </c>
      <c r="F471" s="2" t="n">
        <v>254736918105</v>
      </c>
      <c r="G471" s="2" t="n">
        <v>4</v>
      </c>
      <c r="H471" s="2" t="s">
        <v>8850</v>
      </c>
      <c r="I471" s="2" t="s">
        <v>8834</v>
      </c>
      <c r="J471" s="2" t="s">
        <v>62</v>
      </c>
      <c r="K471" s="13" t="n">
        <v>45246</v>
      </c>
      <c r="L471" s="2" t="s">
        <v>8821</v>
      </c>
      <c r="M471" s="2" t="s">
        <v>8858</v>
      </c>
    </row>
    <row r="472" customFormat="false" ht="15" hidden="false" customHeight="false" outlineLevel="0" collapsed="false">
      <c r="A472" s="2" t="s">
        <v>1980</v>
      </c>
      <c r="B472" s="2" t="s">
        <v>8845</v>
      </c>
      <c r="C472" s="2" t="s">
        <v>8830</v>
      </c>
      <c r="D472" s="2" t="s">
        <v>8819</v>
      </c>
      <c r="E472" s="13" t="n">
        <v>28250</v>
      </c>
      <c r="F472" s="2" t="n">
        <v>254793610257</v>
      </c>
      <c r="G472" s="2" t="n">
        <v>9</v>
      </c>
      <c r="H472" s="2" t="s">
        <v>95</v>
      </c>
      <c r="I472" s="2" t="s">
        <v>8831</v>
      </c>
      <c r="J472" s="2" t="s">
        <v>62</v>
      </c>
      <c r="K472" s="13" t="n">
        <v>45088</v>
      </c>
      <c r="L472" s="2" t="s">
        <v>8821</v>
      </c>
      <c r="M472" s="2" t="s">
        <v>36</v>
      </c>
    </row>
    <row r="473" customFormat="false" ht="15" hidden="false" customHeight="false" outlineLevel="0" collapsed="false">
      <c r="A473" s="2" t="s">
        <v>1037</v>
      </c>
      <c r="B473" s="2" t="s">
        <v>8862</v>
      </c>
      <c r="C473" s="2" t="s">
        <v>8839</v>
      </c>
      <c r="D473" s="2" t="s">
        <v>8819</v>
      </c>
      <c r="E473" s="13" t="n">
        <v>31859</v>
      </c>
      <c r="F473" s="2" t="n">
        <v>254719562056</v>
      </c>
      <c r="G473" s="2" t="n">
        <v>5</v>
      </c>
      <c r="H473" s="2" t="s">
        <v>8850</v>
      </c>
      <c r="I473" s="2" t="s">
        <v>8857</v>
      </c>
      <c r="J473" s="2" t="s">
        <v>61</v>
      </c>
      <c r="K473" s="13" t="n">
        <v>45217</v>
      </c>
      <c r="L473" s="2" t="s">
        <v>8821</v>
      </c>
      <c r="M473" s="2" t="s">
        <v>36</v>
      </c>
    </row>
    <row r="474" customFormat="false" ht="15" hidden="false" customHeight="false" outlineLevel="0" collapsed="false">
      <c r="A474" s="2" t="s">
        <v>1817</v>
      </c>
      <c r="B474" s="2" t="s">
        <v>8829</v>
      </c>
      <c r="C474" s="2" t="s">
        <v>8876</v>
      </c>
      <c r="D474" s="2" t="s">
        <v>8819</v>
      </c>
      <c r="E474" s="13" t="n">
        <v>26167</v>
      </c>
      <c r="F474" s="2" t="n">
        <v>254721558774</v>
      </c>
      <c r="G474" s="2" t="n">
        <v>7</v>
      </c>
      <c r="H474" s="2" t="s">
        <v>8850</v>
      </c>
      <c r="I474" s="2" t="s">
        <v>8828</v>
      </c>
      <c r="J474" s="2" t="s">
        <v>62</v>
      </c>
      <c r="K474" s="13" t="n">
        <v>44978</v>
      </c>
      <c r="L474" s="2" t="s">
        <v>8855</v>
      </c>
      <c r="M474" s="2" t="s">
        <v>36</v>
      </c>
    </row>
    <row r="475" customFormat="false" ht="15" hidden="false" customHeight="false" outlineLevel="0" collapsed="false">
      <c r="A475" s="2" t="s">
        <v>316</v>
      </c>
      <c r="B475" s="2" t="s">
        <v>8875</v>
      </c>
      <c r="C475" s="2" t="s">
        <v>8863</v>
      </c>
      <c r="D475" s="2" t="s">
        <v>8819</v>
      </c>
      <c r="E475" s="13" t="n">
        <v>32686</v>
      </c>
      <c r="F475" s="2" t="n">
        <v>254772504573</v>
      </c>
      <c r="G475" s="2" t="n">
        <v>10</v>
      </c>
      <c r="H475" s="2" t="s">
        <v>95</v>
      </c>
      <c r="I475" s="2" t="s">
        <v>8825</v>
      </c>
      <c r="J475" s="2" t="s">
        <v>61</v>
      </c>
      <c r="K475" s="13" t="n">
        <v>45129</v>
      </c>
      <c r="L475" s="2" t="s">
        <v>8821</v>
      </c>
      <c r="M475" s="2" t="s">
        <v>8858</v>
      </c>
    </row>
    <row r="476" customFormat="false" ht="15" hidden="false" customHeight="false" outlineLevel="0" collapsed="false">
      <c r="A476" s="2" t="s">
        <v>3139</v>
      </c>
      <c r="B476" s="2" t="s">
        <v>8853</v>
      </c>
      <c r="C476" s="2" t="s">
        <v>8870</v>
      </c>
      <c r="D476" s="2" t="s">
        <v>8824</v>
      </c>
      <c r="E476" s="13" t="n">
        <v>32833</v>
      </c>
      <c r="F476" s="2" t="n">
        <v>254741097470</v>
      </c>
      <c r="G476" s="2" t="n">
        <v>4</v>
      </c>
      <c r="H476" s="2" t="s">
        <v>95</v>
      </c>
      <c r="I476" s="2" t="s">
        <v>8848</v>
      </c>
      <c r="J476" s="2" t="s">
        <v>60</v>
      </c>
      <c r="K476" s="13" t="n">
        <v>45654</v>
      </c>
      <c r="L476" s="2" t="s">
        <v>8821</v>
      </c>
      <c r="M476" s="2" t="s">
        <v>8858</v>
      </c>
    </row>
    <row r="477" customFormat="false" ht="15" hidden="false" customHeight="false" outlineLevel="0" collapsed="false">
      <c r="A477" s="2" t="s">
        <v>4593</v>
      </c>
      <c r="B477" s="2" t="s">
        <v>8874</v>
      </c>
      <c r="C477" s="2" t="s">
        <v>8869</v>
      </c>
      <c r="D477" s="2" t="s">
        <v>8824</v>
      </c>
      <c r="E477" s="13" t="n">
        <v>29942</v>
      </c>
      <c r="F477" s="2" t="n">
        <v>254775432046</v>
      </c>
      <c r="G477" s="2" t="n">
        <v>1</v>
      </c>
      <c r="H477" s="2" t="s">
        <v>95</v>
      </c>
      <c r="I477" s="2" t="s">
        <v>8847</v>
      </c>
      <c r="J477" s="2" t="s">
        <v>58</v>
      </c>
      <c r="K477" s="13" t="n">
        <v>45265</v>
      </c>
      <c r="L477" s="2" t="s">
        <v>8821</v>
      </c>
      <c r="M477" s="2" t="s">
        <v>8858</v>
      </c>
    </row>
    <row r="478" customFormat="false" ht="15" hidden="false" customHeight="false" outlineLevel="0" collapsed="false">
      <c r="A478" s="2" t="s">
        <v>2283</v>
      </c>
      <c r="B478" s="2" t="s">
        <v>8849</v>
      </c>
      <c r="C478" s="2" t="s">
        <v>8881</v>
      </c>
      <c r="D478" s="2" t="s">
        <v>8819</v>
      </c>
      <c r="E478" s="13" t="n">
        <v>36229</v>
      </c>
      <c r="F478" s="2" t="n">
        <v>254778175850</v>
      </c>
      <c r="G478" s="2" t="n">
        <v>2</v>
      </c>
      <c r="H478" s="2" t="s">
        <v>8850</v>
      </c>
      <c r="I478" s="2" t="s">
        <v>8864</v>
      </c>
      <c r="J478" s="2" t="s">
        <v>58</v>
      </c>
      <c r="K478" s="13" t="n">
        <v>45283</v>
      </c>
      <c r="L478" s="2" t="s">
        <v>8821</v>
      </c>
      <c r="M478" s="2" t="s">
        <v>36</v>
      </c>
    </row>
    <row r="479" customFormat="false" ht="15" hidden="false" customHeight="false" outlineLevel="0" collapsed="false">
      <c r="A479" s="2" t="s">
        <v>5033</v>
      </c>
      <c r="B479" s="2" t="s">
        <v>8862</v>
      </c>
      <c r="C479" s="2" t="s">
        <v>8865</v>
      </c>
      <c r="D479" s="2" t="s">
        <v>8819</v>
      </c>
      <c r="E479" s="13" t="n">
        <v>32766</v>
      </c>
      <c r="F479" s="2" t="n">
        <v>254793332410</v>
      </c>
      <c r="G479" s="2" t="n">
        <v>4</v>
      </c>
      <c r="H479" s="2" t="s">
        <v>95</v>
      </c>
      <c r="I479" s="2" t="s">
        <v>8847</v>
      </c>
      <c r="J479" s="2" t="s">
        <v>61</v>
      </c>
      <c r="K479" s="13" t="n">
        <v>45337</v>
      </c>
      <c r="L479" s="2" t="s">
        <v>8821</v>
      </c>
      <c r="M479" s="2" t="s">
        <v>36</v>
      </c>
    </row>
    <row r="480" customFormat="false" ht="15" hidden="false" customHeight="false" outlineLevel="0" collapsed="false">
      <c r="A480" s="2" t="s">
        <v>4893</v>
      </c>
      <c r="B480" s="2" t="s">
        <v>8874</v>
      </c>
      <c r="C480" s="2" t="s">
        <v>8865</v>
      </c>
      <c r="D480" s="2" t="s">
        <v>8824</v>
      </c>
      <c r="E480" s="13" t="n">
        <v>30669</v>
      </c>
      <c r="F480" s="2" t="n">
        <v>254783085160</v>
      </c>
      <c r="G480" s="2" t="n">
        <v>12</v>
      </c>
      <c r="H480" s="2" t="s">
        <v>95</v>
      </c>
      <c r="I480" s="2" t="s">
        <v>8828</v>
      </c>
      <c r="J480" s="2" t="s">
        <v>58</v>
      </c>
      <c r="K480" s="13" t="n">
        <v>45368</v>
      </c>
      <c r="L480" s="2" t="s">
        <v>8855</v>
      </c>
      <c r="M480" s="2" t="s">
        <v>36</v>
      </c>
    </row>
    <row r="481" customFormat="false" ht="15" hidden="false" customHeight="false" outlineLevel="0" collapsed="false">
      <c r="A481" s="2" t="s">
        <v>2580</v>
      </c>
      <c r="B481" s="2" t="s">
        <v>8872</v>
      </c>
      <c r="C481" s="2" t="s">
        <v>8870</v>
      </c>
      <c r="D481" s="2" t="s">
        <v>8819</v>
      </c>
      <c r="E481" s="13" t="n">
        <v>36329</v>
      </c>
      <c r="F481" s="2" t="n">
        <v>254751343854</v>
      </c>
      <c r="G481" s="2" t="n">
        <v>7</v>
      </c>
      <c r="H481" s="2" t="s">
        <v>95</v>
      </c>
      <c r="I481" s="2" t="s">
        <v>8848</v>
      </c>
      <c r="J481" s="2" t="s">
        <v>58</v>
      </c>
      <c r="K481" s="13" t="n">
        <v>45026</v>
      </c>
      <c r="L481" s="2" t="s">
        <v>8855</v>
      </c>
      <c r="M481" s="2" t="s">
        <v>36</v>
      </c>
    </row>
    <row r="482" customFormat="false" ht="15" hidden="false" customHeight="false" outlineLevel="0" collapsed="false">
      <c r="A482" s="2" t="s">
        <v>8899</v>
      </c>
      <c r="B482" s="2" t="s">
        <v>8826</v>
      </c>
      <c r="C482" s="2" t="s">
        <v>8841</v>
      </c>
      <c r="D482" s="2" t="s">
        <v>8819</v>
      </c>
      <c r="E482" s="13" t="n">
        <v>37217</v>
      </c>
      <c r="F482" s="2" t="n">
        <v>254787949346</v>
      </c>
      <c r="G482" s="2" t="n">
        <v>15</v>
      </c>
      <c r="H482" s="2" t="s">
        <v>95</v>
      </c>
      <c r="I482" s="2" t="s">
        <v>8828</v>
      </c>
      <c r="J482" s="2" t="s">
        <v>59</v>
      </c>
      <c r="K482" s="13" t="n">
        <v>44989</v>
      </c>
      <c r="L482" s="2" t="s">
        <v>8855</v>
      </c>
      <c r="M482" s="2" t="s">
        <v>36</v>
      </c>
    </row>
    <row r="483" customFormat="false" ht="15" hidden="false" customHeight="false" outlineLevel="0" collapsed="false">
      <c r="A483" s="2" t="s">
        <v>3067</v>
      </c>
      <c r="B483" s="2" t="s">
        <v>8840</v>
      </c>
      <c r="C483" s="2" t="s">
        <v>8841</v>
      </c>
      <c r="D483" s="2" t="s">
        <v>8824</v>
      </c>
      <c r="E483" s="13" t="n">
        <v>34626</v>
      </c>
      <c r="F483" s="2" t="n">
        <v>254750229795</v>
      </c>
      <c r="G483" s="2" t="n">
        <v>10</v>
      </c>
      <c r="H483" s="2" t="s">
        <v>8850</v>
      </c>
      <c r="I483" s="2" t="s">
        <v>8842</v>
      </c>
      <c r="J483" s="2" t="s">
        <v>60</v>
      </c>
      <c r="K483" s="13" t="n">
        <v>45384</v>
      </c>
      <c r="L483" s="2" t="s">
        <v>8821</v>
      </c>
      <c r="M483" s="2" t="s">
        <v>36</v>
      </c>
    </row>
    <row r="484" customFormat="false" ht="15" hidden="false" customHeight="false" outlineLevel="0" collapsed="false">
      <c r="A484" s="2" t="s">
        <v>1015</v>
      </c>
      <c r="B484" s="2" t="s">
        <v>8885</v>
      </c>
      <c r="C484" s="2" t="s">
        <v>8854</v>
      </c>
      <c r="D484" s="2" t="s">
        <v>8819</v>
      </c>
      <c r="E484" s="13" t="n">
        <v>37465</v>
      </c>
      <c r="F484" s="2" t="n">
        <v>254759556257</v>
      </c>
      <c r="G484" s="2" t="n">
        <v>15</v>
      </c>
      <c r="H484" s="2" t="s">
        <v>95</v>
      </c>
      <c r="I484" s="2" t="s">
        <v>8820</v>
      </c>
      <c r="J484" s="2" t="s">
        <v>62</v>
      </c>
      <c r="K484" s="13" t="n">
        <v>45057</v>
      </c>
      <c r="L484" s="2" t="s">
        <v>8821</v>
      </c>
      <c r="M484" s="2" t="s">
        <v>36</v>
      </c>
    </row>
    <row r="485" customFormat="false" ht="15" hidden="false" customHeight="false" outlineLevel="0" collapsed="false">
      <c r="A485" s="2" t="s">
        <v>2886</v>
      </c>
      <c r="B485" s="2" t="s">
        <v>8875</v>
      </c>
      <c r="C485" s="2" t="s">
        <v>8881</v>
      </c>
      <c r="D485" s="2" t="s">
        <v>8824</v>
      </c>
      <c r="E485" s="13" t="n">
        <v>32150</v>
      </c>
      <c r="F485" s="2" t="n">
        <v>254793914843</v>
      </c>
      <c r="G485" s="2" t="n">
        <v>6</v>
      </c>
      <c r="H485" s="2" t="s">
        <v>8850</v>
      </c>
      <c r="I485" s="2" t="s">
        <v>8842</v>
      </c>
      <c r="J485" s="2" t="s">
        <v>61</v>
      </c>
      <c r="K485" s="13" t="n">
        <v>45369</v>
      </c>
      <c r="L485" s="2" t="s">
        <v>8855</v>
      </c>
      <c r="M485" s="2" t="s">
        <v>36</v>
      </c>
    </row>
    <row r="486" customFormat="false" ht="15" hidden="false" customHeight="false" outlineLevel="0" collapsed="false">
      <c r="A486" s="2" t="s">
        <v>5281</v>
      </c>
      <c r="B486" s="2" t="s">
        <v>8851</v>
      </c>
      <c r="C486" s="2" t="s">
        <v>8876</v>
      </c>
      <c r="D486" s="2" t="s">
        <v>8824</v>
      </c>
      <c r="E486" s="13" t="n">
        <v>29803</v>
      </c>
      <c r="F486" s="2" t="n">
        <v>254766000400</v>
      </c>
      <c r="G486" s="2" t="n">
        <v>3</v>
      </c>
      <c r="H486" s="2" t="s">
        <v>8850</v>
      </c>
      <c r="I486" s="2" t="s">
        <v>8852</v>
      </c>
      <c r="J486" s="2" t="s">
        <v>59</v>
      </c>
      <c r="K486" s="13" t="n">
        <v>45119</v>
      </c>
      <c r="L486" s="2" t="s">
        <v>8821</v>
      </c>
      <c r="M486" s="2" t="s">
        <v>36</v>
      </c>
    </row>
    <row r="487" customFormat="false" ht="15" hidden="false" customHeight="false" outlineLevel="0" collapsed="false">
      <c r="A487" s="2" t="s">
        <v>321</v>
      </c>
      <c r="B487" s="2" t="s">
        <v>8871</v>
      </c>
      <c r="C487" s="2" t="s">
        <v>8859</v>
      </c>
      <c r="D487" s="2" t="s">
        <v>8824</v>
      </c>
      <c r="E487" s="13" t="n">
        <v>27334</v>
      </c>
      <c r="F487" s="2" t="n">
        <v>254728223512</v>
      </c>
      <c r="G487" s="2" t="n">
        <v>2</v>
      </c>
      <c r="H487" s="2" t="s">
        <v>95</v>
      </c>
      <c r="I487" s="2" t="s">
        <v>8852</v>
      </c>
      <c r="J487" s="2" t="s">
        <v>61</v>
      </c>
      <c r="K487" s="13" t="n">
        <v>45074</v>
      </c>
      <c r="L487" s="2" t="s">
        <v>8855</v>
      </c>
      <c r="M487" s="2" t="s">
        <v>8858</v>
      </c>
    </row>
    <row r="488" customFormat="false" ht="15" hidden="false" customHeight="false" outlineLevel="0" collapsed="false">
      <c r="A488" s="2" t="s">
        <v>3105</v>
      </c>
      <c r="B488" s="2" t="s">
        <v>8851</v>
      </c>
      <c r="C488" s="2" t="s">
        <v>8870</v>
      </c>
      <c r="D488" s="2" t="s">
        <v>8824</v>
      </c>
      <c r="E488" s="13" t="n">
        <v>29815</v>
      </c>
      <c r="F488" s="2" t="n">
        <v>254757688529</v>
      </c>
      <c r="G488" s="2" t="n">
        <v>4</v>
      </c>
      <c r="H488" s="2" t="s">
        <v>95</v>
      </c>
      <c r="I488" s="2" t="s">
        <v>8842</v>
      </c>
      <c r="J488" s="2" t="s">
        <v>62</v>
      </c>
      <c r="K488" s="13" t="n">
        <v>45361</v>
      </c>
      <c r="L488" s="2" t="s">
        <v>8821</v>
      </c>
      <c r="M488" s="2" t="s">
        <v>8858</v>
      </c>
    </row>
    <row r="489" customFormat="false" ht="15" hidden="false" customHeight="false" outlineLevel="0" collapsed="false">
      <c r="A489" s="2" t="s">
        <v>226</v>
      </c>
      <c r="B489" s="2" t="s">
        <v>8838</v>
      </c>
      <c r="C489" s="2" t="s">
        <v>8863</v>
      </c>
      <c r="D489" s="2" t="s">
        <v>8824</v>
      </c>
      <c r="E489" s="13" t="n">
        <v>31398</v>
      </c>
      <c r="F489" s="2" t="n">
        <v>254714491176</v>
      </c>
      <c r="G489" s="2" t="n">
        <v>1</v>
      </c>
      <c r="H489" s="2" t="s">
        <v>8850</v>
      </c>
      <c r="I489" s="2" t="s">
        <v>8864</v>
      </c>
      <c r="J489" s="2" t="s">
        <v>60</v>
      </c>
      <c r="K489" s="13" t="n">
        <v>45202</v>
      </c>
      <c r="L489" s="2" t="s">
        <v>8821</v>
      </c>
      <c r="M489" s="2" t="s">
        <v>8858</v>
      </c>
    </row>
    <row r="490" customFormat="false" ht="15" hidden="false" customHeight="false" outlineLevel="0" collapsed="false">
      <c r="A490" s="2" t="s">
        <v>1210</v>
      </c>
      <c r="B490" s="2" t="s">
        <v>8885</v>
      </c>
      <c r="C490" s="2" t="s">
        <v>8846</v>
      </c>
      <c r="D490" s="2" t="s">
        <v>8824</v>
      </c>
      <c r="E490" s="13" t="n">
        <v>27477</v>
      </c>
      <c r="F490" s="2" t="n">
        <v>254779383794</v>
      </c>
      <c r="G490" s="2" t="n">
        <v>2</v>
      </c>
      <c r="H490" s="2" t="s">
        <v>95</v>
      </c>
      <c r="I490" s="2" t="s">
        <v>8831</v>
      </c>
      <c r="J490" s="2" t="s">
        <v>61</v>
      </c>
      <c r="K490" s="13" t="n">
        <v>45466</v>
      </c>
      <c r="L490" s="2" t="s">
        <v>8821</v>
      </c>
      <c r="M490" s="2" t="s">
        <v>36</v>
      </c>
    </row>
    <row r="491" customFormat="false" ht="15" hidden="false" customHeight="false" outlineLevel="0" collapsed="false">
      <c r="A491" s="2" t="s">
        <v>554</v>
      </c>
      <c r="B491" s="2" t="s">
        <v>8877</v>
      </c>
      <c r="C491" s="2" t="s">
        <v>8870</v>
      </c>
      <c r="D491" s="2" t="s">
        <v>8824</v>
      </c>
      <c r="E491" s="13" t="n">
        <v>26833</v>
      </c>
      <c r="F491" s="2" t="n">
        <v>254787036318</v>
      </c>
      <c r="G491" s="2" t="n">
        <v>12</v>
      </c>
      <c r="H491" s="2" t="s">
        <v>8850</v>
      </c>
      <c r="I491" s="2" t="s">
        <v>8842</v>
      </c>
      <c r="J491" s="2" t="s">
        <v>60</v>
      </c>
      <c r="K491" s="13" t="n">
        <v>44938</v>
      </c>
      <c r="L491" s="2" t="s">
        <v>8821</v>
      </c>
      <c r="M491" s="2" t="s">
        <v>36</v>
      </c>
    </row>
    <row r="492" customFormat="false" ht="15" hidden="false" customHeight="false" outlineLevel="0" collapsed="false">
      <c r="A492" s="2" t="s">
        <v>2016</v>
      </c>
      <c r="B492" s="2" t="s">
        <v>8871</v>
      </c>
      <c r="C492" s="2" t="s">
        <v>8854</v>
      </c>
      <c r="D492" s="2" t="s">
        <v>8824</v>
      </c>
      <c r="E492" s="13" t="n">
        <v>29243</v>
      </c>
      <c r="F492" s="2" t="n">
        <v>254718243352</v>
      </c>
      <c r="G492" s="2" t="n">
        <v>11</v>
      </c>
      <c r="H492" s="2" t="s">
        <v>8850</v>
      </c>
      <c r="I492" s="2" t="s">
        <v>8848</v>
      </c>
      <c r="J492" s="2" t="s">
        <v>59</v>
      </c>
      <c r="K492" s="13" t="n">
        <v>45538</v>
      </c>
      <c r="L492" s="2" t="s">
        <v>8821</v>
      </c>
      <c r="M492" s="2" t="s">
        <v>36</v>
      </c>
    </row>
    <row r="493" customFormat="false" ht="15" hidden="false" customHeight="false" outlineLevel="0" collapsed="false">
      <c r="A493" s="2" t="s">
        <v>1467</v>
      </c>
      <c r="B493" s="2" t="s">
        <v>8832</v>
      </c>
      <c r="C493" s="2" t="s">
        <v>8861</v>
      </c>
      <c r="D493" s="2" t="s">
        <v>8819</v>
      </c>
      <c r="E493" s="13" t="n">
        <v>26069</v>
      </c>
      <c r="F493" s="2" t="n">
        <v>254747292234</v>
      </c>
      <c r="G493" s="2" t="n">
        <v>5</v>
      </c>
      <c r="H493" s="2" t="s">
        <v>95</v>
      </c>
      <c r="I493" s="2" t="s">
        <v>8848</v>
      </c>
      <c r="J493" s="2" t="s">
        <v>60</v>
      </c>
      <c r="K493" s="13" t="n">
        <v>45011</v>
      </c>
      <c r="L493" s="2" t="s">
        <v>8821</v>
      </c>
      <c r="M493" s="2" t="s">
        <v>36</v>
      </c>
    </row>
    <row r="494" customFormat="false" ht="15" hidden="false" customHeight="false" outlineLevel="0" collapsed="false">
      <c r="A494" s="2" t="s">
        <v>889</v>
      </c>
      <c r="B494" s="2" t="s">
        <v>8835</v>
      </c>
      <c r="C494" s="2" t="s">
        <v>8881</v>
      </c>
      <c r="D494" s="2" t="s">
        <v>8819</v>
      </c>
      <c r="E494" s="13" t="n">
        <v>25906</v>
      </c>
      <c r="F494" s="2" t="n">
        <v>254798470372</v>
      </c>
      <c r="G494" s="2" t="n">
        <v>8</v>
      </c>
      <c r="H494" s="2" t="s">
        <v>8850</v>
      </c>
      <c r="I494" s="2" t="s">
        <v>8828</v>
      </c>
      <c r="J494" s="2" t="s">
        <v>60</v>
      </c>
      <c r="K494" s="13" t="n">
        <v>45545</v>
      </c>
      <c r="L494" s="2" t="s">
        <v>8821</v>
      </c>
      <c r="M494" s="2" t="s">
        <v>8858</v>
      </c>
    </row>
    <row r="495" customFormat="false" ht="15" hidden="false" customHeight="false" outlineLevel="0" collapsed="false">
      <c r="A495" s="2" t="s">
        <v>6207</v>
      </c>
      <c r="B495" s="2" t="s">
        <v>8878</v>
      </c>
      <c r="C495" s="2" t="s">
        <v>8827</v>
      </c>
      <c r="D495" s="2" t="s">
        <v>8819</v>
      </c>
      <c r="E495" s="13" t="n">
        <v>29857</v>
      </c>
      <c r="F495" s="2" t="n">
        <v>254789932574</v>
      </c>
      <c r="G495" s="2" t="n">
        <v>15</v>
      </c>
      <c r="H495" s="2" t="s">
        <v>95</v>
      </c>
      <c r="I495" s="2" t="s">
        <v>8847</v>
      </c>
      <c r="J495" s="2" t="s">
        <v>61</v>
      </c>
      <c r="K495" s="13" t="n">
        <v>44960</v>
      </c>
      <c r="L495" s="2" t="s">
        <v>8855</v>
      </c>
      <c r="M495" s="2" t="s">
        <v>36</v>
      </c>
    </row>
    <row r="496" customFormat="false" ht="15" hidden="false" customHeight="false" outlineLevel="0" collapsed="false">
      <c r="A496" s="2" t="s">
        <v>2540</v>
      </c>
      <c r="B496" s="2" t="s">
        <v>8840</v>
      </c>
      <c r="C496" s="2" t="s">
        <v>8881</v>
      </c>
      <c r="D496" s="2" t="s">
        <v>8824</v>
      </c>
      <c r="E496" s="13" t="n">
        <v>36150</v>
      </c>
      <c r="F496" s="2" t="n">
        <v>254717291483</v>
      </c>
      <c r="G496" s="2" t="n">
        <v>11</v>
      </c>
      <c r="H496" s="2" t="s">
        <v>8850</v>
      </c>
      <c r="I496" s="2" t="s">
        <v>8825</v>
      </c>
      <c r="J496" s="2" t="s">
        <v>58</v>
      </c>
      <c r="K496" s="13" t="n">
        <v>45098</v>
      </c>
      <c r="L496" s="2" t="s">
        <v>8821</v>
      </c>
      <c r="M496" s="2" t="s">
        <v>8858</v>
      </c>
    </row>
    <row r="497" customFormat="false" ht="15" hidden="false" customHeight="false" outlineLevel="0" collapsed="false">
      <c r="A497" s="2" t="s">
        <v>8900</v>
      </c>
      <c r="B497" s="2" t="s">
        <v>8871</v>
      </c>
      <c r="C497" s="2" t="s">
        <v>8863</v>
      </c>
      <c r="D497" s="2" t="s">
        <v>8819</v>
      </c>
      <c r="E497" s="13" t="n">
        <v>34921</v>
      </c>
      <c r="F497" s="2" t="n">
        <v>254760975999</v>
      </c>
      <c r="G497" s="2" t="n">
        <v>11</v>
      </c>
      <c r="H497" s="2" t="s">
        <v>8850</v>
      </c>
      <c r="I497" s="2" t="s">
        <v>8847</v>
      </c>
      <c r="J497" s="2" t="s">
        <v>60</v>
      </c>
      <c r="K497" s="13" t="n">
        <v>45414</v>
      </c>
      <c r="L497" s="2" t="s">
        <v>8821</v>
      </c>
      <c r="M497" s="2" t="s">
        <v>8858</v>
      </c>
    </row>
    <row r="498" customFormat="false" ht="15" hidden="false" customHeight="false" outlineLevel="0" collapsed="false">
      <c r="A498" s="2" t="s">
        <v>326</v>
      </c>
      <c r="B498" s="2" t="s">
        <v>8866</v>
      </c>
      <c r="C498" s="2" t="s">
        <v>8869</v>
      </c>
      <c r="D498" s="2" t="s">
        <v>8819</v>
      </c>
      <c r="E498" s="13" t="n">
        <v>25714</v>
      </c>
      <c r="F498" s="2" t="n">
        <v>254723068017</v>
      </c>
      <c r="G498" s="2" t="n">
        <v>15</v>
      </c>
      <c r="H498" s="2" t="s">
        <v>8850</v>
      </c>
      <c r="I498" s="2" t="s">
        <v>8842</v>
      </c>
      <c r="J498" s="2" t="s">
        <v>62</v>
      </c>
      <c r="K498" s="13" t="n">
        <v>45386</v>
      </c>
      <c r="L498" s="2" t="s">
        <v>8821</v>
      </c>
      <c r="M498" s="2" t="s">
        <v>36</v>
      </c>
    </row>
    <row r="499" customFormat="false" ht="15" hidden="false" customHeight="false" outlineLevel="0" collapsed="false">
      <c r="A499" s="2" t="s">
        <v>1202</v>
      </c>
      <c r="B499" s="2" t="s">
        <v>8845</v>
      </c>
      <c r="C499" s="2" t="s">
        <v>8881</v>
      </c>
      <c r="D499" s="2" t="s">
        <v>8824</v>
      </c>
      <c r="E499" s="13" t="n">
        <v>31923</v>
      </c>
      <c r="F499" s="2" t="n">
        <v>254771888947</v>
      </c>
      <c r="G499" s="2" t="n">
        <v>13</v>
      </c>
      <c r="H499" s="2" t="s">
        <v>95</v>
      </c>
      <c r="I499" s="2" t="s">
        <v>8864</v>
      </c>
      <c r="J499" s="2" t="s">
        <v>62</v>
      </c>
      <c r="K499" s="13" t="n">
        <v>45027</v>
      </c>
      <c r="L499" s="2" t="s">
        <v>8821</v>
      </c>
      <c r="M499" s="2" t="s">
        <v>36</v>
      </c>
    </row>
    <row r="500" customFormat="false" ht="15" hidden="false" customHeight="false" outlineLevel="0" collapsed="false">
      <c r="A500" s="2" t="s">
        <v>281</v>
      </c>
      <c r="B500" s="2" t="s">
        <v>8856</v>
      </c>
      <c r="C500" s="2" t="s">
        <v>8818</v>
      </c>
      <c r="D500" s="2" t="s">
        <v>8819</v>
      </c>
      <c r="E500" s="13" t="n">
        <v>29755</v>
      </c>
      <c r="F500" s="2" t="n">
        <v>254711605433</v>
      </c>
      <c r="G500" s="2" t="n">
        <v>7</v>
      </c>
      <c r="H500" s="2" t="s">
        <v>95</v>
      </c>
      <c r="I500" s="2" t="s">
        <v>8857</v>
      </c>
      <c r="J500" s="2" t="s">
        <v>58</v>
      </c>
      <c r="K500" s="13" t="n">
        <v>44937</v>
      </c>
      <c r="L500" s="2" t="s">
        <v>8855</v>
      </c>
      <c r="M500" s="2" t="s">
        <v>36</v>
      </c>
    </row>
    <row r="501" customFormat="false" ht="15" hidden="false" customHeight="false" outlineLevel="0" collapsed="false">
      <c r="A501" s="2" t="s">
        <v>4111</v>
      </c>
      <c r="B501" s="2" t="s">
        <v>8840</v>
      </c>
      <c r="C501" s="2" t="s">
        <v>8823</v>
      </c>
      <c r="D501" s="2" t="s">
        <v>8819</v>
      </c>
      <c r="E501" s="13" t="n">
        <v>31026</v>
      </c>
      <c r="F501" s="2" t="n">
        <v>254793134088</v>
      </c>
      <c r="G501" s="2" t="n">
        <v>2</v>
      </c>
      <c r="H501" s="2" t="s">
        <v>95</v>
      </c>
      <c r="I501" s="2" t="s">
        <v>8848</v>
      </c>
      <c r="J501" s="2" t="s">
        <v>59</v>
      </c>
      <c r="K501" s="13" t="n">
        <v>45184</v>
      </c>
      <c r="L501" s="2" t="s">
        <v>8821</v>
      </c>
      <c r="M501" s="2" t="s">
        <v>36</v>
      </c>
    </row>
    <row r="502" customFormat="false" ht="15" hidden="false" customHeight="false" outlineLevel="0" collapsed="false">
      <c r="A502" s="2" t="s">
        <v>4529</v>
      </c>
      <c r="B502" s="2" t="s">
        <v>8856</v>
      </c>
      <c r="C502" s="2" t="s">
        <v>8881</v>
      </c>
      <c r="D502" s="2" t="s">
        <v>8819</v>
      </c>
      <c r="E502" s="13" t="n">
        <v>27672</v>
      </c>
      <c r="F502" s="2" t="n">
        <v>254724877375</v>
      </c>
      <c r="G502" s="2" t="n">
        <v>12</v>
      </c>
      <c r="H502" s="2" t="s">
        <v>95</v>
      </c>
      <c r="I502" s="2" t="s">
        <v>8834</v>
      </c>
      <c r="J502" s="2" t="s">
        <v>60</v>
      </c>
      <c r="K502" s="13" t="n">
        <v>45311</v>
      </c>
      <c r="L502" s="2" t="s">
        <v>8855</v>
      </c>
      <c r="M502" s="2" t="s">
        <v>36</v>
      </c>
    </row>
    <row r="503" customFormat="false" ht="15" hidden="false" customHeight="false" outlineLevel="0" collapsed="false">
      <c r="A503" s="2" t="s">
        <v>5701</v>
      </c>
      <c r="B503" s="2" t="s">
        <v>8875</v>
      </c>
      <c r="C503" s="2" t="s">
        <v>8869</v>
      </c>
      <c r="D503" s="2" t="s">
        <v>8824</v>
      </c>
      <c r="E503" s="13" t="n">
        <v>36305</v>
      </c>
      <c r="F503" s="2" t="n">
        <v>254731738712</v>
      </c>
      <c r="G503" s="2" t="n">
        <v>13</v>
      </c>
      <c r="H503" s="2" t="s">
        <v>95</v>
      </c>
      <c r="I503" s="2" t="s">
        <v>8834</v>
      </c>
      <c r="J503" s="2" t="s">
        <v>58</v>
      </c>
      <c r="K503" s="13" t="n">
        <v>45364</v>
      </c>
      <c r="L503" s="2" t="s">
        <v>8855</v>
      </c>
      <c r="M503" s="2" t="s">
        <v>8858</v>
      </c>
    </row>
    <row r="504" customFormat="false" ht="15" hidden="false" customHeight="false" outlineLevel="0" collapsed="false">
      <c r="A504" s="2" t="s">
        <v>2727</v>
      </c>
      <c r="B504" s="2" t="s">
        <v>8835</v>
      </c>
      <c r="C504" s="2" t="s">
        <v>8870</v>
      </c>
      <c r="D504" s="2" t="s">
        <v>8819</v>
      </c>
      <c r="E504" s="13" t="n">
        <v>33247</v>
      </c>
      <c r="F504" s="2" t="n">
        <v>254775997780</v>
      </c>
      <c r="G504" s="2" t="n">
        <v>15</v>
      </c>
      <c r="H504" s="2" t="s">
        <v>95</v>
      </c>
      <c r="I504" s="2" t="s">
        <v>8848</v>
      </c>
      <c r="J504" s="2" t="s">
        <v>61</v>
      </c>
      <c r="K504" s="13" t="n">
        <v>45198</v>
      </c>
      <c r="L504" s="2" t="s">
        <v>8821</v>
      </c>
      <c r="M504" s="2" t="s">
        <v>8858</v>
      </c>
    </row>
    <row r="505" customFormat="false" ht="15" hidden="false" customHeight="false" outlineLevel="0" collapsed="false">
      <c r="A505" s="2" t="s">
        <v>8901</v>
      </c>
      <c r="B505" s="2" t="s">
        <v>8840</v>
      </c>
      <c r="C505" s="2" t="s">
        <v>8867</v>
      </c>
      <c r="D505" s="2" t="s">
        <v>8819</v>
      </c>
      <c r="E505" s="13" t="n">
        <v>27837</v>
      </c>
      <c r="F505" s="2" t="n">
        <v>254769268093</v>
      </c>
      <c r="G505" s="2" t="n">
        <v>12</v>
      </c>
      <c r="H505" s="2" t="s">
        <v>8850</v>
      </c>
      <c r="I505" s="2" t="s">
        <v>8825</v>
      </c>
      <c r="J505" s="2" t="s">
        <v>58</v>
      </c>
      <c r="K505" s="13" t="n">
        <v>45368</v>
      </c>
      <c r="L505" s="2" t="s">
        <v>8821</v>
      </c>
      <c r="M505" s="2" t="s">
        <v>36</v>
      </c>
    </row>
    <row r="506" customFormat="false" ht="15" hidden="false" customHeight="false" outlineLevel="0" collapsed="false">
      <c r="A506" s="2" t="s">
        <v>1188</v>
      </c>
      <c r="B506" s="2" t="s">
        <v>8832</v>
      </c>
      <c r="C506" s="2" t="s">
        <v>8818</v>
      </c>
      <c r="D506" s="2" t="s">
        <v>8819</v>
      </c>
      <c r="E506" s="13" t="n">
        <v>31625</v>
      </c>
      <c r="F506" s="2" t="n">
        <v>254799201885</v>
      </c>
      <c r="G506" s="2" t="n">
        <v>7</v>
      </c>
      <c r="H506" s="2" t="s">
        <v>8850</v>
      </c>
      <c r="I506" s="2" t="s">
        <v>8828</v>
      </c>
      <c r="J506" s="2" t="s">
        <v>60</v>
      </c>
      <c r="K506" s="13" t="n">
        <v>45436</v>
      </c>
      <c r="L506" s="2" t="s">
        <v>8855</v>
      </c>
      <c r="M506" s="2" t="s">
        <v>36</v>
      </c>
    </row>
    <row r="507" customFormat="false" ht="15" hidden="false" customHeight="false" outlineLevel="0" collapsed="false">
      <c r="A507" s="2" t="s">
        <v>3325</v>
      </c>
      <c r="B507" s="2" t="s">
        <v>8877</v>
      </c>
      <c r="C507" s="2" t="s">
        <v>8865</v>
      </c>
      <c r="D507" s="2" t="s">
        <v>8824</v>
      </c>
      <c r="E507" s="13" t="n">
        <v>37615</v>
      </c>
      <c r="F507" s="2" t="n">
        <v>254719408620</v>
      </c>
      <c r="G507" s="2" t="n">
        <v>9</v>
      </c>
      <c r="H507" s="2" t="s">
        <v>95</v>
      </c>
      <c r="I507" s="2" t="s">
        <v>8820</v>
      </c>
      <c r="J507" s="2" t="s">
        <v>61</v>
      </c>
      <c r="K507" s="13" t="n">
        <v>45429</v>
      </c>
      <c r="L507" s="2" t="s">
        <v>8855</v>
      </c>
      <c r="M507" s="2" t="s">
        <v>36</v>
      </c>
    </row>
    <row r="508" customFormat="false" ht="15" hidden="false" customHeight="false" outlineLevel="0" collapsed="false">
      <c r="A508" s="2" t="s">
        <v>1365</v>
      </c>
      <c r="B508" s="2" t="s">
        <v>8866</v>
      </c>
      <c r="C508" s="2" t="s">
        <v>8823</v>
      </c>
      <c r="D508" s="2" t="s">
        <v>8819</v>
      </c>
      <c r="E508" s="13" t="n">
        <v>33777</v>
      </c>
      <c r="F508" s="2" t="n">
        <v>254759037166</v>
      </c>
      <c r="G508" s="2" t="n">
        <v>9</v>
      </c>
      <c r="H508" s="2" t="s">
        <v>8850</v>
      </c>
      <c r="I508" s="2" t="s">
        <v>8825</v>
      </c>
      <c r="J508" s="2" t="s">
        <v>61</v>
      </c>
      <c r="K508" s="13" t="n">
        <v>45237</v>
      </c>
      <c r="L508" s="2" t="s">
        <v>8821</v>
      </c>
      <c r="M508" s="2" t="s">
        <v>36</v>
      </c>
    </row>
    <row r="509" customFormat="false" ht="15" hidden="false" customHeight="false" outlineLevel="0" collapsed="false">
      <c r="A509" s="2" t="s">
        <v>486</v>
      </c>
      <c r="B509" s="2" t="s">
        <v>8856</v>
      </c>
      <c r="C509" s="2" t="s">
        <v>8841</v>
      </c>
      <c r="D509" s="2" t="s">
        <v>8824</v>
      </c>
      <c r="E509" s="13" t="n">
        <v>29831</v>
      </c>
      <c r="F509" s="2" t="n">
        <v>254762358969</v>
      </c>
      <c r="G509" s="2" t="n">
        <v>15</v>
      </c>
      <c r="H509" s="2" t="s">
        <v>95</v>
      </c>
      <c r="I509" s="2" t="s">
        <v>8852</v>
      </c>
      <c r="J509" s="2" t="s">
        <v>60</v>
      </c>
      <c r="K509" s="13" t="n">
        <v>45320</v>
      </c>
      <c r="L509" s="2" t="s">
        <v>8855</v>
      </c>
      <c r="M509" s="2" t="s">
        <v>36</v>
      </c>
    </row>
    <row r="510" customFormat="false" ht="15" hidden="false" customHeight="false" outlineLevel="0" collapsed="false">
      <c r="A510" s="2" t="s">
        <v>815</v>
      </c>
      <c r="B510" s="2" t="s">
        <v>8822</v>
      </c>
      <c r="C510" s="2" t="s">
        <v>8841</v>
      </c>
      <c r="D510" s="2" t="s">
        <v>8819</v>
      </c>
      <c r="E510" s="13" t="n">
        <v>36136</v>
      </c>
      <c r="F510" s="2" t="n">
        <v>254789583788</v>
      </c>
      <c r="G510" s="2" t="n">
        <v>4</v>
      </c>
      <c r="H510" s="2" t="s">
        <v>8850</v>
      </c>
      <c r="I510" s="2" t="s">
        <v>8842</v>
      </c>
      <c r="J510" s="2" t="s">
        <v>58</v>
      </c>
      <c r="K510" s="13" t="n">
        <v>45070</v>
      </c>
      <c r="L510" s="2" t="s">
        <v>8821</v>
      </c>
      <c r="M510" s="2" t="s">
        <v>8858</v>
      </c>
    </row>
    <row r="511" customFormat="false" ht="15" hidden="false" customHeight="false" outlineLevel="0" collapsed="false">
      <c r="A511" s="2" t="s">
        <v>3743</v>
      </c>
      <c r="B511" s="2" t="s">
        <v>8822</v>
      </c>
      <c r="C511" s="2" t="s">
        <v>8869</v>
      </c>
      <c r="D511" s="2" t="s">
        <v>8819</v>
      </c>
      <c r="E511" s="13" t="n">
        <v>35797</v>
      </c>
      <c r="F511" s="2" t="n">
        <v>254764426343</v>
      </c>
      <c r="G511" s="2" t="n">
        <v>2</v>
      </c>
      <c r="H511" s="2" t="s">
        <v>95</v>
      </c>
      <c r="I511" s="2" t="s">
        <v>8852</v>
      </c>
      <c r="J511" s="2" t="s">
        <v>62</v>
      </c>
      <c r="K511" s="13" t="n">
        <v>45274</v>
      </c>
      <c r="L511" s="2" t="s">
        <v>8855</v>
      </c>
      <c r="M511" s="2" t="s">
        <v>36</v>
      </c>
    </row>
    <row r="512" customFormat="false" ht="15" hidden="false" customHeight="false" outlineLevel="0" collapsed="false">
      <c r="A512" s="2" t="s">
        <v>4579</v>
      </c>
      <c r="B512" s="2" t="s">
        <v>8877</v>
      </c>
      <c r="C512" s="2" t="s">
        <v>8818</v>
      </c>
      <c r="D512" s="2" t="s">
        <v>8824</v>
      </c>
      <c r="E512" s="13" t="n">
        <v>30714</v>
      </c>
      <c r="F512" s="2" t="n">
        <v>254792996496</v>
      </c>
      <c r="G512" s="2" t="n">
        <v>1</v>
      </c>
      <c r="H512" s="2" t="s">
        <v>95</v>
      </c>
      <c r="I512" s="2" t="s">
        <v>8864</v>
      </c>
      <c r="J512" s="2" t="s">
        <v>59</v>
      </c>
      <c r="K512" s="13" t="n">
        <v>45071</v>
      </c>
      <c r="L512" s="2" t="s">
        <v>8821</v>
      </c>
      <c r="M512" s="2" t="s">
        <v>36</v>
      </c>
    </row>
    <row r="513" customFormat="false" ht="15" hidden="false" customHeight="false" outlineLevel="0" collapsed="false">
      <c r="A513" s="2" t="s">
        <v>665</v>
      </c>
      <c r="B513" s="2" t="s">
        <v>8860</v>
      </c>
      <c r="C513" s="2" t="s">
        <v>8867</v>
      </c>
      <c r="D513" s="2" t="s">
        <v>8819</v>
      </c>
      <c r="E513" s="13" t="n">
        <v>26811</v>
      </c>
      <c r="F513" s="2" t="n">
        <v>254789328380</v>
      </c>
      <c r="G513" s="2" t="n">
        <v>2</v>
      </c>
      <c r="H513" s="2" t="s">
        <v>95</v>
      </c>
      <c r="I513" s="2" t="s">
        <v>8825</v>
      </c>
      <c r="J513" s="2" t="s">
        <v>61</v>
      </c>
      <c r="K513" s="13" t="n">
        <v>45026</v>
      </c>
      <c r="L513" s="2" t="s">
        <v>8821</v>
      </c>
      <c r="M513" s="2" t="s">
        <v>36</v>
      </c>
    </row>
    <row r="514" customFormat="false" ht="15" hidden="false" customHeight="false" outlineLevel="0" collapsed="false">
      <c r="A514" s="2" t="s">
        <v>3463</v>
      </c>
      <c r="B514" s="2" t="s">
        <v>8866</v>
      </c>
      <c r="C514" s="2" t="s">
        <v>8869</v>
      </c>
      <c r="D514" s="2" t="s">
        <v>8819</v>
      </c>
      <c r="E514" s="13" t="n">
        <v>30143</v>
      </c>
      <c r="F514" s="2" t="n">
        <v>254787304983</v>
      </c>
      <c r="G514" s="2" t="n">
        <v>9</v>
      </c>
      <c r="H514" s="2" t="s">
        <v>95</v>
      </c>
      <c r="I514" s="2" t="s">
        <v>8844</v>
      </c>
      <c r="J514" s="2" t="s">
        <v>59</v>
      </c>
      <c r="K514" s="13" t="n">
        <v>45621</v>
      </c>
      <c r="L514" s="2" t="s">
        <v>8821</v>
      </c>
      <c r="M514" s="2" t="s">
        <v>36</v>
      </c>
    </row>
    <row r="515" customFormat="false" ht="15" hidden="false" customHeight="false" outlineLevel="0" collapsed="false">
      <c r="A515" s="2" t="s">
        <v>8902</v>
      </c>
      <c r="B515" s="2" t="s">
        <v>8832</v>
      </c>
      <c r="C515" s="2" t="s">
        <v>8865</v>
      </c>
      <c r="D515" s="2" t="s">
        <v>8819</v>
      </c>
      <c r="E515" s="13" t="n">
        <v>33273</v>
      </c>
      <c r="F515" s="2" t="n">
        <v>254759650807</v>
      </c>
      <c r="G515" s="2" t="n">
        <v>9</v>
      </c>
      <c r="H515" s="2" t="s">
        <v>95</v>
      </c>
      <c r="I515" s="2" t="s">
        <v>8847</v>
      </c>
      <c r="J515" s="2" t="s">
        <v>59</v>
      </c>
      <c r="K515" s="13" t="n">
        <v>45207</v>
      </c>
      <c r="L515" s="2" t="s">
        <v>8821</v>
      </c>
      <c r="M515" s="2" t="s">
        <v>36</v>
      </c>
    </row>
    <row r="516" customFormat="false" ht="15" hidden="false" customHeight="false" outlineLevel="0" collapsed="false">
      <c r="A516" s="2" t="s">
        <v>2516</v>
      </c>
      <c r="B516" s="2" t="s">
        <v>8853</v>
      </c>
      <c r="C516" s="2" t="s">
        <v>8873</v>
      </c>
      <c r="D516" s="2" t="s">
        <v>8819</v>
      </c>
      <c r="E516" s="13" t="n">
        <v>28084</v>
      </c>
      <c r="F516" s="2" t="n">
        <v>254775359668</v>
      </c>
      <c r="G516" s="2" t="n">
        <v>2</v>
      </c>
      <c r="H516" s="2" t="s">
        <v>95</v>
      </c>
      <c r="I516" s="2" t="s">
        <v>8820</v>
      </c>
      <c r="J516" s="2" t="s">
        <v>59</v>
      </c>
      <c r="K516" s="13" t="n">
        <v>45312</v>
      </c>
      <c r="L516" s="2" t="s">
        <v>8821</v>
      </c>
      <c r="M516" s="2" t="s">
        <v>36</v>
      </c>
    </row>
    <row r="517" customFormat="false" ht="15" hidden="false" customHeight="false" outlineLevel="0" collapsed="false">
      <c r="A517" s="2" t="s">
        <v>4741</v>
      </c>
      <c r="B517" s="2" t="s">
        <v>8875</v>
      </c>
      <c r="C517" s="2" t="s">
        <v>8833</v>
      </c>
      <c r="D517" s="2" t="s">
        <v>8819</v>
      </c>
      <c r="E517" s="13" t="n">
        <v>35425</v>
      </c>
      <c r="F517" s="2" t="n">
        <v>254729204927</v>
      </c>
      <c r="G517" s="2" t="n">
        <v>11</v>
      </c>
      <c r="H517" s="2" t="s">
        <v>8850</v>
      </c>
      <c r="I517" s="2" t="s">
        <v>8857</v>
      </c>
      <c r="J517" s="2" t="s">
        <v>61</v>
      </c>
      <c r="K517" s="13" t="n">
        <v>45414</v>
      </c>
      <c r="L517" s="2" t="s">
        <v>8855</v>
      </c>
      <c r="M517" s="2" t="s">
        <v>36</v>
      </c>
    </row>
    <row r="518" customFormat="false" ht="15" hidden="false" customHeight="false" outlineLevel="0" collapsed="false">
      <c r="A518" s="2" t="s">
        <v>3941</v>
      </c>
      <c r="B518" s="2" t="s">
        <v>8849</v>
      </c>
      <c r="C518" s="2" t="s">
        <v>8873</v>
      </c>
      <c r="D518" s="2" t="s">
        <v>8824</v>
      </c>
      <c r="E518" s="13" t="n">
        <v>29882</v>
      </c>
      <c r="F518" s="2" t="n">
        <v>254792147935</v>
      </c>
      <c r="G518" s="2" t="n">
        <v>2</v>
      </c>
      <c r="H518" s="2" t="s">
        <v>8850</v>
      </c>
      <c r="I518" s="2" t="s">
        <v>8844</v>
      </c>
      <c r="J518" s="2" t="s">
        <v>61</v>
      </c>
      <c r="K518" s="13" t="n">
        <v>44965</v>
      </c>
      <c r="L518" s="2" t="s">
        <v>8821</v>
      </c>
      <c r="M518" s="2" t="s">
        <v>36</v>
      </c>
    </row>
    <row r="519" customFormat="false" ht="15" hidden="false" customHeight="false" outlineLevel="0" collapsed="false">
      <c r="A519" s="2" t="s">
        <v>3095</v>
      </c>
      <c r="B519" s="2" t="s">
        <v>8849</v>
      </c>
      <c r="C519" s="2" t="s">
        <v>8888</v>
      </c>
      <c r="D519" s="2" t="s">
        <v>8819</v>
      </c>
      <c r="E519" s="13" t="n">
        <v>29999</v>
      </c>
      <c r="F519" s="2" t="n">
        <v>254772306017</v>
      </c>
      <c r="G519" s="2" t="n">
        <v>13</v>
      </c>
      <c r="H519" s="2" t="s">
        <v>95</v>
      </c>
      <c r="I519" s="2" t="s">
        <v>8834</v>
      </c>
      <c r="J519" s="2" t="s">
        <v>58</v>
      </c>
      <c r="K519" s="13" t="n">
        <v>45024</v>
      </c>
      <c r="L519" s="2" t="s">
        <v>8821</v>
      </c>
      <c r="M519" s="2" t="s">
        <v>36</v>
      </c>
    </row>
    <row r="520" customFormat="false" ht="15" hidden="false" customHeight="false" outlineLevel="0" collapsed="false">
      <c r="A520" s="2" t="s">
        <v>5007</v>
      </c>
      <c r="B520" s="2" t="s">
        <v>8877</v>
      </c>
      <c r="C520" s="2" t="s">
        <v>8873</v>
      </c>
      <c r="D520" s="2" t="s">
        <v>8819</v>
      </c>
      <c r="E520" s="13" t="n">
        <v>29187</v>
      </c>
      <c r="F520" s="2" t="n">
        <v>254799945021</v>
      </c>
      <c r="G520" s="2" t="n">
        <v>15</v>
      </c>
      <c r="H520" s="2" t="s">
        <v>95</v>
      </c>
      <c r="I520" s="2" t="s">
        <v>8820</v>
      </c>
      <c r="J520" s="2" t="s">
        <v>60</v>
      </c>
      <c r="K520" s="13" t="n">
        <v>45412</v>
      </c>
      <c r="L520" s="2" t="s">
        <v>8821</v>
      </c>
      <c r="M520" s="2" t="s">
        <v>36</v>
      </c>
    </row>
    <row r="521" customFormat="false" ht="15" hidden="false" customHeight="false" outlineLevel="0" collapsed="false">
      <c r="A521" s="2" t="s">
        <v>231</v>
      </c>
      <c r="B521" s="2" t="s">
        <v>8874</v>
      </c>
      <c r="C521" s="2" t="s">
        <v>8870</v>
      </c>
      <c r="D521" s="2" t="s">
        <v>8819</v>
      </c>
      <c r="E521" s="13" t="n">
        <v>35561</v>
      </c>
      <c r="F521" s="2" t="n">
        <v>254724015162</v>
      </c>
      <c r="G521" s="2" t="n">
        <v>12</v>
      </c>
      <c r="H521" s="2" t="s">
        <v>95</v>
      </c>
      <c r="I521" s="2" t="s">
        <v>8857</v>
      </c>
      <c r="J521" s="2" t="s">
        <v>59</v>
      </c>
      <c r="K521" s="13" t="n">
        <v>45558</v>
      </c>
      <c r="L521" s="2" t="s">
        <v>8821</v>
      </c>
      <c r="M521" s="2" t="s">
        <v>36</v>
      </c>
    </row>
    <row r="522" customFormat="false" ht="15" hidden="false" customHeight="false" outlineLevel="0" collapsed="false">
      <c r="A522" s="2" t="s">
        <v>2350</v>
      </c>
      <c r="B522" s="2" t="s">
        <v>8880</v>
      </c>
      <c r="C522" s="2" t="s">
        <v>8839</v>
      </c>
      <c r="D522" s="2" t="s">
        <v>8824</v>
      </c>
      <c r="E522" s="13" t="n">
        <v>37138</v>
      </c>
      <c r="F522" s="2" t="n">
        <v>254789551741</v>
      </c>
      <c r="G522" s="2" t="n">
        <v>10</v>
      </c>
      <c r="H522" s="2" t="s">
        <v>8850</v>
      </c>
      <c r="I522" s="2" t="s">
        <v>8842</v>
      </c>
      <c r="J522" s="2" t="s">
        <v>59</v>
      </c>
      <c r="K522" s="13" t="n">
        <v>44999</v>
      </c>
      <c r="L522" s="2" t="s">
        <v>8821</v>
      </c>
      <c r="M522" s="2" t="s">
        <v>36</v>
      </c>
    </row>
    <row r="523" customFormat="false" ht="15" hidden="false" customHeight="false" outlineLevel="0" collapsed="false">
      <c r="A523" s="2" t="s">
        <v>8903</v>
      </c>
      <c r="B523" s="2" t="s">
        <v>8843</v>
      </c>
      <c r="C523" s="2" t="s">
        <v>8865</v>
      </c>
      <c r="D523" s="2" t="s">
        <v>8819</v>
      </c>
      <c r="E523" s="13" t="n">
        <v>28284</v>
      </c>
      <c r="F523" s="2" t="n">
        <v>254760403103</v>
      </c>
      <c r="G523" s="2" t="n">
        <v>15</v>
      </c>
      <c r="H523" s="2" t="s">
        <v>95</v>
      </c>
      <c r="I523" s="2" t="s">
        <v>8825</v>
      </c>
      <c r="J523" s="2" t="s">
        <v>61</v>
      </c>
      <c r="K523" s="13" t="n">
        <v>45027</v>
      </c>
      <c r="L523" s="2" t="s">
        <v>8855</v>
      </c>
      <c r="M523" s="2" t="s">
        <v>36</v>
      </c>
    </row>
    <row r="524" customFormat="false" ht="15" hidden="false" customHeight="false" outlineLevel="0" collapsed="false">
      <c r="A524" s="2" t="s">
        <v>5793</v>
      </c>
      <c r="B524" s="2" t="s">
        <v>8860</v>
      </c>
      <c r="C524" s="2" t="s">
        <v>8873</v>
      </c>
      <c r="D524" s="2" t="s">
        <v>8824</v>
      </c>
      <c r="E524" s="13" t="n">
        <v>35496</v>
      </c>
      <c r="F524" s="2" t="n">
        <v>254760128319</v>
      </c>
      <c r="G524" s="2" t="n">
        <v>3</v>
      </c>
      <c r="H524" s="2" t="s">
        <v>8850</v>
      </c>
      <c r="I524" s="2" t="s">
        <v>8864</v>
      </c>
      <c r="J524" s="2" t="s">
        <v>59</v>
      </c>
      <c r="K524" s="13" t="n">
        <v>45551</v>
      </c>
      <c r="L524" s="2" t="s">
        <v>8821</v>
      </c>
      <c r="M524" s="2" t="s">
        <v>36</v>
      </c>
    </row>
    <row r="525" customFormat="false" ht="15" hidden="false" customHeight="false" outlineLevel="0" collapsed="false">
      <c r="A525" s="2" t="s">
        <v>3505</v>
      </c>
      <c r="B525" s="2" t="s">
        <v>8875</v>
      </c>
      <c r="C525" s="2" t="s">
        <v>8881</v>
      </c>
      <c r="D525" s="2" t="s">
        <v>8819</v>
      </c>
      <c r="E525" s="13" t="n">
        <v>30107</v>
      </c>
      <c r="F525" s="2" t="n">
        <v>254747662052</v>
      </c>
      <c r="G525" s="2" t="n">
        <v>3</v>
      </c>
      <c r="H525" s="2" t="s">
        <v>95</v>
      </c>
      <c r="I525" s="2" t="s">
        <v>8847</v>
      </c>
      <c r="J525" s="2" t="s">
        <v>61</v>
      </c>
      <c r="K525" s="13" t="n">
        <v>44959</v>
      </c>
      <c r="L525" s="2" t="s">
        <v>8855</v>
      </c>
      <c r="M525" s="2" t="s">
        <v>36</v>
      </c>
    </row>
    <row r="526" customFormat="false" ht="15" hidden="false" customHeight="false" outlineLevel="0" collapsed="false">
      <c r="A526" s="2" t="s">
        <v>5751</v>
      </c>
      <c r="B526" s="2" t="s">
        <v>8835</v>
      </c>
      <c r="C526" s="2" t="s">
        <v>8867</v>
      </c>
      <c r="D526" s="2" t="s">
        <v>8819</v>
      </c>
      <c r="E526" s="13" t="n">
        <v>33338</v>
      </c>
      <c r="F526" s="2" t="n">
        <v>254787594146</v>
      </c>
      <c r="G526" s="2" t="n">
        <v>9</v>
      </c>
      <c r="H526" s="2" t="s">
        <v>95</v>
      </c>
      <c r="I526" s="2" t="s">
        <v>8825</v>
      </c>
      <c r="J526" s="2" t="s">
        <v>61</v>
      </c>
      <c r="K526" s="13" t="n">
        <v>45545</v>
      </c>
      <c r="L526" s="2" t="s">
        <v>8855</v>
      </c>
      <c r="M526" s="2" t="s">
        <v>36</v>
      </c>
    </row>
    <row r="527" customFormat="false" ht="15" hidden="false" customHeight="false" outlineLevel="0" collapsed="false">
      <c r="A527" s="2" t="s">
        <v>2768</v>
      </c>
      <c r="B527" s="2" t="s">
        <v>8871</v>
      </c>
      <c r="C527" s="2" t="s">
        <v>8865</v>
      </c>
      <c r="D527" s="2" t="s">
        <v>8819</v>
      </c>
      <c r="E527" s="13" t="n">
        <v>36747</v>
      </c>
      <c r="F527" s="2" t="n">
        <v>254743263373</v>
      </c>
      <c r="G527" s="2" t="n">
        <v>6</v>
      </c>
      <c r="H527" s="2" t="s">
        <v>8850</v>
      </c>
      <c r="I527" s="2" t="s">
        <v>8848</v>
      </c>
      <c r="J527" s="2" t="s">
        <v>59</v>
      </c>
      <c r="K527" s="13" t="n">
        <v>44941</v>
      </c>
      <c r="L527" s="2" t="s">
        <v>8821</v>
      </c>
      <c r="M527" s="2" t="s">
        <v>36</v>
      </c>
    </row>
    <row r="528" customFormat="false" ht="15" hidden="false" customHeight="false" outlineLevel="0" collapsed="false">
      <c r="A528" s="2" t="s">
        <v>1785</v>
      </c>
      <c r="B528" s="2" t="s">
        <v>8871</v>
      </c>
      <c r="C528" s="2" t="s">
        <v>8861</v>
      </c>
      <c r="D528" s="2" t="s">
        <v>8819</v>
      </c>
      <c r="E528" s="13" t="n">
        <v>35066</v>
      </c>
      <c r="F528" s="2" t="n">
        <v>254767136170</v>
      </c>
      <c r="G528" s="2" t="n">
        <v>9</v>
      </c>
      <c r="H528" s="2" t="s">
        <v>8850</v>
      </c>
      <c r="I528" s="2" t="s">
        <v>8847</v>
      </c>
      <c r="J528" s="2" t="s">
        <v>58</v>
      </c>
      <c r="K528" s="13" t="n">
        <v>45408</v>
      </c>
      <c r="L528" s="2" t="s">
        <v>8855</v>
      </c>
      <c r="M528" s="2" t="s">
        <v>8858</v>
      </c>
    </row>
    <row r="529" customFormat="false" ht="15" hidden="false" customHeight="false" outlineLevel="0" collapsed="false">
      <c r="A529" s="2" t="s">
        <v>4371</v>
      </c>
      <c r="B529" s="2" t="s">
        <v>8875</v>
      </c>
      <c r="C529" s="2" t="s">
        <v>8865</v>
      </c>
      <c r="D529" s="2" t="s">
        <v>8819</v>
      </c>
      <c r="E529" s="13" t="n">
        <v>31096</v>
      </c>
      <c r="F529" s="2" t="n">
        <v>254727812303</v>
      </c>
      <c r="G529" s="2" t="n">
        <v>6</v>
      </c>
      <c r="H529" s="2" t="s">
        <v>8850</v>
      </c>
      <c r="I529" s="2" t="s">
        <v>8831</v>
      </c>
      <c r="J529" s="2" t="s">
        <v>58</v>
      </c>
      <c r="K529" s="13" t="n">
        <v>44939</v>
      </c>
      <c r="L529" s="2" t="s">
        <v>8821</v>
      </c>
      <c r="M529" s="2" t="s">
        <v>8858</v>
      </c>
    </row>
    <row r="530" customFormat="false" ht="15" hidden="false" customHeight="false" outlineLevel="0" collapsed="false">
      <c r="A530" s="2" t="s">
        <v>5195</v>
      </c>
      <c r="B530" s="2" t="s">
        <v>8885</v>
      </c>
      <c r="C530" s="2" t="s">
        <v>8881</v>
      </c>
      <c r="D530" s="2" t="s">
        <v>8819</v>
      </c>
      <c r="E530" s="13" t="n">
        <v>32590</v>
      </c>
      <c r="F530" s="2" t="n">
        <v>254771047698</v>
      </c>
      <c r="G530" s="2" t="n">
        <v>8</v>
      </c>
      <c r="H530" s="2" t="s">
        <v>95</v>
      </c>
      <c r="I530" s="2" t="s">
        <v>8864</v>
      </c>
      <c r="J530" s="2" t="s">
        <v>61</v>
      </c>
      <c r="K530" s="13" t="n">
        <v>45397</v>
      </c>
      <c r="L530" s="2" t="s">
        <v>8821</v>
      </c>
      <c r="M530" s="2" t="s">
        <v>36</v>
      </c>
    </row>
    <row r="531" customFormat="false" ht="15" hidden="false" customHeight="false" outlineLevel="0" collapsed="false">
      <c r="A531" s="2" t="s">
        <v>4495</v>
      </c>
      <c r="B531" s="2" t="s">
        <v>8885</v>
      </c>
      <c r="C531" s="2" t="s">
        <v>8827</v>
      </c>
      <c r="D531" s="2" t="s">
        <v>8824</v>
      </c>
      <c r="E531" s="13" t="n">
        <v>36515</v>
      </c>
      <c r="F531" s="2" t="n">
        <v>254754681905</v>
      </c>
      <c r="G531" s="2" t="n">
        <v>9</v>
      </c>
      <c r="H531" s="2" t="s">
        <v>95</v>
      </c>
      <c r="I531" s="2" t="s">
        <v>8834</v>
      </c>
      <c r="J531" s="2" t="s">
        <v>61</v>
      </c>
      <c r="K531" s="13" t="n">
        <v>44928</v>
      </c>
      <c r="L531" s="2" t="s">
        <v>8821</v>
      </c>
      <c r="M531" s="2" t="s">
        <v>36</v>
      </c>
    </row>
    <row r="532" customFormat="false" ht="15" hidden="false" customHeight="false" outlineLevel="0" collapsed="false">
      <c r="A532" s="2" t="s">
        <v>3161</v>
      </c>
      <c r="B532" s="2" t="s">
        <v>8868</v>
      </c>
      <c r="C532" s="2" t="s">
        <v>8888</v>
      </c>
      <c r="D532" s="2" t="s">
        <v>8819</v>
      </c>
      <c r="E532" s="13" t="n">
        <v>27678</v>
      </c>
      <c r="F532" s="2" t="n">
        <v>254724893677</v>
      </c>
      <c r="G532" s="2" t="n">
        <v>7</v>
      </c>
      <c r="H532" s="2" t="s">
        <v>8850</v>
      </c>
      <c r="I532" s="2" t="s">
        <v>8847</v>
      </c>
      <c r="J532" s="2" t="s">
        <v>62</v>
      </c>
      <c r="K532" s="13" t="n">
        <v>44983</v>
      </c>
      <c r="L532" s="2" t="s">
        <v>8821</v>
      </c>
      <c r="M532" s="2" t="s">
        <v>36</v>
      </c>
    </row>
    <row r="533" customFormat="false" ht="15" hidden="false" customHeight="false" outlineLevel="0" collapsed="false">
      <c r="A533" s="2" t="s">
        <v>5605</v>
      </c>
      <c r="B533" s="2" t="s">
        <v>8875</v>
      </c>
      <c r="C533" s="2" t="s">
        <v>8827</v>
      </c>
      <c r="D533" s="2" t="s">
        <v>8819</v>
      </c>
      <c r="E533" s="13" t="n">
        <v>34049</v>
      </c>
      <c r="F533" s="2" t="n">
        <v>254728576512</v>
      </c>
      <c r="G533" s="2" t="n">
        <v>6</v>
      </c>
      <c r="H533" s="2" t="s">
        <v>95</v>
      </c>
      <c r="I533" s="2" t="s">
        <v>8857</v>
      </c>
      <c r="J533" s="2" t="s">
        <v>58</v>
      </c>
      <c r="K533" s="13" t="n">
        <v>45499</v>
      </c>
      <c r="L533" s="2" t="s">
        <v>8855</v>
      </c>
      <c r="M533" s="2" t="s">
        <v>36</v>
      </c>
    </row>
    <row r="534" customFormat="false" ht="15" hidden="false" customHeight="false" outlineLevel="0" collapsed="false">
      <c r="A534" s="2" t="s">
        <v>2291</v>
      </c>
      <c r="B534" s="2" t="s">
        <v>8868</v>
      </c>
      <c r="C534" s="2" t="s">
        <v>8865</v>
      </c>
      <c r="D534" s="2" t="s">
        <v>8824</v>
      </c>
      <c r="E534" s="13" t="n">
        <v>30845</v>
      </c>
      <c r="F534" s="2" t="n">
        <v>254717309497</v>
      </c>
      <c r="G534" s="2" t="n">
        <v>2</v>
      </c>
      <c r="H534" s="2" t="s">
        <v>8850</v>
      </c>
      <c r="I534" s="2" t="s">
        <v>8844</v>
      </c>
      <c r="J534" s="2" t="s">
        <v>61</v>
      </c>
      <c r="K534" s="13" t="n">
        <v>45200</v>
      </c>
      <c r="L534" s="2" t="s">
        <v>8855</v>
      </c>
      <c r="M534" s="2" t="s">
        <v>36</v>
      </c>
    </row>
    <row r="535" customFormat="false" ht="15" hidden="false" customHeight="false" outlineLevel="0" collapsed="false">
      <c r="A535" s="2" t="s">
        <v>3709</v>
      </c>
      <c r="B535" s="2" t="s">
        <v>8872</v>
      </c>
      <c r="C535" s="2" t="s">
        <v>8863</v>
      </c>
      <c r="D535" s="2" t="s">
        <v>8824</v>
      </c>
      <c r="E535" s="13" t="n">
        <v>36878</v>
      </c>
      <c r="F535" s="2" t="n">
        <v>254770663511</v>
      </c>
      <c r="G535" s="2" t="n">
        <v>10</v>
      </c>
      <c r="H535" s="2" t="s">
        <v>8850</v>
      </c>
      <c r="I535" s="2" t="s">
        <v>8852</v>
      </c>
      <c r="J535" s="2" t="s">
        <v>58</v>
      </c>
      <c r="K535" s="13" t="n">
        <v>45621</v>
      </c>
      <c r="L535" s="2" t="s">
        <v>8821</v>
      </c>
      <c r="M535" s="2" t="s">
        <v>8858</v>
      </c>
    </row>
    <row r="536" customFormat="false" ht="15" hidden="false" customHeight="false" outlineLevel="0" collapsed="false">
      <c r="A536" s="2" t="s">
        <v>1095</v>
      </c>
      <c r="B536" s="2" t="s">
        <v>8883</v>
      </c>
      <c r="C536" s="2" t="s">
        <v>8827</v>
      </c>
      <c r="D536" s="2" t="s">
        <v>8819</v>
      </c>
      <c r="E536" s="13" t="n">
        <v>27438</v>
      </c>
      <c r="F536" s="2" t="n">
        <v>254732114547</v>
      </c>
      <c r="G536" s="2" t="n">
        <v>5</v>
      </c>
      <c r="H536" s="2" t="s">
        <v>95</v>
      </c>
      <c r="I536" s="2" t="s">
        <v>8864</v>
      </c>
      <c r="J536" s="2" t="s">
        <v>59</v>
      </c>
      <c r="K536" s="13" t="n">
        <v>45110</v>
      </c>
      <c r="L536" s="2" t="s">
        <v>8855</v>
      </c>
      <c r="M536" s="2" t="s">
        <v>36</v>
      </c>
    </row>
    <row r="537" customFormat="false" ht="15" hidden="false" customHeight="false" outlineLevel="0" collapsed="false">
      <c r="A537" s="2" t="s">
        <v>361</v>
      </c>
      <c r="B537" s="2" t="s">
        <v>8883</v>
      </c>
      <c r="C537" s="2" t="s">
        <v>8865</v>
      </c>
      <c r="D537" s="2" t="s">
        <v>8819</v>
      </c>
      <c r="E537" s="13" t="n">
        <v>30580</v>
      </c>
      <c r="F537" s="2" t="n">
        <v>254773606441</v>
      </c>
      <c r="G537" s="2" t="n">
        <v>6</v>
      </c>
      <c r="H537" s="2" t="s">
        <v>8850</v>
      </c>
      <c r="I537" s="2" t="s">
        <v>8847</v>
      </c>
      <c r="J537" s="2" t="s">
        <v>58</v>
      </c>
      <c r="K537" s="13" t="n">
        <v>44950</v>
      </c>
      <c r="L537" s="2" t="s">
        <v>8821</v>
      </c>
      <c r="M537" s="2" t="s">
        <v>36</v>
      </c>
    </row>
    <row r="538" customFormat="false" ht="15" hidden="false" customHeight="false" outlineLevel="0" collapsed="false">
      <c r="A538" s="2" t="s">
        <v>3731</v>
      </c>
      <c r="B538" s="2" t="s">
        <v>8872</v>
      </c>
      <c r="C538" s="2" t="s">
        <v>8861</v>
      </c>
      <c r="D538" s="2" t="s">
        <v>8824</v>
      </c>
      <c r="E538" s="13" t="n">
        <v>27057</v>
      </c>
      <c r="F538" s="2" t="n">
        <v>254765256328</v>
      </c>
      <c r="G538" s="2" t="n">
        <v>10</v>
      </c>
      <c r="H538" s="2" t="s">
        <v>8850</v>
      </c>
      <c r="I538" s="2" t="s">
        <v>8852</v>
      </c>
      <c r="J538" s="2" t="s">
        <v>60</v>
      </c>
      <c r="K538" s="13" t="n">
        <v>45164</v>
      </c>
      <c r="L538" s="2" t="s">
        <v>8855</v>
      </c>
      <c r="M538" s="2" t="s">
        <v>8858</v>
      </c>
    </row>
    <row r="539" customFormat="false" ht="15" hidden="false" customHeight="false" outlineLevel="0" collapsed="false">
      <c r="A539" s="2" t="s">
        <v>366</v>
      </c>
      <c r="B539" s="2" t="s">
        <v>8880</v>
      </c>
      <c r="C539" s="2" t="s">
        <v>8854</v>
      </c>
      <c r="D539" s="2" t="s">
        <v>8819</v>
      </c>
      <c r="E539" s="13" t="n">
        <v>36299</v>
      </c>
      <c r="F539" s="2" t="n">
        <v>254744897610</v>
      </c>
      <c r="G539" s="2" t="n">
        <v>4</v>
      </c>
      <c r="H539" s="2" t="s">
        <v>8850</v>
      </c>
      <c r="I539" s="2" t="s">
        <v>8844</v>
      </c>
      <c r="J539" s="2" t="s">
        <v>60</v>
      </c>
      <c r="K539" s="13" t="n">
        <v>45062</v>
      </c>
      <c r="L539" s="2" t="s">
        <v>8821</v>
      </c>
      <c r="M539" s="2" t="s">
        <v>36</v>
      </c>
    </row>
    <row r="540" customFormat="false" ht="15" hidden="false" customHeight="false" outlineLevel="0" collapsed="false">
      <c r="A540" s="2" t="s">
        <v>1150</v>
      </c>
      <c r="B540" s="2" t="s">
        <v>8849</v>
      </c>
      <c r="C540" s="2" t="s">
        <v>8873</v>
      </c>
      <c r="D540" s="2" t="s">
        <v>8824</v>
      </c>
      <c r="E540" s="13" t="n">
        <v>33739</v>
      </c>
      <c r="F540" s="2" t="n">
        <v>254734465275</v>
      </c>
      <c r="G540" s="2" t="n">
        <v>3</v>
      </c>
      <c r="H540" s="2" t="s">
        <v>95</v>
      </c>
      <c r="I540" s="2" t="s">
        <v>8828</v>
      </c>
      <c r="J540" s="2" t="s">
        <v>59</v>
      </c>
      <c r="K540" s="13" t="n">
        <v>45097</v>
      </c>
      <c r="L540" s="2" t="s">
        <v>8821</v>
      </c>
      <c r="M540" s="2" t="s">
        <v>36</v>
      </c>
    </row>
    <row r="541" customFormat="false" ht="15" hidden="false" customHeight="false" outlineLevel="0" collapsed="false">
      <c r="A541" s="2" t="s">
        <v>772</v>
      </c>
      <c r="B541" s="2" t="s">
        <v>8845</v>
      </c>
      <c r="C541" s="2" t="s">
        <v>8888</v>
      </c>
      <c r="D541" s="2" t="s">
        <v>8819</v>
      </c>
      <c r="E541" s="13" t="n">
        <v>33151</v>
      </c>
      <c r="F541" s="2" t="n">
        <v>254737535486</v>
      </c>
      <c r="G541" s="2" t="n">
        <v>9</v>
      </c>
      <c r="H541" s="2" t="s">
        <v>95</v>
      </c>
      <c r="I541" s="2" t="s">
        <v>8852</v>
      </c>
      <c r="J541" s="2" t="s">
        <v>60</v>
      </c>
      <c r="K541" s="13" t="n">
        <v>45378</v>
      </c>
      <c r="L541" s="2" t="s">
        <v>8821</v>
      </c>
      <c r="M541" s="2" t="s">
        <v>36</v>
      </c>
    </row>
    <row r="542" customFormat="false" ht="15" hidden="false" customHeight="false" outlineLevel="0" collapsed="false">
      <c r="A542" s="2" t="s">
        <v>1270</v>
      </c>
      <c r="B542" s="2" t="s">
        <v>8851</v>
      </c>
      <c r="C542" s="2" t="s">
        <v>8854</v>
      </c>
      <c r="D542" s="2" t="s">
        <v>8819</v>
      </c>
      <c r="E542" s="13" t="n">
        <v>34199</v>
      </c>
      <c r="F542" s="2" t="n">
        <v>254713345404</v>
      </c>
      <c r="G542" s="2" t="n">
        <v>7</v>
      </c>
      <c r="H542" s="2" t="s">
        <v>8850</v>
      </c>
      <c r="I542" s="2" t="s">
        <v>8828</v>
      </c>
      <c r="J542" s="2" t="s">
        <v>61</v>
      </c>
      <c r="K542" s="13" t="n">
        <v>45093</v>
      </c>
      <c r="L542" s="2" t="s">
        <v>8821</v>
      </c>
      <c r="M542" s="2" t="s">
        <v>36</v>
      </c>
    </row>
    <row r="543" customFormat="false" ht="15" hidden="false" customHeight="false" outlineLevel="0" collapsed="false">
      <c r="A543" s="2" t="s">
        <v>1118</v>
      </c>
      <c r="B543" s="2" t="s">
        <v>8878</v>
      </c>
      <c r="C543" s="2" t="s">
        <v>8854</v>
      </c>
      <c r="D543" s="2" t="s">
        <v>8824</v>
      </c>
      <c r="E543" s="13" t="n">
        <v>25920</v>
      </c>
      <c r="F543" s="2" t="n">
        <v>254748899945</v>
      </c>
      <c r="G543" s="2" t="n">
        <v>13</v>
      </c>
      <c r="H543" s="2" t="s">
        <v>95</v>
      </c>
      <c r="I543" s="2" t="s">
        <v>8848</v>
      </c>
      <c r="J543" s="2" t="s">
        <v>61</v>
      </c>
      <c r="K543" s="13" t="n">
        <v>45446</v>
      </c>
      <c r="L543" s="2" t="s">
        <v>8821</v>
      </c>
      <c r="M543" s="2" t="s">
        <v>36</v>
      </c>
    </row>
    <row r="544" customFormat="false" ht="15" hidden="false" customHeight="false" outlineLevel="0" collapsed="false">
      <c r="A544" s="2" t="s">
        <v>1915</v>
      </c>
      <c r="B544" s="2" t="s">
        <v>8851</v>
      </c>
      <c r="C544" s="2" t="s">
        <v>8830</v>
      </c>
      <c r="D544" s="2" t="s">
        <v>8824</v>
      </c>
      <c r="E544" s="13" t="n">
        <v>36530</v>
      </c>
      <c r="F544" s="2" t="n">
        <v>254713328008</v>
      </c>
      <c r="G544" s="2" t="n">
        <v>7</v>
      </c>
      <c r="H544" s="2" t="s">
        <v>95</v>
      </c>
      <c r="I544" s="2" t="s">
        <v>8847</v>
      </c>
      <c r="J544" s="2" t="s">
        <v>60</v>
      </c>
      <c r="K544" s="13" t="n">
        <v>45621</v>
      </c>
      <c r="L544" s="2" t="s">
        <v>8821</v>
      </c>
      <c r="M544" s="2" t="s">
        <v>36</v>
      </c>
    </row>
    <row r="545" customFormat="false" ht="15" hidden="false" customHeight="false" outlineLevel="0" collapsed="false">
      <c r="A545" s="2" t="s">
        <v>5239</v>
      </c>
      <c r="B545" s="2" t="s">
        <v>8862</v>
      </c>
      <c r="C545" s="2" t="s">
        <v>8861</v>
      </c>
      <c r="D545" s="2" t="s">
        <v>8819</v>
      </c>
      <c r="E545" s="13" t="n">
        <v>26958</v>
      </c>
      <c r="F545" s="2" t="n">
        <v>254747302753</v>
      </c>
      <c r="G545" s="2" t="n">
        <v>4</v>
      </c>
      <c r="H545" s="2" t="s">
        <v>95</v>
      </c>
      <c r="I545" s="2" t="s">
        <v>8825</v>
      </c>
      <c r="J545" s="2" t="s">
        <v>62</v>
      </c>
      <c r="K545" s="13" t="n">
        <v>45126</v>
      </c>
      <c r="L545" s="2" t="s">
        <v>8855</v>
      </c>
      <c r="M545" s="2" t="s">
        <v>36</v>
      </c>
    </row>
    <row r="546" customFormat="false" ht="15" hidden="false" customHeight="false" outlineLevel="0" collapsed="false">
      <c r="A546" s="2" t="s">
        <v>2176</v>
      </c>
      <c r="B546" s="2" t="s">
        <v>8878</v>
      </c>
      <c r="C546" s="2" t="s">
        <v>8867</v>
      </c>
      <c r="D546" s="2" t="s">
        <v>8819</v>
      </c>
      <c r="E546" s="13" t="n">
        <v>37444</v>
      </c>
      <c r="F546" s="2" t="n">
        <v>254799491869</v>
      </c>
      <c r="G546" s="2" t="n">
        <v>6</v>
      </c>
      <c r="H546" s="2" t="s">
        <v>8850</v>
      </c>
      <c r="I546" s="2" t="s">
        <v>8828</v>
      </c>
      <c r="J546" s="2" t="s">
        <v>61</v>
      </c>
      <c r="K546" s="13" t="n">
        <v>45429</v>
      </c>
      <c r="L546" s="2" t="s">
        <v>8821</v>
      </c>
      <c r="M546" s="2" t="s">
        <v>8858</v>
      </c>
    </row>
    <row r="547" customFormat="false" ht="15" hidden="false" customHeight="false" outlineLevel="0" collapsed="false">
      <c r="A547" s="2" t="s">
        <v>5533</v>
      </c>
      <c r="B547" s="2" t="s">
        <v>8879</v>
      </c>
      <c r="C547" s="2" t="s">
        <v>8854</v>
      </c>
      <c r="D547" s="2" t="s">
        <v>8824</v>
      </c>
      <c r="E547" s="13" t="n">
        <v>33979</v>
      </c>
      <c r="F547" s="2" t="n">
        <v>254785300576</v>
      </c>
      <c r="G547" s="2" t="n">
        <v>2</v>
      </c>
      <c r="H547" s="2" t="s">
        <v>95</v>
      </c>
      <c r="I547" s="2" t="s">
        <v>8864</v>
      </c>
      <c r="J547" s="2" t="s">
        <v>61</v>
      </c>
      <c r="K547" s="13" t="n">
        <v>45280</v>
      </c>
      <c r="L547" s="2" t="s">
        <v>8855</v>
      </c>
      <c r="M547" s="2" t="s">
        <v>8858</v>
      </c>
    </row>
    <row r="548" customFormat="false" ht="15" hidden="false" customHeight="false" outlineLevel="0" collapsed="false">
      <c r="A548" s="2" t="s">
        <v>3270</v>
      </c>
      <c r="B548" s="2" t="s">
        <v>8871</v>
      </c>
      <c r="C548" s="2" t="s">
        <v>8865</v>
      </c>
      <c r="D548" s="2" t="s">
        <v>8819</v>
      </c>
      <c r="E548" s="13" t="n">
        <v>32228</v>
      </c>
      <c r="F548" s="2" t="n">
        <v>254788809974</v>
      </c>
      <c r="G548" s="2" t="n">
        <v>10</v>
      </c>
      <c r="H548" s="2" t="s">
        <v>95</v>
      </c>
      <c r="I548" s="2" t="s">
        <v>8828</v>
      </c>
      <c r="J548" s="2" t="s">
        <v>59</v>
      </c>
      <c r="K548" s="13" t="n">
        <v>45361</v>
      </c>
      <c r="L548" s="2" t="s">
        <v>8821</v>
      </c>
      <c r="M548" s="2" t="s">
        <v>8858</v>
      </c>
    </row>
    <row r="549" customFormat="false" ht="15" hidden="false" customHeight="false" outlineLevel="0" collapsed="false">
      <c r="A549" s="2" t="s">
        <v>1019</v>
      </c>
      <c r="B549" s="2" t="s">
        <v>8826</v>
      </c>
      <c r="C549" s="2" t="s">
        <v>8818</v>
      </c>
      <c r="D549" s="2" t="s">
        <v>8824</v>
      </c>
      <c r="E549" s="13" t="n">
        <v>33288</v>
      </c>
      <c r="F549" s="2" t="n">
        <v>254795739089</v>
      </c>
      <c r="G549" s="2" t="n">
        <v>15</v>
      </c>
      <c r="H549" s="2" t="s">
        <v>8850</v>
      </c>
      <c r="I549" s="2" t="s">
        <v>8842</v>
      </c>
      <c r="J549" s="2" t="s">
        <v>59</v>
      </c>
      <c r="K549" s="13" t="n">
        <v>45311</v>
      </c>
      <c r="L549" s="2" t="s">
        <v>8855</v>
      </c>
      <c r="M549" s="2" t="s">
        <v>36</v>
      </c>
    </row>
    <row r="550" customFormat="false" ht="15" hidden="false" customHeight="false" outlineLevel="0" collapsed="false">
      <c r="A550" s="2" t="s">
        <v>5783</v>
      </c>
      <c r="B550" s="2" t="s">
        <v>8883</v>
      </c>
      <c r="C550" s="2" t="s">
        <v>8863</v>
      </c>
      <c r="D550" s="2" t="s">
        <v>8824</v>
      </c>
      <c r="E550" s="13" t="n">
        <v>30037</v>
      </c>
      <c r="F550" s="2" t="n">
        <v>254715668405</v>
      </c>
      <c r="G550" s="2" t="n">
        <v>14</v>
      </c>
      <c r="H550" s="2" t="s">
        <v>8850</v>
      </c>
      <c r="I550" s="2" t="s">
        <v>8848</v>
      </c>
      <c r="J550" s="2" t="s">
        <v>60</v>
      </c>
      <c r="K550" s="13" t="n">
        <v>45317</v>
      </c>
      <c r="L550" s="2" t="s">
        <v>8855</v>
      </c>
      <c r="M550" s="2" t="s">
        <v>8858</v>
      </c>
    </row>
    <row r="551" customFormat="false" ht="15" hidden="false" customHeight="false" outlineLevel="0" collapsed="false">
      <c r="A551" s="2" t="s">
        <v>2822</v>
      </c>
      <c r="B551" s="2" t="s">
        <v>8832</v>
      </c>
      <c r="C551" s="2" t="s">
        <v>8846</v>
      </c>
      <c r="D551" s="2" t="s">
        <v>8824</v>
      </c>
      <c r="E551" s="13" t="n">
        <v>30707</v>
      </c>
      <c r="F551" s="2" t="n">
        <v>254795973864</v>
      </c>
      <c r="G551" s="2" t="n">
        <v>14</v>
      </c>
      <c r="H551" s="2" t="s">
        <v>8850</v>
      </c>
      <c r="I551" s="2" t="s">
        <v>8825</v>
      </c>
      <c r="J551" s="2" t="s">
        <v>60</v>
      </c>
      <c r="K551" s="13" t="n">
        <v>44929</v>
      </c>
      <c r="L551" s="2" t="s">
        <v>8855</v>
      </c>
      <c r="M551" s="2" t="s">
        <v>36</v>
      </c>
    </row>
    <row r="552" customFormat="false" ht="15" hidden="false" customHeight="false" outlineLevel="0" collapsed="false">
      <c r="A552" s="2" t="s">
        <v>8904</v>
      </c>
      <c r="B552" s="2" t="s">
        <v>8817</v>
      </c>
      <c r="C552" s="2" t="s">
        <v>8830</v>
      </c>
      <c r="D552" s="2" t="s">
        <v>8824</v>
      </c>
      <c r="E552" s="13" t="n">
        <v>37246</v>
      </c>
      <c r="F552" s="2" t="n">
        <v>254776176080</v>
      </c>
      <c r="G552" s="2" t="n">
        <v>2</v>
      </c>
      <c r="H552" s="2" t="s">
        <v>8850</v>
      </c>
      <c r="I552" s="2" t="s">
        <v>8848</v>
      </c>
      <c r="J552" s="2" t="s">
        <v>61</v>
      </c>
      <c r="K552" s="13" t="n">
        <v>45177</v>
      </c>
      <c r="L552" s="2" t="s">
        <v>8855</v>
      </c>
      <c r="M552" s="2" t="s">
        <v>36</v>
      </c>
    </row>
    <row r="553" customFormat="false" ht="15" hidden="false" customHeight="false" outlineLevel="0" collapsed="false">
      <c r="A553" s="2" t="s">
        <v>1068</v>
      </c>
      <c r="B553" s="2" t="s">
        <v>8879</v>
      </c>
      <c r="C553" s="2" t="s">
        <v>8861</v>
      </c>
      <c r="D553" s="2" t="s">
        <v>8819</v>
      </c>
      <c r="E553" s="13" t="n">
        <v>36887</v>
      </c>
      <c r="F553" s="2" t="n">
        <v>254744834491</v>
      </c>
      <c r="G553" s="2" t="n">
        <v>3</v>
      </c>
      <c r="H553" s="2" t="s">
        <v>95</v>
      </c>
      <c r="I553" s="2" t="s">
        <v>8828</v>
      </c>
      <c r="J553" s="2" t="s">
        <v>60</v>
      </c>
      <c r="K553" s="13" t="n">
        <v>45049</v>
      </c>
      <c r="L553" s="2" t="s">
        <v>8855</v>
      </c>
      <c r="M553" s="2" t="s">
        <v>36</v>
      </c>
    </row>
    <row r="554" customFormat="false" ht="15" hidden="false" customHeight="false" outlineLevel="0" collapsed="false">
      <c r="A554" s="2" t="s">
        <v>2949</v>
      </c>
      <c r="B554" s="2" t="s">
        <v>8879</v>
      </c>
      <c r="C554" s="2" t="s">
        <v>8865</v>
      </c>
      <c r="D554" s="2" t="s">
        <v>8824</v>
      </c>
      <c r="E554" s="13" t="n">
        <v>33665</v>
      </c>
      <c r="F554" s="2" t="n">
        <v>254716538403</v>
      </c>
      <c r="G554" s="2" t="n">
        <v>5</v>
      </c>
      <c r="H554" s="2" t="s">
        <v>8850</v>
      </c>
      <c r="I554" s="2" t="s">
        <v>8857</v>
      </c>
      <c r="J554" s="2" t="s">
        <v>58</v>
      </c>
      <c r="K554" s="13" t="n">
        <v>45206</v>
      </c>
      <c r="L554" s="2" t="s">
        <v>8821</v>
      </c>
      <c r="M554" s="2" t="s">
        <v>36</v>
      </c>
    </row>
    <row r="555" customFormat="false" ht="15" hidden="false" customHeight="false" outlineLevel="0" collapsed="false">
      <c r="A555" s="2" t="s">
        <v>1342</v>
      </c>
      <c r="B555" s="2" t="s">
        <v>8851</v>
      </c>
      <c r="C555" s="2" t="s">
        <v>8869</v>
      </c>
      <c r="D555" s="2" t="s">
        <v>8824</v>
      </c>
      <c r="E555" s="13" t="n">
        <v>28058</v>
      </c>
      <c r="F555" s="2" t="n">
        <v>254750409241</v>
      </c>
      <c r="G555" s="2" t="n">
        <v>5</v>
      </c>
      <c r="H555" s="2" t="s">
        <v>8850</v>
      </c>
      <c r="I555" s="2" t="s">
        <v>8825</v>
      </c>
      <c r="J555" s="2" t="s">
        <v>62</v>
      </c>
      <c r="K555" s="13" t="n">
        <v>45098</v>
      </c>
      <c r="L555" s="2" t="s">
        <v>8821</v>
      </c>
      <c r="M555" s="2" t="s">
        <v>36</v>
      </c>
    </row>
    <row r="556" customFormat="false" ht="15" hidden="false" customHeight="false" outlineLevel="0" collapsed="false">
      <c r="A556" s="2" t="s">
        <v>8905</v>
      </c>
      <c r="B556" s="2" t="s">
        <v>8879</v>
      </c>
      <c r="C556" s="2" t="s">
        <v>8859</v>
      </c>
      <c r="D556" s="2" t="s">
        <v>8824</v>
      </c>
      <c r="E556" s="13" t="n">
        <v>25644</v>
      </c>
      <c r="F556" s="2" t="n">
        <v>254755676049</v>
      </c>
      <c r="G556" s="2" t="n">
        <v>15</v>
      </c>
      <c r="H556" s="2" t="s">
        <v>95</v>
      </c>
      <c r="I556" s="2" t="s">
        <v>8825</v>
      </c>
      <c r="J556" s="2" t="s">
        <v>59</v>
      </c>
      <c r="K556" s="13" t="n">
        <v>45215</v>
      </c>
      <c r="L556" s="2" t="s">
        <v>8821</v>
      </c>
      <c r="M556" s="2" t="s">
        <v>36</v>
      </c>
    </row>
    <row r="557" customFormat="false" ht="15" hidden="false" customHeight="false" outlineLevel="0" collapsed="false">
      <c r="A557" s="2" t="s">
        <v>2969</v>
      </c>
      <c r="B557" s="2" t="s">
        <v>8872</v>
      </c>
      <c r="C557" s="2" t="s">
        <v>8861</v>
      </c>
      <c r="D557" s="2" t="s">
        <v>8819</v>
      </c>
      <c r="E557" s="13" t="n">
        <v>30214</v>
      </c>
      <c r="F557" s="2" t="n">
        <v>254766015266</v>
      </c>
      <c r="G557" s="2" t="n">
        <v>8</v>
      </c>
      <c r="H557" s="2" t="s">
        <v>95</v>
      </c>
      <c r="I557" s="2" t="s">
        <v>8825</v>
      </c>
      <c r="J557" s="2" t="s">
        <v>59</v>
      </c>
      <c r="K557" s="13" t="n">
        <v>45633</v>
      </c>
      <c r="L557" s="2" t="s">
        <v>8821</v>
      </c>
      <c r="M557" s="2" t="s">
        <v>8858</v>
      </c>
    </row>
    <row r="558" customFormat="false" ht="15" hidden="false" customHeight="false" outlineLevel="0" collapsed="false">
      <c r="A558" s="2" t="s">
        <v>1333</v>
      </c>
      <c r="B558" s="2" t="s">
        <v>8832</v>
      </c>
      <c r="C558" s="2" t="s">
        <v>8870</v>
      </c>
      <c r="D558" s="2" t="s">
        <v>8824</v>
      </c>
      <c r="E558" s="13" t="n">
        <v>33747</v>
      </c>
      <c r="F558" s="2" t="n">
        <v>254733113253</v>
      </c>
      <c r="G558" s="2" t="n">
        <v>12</v>
      </c>
      <c r="H558" s="2" t="s">
        <v>8850</v>
      </c>
      <c r="I558" s="2" t="s">
        <v>8820</v>
      </c>
      <c r="J558" s="2" t="s">
        <v>58</v>
      </c>
      <c r="K558" s="13" t="n">
        <v>45298</v>
      </c>
      <c r="L558" s="2" t="s">
        <v>8821</v>
      </c>
      <c r="M558" s="2" t="s">
        <v>36</v>
      </c>
    </row>
    <row r="559" customFormat="false" ht="15" hidden="false" customHeight="false" outlineLevel="0" collapsed="false">
      <c r="A559" s="2" t="s">
        <v>6959</v>
      </c>
      <c r="B559" s="2" t="s">
        <v>8832</v>
      </c>
      <c r="C559" s="2" t="s">
        <v>8841</v>
      </c>
      <c r="D559" s="2" t="s">
        <v>8819</v>
      </c>
      <c r="E559" s="13" t="n">
        <v>29197</v>
      </c>
      <c r="F559" s="2" t="n">
        <v>254720550179</v>
      </c>
      <c r="G559" s="2" t="n">
        <v>7</v>
      </c>
      <c r="H559" s="2" t="s">
        <v>95</v>
      </c>
      <c r="I559" s="2" t="s">
        <v>8825</v>
      </c>
      <c r="J559" s="2" t="s">
        <v>58</v>
      </c>
      <c r="K559" s="13" t="n">
        <v>45241</v>
      </c>
      <c r="L559" s="2" t="s">
        <v>8855</v>
      </c>
      <c r="M559" s="2" t="s">
        <v>8858</v>
      </c>
    </row>
    <row r="560" customFormat="false" ht="15" hidden="false" customHeight="false" outlineLevel="0" collapsed="false">
      <c r="A560" s="2" t="s">
        <v>8333</v>
      </c>
      <c r="B560" s="2" t="s">
        <v>8874</v>
      </c>
      <c r="C560" s="2" t="s">
        <v>8861</v>
      </c>
      <c r="D560" s="2" t="s">
        <v>8819</v>
      </c>
      <c r="E560" s="13" t="n">
        <v>26393</v>
      </c>
      <c r="F560" s="2" t="n">
        <v>254772959166</v>
      </c>
      <c r="G560" s="2" t="n">
        <v>2</v>
      </c>
      <c r="H560" s="2" t="s">
        <v>8850</v>
      </c>
      <c r="I560" s="2" t="s">
        <v>8820</v>
      </c>
      <c r="J560" s="2" t="s">
        <v>58</v>
      </c>
      <c r="K560" s="13" t="n">
        <v>44960</v>
      </c>
      <c r="L560" s="2" t="s">
        <v>8821</v>
      </c>
      <c r="M560" s="2" t="s">
        <v>36</v>
      </c>
    </row>
    <row r="561" customFormat="false" ht="15" hidden="false" customHeight="false" outlineLevel="0" collapsed="false">
      <c r="A561" s="2" t="s">
        <v>5041</v>
      </c>
      <c r="B561" s="2" t="s">
        <v>8862</v>
      </c>
      <c r="C561" s="2" t="s">
        <v>8841</v>
      </c>
      <c r="D561" s="2" t="s">
        <v>8819</v>
      </c>
      <c r="E561" s="13" t="n">
        <v>27810</v>
      </c>
      <c r="F561" s="2" t="n">
        <v>254757182050</v>
      </c>
      <c r="G561" s="2" t="n">
        <v>1</v>
      </c>
      <c r="H561" s="2" t="s">
        <v>95</v>
      </c>
      <c r="I561" s="2" t="s">
        <v>8828</v>
      </c>
      <c r="J561" s="2" t="s">
        <v>60</v>
      </c>
      <c r="K561" s="13" t="n">
        <v>45137</v>
      </c>
      <c r="L561" s="2" t="s">
        <v>8821</v>
      </c>
      <c r="M561" s="2" t="s">
        <v>36</v>
      </c>
    </row>
    <row r="562" customFormat="false" ht="15" hidden="false" customHeight="false" outlineLevel="0" collapsed="false">
      <c r="A562" s="2" t="s">
        <v>1821</v>
      </c>
      <c r="B562" s="2" t="s">
        <v>8843</v>
      </c>
      <c r="C562" s="2" t="s">
        <v>8861</v>
      </c>
      <c r="D562" s="2" t="s">
        <v>8819</v>
      </c>
      <c r="E562" s="13" t="n">
        <v>29489</v>
      </c>
      <c r="F562" s="2" t="n">
        <v>254723301739</v>
      </c>
      <c r="G562" s="2" t="n">
        <v>14</v>
      </c>
      <c r="H562" s="2" t="s">
        <v>95</v>
      </c>
      <c r="I562" s="2" t="s">
        <v>8857</v>
      </c>
      <c r="J562" s="2" t="s">
        <v>59</v>
      </c>
      <c r="K562" s="13" t="n">
        <v>45554</v>
      </c>
      <c r="L562" s="2" t="s">
        <v>8821</v>
      </c>
      <c r="M562" s="2" t="s">
        <v>36</v>
      </c>
    </row>
    <row r="563" customFormat="false" ht="15" hidden="false" customHeight="false" outlineLevel="0" collapsed="false">
      <c r="A563" s="2" t="s">
        <v>3905</v>
      </c>
      <c r="B563" s="2" t="s">
        <v>8882</v>
      </c>
      <c r="C563" s="2" t="s">
        <v>8841</v>
      </c>
      <c r="D563" s="2" t="s">
        <v>8824</v>
      </c>
      <c r="E563" s="13" t="n">
        <v>29465</v>
      </c>
      <c r="F563" s="2" t="n">
        <v>254759185834</v>
      </c>
      <c r="G563" s="2" t="n">
        <v>12</v>
      </c>
      <c r="H563" s="2" t="s">
        <v>95</v>
      </c>
      <c r="I563" s="2" t="s">
        <v>8847</v>
      </c>
      <c r="J563" s="2" t="s">
        <v>58</v>
      </c>
      <c r="K563" s="13" t="n">
        <v>45028</v>
      </c>
      <c r="L563" s="2" t="s">
        <v>8821</v>
      </c>
      <c r="M563" s="2" t="s">
        <v>36</v>
      </c>
    </row>
    <row r="564" customFormat="false" ht="15" hidden="false" customHeight="false" outlineLevel="0" collapsed="false">
      <c r="A564" s="2" t="s">
        <v>1248</v>
      </c>
      <c r="B564" s="2" t="s">
        <v>8843</v>
      </c>
      <c r="C564" s="2" t="s">
        <v>8865</v>
      </c>
      <c r="D564" s="2" t="s">
        <v>8819</v>
      </c>
      <c r="E564" s="13" t="n">
        <v>34522</v>
      </c>
      <c r="F564" s="2" t="n">
        <v>254752181984</v>
      </c>
      <c r="G564" s="2" t="n">
        <v>2</v>
      </c>
      <c r="H564" s="2" t="s">
        <v>8850</v>
      </c>
      <c r="I564" s="2" t="s">
        <v>8825</v>
      </c>
      <c r="J564" s="2" t="s">
        <v>62</v>
      </c>
      <c r="K564" s="13" t="n">
        <v>45453</v>
      </c>
      <c r="L564" s="2" t="s">
        <v>8821</v>
      </c>
      <c r="M564" s="2" t="s">
        <v>8858</v>
      </c>
    </row>
    <row r="565" customFormat="false" ht="15" hidden="false" customHeight="false" outlineLevel="0" collapsed="false">
      <c r="A565" s="2" t="s">
        <v>5417</v>
      </c>
      <c r="B565" s="2" t="s">
        <v>8871</v>
      </c>
      <c r="C565" s="2" t="s">
        <v>8823</v>
      </c>
      <c r="D565" s="2" t="s">
        <v>8819</v>
      </c>
      <c r="E565" s="13" t="n">
        <v>34313</v>
      </c>
      <c r="F565" s="2" t="n">
        <v>254754038904</v>
      </c>
      <c r="G565" s="2" t="n">
        <v>8</v>
      </c>
      <c r="H565" s="2" t="s">
        <v>95</v>
      </c>
      <c r="I565" s="2" t="s">
        <v>8842</v>
      </c>
      <c r="J565" s="2" t="s">
        <v>60</v>
      </c>
      <c r="K565" s="13" t="n">
        <v>45497</v>
      </c>
      <c r="L565" s="2" t="s">
        <v>8855</v>
      </c>
      <c r="M565" s="2" t="s">
        <v>36</v>
      </c>
    </row>
    <row r="566" customFormat="false" ht="15" hidden="false" customHeight="false" outlineLevel="0" collapsed="false">
      <c r="A566" s="2" t="s">
        <v>5393</v>
      </c>
      <c r="B566" s="2" t="s">
        <v>8883</v>
      </c>
      <c r="C566" s="2" t="s">
        <v>8865</v>
      </c>
      <c r="D566" s="2" t="s">
        <v>8819</v>
      </c>
      <c r="E566" s="13" t="n">
        <v>35903</v>
      </c>
      <c r="F566" s="2" t="n">
        <v>254719342782</v>
      </c>
      <c r="G566" s="2" t="n">
        <v>15</v>
      </c>
      <c r="H566" s="2" t="s">
        <v>8850</v>
      </c>
      <c r="I566" s="2" t="s">
        <v>8852</v>
      </c>
      <c r="J566" s="2" t="s">
        <v>60</v>
      </c>
      <c r="K566" s="13" t="n">
        <v>45344</v>
      </c>
      <c r="L566" s="2" t="s">
        <v>8821</v>
      </c>
      <c r="M566" s="2" t="s">
        <v>36</v>
      </c>
    </row>
    <row r="567" customFormat="false" ht="15" hidden="false" customHeight="false" outlineLevel="0" collapsed="false">
      <c r="A567" s="2" t="s">
        <v>4515</v>
      </c>
      <c r="B567" s="2" t="s">
        <v>8860</v>
      </c>
      <c r="C567" s="2" t="s">
        <v>8861</v>
      </c>
      <c r="D567" s="2" t="s">
        <v>8819</v>
      </c>
      <c r="E567" s="13" t="n">
        <v>37199</v>
      </c>
      <c r="F567" s="2" t="n">
        <v>254726001148</v>
      </c>
      <c r="G567" s="2" t="n">
        <v>3</v>
      </c>
      <c r="H567" s="2" t="s">
        <v>8850</v>
      </c>
      <c r="I567" s="2" t="s">
        <v>8842</v>
      </c>
      <c r="J567" s="2" t="s">
        <v>62</v>
      </c>
      <c r="K567" s="13" t="n">
        <v>45332</v>
      </c>
      <c r="L567" s="2" t="s">
        <v>8821</v>
      </c>
      <c r="M567" s="2" t="s">
        <v>36</v>
      </c>
    </row>
    <row r="568" customFormat="false" ht="15" hidden="false" customHeight="false" outlineLevel="0" collapsed="false">
      <c r="A568" s="2" t="s">
        <v>569</v>
      </c>
      <c r="B568" s="2" t="s">
        <v>8840</v>
      </c>
      <c r="C568" s="2" t="s">
        <v>8867</v>
      </c>
      <c r="D568" s="2" t="s">
        <v>8824</v>
      </c>
      <c r="E568" s="13" t="n">
        <v>27187</v>
      </c>
      <c r="F568" s="2" t="n">
        <v>254726476859</v>
      </c>
      <c r="G568" s="2" t="n">
        <v>4</v>
      </c>
      <c r="H568" s="2" t="s">
        <v>8850</v>
      </c>
      <c r="I568" s="2" t="s">
        <v>8864</v>
      </c>
      <c r="J568" s="2" t="s">
        <v>61</v>
      </c>
      <c r="K568" s="13" t="n">
        <v>45273</v>
      </c>
      <c r="L568" s="2" t="s">
        <v>8821</v>
      </c>
      <c r="M568" s="2" t="s">
        <v>36</v>
      </c>
    </row>
    <row r="569" customFormat="false" ht="15" hidden="false" customHeight="false" outlineLevel="0" collapsed="false">
      <c r="A569" s="2" t="s">
        <v>6705</v>
      </c>
      <c r="B569" s="2" t="s">
        <v>8849</v>
      </c>
      <c r="C569" s="2" t="s">
        <v>8876</v>
      </c>
      <c r="D569" s="2" t="s">
        <v>8824</v>
      </c>
      <c r="E569" s="13" t="n">
        <v>34866</v>
      </c>
      <c r="F569" s="2" t="n">
        <v>254778640894</v>
      </c>
      <c r="G569" s="2" t="n">
        <v>5</v>
      </c>
      <c r="H569" s="2" t="s">
        <v>95</v>
      </c>
      <c r="I569" s="2" t="s">
        <v>8847</v>
      </c>
      <c r="J569" s="2" t="s">
        <v>58</v>
      </c>
      <c r="K569" s="13" t="n">
        <v>45609</v>
      </c>
      <c r="L569" s="2" t="s">
        <v>8821</v>
      </c>
      <c r="M569" s="2" t="s">
        <v>36</v>
      </c>
    </row>
    <row r="570" customFormat="false" ht="15" hidden="false" customHeight="false" outlineLevel="0" collapsed="false">
      <c r="A570" s="2" t="s">
        <v>341</v>
      </c>
      <c r="B570" s="2" t="s">
        <v>8832</v>
      </c>
      <c r="C570" s="2" t="s">
        <v>8818</v>
      </c>
      <c r="D570" s="2" t="s">
        <v>8819</v>
      </c>
      <c r="E570" s="13" t="n">
        <v>37111</v>
      </c>
      <c r="F570" s="2" t="n">
        <v>254717093731</v>
      </c>
      <c r="G570" s="2" t="n">
        <v>14</v>
      </c>
      <c r="H570" s="2" t="s">
        <v>95</v>
      </c>
      <c r="I570" s="2" t="s">
        <v>8847</v>
      </c>
      <c r="J570" s="2" t="s">
        <v>58</v>
      </c>
      <c r="K570" s="13" t="n">
        <v>45570</v>
      </c>
      <c r="L570" s="2" t="s">
        <v>8821</v>
      </c>
      <c r="M570" s="2" t="s">
        <v>8858</v>
      </c>
    </row>
    <row r="571" customFormat="false" ht="15" hidden="false" customHeight="false" outlineLevel="0" collapsed="false">
      <c r="A571" s="2" t="s">
        <v>5133</v>
      </c>
      <c r="B571" s="2" t="s">
        <v>8849</v>
      </c>
      <c r="C571" s="2" t="s">
        <v>8830</v>
      </c>
      <c r="D571" s="2" t="s">
        <v>8819</v>
      </c>
      <c r="E571" s="13" t="n">
        <v>32942</v>
      </c>
      <c r="F571" s="2" t="n">
        <v>254798728736</v>
      </c>
      <c r="G571" s="2" t="n">
        <v>13</v>
      </c>
      <c r="H571" s="2" t="s">
        <v>8850</v>
      </c>
      <c r="I571" s="2" t="s">
        <v>8847</v>
      </c>
      <c r="J571" s="2" t="s">
        <v>59</v>
      </c>
      <c r="K571" s="13" t="n">
        <v>45563</v>
      </c>
      <c r="L571" s="2" t="s">
        <v>8821</v>
      </c>
      <c r="M571" s="2" t="s">
        <v>8858</v>
      </c>
    </row>
    <row r="572" customFormat="false" ht="15" hidden="false" customHeight="false" outlineLevel="0" collapsed="false">
      <c r="A572" s="2" t="s">
        <v>3173</v>
      </c>
      <c r="B572" s="2" t="s">
        <v>8878</v>
      </c>
      <c r="C572" s="2" t="s">
        <v>8863</v>
      </c>
      <c r="D572" s="2" t="s">
        <v>8819</v>
      </c>
      <c r="E572" s="13" t="n">
        <v>37143</v>
      </c>
      <c r="F572" s="2" t="n">
        <v>254714241081</v>
      </c>
      <c r="G572" s="2" t="n">
        <v>7</v>
      </c>
      <c r="H572" s="2" t="s">
        <v>95</v>
      </c>
      <c r="I572" s="2" t="s">
        <v>8842</v>
      </c>
      <c r="J572" s="2" t="s">
        <v>61</v>
      </c>
      <c r="K572" s="13" t="n">
        <v>45482</v>
      </c>
      <c r="L572" s="2" t="s">
        <v>8821</v>
      </c>
      <c r="M572" s="2" t="s">
        <v>8858</v>
      </c>
    </row>
    <row r="573" customFormat="false" ht="15" hidden="false" customHeight="false" outlineLevel="0" collapsed="false">
      <c r="A573" s="2" t="s">
        <v>3981</v>
      </c>
      <c r="B573" s="2" t="s">
        <v>8835</v>
      </c>
      <c r="C573" s="2" t="s">
        <v>8863</v>
      </c>
      <c r="D573" s="2" t="s">
        <v>8824</v>
      </c>
      <c r="E573" s="13" t="n">
        <v>36009</v>
      </c>
      <c r="F573" s="2" t="n">
        <v>254732031067</v>
      </c>
      <c r="G573" s="2" t="n">
        <v>8</v>
      </c>
      <c r="H573" s="2" t="s">
        <v>8850</v>
      </c>
      <c r="I573" s="2" t="s">
        <v>8828</v>
      </c>
      <c r="J573" s="2" t="s">
        <v>60</v>
      </c>
      <c r="K573" s="13" t="n">
        <v>44960</v>
      </c>
      <c r="L573" s="2" t="s">
        <v>8855</v>
      </c>
      <c r="M573" s="2" t="s">
        <v>8858</v>
      </c>
    </row>
    <row r="574" customFormat="false" ht="15" hidden="false" customHeight="false" outlineLevel="0" collapsed="false">
      <c r="A574" s="2" t="s">
        <v>3083</v>
      </c>
      <c r="B574" s="2" t="s">
        <v>8856</v>
      </c>
      <c r="C574" s="2" t="s">
        <v>8863</v>
      </c>
      <c r="D574" s="2" t="s">
        <v>8824</v>
      </c>
      <c r="E574" s="13" t="n">
        <v>28420</v>
      </c>
      <c r="F574" s="2" t="n">
        <v>254773875700</v>
      </c>
      <c r="G574" s="2" t="n">
        <v>9</v>
      </c>
      <c r="H574" s="2" t="s">
        <v>95</v>
      </c>
      <c r="I574" s="2" t="s">
        <v>8857</v>
      </c>
      <c r="J574" s="2" t="s">
        <v>58</v>
      </c>
      <c r="K574" s="13" t="n">
        <v>45429</v>
      </c>
      <c r="L574" s="2" t="s">
        <v>8855</v>
      </c>
      <c r="M574" s="2" t="s">
        <v>36</v>
      </c>
    </row>
    <row r="575" customFormat="false" ht="15" hidden="false" customHeight="false" outlineLevel="0" collapsed="false">
      <c r="A575" s="2" t="s">
        <v>5825</v>
      </c>
      <c r="B575" s="2" t="s">
        <v>8856</v>
      </c>
      <c r="C575" s="2" t="s">
        <v>8888</v>
      </c>
      <c r="D575" s="2" t="s">
        <v>8824</v>
      </c>
      <c r="E575" s="13" t="n">
        <v>37177</v>
      </c>
      <c r="F575" s="2" t="n">
        <v>254753014471</v>
      </c>
      <c r="G575" s="2" t="n">
        <v>1</v>
      </c>
      <c r="H575" s="2" t="s">
        <v>95</v>
      </c>
      <c r="I575" s="2" t="s">
        <v>8848</v>
      </c>
      <c r="J575" s="2" t="s">
        <v>58</v>
      </c>
      <c r="K575" s="13" t="n">
        <v>45558</v>
      </c>
      <c r="L575" s="2" t="s">
        <v>8821</v>
      </c>
      <c r="M575" s="2" t="s">
        <v>36</v>
      </c>
    </row>
    <row r="576" customFormat="false" ht="15" hidden="false" customHeight="false" outlineLevel="0" collapsed="false">
      <c r="A576" s="2" t="s">
        <v>3287</v>
      </c>
      <c r="B576" s="2" t="s">
        <v>8853</v>
      </c>
      <c r="C576" s="2" t="s">
        <v>8869</v>
      </c>
      <c r="D576" s="2" t="s">
        <v>8824</v>
      </c>
      <c r="E576" s="13" t="n">
        <v>33957</v>
      </c>
      <c r="F576" s="2" t="n">
        <v>254723066102</v>
      </c>
      <c r="G576" s="2" t="n">
        <v>7</v>
      </c>
      <c r="H576" s="2" t="s">
        <v>8850</v>
      </c>
      <c r="I576" s="2" t="s">
        <v>8844</v>
      </c>
      <c r="J576" s="2" t="s">
        <v>61</v>
      </c>
      <c r="K576" s="13" t="n">
        <v>44954</v>
      </c>
      <c r="L576" s="2" t="s">
        <v>8821</v>
      </c>
      <c r="M576" s="2" t="s">
        <v>36</v>
      </c>
    </row>
    <row r="577" customFormat="false" ht="15" hidden="false" customHeight="false" outlineLevel="0" collapsed="false">
      <c r="A577" s="2" t="s">
        <v>587</v>
      </c>
      <c r="B577" s="2" t="s">
        <v>8883</v>
      </c>
      <c r="C577" s="2" t="s">
        <v>8881</v>
      </c>
      <c r="D577" s="2" t="s">
        <v>8819</v>
      </c>
      <c r="E577" s="13" t="n">
        <v>31145</v>
      </c>
      <c r="F577" s="2" t="n">
        <v>254718791292</v>
      </c>
      <c r="G577" s="2" t="n">
        <v>14</v>
      </c>
      <c r="H577" s="2" t="s">
        <v>8850</v>
      </c>
      <c r="I577" s="2" t="s">
        <v>8825</v>
      </c>
      <c r="J577" s="2" t="s">
        <v>60</v>
      </c>
      <c r="K577" s="13" t="n">
        <v>45590</v>
      </c>
      <c r="L577" s="2" t="s">
        <v>8821</v>
      </c>
      <c r="M577" s="2" t="s">
        <v>36</v>
      </c>
    </row>
    <row r="578" customFormat="false" ht="15" hidden="false" customHeight="false" outlineLevel="0" collapsed="false">
      <c r="A578" s="2" t="s">
        <v>311</v>
      </c>
      <c r="B578" s="2" t="s">
        <v>8885</v>
      </c>
      <c r="C578" s="2" t="s">
        <v>8865</v>
      </c>
      <c r="D578" s="2" t="s">
        <v>8824</v>
      </c>
      <c r="E578" s="13" t="n">
        <v>32888</v>
      </c>
      <c r="F578" s="2" t="n">
        <v>254745784981</v>
      </c>
      <c r="G578" s="2" t="n">
        <v>1</v>
      </c>
      <c r="H578" s="2" t="s">
        <v>8850</v>
      </c>
      <c r="I578" s="2" t="s">
        <v>8848</v>
      </c>
      <c r="J578" s="2" t="s">
        <v>58</v>
      </c>
      <c r="K578" s="13" t="n">
        <v>45600</v>
      </c>
      <c r="L578" s="2" t="s">
        <v>8821</v>
      </c>
      <c r="M578" s="2" t="s">
        <v>8858</v>
      </c>
    </row>
    <row r="579" customFormat="false" ht="15" hidden="false" customHeight="false" outlineLevel="0" collapsed="false">
      <c r="A579" s="2" t="s">
        <v>1235</v>
      </c>
      <c r="B579" s="2" t="s">
        <v>8874</v>
      </c>
      <c r="C579" s="2" t="s">
        <v>8859</v>
      </c>
      <c r="D579" s="2" t="s">
        <v>8819</v>
      </c>
      <c r="E579" s="13" t="n">
        <v>34504</v>
      </c>
      <c r="F579" s="2" t="n">
        <v>254737636546</v>
      </c>
      <c r="G579" s="2" t="n">
        <v>6</v>
      </c>
      <c r="H579" s="2" t="s">
        <v>8850</v>
      </c>
      <c r="I579" s="2" t="s">
        <v>8857</v>
      </c>
      <c r="J579" s="2" t="s">
        <v>60</v>
      </c>
      <c r="K579" s="13" t="n">
        <v>45027</v>
      </c>
      <c r="L579" s="2" t="s">
        <v>8821</v>
      </c>
      <c r="M579" s="2" t="s">
        <v>36</v>
      </c>
    </row>
    <row r="580" customFormat="false" ht="15" hidden="false" customHeight="false" outlineLevel="0" collapsed="false">
      <c r="A580" s="2" t="s">
        <v>2965</v>
      </c>
      <c r="B580" s="2" t="s">
        <v>8886</v>
      </c>
      <c r="C580" s="2" t="s">
        <v>8827</v>
      </c>
      <c r="D580" s="2" t="s">
        <v>8819</v>
      </c>
      <c r="E580" s="13" t="n">
        <v>34157</v>
      </c>
      <c r="F580" s="2" t="n">
        <v>254748568210</v>
      </c>
      <c r="G580" s="2" t="n">
        <v>5</v>
      </c>
      <c r="H580" s="2" t="s">
        <v>95</v>
      </c>
      <c r="I580" s="2" t="s">
        <v>8834</v>
      </c>
      <c r="J580" s="2" t="s">
        <v>62</v>
      </c>
      <c r="K580" s="13" t="n">
        <v>45435</v>
      </c>
      <c r="L580" s="2" t="s">
        <v>8855</v>
      </c>
      <c r="M580" s="2" t="s">
        <v>36</v>
      </c>
    </row>
    <row r="581" customFormat="false" ht="15" hidden="false" customHeight="false" outlineLevel="0" collapsed="false">
      <c r="A581" s="2" t="s">
        <v>574</v>
      </c>
      <c r="B581" s="2" t="s">
        <v>8829</v>
      </c>
      <c r="C581" s="2" t="s">
        <v>8881</v>
      </c>
      <c r="D581" s="2" t="s">
        <v>8824</v>
      </c>
      <c r="E581" s="13" t="n">
        <v>27756</v>
      </c>
      <c r="F581" s="2" t="n">
        <v>254746690420</v>
      </c>
      <c r="G581" s="2" t="n">
        <v>2</v>
      </c>
      <c r="H581" s="2" t="s">
        <v>8850</v>
      </c>
      <c r="I581" s="2" t="s">
        <v>8842</v>
      </c>
      <c r="J581" s="2" t="s">
        <v>59</v>
      </c>
      <c r="K581" s="13" t="n">
        <v>45519</v>
      </c>
      <c r="L581" s="2" t="s">
        <v>8821</v>
      </c>
      <c r="M581" s="2" t="s">
        <v>36</v>
      </c>
    </row>
    <row r="582" customFormat="false" ht="15" hidden="false" customHeight="false" outlineLevel="0" collapsed="false">
      <c r="A582" s="2" t="s">
        <v>3341</v>
      </c>
      <c r="B582" s="2" t="s">
        <v>8838</v>
      </c>
      <c r="C582" s="2" t="s">
        <v>8863</v>
      </c>
      <c r="D582" s="2" t="s">
        <v>8824</v>
      </c>
      <c r="E582" s="13" t="n">
        <v>32777</v>
      </c>
      <c r="F582" s="2" t="n">
        <v>254736853878</v>
      </c>
      <c r="G582" s="2" t="n">
        <v>7</v>
      </c>
      <c r="H582" s="2" t="s">
        <v>8850</v>
      </c>
      <c r="I582" s="2" t="s">
        <v>8834</v>
      </c>
      <c r="J582" s="2" t="s">
        <v>62</v>
      </c>
      <c r="K582" s="13" t="n">
        <v>45234</v>
      </c>
      <c r="L582" s="2" t="s">
        <v>8855</v>
      </c>
      <c r="M582" s="2" t="s">
        <v>36</v>
      </c>
    </row>
    <row r="583" customFormat="false" ht="15" hidden="false" customHeight="false" outlineLevel="0" collapsed="false">
      <c r="A583" s="2" t="s">
        <v>2612</v>
      </c>
      <c r="B583" s="2" t="s">
        <v>8885</v>
      </c>
      <c r="C583" s="2" t="s">
        <v>8873</v>
      </c>
      <c r="D583" s="2" t="s">
        <v>8824</v>
      </c>
      <c r="E583" s="13" t="n">
        <v>26260</v>
      </c>
      <c r="F583" s="2" t="n">
        <v>254738582041</v>
      </c>
      <c r="G583" s="2" t="n">
        <v>11</v>
      </c>
      <c r="H583" s="2" t="s">
        <v>8850</v>
      </c>
      <c r="I583" s="2" t="s">
        <v>8834</v>
      </c>
      <c r="J583" s="2" t="s">
        <v>62</v>
      </c>
      <c r="K583" s="13" t="n">
        <v>45455</v>
      </c>
      <c r="L583" s="2" t="s">
        <v>8855</v>
      </c>
      <c r="M583" s="2" t="s">
        <v>36</v>
      </c>
    </row>
    <row r="584" customFormat="false" ht="15" hidden="false" customHeight="false" outlineLevel="0" collapsed="false">
      <c r="A584" s="2" t="s">
        <v>2012</v>
      </c>
      <c r="B584" s="2" t="s">
        <v>8843</v>
      </c>
      <c r="C584" s="2" t="s">
        <v>8833</v>
      </c>
      <c r="D584" s="2" t="s">
        <v>8824</v>
      </c>
      <c r="E584" s="13" t="n">
        <v>30117</v>
      </c>
      <c r="F584" s="2" t="n">
        <v>254768436893</v>
      </c>
      <c r="G584" s="2" t="n">
        <v>7</v>
      </c>
      <c r="H584" s="2" t="s">
        <v>8850</v>
      </c>
      <c r="I584" s="2" t="s">
        <v>8825</v>
      </c>
      <c r="J584" s="2" t="s">
        <v>59</v>
      </c>
      <c r="K584" s="13" t="n">
        <v>45078</v>
      </c>
      <c r="L584" s="2" t="s">
        <v>8855</v>
      </c>
      <c r="M584" s="2" t="s">
        <v>36</v>
      </c>
    </row>
    <row r="585" customFormat="false" ht="15" hidden="false" customHeight="false" outlineLevel="0" collapsed="false">
      <c r="A585" s="2" t="s">
        <v>2388</v>
      </c>
      <c r="B585" s="2" t="s">
        <v>8856</v>
      </c>
      <c r="C585" s="2" t="s">
        <v>8867</v>
      </c>
      <c r="D585" s="2" t="s">
        <v>8819</v>
      </c>
      <c r="E585" s="13" t="n">
        <v>32453</v>
      </c>
      <c r="F585" s="2" t="n">
        <v>254764474404</v>
      </c>
      <c r="G585" s="2" t="n">
        <v>4</v>
      </c>
      <c r="H585" s="2" t="s">
        <v>95</v>
      </c>
      <c r="I585" s="2" t="s">
        <v>8828</v>
      </c>
      <c r="J585" s="2" t="s">
        <v>59</v>
      </c>
      <c r="K585" s="13" t="n">
        <v>45189</v>
      </c>
      <c r="L585" s="2" t="s">
        <v>8821</v>
      </c>
      <c r="M585" s="2" t="s">
        <v>36</v>
      </c>
    </row>
    <row r="586" customFormat="false" ht="15" hidden="false" customHeight="false" outlineLevel="0" collapsed="false">
      <c r="A586" s="2" t="s">
        <v>1493</v>
      </c>
      <c r="B586" s="2" t="s">
        <v>8838</v>
      </c>
      <c r="C586" s="2" t="s">
        <v>8865</v>
      </c>
      <c r="D586" s="2" t="s">
        <v>8819</v>
      </c>
      <c r="E586" s="13" t="n">
        <v>32736</v>
      </c>
      <c r="F586" s="2" t="n">
        <v>254737110707</v>
      </c>
      <c r="G586" s="2" t="n">
        <v>3</v>
      </c>
      <c r="H586" s="2" t="s">
        <v>8850</v>
      </c>
      <c r="I586" s="2" t="s">
        <v>8828</v>
      </c>
      <c r="J586" s="2" t="s">
        <v>58</v>
      </c>
      <c r="K586" s="13" t="n">
        <v>45500</v>
      </c>
      <c r="L586" s="2" t="s">
        <v>8821</v>
      </c>
      <c r="M586" s="2" t="s">
        <v>36</v>
      </c>
    </row>
    <row r="587" customFormat="false" ht="15" hidden="false" customHeight="false" outlineLevel="0" collapsed="false">
      <c r="A587" s="2" t="s">
        <v>3337</v>
      </c>
      <c r="B587" s="2" t="s">
        <v>8871</v>
      </c>
      <c r="C587" s="2" t="s">
        <v>8859</v>
      </c>
      <c r="D587" s="2" t="s">
        <v>8819</v>
      </c>
      <c r="E587" s="13" t="n">
        <v>29918</v>
      </c>
      <c r="F587" s="2" t="n">
        <v>254717425900</v>
      </c>
      <c r="G587" s="2" t="n">
        <v>14</v>
      </c>
      <c r="H587" s="2" t="s">
        <v>95</v>
      </c>
      <c r="I587" s="2" t="s">
        <v>8844</v>
      </c>
      <c r="J587" s="2" t="s">
        <v>62</v>
      </c>
      <c r="K587" s="13" t="n">
        <v>44970</v>
      </c>
      <c r="L587" s="2" t="s">
        <v>8821</v>
      </c>
      <c r="M587" s="2" t="s">
        <v>36</v>
      </c>
    </row>
    <row r="588" customFormat="false" ht="15" hidden="false" customHeight="false" outlineLevel="0" collapsed="false">
      <c r="A588" s="2" t="s">
        <v>1252</v>
      </c>
      <c r="B588" s="2" t="s">
        <v>8880</v>
      </c>
      <c r="C588" s="2" t="s">
        <v>8827</v>
      </c>
      <c r="D588" s="2" t="s">
        <v>8824</v>
      </c>
      <c r="E588" s="13" t="n">
        <v>35238</v>
      </c>
      <c r="F588" s="2" t="n">
        <v>254728865664</v>
      </c>
      <c r="G588" s="2" t="n">
        <v>4</v>
      </c>
      <c r="H588" s="2" t="s">
        <v>95</v>
      </c>
      <c r="I588" s="2" t="s">
        <v>8848</v>
      </c>
      <c r="J588" s="2" t="s">
        <v>62</v>
      </c>
      <c r="K588" s="13" t="n">
        <v>45600</v>
      </c>
      <c r="L588" s="2" t="s">
        <v>8821</v>
      </c>
      <c r="M588" s="2" t="s">
        <v>36</v>
      </c>
    </row>
    <row r="589" customFormat="false" ht="15" hidden="false" customHeight="false" outlineLevel="0" collapsed="false">
      <c r="A589" s="2" t="s">
        <v>1220</v>
      </c>
      <c r="B589" s="2" t="s">
        <v>8829</v>
      </c>
      <c r="C589" s="2" t="s">
        <v>8869</v>
      </c>
      <c r="D589" s="2" t="s">
        <v>8824</v>
      </c>
      <c r="E589" s="13" t="n">
        <v>36930</v>
      </c>
      <c r="F589" s="2" t="n">
        <v>254788426937</v>
      </c>
      <c r="G589" s="2" t="n">
        <v>12</v>
      </c>
      <c r="H589" s="2" t="s">
        <v>8850</v>
      </c>
      <c r="I589" s="2" t="s">
        <v>8864</v>
      </c>
      <c r="J589" s="2" t="s">
        <v>59</v>
      </c>
      <c r="K589" s="13" t="n">
        <v>45541</v>
      </c>
      <c r="L589" s="2" t="s">
        <v>8855</v>
      </c>
      <c r="M589" s="2" t="s">
        <v>36</v>
      </c>
    </row>
    <row r="590" customFormat="false" ht="15" hidden="false" customHeight="false" outlineLevel="0" collapsed="false">
      <c r="A590" s="2" t="s">
        <v>1886</v>
      </c>
      <c r="B590" s="2" t="s">
        <v>8845</v>
      </c>
      <c r="C590" s="2" t="s">
        <v>8870</v>
      </c>
      <c r="D590" s="2" t="s">
        <v>8824</v>
      </c>
      <c r="E590" s="13" t="n">
        <v>28892</v>
      </c>
      <c r="F590" s="2" t="n">
        <v>254744132362</v>
      </c>
      <c r="G590" s="2" t="n">
        <v>14</v>
      </c>
      <c r="H590" s="2" t="s">
        <v>95</v>
      </c>
      <c r="I590" s="2" t="s">
        <v>8847</v>
      </c>
      <c r="J590" s="2" t="s">
        <v>62</v>
      </c>
      <c r="K590" s="13" t="n">
        <v>45146</v>
      </c>
      <c r="L590" s="2" t="s">
        <v>8821</v>
      </c>
      <c r="M590" s="2" t="s">
        <v>36</v>
      </c>
    </row>
    <row r="591" customFormat="false" ht="15" hidden="false" customHeight="false" outlineLevel="0" collapsed="false">
      <c r="A591" s="2" t="s">
        <v>2247</v>
      </c>
      <c r="B591" s="2" t="s">
        <v>8856</v>
      </c>
      <c r="C591" s="2" t="s">
        <v>8839</v>
      </c>
      <c r="D591" s="2" t="s">
        <v>8824</v>
      </c>
      <c r="E591" s="13" t="n">
        <v>33130</v>
      </c>
      <c r="F591" s="2" t="n">
        <v>254729449696</v>
      </c>
      <c r="G591" s="2" t="n">
        <v>6</v>
      </c>
      <c r="H591" s="2" t="s">
        <v>8850</v>
      </c>
      <c r="I591" s="2" t="s">
        <v>8864</v>
      </c>
      <c r="J591" s="2" t="s">
        <v>60</v>
      </c>
      <c r="K591" s="13" t="n">
        <v>45413</v>
      </c>
      <c r="L591" s="2" t="s">
        <v>8821</v>
      </c>
      <c r="M591" s="2" t="s">
        <v>36</v>
      </c>
    </row>
    <row r="592" customFormat="false" ht="15" hidden="false" customHeight="false" outlineLevel="0" collapsed="false">
      <c r="A592" s="2" t="s">
        <v>2195</v>
      </c>
      <c r="B592" s="2" t="s">
        <v>8875</v>
      </c>
      <c r="C592" s="2" t="s">
        <v>8839</v>
      </c>
      <c r="D592" s="2" t="s">
        <v>8824</v>
      </c>
      <c r="E592" s="13" t="n">
        <v>26655</v>
      </c>
      <c r="F592" s="2" t="n">
        <v>254784185883</v>
      </c>
      <c r="G592" s="2" t="n">
        <v>7</v>
      </c>
      <c r="H592" s="2" t="s">
        <v>8850</v>
      </c>
      <c r="I592" s="2" t="s">
        <v>8852</v>
      </c>
      <c r="J592" s="2" t="s">
        <v>60</v>
      </c>
      <c r="K592" s="13" t="n">
        <v>44982</v>
      </c>
      <c r="L592" s="2" t="s">
        <v>8821</v>
      </c>
      <c r="M592" s="2" t="s">
        <v>36</v>
      </c>
    </row>
    <row r="593" customFormat="false" ht="15" hidden="false" customHeight="false" outlineLevel="0" collapsed="false">
      <c r="A593" s="2" t="s">
        <v>306</v>
      </c>
      <c r="B593" s="2" t="s">
        <v>8882</v>
      </c>
      <c r="C593" s="2" t="s">
        <v>8846</v>
      </c>
      <c r="D593" s="2" t="s">
        <v>8824</v>
      </c>
      <c r="E593" s="13" t="n">
        <v>35977</v>
      </c>
      <c r="F593" s="2" t="n">
        <v>254722113193</v>
      </c>
      <c r="G593" s="2" t="n">
        <v>15</v>
      </c>
      <c r="H593" s="2" t="s">
        <v>95</v>
      </c>
      <c r="I593" s="2" t="s">
        <v>8834</v>
      </c>
      <c r="J593" s="2" t="s">
        <v>59</v>
      </c>
      <c r="K593" s="13" t="n">
        <v>45329</v>
      </c>
      <c r="L593" s="2" t="s">
        <v>8821</v>
      </c>
      <c r="M593" s="2" t="s">
        <v>8858</v>
      </c>
    </row>
    <row r="594" customFormat="false" ht="15" hidden="false" customHeight="false" outlineLevel="0" collapsed="false">
      <c r="A594" s="2" t="s">
        <v>5657</v>
      </c>
      <c r="B594" s="2" t="s">
        <v>8845</v>
      </c>
      <c r="C594" s="2" t="s">
        <v>8827</v>
      </c>
      <c r="D594" s="2" t="s">
        <v>8824</v>
      </c>
      <c r="E594" s="13" t="n">
        <v>33191</v>
      </c>
      <c r="F594" s="2" t="n">
        <v>254773228801</v>
      </c>
      <c r="G594" s="2" t="n">
        <v>12</v>
      </c>
      <c r="H594" s="2" t="s">
        <v>8850</v>
      </c>
      <c r="I594" s="2" t="s">
        <v>8844</v>
      </c>
      <c r="J594" s="2" t="s">
        <v>61</v>
      </c>
      <c r="K594" s="13" t="n">
        <v>44961</v>
      </c>
      <c r="L594" s="2" t="s">
        <v>8821</v>
      </c>
      <c r="M594" s="2" t="s">
        <v>36</v>
      </c>
    </row>
    <row r="595" customFormat="false" ht="15" hidden="false" customHeight="false" outlineLevel="0" collapsed="false">
      <c r="A595" s="2" t="s">
        <v>8375</v>
      </c>
      <c r="B595" s="2" t="s">
        <v>8838</v>
      </c>
      <c r="C595" s="2" t="s">
        <v>8867</v>
      </c>
      <c r="D595" s="2" t="s">
        <v>8824</v>
      </c>
      <c r="E595" s="13" t="n">
        <v>31658</v>
      </c>
      <c r="F595" s="2" t="n">
        <v>254770835762</v>
      </c>
      <c r="G595" s="2" t="n">
        <v>12</v>
      </c>
      <c r="H595" s="2" t="s">
        <v>95</v>
      </c>
      <c r="I595" s="2" t="s">
        <v>8820</v>
      </c>
      <c r="J595" s="2" t="s">
        <v>59</v>
      </c>
      <c r="K595" s="13" t="n">
        <v>45287</v>
      </c>
      <c r="L595" s="2" t="s">
        <v>8855</v>
      </c>
      <c r="M595" s="2" t="s">
        <v>36</v>
      </c>
    </row>
    <row r="596" customFormat="false" ht="15" hidden="false" customHeight="false" outlineLevel="0" collapsed="false">
      <c r="A596" s="2" t="s">
        <v>3995</v>
      </c>
      <c r="B596" s="2" t="s">
        <v>8883</v>
      </c>
      <c r="C596" s="2" t="s">
        <v>8869</v>
      </c>
      <c r="D596" s="2" t="s">
        <v>8819</v>
      </c>
      <c r="E596" s="13" t="n">
        <v>25756</v>
      </c>
      <c r="F596" s="2" t="n">
        <v>254724875109</v>
      </c>
      <c r="G596" s="2" t="n">
        <v>3</v>
      </c>
      <c r="H596" s="2" t="s">
        <v>95</v>
      </c>
      <c r="I596" s="2" t="s">
        <v>8857</v>
      </c>
      <c r="J596" s="2" t="s">
        <v>59</v>
      </c>
      <c r="K596" s="13" t="n">
        <v>45570</v>
      </c>
      <c r="L596" s="2" t="s">
        <v>8855</v>
      </c>
      <c r="M596" s="2" t="s">
        <v>36</v>
      </c>
    </row>
    <row r="597" customFormat="false" ht="15" hidden="false" customHeight="false" outlineLevel="0" collapsed="false">
      <c r="A597" s="2" t="s">
        <v>2061</v>
      </c>
      <c r="B597" s="2" t="s">
        <v>8845</v>
      </c>
      <c r="C597" s="2" t="s">
        <v>8873</v>
      </c>
      <c r="D597" s="2" t="s">
        <v>8824</v>
      </c>
      <c r="E597" s="13" t="n">
        <v>36035</v>
      </c>
      <c r="F597" s="2" t="n">
        <v>254747822197</v>
      </c>
      <c r="G597" s="2" t="n">
        <v>4</v>
      </c>
      <c r="H597" s="2" t="s">
        <v>95</v>
      </c>
      <c r="I597" s="2" t="s">
        <v>8842</v>
      </c>
      <c r="J597" s="2" t="s">
        <v>60</v>
      </c>
      <c r="K597" s="13" t="n">
        <v>45063</v>
      </c>
      <c r="L597" s="2" t="s">
        <v>8821</v>
      </c>
      <c r="M597" s="2" t="s">
        <v>8858</v>
      </c>
    </row>
    <row r="598" customFormat="false" ht="15" hidden="false" customHeight="false" outlineLevel="0" collapsed="false">
      <c r="A598" s="2" t="s">
        <v>3531</v>
      </c>
      <c r="B598" s="2" t="s">
        <v>8817</v>
      </c>
      <c r="C598" s="2" t="s">
        <v>8863</v>
      </c>
      <c r="D598" s="2" t="s">
        <v>8819</v>
      </c>
      <c r="E598" s="13" t="n">
        <v>34615</v>
      </c>
      <c r="F598" s="2" t="n">
        <v>254721942232</v>
      </c>
      <c r="G598" s="2" t="n">
        <v>8</v>
      </c>
      <c r="H598" s="2" t="s">
        <v>95</v>
      </c>
      <c r="I598" s="2" t="s">
        <v>8834</v>
      </c>
      <c r="J598" s="2" t="s">
        <v>59</v>
      </c>
      <c r="K598" s="13" t="n">
        <v>44948</v>
      </c>
      <c r="L598" s="2" t="s">
        <v>8821</v>
      </c>
      <c r="M598" s="2" t="s">
        <v>8858</v>
      </c>
    </row>
    <row r="599" customFormat="false" ht="15" hidden="false" customHeight="false" outlineLevel="0" collapsed="false">
      <c r="A599" s="2" t="s">
        <v>5831</v>
      </c>
      <c r="B599" s="2" t="s">
        <v>8826</v>
      </c>
      <c r="C599" s="2" t="s">
        <v>8888</v>
      </c>
      <c r="D599" s="2" t="s">
        <v>8819</v>
      </c>
      <c r="E599" s="13" t="n">
        <v>35712</v>
      </c>
      <c r="F599" s="2" t="n">
        <v>254786134053</v>
      </c>
      <c r="G599" s="2" t="n">
        <v>2</v>
      </c>
      <c r="H599" s="2" t="s">
        <v>95</v>
      </c>
      <c r="I599" s="2" t="s">
        <v>8864</v>
      </c>
      <c r="J599" s="2" t="s">
        <v>62</v>
      </c>
      <c r="K599" s="13" t="n">
        <v>45079</v>
      </c>
      <c r="L599" s="2" t="s">
        <v>8855</v>
      </c>
      <c r="M599" s="2" t="s">
        <v>8858</v>
      </c>
    </row>
    <row r="600" customFormat="false" ht="15" hidden="false" customHeight="false" outlineLevel="0" collapsed="false">
      <c r="A600" s="2" t="s">
        <v>2512</v>
      </c>
      <c r="B600" s="2" t="s">
        <v>8840</v>
      </c>
      <c r="C600" s="2" t="s">
        <v>8841</v>
      </c>
      <c r="D600" s="2" t="s">
        <v>8824</v>
      </c>
      <c r="E600" s="13" t="n">
        <v>36930</v>
      </c>
      <c r="F600" s="2" t="n">
        <v>254748649601</v>
      </c>
      <c r="G600" s="2" t="n">
        <v>12</v>
      </c>
      <c r="H600" s="2" t="s">
        <v>8850</v>
      </c>
      <c r="I600" s="2" t="s">
        <v>8842</v>
      </c>
      <c r="J600" s="2" t="s">
        <v>59</v>
      </c>
      <c r="K600" s="13" t="n">
        <v>45657</v>
      </c>
      <c r="L600" s="2" t="s">
        <v>8855</v>
      </c>
      <c r="M600" s="2" t="s">
        <v>36</v>
      </c>
    </row>
    <row r="601" customFormat="false" ht="15" hidden="false" customHeight="false" outlineLevel="0" collapsed="false">
      <c r="A601" s="2" t="s">
        <v>3183</v>
      </c>
      <c r="B601" s="2" t="s">
        <v>8840</v>
      </c>
      <c r="C601" s="2" t="s">
        <v>8865</v>
      </c>
      <c r="D601" s="2" t="s">
        <v>8819</v>
      </c>
      <c r="E601" s="13" t="n">
        <v>30460</v>
      </c>
      <c r="F601" s="2" t="n">
        <v>254764831176</v>
      </c>
      <c r="G601" s="2" t="n">
        <v>13</v>
      </c>
      <c r="H601" s="2" t="s">
        <v>95</v>
      </c>
      <c r="I601" s="2" t="s">
        <v>8820</v>
      </c>
      <c r="J601" s="2" t="s">
        <v>60</v>
      </c>
      <c r="K601" s="13" t="n">
        <v>45620</v>
      </c>
      <c r="L601" s="2" t="s">
        <v>8821</v>
      </c>
      <c r="M601" s="2" t="s">
        <v>36</v>
      </c>
    </row>
    <row r="602" customFormat="false" ht="15" hidden="false" customHeight="false" outlineLevel="0" collapsed="false">
      <c r="A602" s="2" t="s">
        <v>1798</v>
      </c>
      <c r="B602" s="2" t="s">
        <v>8856</v>
      </c>
      <c r="C602" s="2" t="s">
        <v>8870</v>
      </c>
      <c r="D602" s="2" t="s">
        <v>8819</v>
      </c>
      <c r="E602" s="13" t="n">
        <v>35897</v>
      </c>
      <c r="F602" s="2" t="n">
        <v>254711385159</v>
      </c>
      <c r="G602" s="2" t="n">
        <v>8</v>
      </c>
      <c r="H602" s="2" t="s">
        <v>95</v>
      </c>
      <c r="I602" s="2" t="s">
        <v>8844</v>
      </c>
      <c r="J602" s="2" t="s">
        <v>61</v>
      </c>
      <c r="K602" s="13" t="n">
        <v>45523</v>
      </c>
      <c r="L602" s="2" t="s">
        <v>8821</v>
      </c>
      <c r="M602" s="2" t="s">
        <v>8858</v>
      </c>
    </row>
    <row r="603" customFormat="false" ht="15" hidden="false" customHeight="false" outlineLevel="0" collapsed="false">
      <c r="A603" s="2" t="s">
        <v>1146</v>
      </c>
      <c r="B603" s="2" t="s">
        <v>8826</v>
      </c>
      <c r="C603" s="2" t="s">
        <v>8830</v>
      </c>
      <c r="D603" s="2" t="s">
        <v>8819</v>
      </c>
      <c r="E603" s="13" t="n">
        <v>35784</v>
      </c>
      <c r="F603" s="2" t="n">
        <v>254716994436</v>
      </c>
      <c r="G603" s="2" t="n">
        <v>6</v>
      </c>
      <c r="H603" s="2" t="s">
        <v>95</v>
      </c>
      <c r="I603" s="2" t="s">
        <v>8847</v>
      </c>
      <c r="J603" s="2" t="s">
        <v>60</v>
      </c>
      <c r="K603" s="13" t="n">
        <v>45189</v>
      </c>
      <c r="L603" s="2" t="s">
        <v>8821</v>
      </c>
      <c r="M603" s="2" t="s">
        <v>36</v>
      </c>
    </row>
    <row r="604" customFormat="false" ht="15" hidden="false" customHeight="false" outlineLevel="0" collapsed="false">
      <c r="A604" s="2" t="s">
        <v>1654</v>
      </c>
      <c r="B604" s="2" t="s">
        <v>8883</v>
      </c>
      <c r="C604" s="2" t="s">
        <v>8876</v>
      </c>
      <c r="D604" s="2" t="s">
        <v>8824</v>
      </c>
      <c r="E604" s="13" t="n">
        <v>31675</v>
      </c>
      <c r="F604" s="2" t="n">
        <v>254727748717</v>
      </c>
      <c r="G604" s="2" t="n">
        <v>15</v>
      </c>
      <c r="H604" s="2" t="s">
        <v>95</v>
      </c>
      <c r="I604" s="2" t="s">
        <v>8848</v>
      </c>
      <c r="J604" s="2" t="s">
        <v>59</v>
      </c>
      <c r="K604" s="13" t="n">
        <v>45317</v>
      </c>
      <c r="L604" s="2" t="s">
        <v>8821</v>
      </c>
      <c r="M604" s="2" t="s">
        <v>36</v>
      </c>
    </row>
    <row r="605" customFormat="false" ht="15" hidden="false" customHeight="false" outlineLevel="0" collapsed="false">
      <c r="A605" s="2" t="s">
        <v>3957</v>
      </c>
      <c r="B605" s="2" t="s">
        <v>8832</v>
      </c>
      <c r="C605" s="2" t="s">
        <v>8827</v>
      </c>
      <c r="D605" s="2" t="s">
        <v>8824</v>
      </c>
      <c r="E605" s="13" t="n">
        <v>37479</v>
      </c>
      <c r="F605" s="2" t="n">
        <v>254781192277</v>
      </c>
      <c r="G605" s="2" t="n">
        <v>7</v>
      </c>
      <c r="H605" s="2" t="s">
        <v>95</v>
      </c>
      <c r="I605" s="2" t="s">
        <v>8834</v>
      </c>
      <c r="J605" s="2" t="s">
        <v>58</v>
      </c>
      <c r="K605" s="13" t="n">
        <v>45406</v>
      </c>
      <c r="L605" s="2" t="s">
        <v>8821</v>
      </c>
      <c r="M605" s="2" t="s">
        <v>36</v>
      </c>
    </row>
    <row r="606" customFormat="false" ht="15" hidden="false" customHeight="false" outlineLevel="0" collapsed="false">
      <c r="A606" s="2" t="s">
        <v>1574</v>
      </c>
      <c r="B606" s="2" t="s">
        <v>8871</v>
      </c>
      <c r="C606" s="2" t="s">
        <v>8888</v>
      </c>
      <c r="D606" s="2" t="s">
        <v>8824</v>
      </c>
      <c r="E606" s="13" t="n">
        <v>28730</v>
      </c>
      <c r="F606" s="2" t="n">
        <v>254747973618</v>
      </c>
      <c r="G606" s="2" t="n">
        <v>15</v>
      </c>
      <c r="H606" s="2" t="s">
        <v>8850</v>
      </c>
      <c r="I606" s="2" t="s">
        <v>8848</v>
      </c>
      <c r="J606" s="2" t="s">
        <v>60</v>
      </c>
      <c r="K606" s="13" t="n">
        <v>45214</v>
      </c>
      <c r="L606" s="2" t="s">
        <v>8821</v>
      </c>
      <c r="M606" s="2" t="s">
        <v>8858</v>
      </c>
    </row>
    <row r="607" customFormat="false" ht="15" hidden="false" customHeight="false" outlineLevel="0" collapsed="false">
      <c r="A607" s="2" t="s">
        <v>2366</v>
      </c>
      <c r="B607" s="2" t="s">
        <v>8853</v>
      </c>
      <c r="C607" s="2" t="s">
        <v>8833</v>
      </c>
      <c r="D607" s="2" t="s">
        <v>8824</v>
      </c>
      <c r="E607" s="13" t="n">
        <v>29396</v>
      </c>
      <c r="F607" s="2" t="n">
        <v>254717143361</v>
      </c>
      <c r="G607" s="2" t="n">
        <v>4</v>
      </c>
      <c r="H607" s="2" t="s">
        <v>95</v>
      </c>
      <c r="I607" s="2" t="s">
        <v>8820</v>
      </c>
      <c r="J607" s="2" t="s">
        <v>59</v>
      </c>
      <c r="K607" s="13" t="n">
        <v>45430</v>
      </c>
      <c r="L607" s="2" t="s">
        <v>8821</v>
      </c>
      <c r="M607" s="2" t="s">
        <v>36</v>
      </c>
    </row>
    <row r="608" customFormat="false" ht="15" hidden="false" customHeight="false" outlineLevel="0" collapsed="false">
      <c r="A608" s="2" t="s">
        <v>1309</v>
      </c>
      <c r="B608" s="2" t="s">
        <v>8860</v>
      </c>
      <c r="C608" s="2" t="s">
        <v>8865</v>
      </c>
      <c r="D608" s="2" t="s">
        <v>8819</v>
      </c>
      <c r="E608" s="13" t="n">
        <v>36652</v>
      </c>
      <c r="F608" s="2" t="n">
        <v>254776425800</v>
      </c>
      <c r="G608" s="2" t="n">
        <v>1</v>
      </c>
      <c r="H608" s="2" t="s">
        <v>8850</v>
      </c>
      <c r="I608" s="2" t="s">
        <v>8844</v>
      </c>
      <c r="J608" s="2" t="s">
        <v>62</v>
      </c>
      <c r="K608" s="13" t="n">
        <v>45649</v>
      </c>
      <c r="L608" s="2" t="s">
        <v>8855</v>
      </c>
      <c r="M608" s="2" t="s">
        <v>8858</v>
      </c>
    </row>
    <row r="609" customFormat="false" ht="15" hidden="false" customHeight="false" outlineLevel="0" collapsed="false">
      <c r="A609" s="2" t="s">
        <v>810</v>
      </c>
      <c r="B609" s="2" t="s">
        <v>8829</v>
      </c>
      <c r="C609" s="2" t="s">
        <v>8888</v>
      </c>
      <c r="D609" s="2" t="s">
        <v>8819</v>
      </c>
      <c r="E609" s="13" t="n">
        <v>36950</v>
      </c>
      <c r="F609" s="2" t="n">
        <v>254737344675</v>
      </c>
      <c r="G609" s="2" t="n">
        <v>14</v>
      </c>
      <c r="H609" s="2" t="s">
        <v>8850</v>
      </c>
      <c r="I609" s="2" t="s">
        <v>8828</v>
      </c>
      <c r="J609" s="2" t="s">
        <v>59</v>
      </c>
      <c r="K609" s="13" t="n">
        <v>45078</v>
      </c>
      <c r="L609" s="2" t="s">
        <v>8821</v>
      </c>
      <c r="M609" s="2" t="s">
        <v>36</v>
      </c>
    </row>
    <row r="610" customFormat="false" ht="15" hidden="false" customHeight="false" outlineLevel="0" collapsed="false">
      <c r="A610" s="2" t="s">
        <v>4721</v>
      </c>
      <c r="B610" s="2" t="s">
        <v>8835</v>
      </c>
      <c r="C610" s="2" t="s">
        <v>8865</v>
      </c>
      <c r="D610" s="2" t="s">
        <v>8819</v>
      </c>
      <c r="E610" s="13" t="n">
        <v>25836</v>
      </c>
      <c r="F610" s="2" t="n">
        <v>254743038691</v>
      </c>
      <c r="G610" s="2" t="n">
        <v>13</v>
      </c>
      <c r="H610" s="2" t="s">
        <v>8850</v>
      </c>
      <c r="I610" s="2" t="s">
        <v>8852</v>
      </c>
      <c r="J610" s="2" t="s">
        <v>58</v>
      </c>
      <c r="K610" s="13" t="n">
        <v>45511</v>
      </c>
      <c r="L610" s="2" t="s">
        <v>8821</v>
      </c>
      <c r="M610" s="2" t="s">
        <v>36</v>
      </c>
    </row>
    <row r="611" customFormat="false" ht="15" hidden="false" customHeight="false" outlineLevel="0" collapsed="false">
      <c r="A611" s="2" t="s">
        <v>4897</v>
      </c>
      <c r="B611" s="2" t="s">
        <v>8866</v>
      </c>
      <c r="C611" s="2" t="s">
        <v>8888</v>
      </c>
      <c r="D611" s="2" t="s">
        <v>8819</v>
      </c>
      <c r="E611" s="13" t="n">
        <v>32469</v>
      </c>
      <c r="F611" s="2" t="n">
        <v>254753424580</v>
      </c>
      <c r="G611" s="2" t="n">
        <v>3</v>
      </c>
      <c r="H611" s="2" t="s">
        <v>95</v>
      </c>
      <c r="I611" s="2" t="s">
        <v>8825</v>
      </c>
      <c r="J611" s="2" t="s">
        <v>61</v>
      </c>
      <c r="K611" s="13" t="n">
        <v>45051</v>
      </c>
      <c r="L611" s="2" t="s">
        <v>8855</v>
      </c>
      <c r="M611" s="2" t="s">
        <v>8858</v>
      </c>
    </row>
    <row r="612" customFormat="false" ht="15" hidden="false" customHeight="false" outlineLevel="0" collapsed="false">
      <c r="A612" s="2" t="s">
        <v>1548</v>
      </c>
      <c r="B612" s="2" t="s">
        <v>8878</v>
      </c>
      <c r="C612" s="2" t="s">
        <v>8823</v>
      </c>
      <c r="D612" s="2" t="s">
        <v>8824</v>
      </c>
      <c r="E612" s="13" t="n">
        <v>32072</v>
      </c>
      <c r="F612" s="2" t="n">
        <v>254753609415</v>
      </c>
      <c r="G612" s="2" t="n">
        <v>12</v>
      </c>
      <c r="H612" s="2" t="s">
        <v>95</v>
      </c>
      <c r="I612" s="2" t="s">
        <v>8831</v>
      </c>
      <c r="J612" s="2" t="s">
        <v>58</v>
      </c>
      <c r="K612" s="13" t="n">
        <v>44932</v>
      </c>
      <c r="L612" s="2" t="s">
        <v>8821</v>
      </c>
      <c r="M612" s="2" t="s">
        <v>36</v>
      </c>
    </row>
    <row r="613" customFormat="false" ht="15" hidden="false" customHeight="false" outlineLevel="0" collapsed="false">
      <c r="A613" s="2" t="s">
        <v>4041</v>
      </c>
      <c r="B613" s="2" t="s">
        <v>8849</v>
      </c>
      <c r="C613" s="2" t="s">
        <v>8876</v>
      </c>
      <c r="D613" s="2" t="s">
        <v>8819</v>
      </c>
      <c r="E613" s="13" t="n">
        <v>27001</v>
      </c>
      <c r="F613" s="2" t="n">
        <v>254763533881</v>
      </c>
      <c r="G613" s="2" t="n">
        <v>5</v>
      </c>
      <c r="H613" s="2" t="s">
        <v>95</v>
      </c>
      <c r="I613" s="2" t="s">
        <v>8831</v>
      </c>
      <c r="J613" s="2" t="s">
        <v>61</v>
      </c>
      <c r="K613" s="13" t="n">
        <v>45487</v>
      </c>
      <c r="L613" s="2" t="s">
        <v>8821</v>
      </c>
      <c r="M613" s="2" t="s">
        <v>36</v>
      </c>
    </row>
    <row r="614" customFormat="false" ht="15" hidden="false" customHeight="false" outlineLevel="0" collapsed="false">
      <c r="A614" s="2" t="s">
        <v>4213</v>
      </c>
      <c r="B614" s="2" t="s">
        <v>8883</v>
      </c>
      <c r="C614" s="2" t="s">
        <v>8833</v>
      </c>
      <c r="D614" s="2" t="s">
        <v>8819</v>
      </c>
      <c r="E614" s="13" t="n">
        <v>30388</v>
      </c>
      <c r="F614" s="2" t="n">
        <v>254750070254</v>
      </c>
      <c r="G614" s="2" t="n">
        <v>8</v>
      </c>
      <c r="H614" s="2" t="s">
        <v>8850</v>
      </c>
      <c r="I614" s="2" t="s">
        <v>8864</v>
      </c>
      <c r="J614" s="2" t="s">
        <v>60</v>
      </c>
      <c r="K614" s="13" t="n">
        <v>45339</v>
      </c>
      <c r="L614" s="2" t="s">
        <v>8821</v>
      </c>
      <c r="M614" s="2" t="s">
        <v>36</v>
      </c>
    </row>
    <row r="615" customFormat="false" ht="15" hidden="false" customHeight="false" outlineLevel="0" collapsed="false">
      <c r="A615" s="2" t="s">
        <v>1407</v>
      </c>
      <c r="B615" s="2" t="s">
        <v>8877</v>
      </c>
      <c r="C615" s="2" t="s">
        <v>8870</v>
      </c>
      <c r="D615" s="2" t="s">
        <v>8824</v>
      </c>
      <c r="E615" s="13" t="n">
        <v>27928</v>
      </c>
      <c r="F615" s="2" t="n">
        <v>254773946652</v>
      </c>
      <c r="G615" s="2" t="n">
        <v>5</v>
      </c>
      <c r="H615" s="2" t="s">
        <v>8850</v>
      </c>
      <c r="I615" s="2" t="s">
        <v>8825</v>
      </c>
      <c r="J615" s="2" t="s">
        <v>61</v>
      </c>
      <c r="K615" s="13" t="n">
        <v>45131</v>
      </c>
      <c r="L615" s="2" t="s">
        <v>8821</v>
      </c>
      <c r="M615" s="2" t="s">
        <v>36</v>
      </c>
    </row>
    <row r="616" customFormat="false" ht="15" hidden="false" customHeight="false" outlineLevel="0" collapsed="false">
      <c r="A616" s="2" t="s">
        <v>4137</v>
      </c>
      <c r="B616" s="2" t="s">
        <v>8822</v>
      </c>
      <c r="C616" s="2" t="s">
        <v>8861</v>
      </c>
      <c r="D616" s="2" t="s">
        <v>8824</v>
      </c>
      <c r="E616" s="13" t="n">
        <v>35748</v>
      </c>
      <c r="F616" s="2" t="n">
        <v>254772213255</v>
      </c>
      <c r="G616" s="2" t="n">
        <v>11</v>
      </c>
      <c r="H616" s="2" t="s">
        <v>95</v>
      </c>
      <c r="I616" s="2" t="s">
        <v>8852</v>
      </c>
      <c r="J616" s="2" t="s">
        <v>59</v>
      </c>
      <c r="K616" s="13" t="n">
        <v>45022</v>
      </c>
      <c r="L616" s="2" t="s">
        <v>8855</v>
      </c>
      <c r="M616" s="2" t="s">
        <v>36</v>
      </c>
    </row>
    <row r="617" customFormat="false" ht="15" hidden="false" customHeight="false" outlineLevel="0" collapsed="false">
      <c r="A617" s="2" t="s">
        <v>2140</v>
      </c>
      <c r="B617" s="2" t="s">
        <v>8882</v>
      </c>
      <c r="C617" s="2" t="s">
        <v>8859</v>
      </c>
      <c r="D617" s="2" t="s">
        <v>8824</v>
      </c>
      <c r="E617" s="13" t="n">
        <v>32369</v>
      </c>
      <c r="F617" s="2" t="n">
        <v>254729945631</v>
      </c>
      <c r="G617" s="2" t="n">
        <v>3</v>
      </c>
      <c r="H617" s="2" t="s">
        <v>8850</v>
      </c>
      <c r="I617" s="2" t="s">
        <v>8831</v>
      </c>
      <c r="J617" s="2" t="s">
        <v>62</v>
      </c>
      <c r="K617" s="13" t="n">
        <v>45008</v>
      </c>
      <c r="L617" s="2" t="s">
        <v>8855</v>
      </c>
      <c r="M617" s="2" t="s">
        <v>36</v>
      </c>
    </row>
    <row r="618" customFormat="false" ht="15" hidden="false" customHeight="false" outlineLevel="0" collapsed="false">
      <c r="A618" s="2" t="s">
        <v>416</v>
      </c>
      <c r="B618" s="2" t="s">
        <v>8868</v>
      </c>
      <c r="C618" s="2" t="s">
        <v>8830</v>
      </c>
      <c r="D618" s="2" t="s">
        <v>8824</v>
      </c>
      <c r="E618" s="13" t="n">
        <v>26910</v>
      </c>
      <c r="F618" s="2" t="n">
        <v>254765434526</v>
      </c>
      <c r="G618" s="2" t="n">
        <v>2</v>
      </c>
      <c r="H618" s="2" t="s">
        <v>8850</v>
      </c>
      <c r="I618" s="2" t="s">
        <v>8852</v>
      </c>
      <c r="J618" s="2" t="s">
        <v>62</v>
      </c>
      <c r="K618" s="13" t="n">
        <v>44973</v>
      </c>
      <c r="L618" s="2" t="s">
        <v>8821</v>
      </c>
      <c r="M618" s="2" t="s">
        <v>36</v>
      </c>
    </row>
    <row r="619" customFormat="false" ht="15" hidden="false" customHeight="false" outlineLevel="0" collapsed="false">
      <c r="A619" s="2" t="s">
        <v>7237</v>
      </c>
      <c r="B619" s="2" t="s">
        <v>8817</v>
      </c>
      <c r="C619" s="2" t="s">
        <v>8830</v>
      </c>
      <c r="D619" s="2" t="s">
        <v>8824</v>
      </c>
      <c r="E619" s="13" t="n">
        <v>31688</v>
      </c>
      <c r="F619" s="2" t="n">
        <v>254734099087</v>
      </c>
      <c r="G619" s="2" t="n">
        <v>13</v>
      </c>
      <c r="H619" s="2" t="s">
        <v>95</v>
      </c>
      <c r="I619" s="2" t="s">
        <v>8842</v>
      </c>
      <c r="J619" s="2" t="s">
        <v>58</v>
      </c>
      <c r="K619" s="13" t="n">
        <v>45442</v>
      </c>
      <c r="L619" s="2" t="s">
        <v>8821</v>
      </c>
      <c r="M619" s="2" t="s">
        <v>8858</v>
      </c>
    </row>
    <row r="620" customFormat="false" ht="15" hidden="false" customHeight="false" outlineLevel="0" collapsed="false">
      <c r="A620" s="2" t="s">
        <v>1498</v>
      </c>
      <c r="B620" s="2" t="s">
        <v>8853</v>
      </c>
      <c r="C620" s="2" t="s">
        <v>8870</v>
      </c>
      <c r="D620" s="2" t="s">
        <v>8824</v>
      </c>
      <c r="E620" s="13" t="n">
        <v>32678</v>
      </c>
      <c r="F620" s="2" t="n">
        <v>254755813124</v>
      </c>
      <c r="G620" s="2" t="n">
        <v>15</v>
      </c>
      <c r="H620" s="2" t="s">
        <v>95</v>
      </c>
      <c r="I620" s="2" t="s">
        <v>8831</v>
      </c>
      <c r="J620" s="2" t="s">
        <v>59</v>
      </c>
      <c r="K620" s="13" t="n">
        <v>45392</v>
      </c>
      <c r="L620" s="2" t="s">
        <v>8821</v>
      </c>
      <c r="M620" s="2" t="s">
        <v>36</v>
      </c>
    </row>
    <row r="621" customFormat="false" ht="15" hidden="false" customHeight="false" outlineLevel="0" collapsed="false">
      <c r="A621" s="2" t="s">
        <v>1423</v>
      </c>
      <c r="B621" s="2" t="s">
        <v>8817</v>
      </c>
      <c r="C621" s="2" t="s">
        <v>8876</v>
      </c>
      <c r="D621" s="2" t="s">
        <v>8819</v>
      </c>
      <c r="E621" s="13" t="n">
        <v>27959</v>
      </c>
      <c r="F621" s="2" t="n">
        <v>254711785713</v>
      </c>
      <c r="G621" s="2" t="n">
        <v>3</v>
      </c>
      <c r="H621" s="2" t="s">
        <v>8850</v>
      </c>
      <c r="I621" s="2" t="s">
        <v>8847</v>
      </c>
      <c r="J621" s="2" t="s">
        <v>61</v>
      </c>
      <c r="K621" s="13" t="n">
        <v>44945</v>
      </c>
      <c r="L621" s="2" t="s">
        <v>8855</v>
      </c>
      <c r="M621" s="2" t="s">
        <v>36</v>
      </c>
    </row>
    <row r="622" customFormat="false" ht="15" hidden="false" customHeight="false" outlineLevel="0" collapsed="false">
      <c r="A622" s="2" t="s">
        <v>4345</v>
      </c>
      <c r="B622" s="2" t="s">
        <v>8856</v>
      </c>
      <c r="C622" s="2" t="s">
        <v>8876</v>
      </c>
      <c r="D622" s="2" t="s">
        <v>8824</v>
      </c>
      <c r="E622" s="13" t="n">
        <v>34325</v>
      </c>
      <c r="F622" s="2" t="n">
        <v>254721762188</v>
      </c>
      <c r="G622" s="2" t="n">
        <v>3</v>
      </c>
      <c r="H622" s="2" t="s">
        <v>95</v>
      </c>
      <c r="I622" s="2" t="s">
        <v>8820</v>
      </c>
      <c r="J622" s="2" t="s">
        <v>59</v>
      </c>
      <c r="K622" s="13" t="n">
        <v>45633</v>
      </c>
      <c r="L622" s="2" t="s">
        <v>8821</v>
      </c>
      <c r="M622" s="2" t="s">
        <v>36</v>
      </c>
    </row>
    <row r="623" customFormat="false" ht="15" hidden="false" customHeight="false" outlineLevel="0" collapsed="false">
      <c r="A623" s="2" t="s">
        <v>1846</v>
      </c>
      <c r="B623" s="2" t="s">
        <v>8886</v>
      </c>
      <c r="C623" s="2" t="s">
        <v>8833</v>
      </c>
      <c r="D623" s="2" t="s">
        <v>8819</v>
      </c>
      <c r="E623" s="13" t="n">
        <v>29958</v>
      </c>
      <c r="F623" s="2" t="n">
        <v>254768490538</v>
      </c>
      <c r="G623" s="2" t="n">
        <v>14</v>
      </c>
      <c r="H623" s="2" t="s">
        <v>95</v>
      </c>
      <c r="I623" s="2" t="s">
        <v>8825</v>
      </c>
      <c r="J623" s="2" t="s">
        <v>60</v>
      </c>
      <c r="K623" s="13" t="n">
        <v>45419</v>
      </c>
      <c r="L623" s="2" t="s">
        <v>8855</v>
      </c>
      <c r="M623" s="2" t="s">
        <v>36</v>
      </c>
    </row>
    <row r="624" customFormat="false" ht="15" hidden="false" customHeight="false" outlineLevel="0" collapsed="false">
      <c r="A624" s="2" t="s">
        <v>5675</v>
      </c>
      <c r="B624" s="2" t="s">
        <v>8835</v>
      </c>
      <c r="C624" s="2" t="s">
        <v>8833</v>
      </c>
      <c r="D624" s="2" t="s">
        <v>8824</v>
      </c>
      <c r="E624" s="13" t="n">
        <v>36708</v>
      </c>
      <c r="F624" s="2" t="n">
        <v>254775101884</v>
      </c>
      <c r="G624" s="2" t="n">
        <v>8</v>
      </c>
      <c r="H624" s="2" t="s">
        <v>95</v>
      </c>
      <c r="I624" s="2" t="s">
        <v>8847</v>
      </c>
      <c r="J624" s="2" t="s">
        <v>62</v>
      </c>
      <c r="K624" s="13" t="n">
        <v>45046</v>
      </c>
      <c r="L624" s="2" t="s">
        <v>8821</v>
      </c>
      <c r="M624" s="2" t="s">
        <v>36</v>
      </c>
    </row>
    <row r="625" customFormat="false" ht="15" hidden="false" customHeight="false" outlineLevel="0" collapsed="false">
      <c r="A625" s="2" t="s">
        <v>2492</v>
      </c>
      <c r="B625" s="2" t="s">
        <v>8822</v>
      </c>
      <c r="C625" s="2" t="s">
        <v>8869</v>
      </c>
      <c r="D625" s="2" t="s">
        <v>8819</v>
      </c>
      <c r="E625" s="13" t="n">
        <v>32443</v>
      </c>
      <c r="F625" s="2" t="n">
        <v>254723779264</v>
      </c>
      <c r="G625" s="2" t="n">
        <v>11</v>
      </c>
      <c r="H625" s="2" t="s">
        <v>8850</v>
      </c>
      <c r="I625" s="2" t="s">
        <v>8842</v>
      </c>
      <c r="J625" s="2" t="s">
        <v>61</v>
      </c>
      <c r="K625" s="13" t="n">
        <v>45328</v>
      </c>
      <c r="L625" s="2" t="s">
        <v>8821</v>
      </c>
      <c r="M625" s="2" t="s">
        <v>36</v>
      </c>
    </row>
    <row r="626" customFormat="false" ht="15" hidden="false" customHeight="false" outlineLevel="0" collapsed="false">
      <c r="A626" s="2" t="s">
        <v>651</v>
      </c>
      <c r="B626" s="2" t="s">
        <v>8862</v>
      </c>
      <c r="C626" s="2" t="s">
        <v>8867</v>
      </c>
      <c r="D626" s="2" t="s">
        <v>8824</v>
      </c>
      <c r="E626" s="13" t="n">
        <v>37088</v>
      </c>
      <c r="F626" s="2" t="n">
        <v>254741125867</v>
      </c>
      <c r="G626" s="2" t="n">
        <v>12</v>
      </c>
      <c r="H626" s="2" t="s">
        <v>95</v>
      </c>
      <c r="I626" s="2" t="s">
        <v>8857</v>
      </c>
      <c r="J626" s="2" t="s">
        <v>58</v>
      </c>
      <c r="K626" s="13" t="n">
        <v>45452</v>
      </c>
      <c r="L626" s="2" t="s">
        <v>8855</v>
      </c>
      <c r="M626" s="2" t="s">
        <v>36</v>
      </c>
    </row>
    <row r="627" customFormat="false" ht="15" hidden="false" customHeight="false" outlineLevel="0" collapsed="false">
      <c r="A627" s="2" t="s">
        <v>1626</v>
      </c>
      <c r="B627" s="2" t="s">
        <v>8880</v>
      </c>
      <c r="C627" s="2" t="s">
        <v>8859</v>
      </c>
      <c r="D627" s="2" t="s">
        <v>8819</v>
      </c>
      <c r="E627" s="13" t="n">
        <v>27170</v>
      </c>
      <c r="F627" s="2" t="n">
        <v>254776409428</v>
      </c>
      <c r="G627" s="2" t="n">
        <v>10</v>
      </c>
      <c r="H627" s="2" t="s">
        <v>8850</v>
      </c>
      <c r="I627" s="2" t="s">
        <v>8847</v>
      </c>
      <c r="J627" s="2" t="s">
        <v>61</v>
      </c>
      <c r="K627" s="13" t="n">
        <v>45354</v>
      </c>
      <c r="L627" s="2" t="s">
        <v>8821</v>
      </c>
      <c r="M627" s="2" t="s">
        <v>36</v>
      </c>
    </row>
    <row r="628" customFormat="false" ht="15" hidden="false" customHeight="false" outlineLevel="0" collapsed="false">
      <c r="A628" s="2" t="s">
        <v>2742</v>
      </c>
      <c r="B628" s="2" t="s">
        <v>8879</v>
      </c>
      <c r="C628" s="2" t="s">
        <v>8870</v>
      </c>
      <c r="D628" s="2" t="s">
        <v>8819</v>
      </c>
      <c r="E628" s="13" t="n">
        <v>32484</v>
      </c>
      <c r="F628" s="2" t="n">
        <v>254778133743</v>
      </c>
      <c r="G628" s="2" t="n">
        <v>4</v>
      </c>
      <c r="H628" s="2" t="s">
        <v>8850</v>
      </c>
      <c r="I628" s="2" t="s">
        <v>8848</v>
      </c>
      <c r="J628" s="2" t="s">
        <v>61</v>
      </c>
      <c r="K628" s="13" t="n">
        <v>45407</v>
      </c>
      <c r="L628" s="2" t="s">
        <v>8821</v>
      </c>
      <c r="M628" s="2" t="s">
        <v>36</v>
      </c>
    </row>
    <row r="629" customFormat="false" ht="15" hidden="false" customHeight="false" outlineLevel="0" collapsed="false">
      <c r="A629" s="2" t="s">
        <v>3735</v>
      </c>
      <c r="B629" s="2" t="s">
        <v>8886</v>
      </c>
      <c r="C629" s="2" t="s">
        <v>8888</v>
      </c>
      <c r="D629" s="2" t="s">
        <v>8824</v>
      </c>
      <c r="E629" s="13" t="n">
        <v>34542</v>
      </c>
      <c r="F629" s="2" t="n">
        <v>254731746728</v>
      </c>
      <c r="G629" s="2" t="n">
        <v>10</v>
      </c>
      <c r="H629" s="2" t="s">
        <v>95</v>
      </c>
      <c r="I629" s="2" t="s">
        <v>8834</v>
      </c>
      <c r="J629" s="2" t="s">
        <v>58</v>
      </c>
      <c r="K629" s="13" t="n">
        <v>45616</v>
      </c>
      <c r="L629" s="2" t="s">
        <v>8855</v>
      </c>
      <c r="M629" s="2" t="s">
        <v>36</v>
      </c>
    </row>
    <row r="630" customFormat="false" ht="15" hidden="false" customHeight="false" outlineLevel="0" collapsed="false">
      <c r="A630" s="2" t="s">
        <v>1710</v>
      </c>
      <c r="B630" s="2" t="s">
        <v>8877</v>
      </c>
      <c r="C630" s="2" t="s">
        <v>8830</v>
      </c>
      <c r="D630" s="2" t="s">
        <v>8824</v>
      </c>
      <c r="E630" s="13" t="n">
        <v>29682</v>
      </c>
      <c r="F630" s="2" t="n">
        <v>254776266658</v>
      </c>
      <c r="G630" s="2" t="n">
        <v>5</v>
      </c>
      <c r="H630" s="2" t="s">
        <v>95</v>
      </c>
      <c r="I630" s="2" t="s">
        <v>8831</v>
      </c>
      <c r="J630" s="2" t="s">
        <v>62</v>
      </c>
      <c r="K630" s="13" t="n">
        <v>45547</v>
      </c>
      <c r="L630" s="2" t="s">
        <v>8821</v>
      </c>
      <c r="M630" s="2" t="s">
        <v>36</v>
      </c>
    </row>
    <row r="631" customFormat="false" ht="15" hidden="false" customHeight="false" outlineLevel="0" collapsed="false">
      <c r="A631" s="2" t="s">
        <v>3573</v>
      </c>
      <c r="B631" s="2" t="s">
        <v>8835</v>
      </c>
      <c r="C631" s="2" t="s">
        <v>8873</v>
      </c>
      <c r="D631" s="2" t="s">
        <v>8819</v>
      </c>
      <c r="E631" s="13" t="n">
        <v>33736</v>
      </c>
      <c r="F631" s="2" t="n">
        <v>254718545050</v>
      </c>
      <c r="G631" s="2" t="n">
        <v>6</v>
      </c>
      <c r="H631" s="2" t="s">
        <v>8850</v>
      </c>
      <c r="I631" s="2" t="s">
        <v>8825</v>
      </c>
      <c r="J631" s="2" t="s">
        <v>62</v>
      </c>
      <c r="K631" s="13" t="n">
        <v>45620</v>
      </c>
      <c r="L631" s="2" t="s">
        <v>8821</v>
      </c>
      <c r="M631" s="2" t="s">
        <v>36</v>
      </c>
    </row>
    <row r="632" customFormat="false" ht="15" hidden="false" customHeight="false" outlineLevel="0" collapsed="false">
      <c r="A632" s="2" t="s">
        <v>8741</v>
      </c>
      <c r="B632" s="2" t="s">
        <v>8874</v>
      </c>
      <c r="C632" s="2" t="s">
        <v>8888</v>
      </c>
      <c r="D632" s="2" t="s">
        <v>8819</v>
      </c>
      <c r="E632" s="13" t="n">
        <v>30903</v>
      </c>
      <c r="F632" s="2" t="n">
        <v>254784762274</v>
      </c>
      <c r="G632" s="2" t="n">
        <v>5</v>
      </c>
      <c r="H632" s="2" t="s">
        <v>95</v>
      </c>
      <c r="I632" s="2" t="s">
        <v>8864</v>
      </c>
      <c r="J632" s="2" t="s">
        <v>62</v>
      </c>
      <c r="K632" s="13" t="n">
        <v>45275</v>
      </c>
      <c r="L632" s="2" t="s">
        <v>8821</v>
      </c>
      <c r="M632" s="2" t="s">
        <v>36</v>
      </c>
    </row>
    <row r="633" customFormat="false" ht="15" hidden="false" customHeight="false" outlineLevel="0" collapsed="false">
      <c r="A633" s="2" t="s">
        <v>2227</v>
      </c>
      <c r="B633" s="2" t="s">
        <v>8829</v>
      </c>
      <c r="C633" s="2" t="s">
        <v>8867</v>
      </c>
      <c r="D633" s="2" t="s">
        <v>8819</v>
      </c>
      <c r="E633" s="13" t="n">
        <v>36034</v>
      </c>
      <c r="F633" s="2" t="n">
        <v>254785493830</v>
      </c>
      <c r="G633" s="2" t="n">
        <v>1</v>
      </c>
      <c r="H633" s="2" t="s">
        <v>95</v>
      </c>
      <c r="I633" s="2" t="s">
        <v>8828</v>
      </c>
      <c r="J633" s="2" t="s">
        <v>58</v>
      </c>
      <c r="K633" s="13" t="n">
        <v>45040</v>
      </c>
      <c r="L633" s="2" t="s">
        <v>8821</v>
      </c>
      <c r="M633" s="2" t="s">
        <v>36</v>
      </c>
    </row>
    <row r="634" customFormat="false" ht="15" hidden="false" customHeight="false" outlineLevel="0" collapsed="false">
      <c r="A634" s="2" t="s">
        <v>7633</v>
      </c>
      <c r="B634" s="2" t="s">
        <v>8860</v>
      </c>
      <c r="C634" s="2" t="s">
        <v>8861</v>
      </c>
      <c r="D634" s="2" t="s">
        <v>8824</v>
      </c>
      <c r="E634" s="13" t="n">
        <v>29565</v>
      </c>
      <c r="F634" s="2" t="n">
        <v>254723327047</v>
      </c>
      <c r="G634" s="2" t="n">
        <v>3</v>
      </c>
      <c r="H634" s="2" t="s">
        <v>8850</v>
      </c>
      <c r="I634" s="2" t="s">
        <v>8844</v>
      </c>
      <c r="J634" s="2" t="s">
        <v>59</v>
      </c>
      <c r="K634" s="13" t="n">
        <v>45652</v>
      </c>
      <c r="L634" s="2" t="s">
        <v>8821</v>
      </c>
      <c r="M634" s="2" t="s">
        <v>36</v>
      </c>
    </row>
    <row r="635" customFormat="false" ht="15" hidden="false" customHeight="false" outlineLevel="0" collapsed="false">
      <c r="A635" s="2" t="s">
        <v>3795</v>
      </c>
      <c r="B635" s="2" t="s">
        <v>8843</v>
      </c>
      <c r="C635" s="2" t="s">
        <v>8859</v>
      </c>
      <c r="D635" s="2" t="s">
        <v>8824</v>
      </c>
      <c r="E635" s="13" t="n">
        <v>36001</v>
      </c>
      <c r="F635" s="2" t="n">
        <v>254748488047</v>
      </c>
      <c r="G635" s="2" t="n">
        <v>9</v>
      </c>
      <c r="H635" s="2" t="s">
        <v>95</v>
      </c>
      <c r="I635" s="2" t="s">
        <v>8825</v>
      </c>
      <c r="J635" s="2" t="s">
        <v>60</v>
      </c>
      <c r="K635" s="13" t="n">
        <v>44933</v>
      </c>
      <c r="L635" s="2" t="s">
        <v>8821</v>
      </c>
      <c r="M635" s="2" t="s">
        <v>8858</v>
      </c>
    </row>
    <row r="636" customFormat="false" ht="15" hidden="false" customHeight="false" outlineLevel="0" collapsed="false">
      <c r="A636" s="2" t="s">
        <v>2872</v>
      </c>
      <c r="B636" s="2" t="s">
        <v>8832</v>
      </c>
      <c r="C636" s="2" t="s">
        <v>8861</v>
      </c>
      <c r="D636" s="2" t="s">
        <v>8824</v>
      </c>
      <c r="E636" s="13" t="n">
        <v>34295</v>
      </c>
      <c r="F636" s="2" t="n">
        <v>254740626070</v>
      </c>
      <c r="G636" s="2" t="n">
        <v>3</v>
      </c>
      <c r="H636" s="2" t="s">
        <v>8850</v>
      </c>
      <c r="I636" s="2" t="s">
        <v>8842</v>
      </c>
      <c r="J636" s="2" t="s">
        <v>61</v>
      </c>
      <c r="K636" s="13" t="n">
        <v>45178</v>
      </c>
      <c r="L636" s="2" t="s">
        <v>8855</v>
      </c>
      <c r="M636" s="2" t="s">
        <v>36</v>
      </c>
    </row>
    <row r="637" customFormat="false" ht="15" hidden="false" customHeight="false" outlineLevel="0" collapsed="false">
      <c r="A637" s="2" t="s">
        <v>695</v>
      </c>
      <c r="B637" s="2" t="s">
        <v>8875</v>
      </c>
      <c r="C637" s="2" t="s">
        <v>8861</v>
      </c>
      <c r="D637" s="2" t="s">
        <v>8819</v>
      </c>
      <c r="E637" s="13" t="n">
        <v>26150</v>
      </c>
      <c r="F637" s="2" t="n">
        <v>254721378739</v>
      </c>
      <c r="G637" s="2" t="n">
        <v>6</v>
      </c>
      <c r="H637" s="2" t="s">
        <v>8850</v>
      </c>
      <c r="I637" s="2" t="s">
        <v>8842</v>
      </c>
      <c r="J637" s="2" t="s">
        <v>59</v>
      </c>
      <c r="K637" s="13" t="n">
        <v>44937</v>
      </c>
      <c r="L637" s="2" t="s">
        <v>8855</v>
      </c>
      <c r="M637" s="2" t="s">
        <v>36</v>
      </c>
    </row>
    <row r="638" customFormat="false" ht="15" hidden="false" customHeight="false" outlineLevel="0" collapsed="false">
      <c r="A638" s="2" t="s">
        <v>2794</v>
      </c>
      <c r="B638" s="2" t="s">
        <v>8832</v>
      </c>
      <c r="C638" s="2" t="s">
        <v>8881</v>
      </c>
      <c r="D638" s="2" t="s">
        <v>8819</v>
      </c>
      <c r="E638" s="13" t="n">
        <v>34721</v>
      </c>
      <c r="F638" s="2" t="n">
        <v>254794772931</v>
      </c>
      <c r="G638" s="2" t="n">
        <v>12</v>
      </c>
      <c r="H638" s="2" t="s">
        <v>8850</v>
      </c>
      <c r="I638" s="2" t="s">
        <v>8842</v>
      </c>
      <c r="J638" s="2" t="s">
        <v>61</v>
      </c>
      <c r="K638" s="13" t="n">
        <v>45583</v>
      </c>
      <c r="L638" s="2" t="s">
        <v>8821</v>
      </c>
      <c r="M638" s="2" t="s">
        <v>36</v>
      </c>
    </row>
    <row r="639" customFormat="false" ht="15" hidden="false" customHeight="false" outlineLevel="0" collapsed="false">
      <c r="A639" s="2" t="s">
        <v>2656</v>
      </c>
      <c r="B639" s="2" t="s">
        <v>8880</v>
      </c>
      <c r="C639" s="2" t="s">
        <v>8861</v>
      </c>
      <c r="D639" s="2" t="s">
        <v>8819</v>
      </c>
      <c r="E639" s="13" t="n">
        <v>33630</v>
      </c>
      <c r="F639" s="2" t="n">
        <v>254764215650</v>
      </c>
      <c r="G639" s="2" t="n">
        <v>8</v>
      </c>
      <c r="H639" s="2" t="s">
        <v>95</v>
      </c>
      <c r="I639" s="2" t="s">
        <v>8857</v>
      </c>
      <c r="J639" s="2" t="s">
        <v>62</v>
      </c>
      <c r="K639" s="13" t="n">
        <v>45213</v>
      </c>
      <c r="L639" s="2" t="s">
        <v>8855</v>
      </c>
      <c r="M639" s="2" t="s">
        <v>36</v>
      </c>
    </row>
    <row r="640" customFormat="false" ht="15" hidden="false" customHeight="false" outlineLevel="0" collapsed="false">
      <c r="A640" s="2" t="s">
        <v>2977</v>
      </c>
      <c r="B640" s="2" t="s">
        <v>8822</v>
      </c>
      <c r="C640" s="2" t="s">
        <v>8863</v>
      </c>
      <c r="D640" s="2" t="s">
        <v>8824</v>
      </c>
      <c r="E640" s="13" t="n">
        <v>34799</v>
      </c>
      <c r="F640" s="2" t="n">
        <v>254762344046</v>
      </c>
      <c r="G640" s="2" t="n">
        <v>12</v>
      </c>
      <c r="H640" s="2" t="s">
        <v>95</v>
      </c>
      <c r="I640" s="2" t="s">
        <v>8857</v>
      </c>
      <c r="J640" s="2" t="s">
        <v>62</v>
      </c>
      <c r="K640" s="13" t="n">
        <v>45013</v>
      </c>
      <c r="L640" s="2" t="s">
        <v>8821</v>
      </c>
      <c r="M640" s="2" t="s">
        <v>36</v>
      </c>
    </row>
    <row r="641" customFormat="false" ht="15" hidden="false" customHeight="false" outlineLevel="0" collapsed="false">
      <c r="A641" s="2" t="s">
        <v>6033</v>
      </c>
      <c r="B641" s="2" t="s">
        <v>8868</v>
      </c>
      <c r="C641" s="2" t="s">
        <v>8869</v>
      </c>
      <c r="D641" s="2" t="s">
        <v>8819</v>
      </c>
      <c r="E641" s="13" t="n">
        <v>27655</v>
      </c>
      <c r="F641" s="2" t="n">
        <v>254713143613</v>
      </c>
      <c r="G641" s="2" t="n">
        <v>1</v>
      </c>
      <c r="H641" s="2" t="s">
        <v>8850</v>
      </c>
      <c r="I641" s="2" t="s">
        <v>8831</v>
      </c>
      <c r="J641" s="2" t="s">
        <v>60</v>
      </c>
      <c r="K641" s="13" t="n">
        <v>45246</v>
      </c>
      <c r="L641" s="2" t="s">
        <v>8855</v>
      </c>
      <c r="M641" s="2" t="s">
        <v>36</v>
      </c>
    </row>
    <row r="642" customFormat="false" ht="15" hidden="false" customHeight="false" outlineLevel="0" collapsed="false">
      <c r="A642" s="2" t="s">
        <v>5213</v>
      </c>
      <c r="B642" s="2" t="s">
        <v>8868</v>
      </c>
      <c r="C642" s="2" t="s">
        <v>8888</v>
      </c>
      <c r="D642" s="2" t="s">
        <v>8819</v>
      </c>
      <c r="E642" s="13" t="n">
        <v>26824</v>
      </c>
      <c r="F642" s="2" t="n">
        <v>254716406597</v>
      </c>
      <c r="G642" s="2" t="n">
        <v>13</v>
      </c>
      <c r="H642" s="2" t="s">
        <v>95</v>
      </c>
      <c r="I642" s="2" t="s">
        <v>8847</v>
      </c>
      <c r="J642" s="2" t="s">
        <v>60</v>
      </c>
      <c r="K642" s="13" t="n">
        <v>45569</v>
      </c>
      <c r="L642" s="2" t="s">
        <v>8821</v>
      </c>
      <c r="M642" s="2" t="s">
        <v>8858</v>
      </c>
    </row>
    <row r="643" customFormat="false" ht="15" hidden="false" customHeight="false" outlineLevel="0" collapsed="false">
      <c r="A643" s="2" t="s">
        <v>1359</v>
      </c>
      <c r="B643" s="2" t="s">
        <v>8862</v>
      </c>
      <c r="C643" s="2" t="s">
        <v>8863</v>
      </c>
      <c r="D643" s="2" t="s">
        <v>8819</v>
      </c>
      <c r="E643" s="13" t="n">
        <v>33354</v>
      </c>
      <c r="F643" s="2" t="n">
        <v>254757021454</v>
      </c>
      <c r="G643" s="2" t="n">
        <v>5</v>
      </c>
      <c r="H643" s="2" t="s">
        <v>8850</v>
      </c>
      <c r="I643" s="2" t="s">
        <v>8852</v>
      </c>
      <c r="J643" s="2" t="s">
        <v>62</v>
      </c>
      <c r="K643" s="13" t="n">
        <v>45522</v>
      </c>
      <c r="L643" s="2" t="s">
        <v>8821</v>
      </c>
      <c r="M643" s="2" t="s">
        <v>8858</v>
      </c>
    </row>
    <row r="644" customFormat="false" ht="15" hidden="false" customHeight="false" outlineLevel="0" collapsed="false">
      <c r="A644" s="2" t="s">
        <v>1005</v>
      </c>
      <c r="B644" s="2" t="s">
        <v>8862</v>
      </c>
      <c r="C644" s="2" t="s">
        <v>8841</v>
      </c>
      <c r="D644" s="2" t="s">
        <v>8824</v>
      </c>
      <c r="E644" s="13" t="n">
        <v>31089</v>
      </c>
      <c r="F644" s="2" t="n">
        <v>254770976401</v>
      </c>
      <c r="G644" s="2" t="n">
        <v>2</v>
      </c>
      <c r="H644" s="2" t="s">
        <v>95</v>
      </c>
      <c r="I644" s="2" t="s">
        <v>8864</v>
      </c>
      <c r="J644" s="2" t="s">
        <v>61</v>
      </c>
      <c r="K644" s="13" t="n">
        <v>45455</v>
      </c>
      <c r="L644" s="2" t="s">
        <v>8855</v>
      </c>
      <c r="M644" s="2" t="s">
        <v>36</v>
      </c>
    </row>
    <row r="645" customFormat="false" ht="15" hidden="false" customHeight="false" outlineLevel="0" collapsed="false">
      <c r="A645" s="2" t="s">
        <v>351</v>
      </c>
      <c r="B645" s="2" t="s">
        <v>8877</v>
      </c>
      <c r="C645" s="2" t="s">
        <v>8841</v>
      </c>
      <c r="D645" s="2" t="s">
        <v>8824</v>
      </c>
      <c r="E645" s="13" t="n">
        <v>27408</v>
      </c>
      <c r="F645" s="2" t="n">
        <v>254720478739</v>
      </c>
      <c r="G645" s="2" t="n">
        <v>6</v>
      </c>
      <c r="H645" s="2" t="s">
        <v>8850</v>
      </c>
      <c r="I645" s="2" t="s">
        <v>8848</v>
      </c>
      <c r="J645" s="2" t="s">
        <v>62</v>
      </c>
      <c r="K645" s="13" t="n">
        <v>45060</v>
      </c>
      <c r="L645" s="2" t="s">
        <v>8855</v>
      </c>
      <c r="M645" s="2" t="s">
        <v>36</v>
      </c>
    </row>
    <row r="646" customFormat="false" ht="15" hidden="false" customHeight="false" outlineLevel="0" collapsed="false">
      <c r="A646" s="2" t="s">
        <v>2319</v>
      </c>
      <c r="B646" s="2" t="s">
        <v>8875</v>
      </c>
      <c r="C646" s="2" t="s">
        <v>8859</v>
      </c>
      <c r="D646" s="2" t="s">
        <v>8824</v>
      </c>
      <c r="E646" s="13" t="n">
        <v>37209</v>
      </c>
      <c r="F646" s="2" t="n">
        <v>254731856387</v>
      </c>
      <c r="G646" s="2" t="n">
        <v>3</v>
      </c>
      <c r="H646" s="2" t="s">
        <v>95</v>
      </c>
      <c r="I646" s="2" t="s">
        <v>8847</v>
      </c>
      <c r="J646" s="2" t="s">
        <v>61</v>
      </c>
      <c r="K646" s="13" t="n">
        <v>45377</v>
      </c>
      <c r="L646" s="2" t="s">
        <v>8821</v>
      </c>
      <c r="M646" s="2" t="s">
        <v>36</v>
      </c>
    </row>
    <row r="647" customFormat="false" ht="15" hidden="false" customHeight="false" outlineLevel="0" collapsed="false">
      <c r="A647" s="2" t="s">
        <v>2255</v>
      </c>
      <c r="B647" s="2" t="s">
        <v>8871</v>
      </c>
      <c r="C647" s="2" t="s">
        <v>8873</v>
      </c>
      <c r="D647" s="2" t="s">
        <v>8824</v>
      </c>
      <c r="E647" s="13" t="n">
        <v>30544</v>
      </c>
      <c r="F647" s="2" t="n">
        <v>254725940510</v>
      </c>
      <c r="G647" s="2" t="n">
        <v>10</v>
      </c>
      <c r="H647" s="2" t="s">
        <v>8850</v>
      </c>
      <c r="I647" s="2" t="s">
        <v>8825</v>
      </c>
      <c r="J647" s="2" t="s">
        <v>58</v>
      </c>
      <c r="K647" s="13" t="n">
        <v>44960</v>
      </c>
      <c r="L647" s="2" t="s">
        <v>8821</v>
      </c>
      <c r="M647" s="2" t="s">
        <v>36</v>
      </c>
    </row>
    <row r="648" customFormat="false" ht="15" hidden="false" customHeight="false" outlineLevel="0" collapsed="false">
      <c r="A648" s="2" t="s">
        <v>3169</v>
      </c>
      <c r="B648" s="2" t="s">
        <v>8879</v>
      </c>
      <c r="C648" s="2" t="s">
        <v>8854</v>
      </c>
      <c r="D648" s="2" t="s">
        <v>8824</v>
      </c>
      <c r="E648" s="13" t="n">
        <v>26547</v>
      </c>
      <c r="F648" s="2" t="n">
        <v>254750702879</v>
      </c>
      <c r="G648" s="2" t="n">
        <v>5</v>
      </c>
      <c r="H648" s="2" t="s">
        <v>8850</v>
      </c>
      <c r="I648" s="2" t="s">
        <v>8820</v>
      </c>
      <c r="J648" s="2" t="s">
        <v>59</v>
      </c>
      <c r="K648" s="13" t="n">
        <v>45047</v>
      </c>
      <c r="L648" s="2" t="s">
        <v>8821</v>
      </c>
      <c r="M648" s="2" t="s">
        <v>8858</v>
      </c>
    </row>
    <row r="649" customFormat="false" ht="15" hidden="false" customHeight="false" outlineLevel="0" collapsed="false">
      <c r="A649" s="2" t="s">
        <v>3501</v>
      </c>
      <c r="B649" s="2" t="s">
        <v>8835</v>
      </c>
      <c r="C649" s="2" t="s">
        <v>8859</v>
      </c>
      <c r="D649" s="2" t="s">
        <v>8819</v>
      </c>
      <c r="E649" s="13" t="n">
        <v>26794</v>
      </c>
      <c r="F649" s="2" t="n">
        <v>254726418573</v>
      </c>
      <c r="G649" s="2" t="n">
        <v>9</v>
      </c>
      <c r="H649" s="2" t="s">
        <v>8850</v>
      </c>
      <c r="I649" s="2" t="s">
        <v>8825</v>
      </c>
      <c r="J649" s="2" t="s">
        <v>58</v>
      </c>
      <c r="K649" s="13" t="n">
        <v>45147</v>
      </c>
      <c r="L649" s="2" t="s">
        <v>8855</v>
      </c>
      <c r="M649" s="2" t="s">
        <v>8858</v>
      </c>
    </row>
    <row r="650" customFormat="false" ht="15" hidden="false" customHeight="false" outlineLevel="0" collapsed="false">
      <c r="A650" s="2" t="s">
        <v>4477</v>
      </c>
      <c r="B650" s="2" t="s">
        <v>8874</v>
      </c>
      <c r="C650" s="2" t="s">
        <v>8876</v>
      </c>
      <c r="D650" s="2" t="s">
        <v>8824</v>
      </c>
      <c r="E650" s="13" t="n">
        <v>32796</v>
      </c>
      <c r="F650" s="2" t="n">
        <v>254791296981</v>
      </c>
      <c r="G650" s="2" t="n">
        <v>3</v>
      </c>
      <c r="H650" s="2" t="s">
        <v>95</v>
      </c>
      <c r="I650" s="2" t="s">
        <v>8857</v>
      </c>
      <c r="J650" s="2" t="s">
        <v>61</v>
      </c>
      <c r="K650" s="13" t="n">
        <v>45272</v>
      </c>
      <c r="L650" s="2" t="s">
        <v>8855</v>
      </c>
      <c r="M650" s="2" t="s">
        <v>8858</v>
      </c>
    </row>
    <row r="651" customFormat="false" ht="15" hidden="false" customHeight="false" outlineLevel="0" collapsed="false">
      <c r="A651" s="2" t="s">
        <v>3397</v>
      </c>
      <c r="B651" s="2" t="s">
        <v>8874</v>
      </c>
      <c r="C651" s="2" t="s">
        <v>8867</v>
      </c>
      <c r="D651" s="2" t="s">
        <v>8824</v>
      </c>
      <c r="E651" s="13" t="n">
        <v>29200</v>
      </c>
      <c r="F651" s="2" t="n">
        <v>254761973818</v>
      </c>
      <c r="G651" s="2" t="n">
        <v>4</v>
      </c>
      <c r="H651" s="2" t="s">
        <v>8850</v>
      </c>
      <c r="I651" s="2" t="s">
        <v>8844</v>
      </c>
      <c r="J651" s="2" t="s">
        <v>62</v>
      </c>
      <c r="K651" s="13" t="n">
        <v>45018</v>
      </c>
      <c r="L651" s="2" t="s">
        <v>8821</v>
      </c>
      <c r="M651" s="2" t="s">
        <v>8858</v>
      </c>
    </row>
    <row r="652" customFormat="false" ht="15" hidden="false" customHeight="false" outlineLevel="0" collapsed="false">
      <c r="A652" s="2" t="s">
        <v>5209</v>
      </c>
      <c r="B652" s="2" t="s">
        <v>8875</v>
      </c>
      <c r="C652" s="2" t="s">
        <v>8818</v>
      </c>
      <c r="D652" s="2" t="s">
        <v>8824</v>
      </c>
      <c r="E652" s="13" t="n">
        <v>32084</v>
      </c>
      <c r="F652" s="2" t="n">
        <v>254785302098</v>
      </c>
      <c r="G652" s="2" t="n">
        <v>11</v>
      </c>
      <c r="H652" s="2" t="s">
        <v>95</v>
      </c>
      <c r="I652" s="2" t="s">
        <v>8852</v>
      </c>
      <c r="J652" s="2" t="s">
        <v>62</v>
      </c>
      <c r="K652" s="13" t="n">
        <v>45096</v>
      </c>
      <c r="L652" s="2" t="s">
        <v>8821</v>
      </c>
      <c r="M652" s="2" t="s">
        <v>36</v>
      </c>
    </row>
    <row r="653" customFormat="false" ht="15" hidden="false" customHeight="false" outlineLevel="0" collapsed="false">
      <c r="A653" s="2" t="s">
        <v>3015</v>
      </c>
      <c r="B653" s="2" t="s">
        <v>8853</v>
      </c>
      <c r="C653" s="2" t="s">
        <v>8859</v>
      </c>
      <c r="D653" s="2" t="s">
        <v>8819</v>
      </c>
      <c r="E653" s="13" t="n">
        <v>26954</v>
      </c>
      <c r="F653" s="2" t="n">
        <v>254726144134</v>
      </c>
      <c r="G653" s="2" t="n">
        <v>11</v>
      </c>
      <c r="H653" s="2" t="s">
        <v>95</v>
      </c>
      <c r="I653" s="2" t="s">
        <v>8820</v>
      </c>
      <c r="J653" s="2" t="s">
        <v>60</v>
      </c>
      <c r="K653" s="13" t="n">
        <v>45120</v>
      </c>
      <c r="L653" s="2" t="s">
        <v>8821</v>
      </c>
      <c r="M653" s="2" t="s">
        <v>36</v>
      </c>
    </row>
    <row r="654" customFormat="false" ht="15" hidden="false" customHeight="false" outlineLevel="0" collapsed="false">
      <c r="A654" s="2" t="s">
        <v>1986</v>
      </c>
      <c r="B654" s="2" t="s">
        <v>8849</v>
      </c>
      <c r="C654" s="2" t="s">
        <v>8869</v>
      </c>
      <c r="D654" s="2" t="s">
        <v>8824</v>
      </c>
      <c r="E654" s="13" t="n">
        <v>35852</v>
      </c>
      <c r="F654" s="2" t="n">
        <v>254789039884</v>
      </c>
      <c r="G654" s="2" t="n">
        <v>1</v>
      </c>
      <c r="H654" s="2" t="s">
        <v>8850</v>
      </c>
      <c r="I654" s="2" t="s">
        <v>8820</v>
      </c>
      <c r="J654" s="2" t="s">
        <v>60</v>
      </c>
      <c r="K654" s="13" t="n">
        <v>45473</v>
      </c>
      <c r="L654" s="2" t="s">
        <v>8855</v>
      </c>
      <c r="M654" s="2" t="s">
        <v>36</v>
      </c>
    </row>
    <row r="655" customFormat="false" ht="15" hidden="false" customHeight="false" outlineLevel="0" collapsed="false">
      <c r="A655" s="2" t="s">
        <v>2393</v>
      </c>
      <c r="B655" s="2" t="s">
        <v>8878</v>
      </c>
      <c r="C655" s="2" t="s">
        <v>8876</v>
      </c>
      <c r="D655" s="2" t="s">
        <v>8824</v>
      </c>
      <c r="E655" s="13" t="n">
        <v>35092</v>
      </c>
      <c r="F655" s="2" t="n">
        <v>254722217180</v>
      </c>
      <c r="G655" s="2" t="n">
        <v>2</v>
      </c>
      <c r="H655" s="2" t="s">
        <v>95</v>
      </c>
      <c r="I655" s="2" t="s">
        <v>8857</v>
      </c>
      <c r="J655" s="2" t="s">
        <v>59</v>
      </c>
      <c r="K655" s="13" t="n">
        <v>45467</v>
      </c>
      <c r="L655" s="2" t="s">
        <v>8821</v>
      </c>
      <c r="M655" s="2" t="s">
        <v>36</v>
      </c>
    </row>
    <row r="656" customFormat="false" ht="15" hidden="false" customHeight="false" outlineLevel="0" collapsed="false">
      <c r="A656" s="2" t="s">
        <v>1323</v>
      </c>
      <c r="B656" s="2" t="s">
        <v>8832</v>
      </c>
      <c r="C656" s="2" t="s">
        <v>8854</v>
      </c>
      <c r="D656" s="2" t="s">
        <v>8824</v>
      </c>
      <c r="E656" s="13" t="n">
        <v>29731</v>
      </c>
      <c r="F656" s="2" t="n">
        <v>254732708438</v>
      </c>
      <c r="G656" s="2" t="n">
        <v>1</v>
      </c>
      <c r="H656" s="2" t="s">
        <v>8850</v>
      </c>
      <c r="I656" s="2" t="s">
        <v>8828</v>
      </c>
      <c r="J656" s="2" t="s">
        <v>58</v>
      </c>
      <c r="K656" s="13" t="n">
        <v>45018</v>
      </c>
      <c r="L656" s="2" t="s">
        <v>8821</v>
      </c>
      <c r="M656" s="2" t="s">
        <v>36</v>
      </c>
    </row>
    <row r="657" customFormat="false" ht="15" hidden="false" customHeight="false" outlineLevel="0" collapsed="false">
      <c r="A657" s="2" t="s">
        <v>2148</v>
      </c>
      <c r="B657" s="2" t="s">
        <v>8838</v>
      </c>
      <c r="C657" s="2" t="s">
        <v>8869</v>
      </c>
      <c r="D657" s="2" t="s">
        <v>8824</v>
      </c>
      <c r="E657" s="13" t="n">
        <v>34376</v>
      </c>
      <c r="F657" s="2" t="n">
        <v>254760400522</v>
      </c>
      <c r="G657" s="2" t="n">
        <v>14</v>
      </c>
      <c r="H657" s="2" t="s">
        <v>95</v>
      </c>
      <c r="I657" s="2" t="s">
        <v>8820</v>
      </c>
      <c r="J657" s="2" t="s">
        <v>59</v>
      </c>
      <c r="K657" s="13" t="n">
        <v>45072</v>
      </c>
      <c r="L657" s="2" t="s">
        <v>8821</v>
      </c>
      <c r="M657" s="2" t="s">
        <v>36</v>
      </c>
    </row>
    <row r="658" customFormat="false" ht="15" hidden="false" customHeight="false" outlineLevel="0" collapsed="false">
      <c r="A658" s="2" t="s">
        <v>1825</v>
      </c>
      <c r="B658" s="2" t="s">
        <v>8866</v>
      </c>
      <c r="C658" s="2" t="s">
        <v>8830</v>
      </c>
      <c r="D658" s="2" t="s">
        <v>8824</v>
      </c>
      <c r="E658" s="13" t="n">
        <v>37159</v>
      </c>
      <c r="F658" s="2" t="n">
        <v>254718137886</v>
      </c>
      <c r="G658" s="2" t="n">
        <v>6</v>
      </c>
      <c r="H658" s="2" t="s">
        <v>8850</v>
      </c>
      <c r="I658" s="2" t="s">
        <v>8857</v>
      </c>
      <c r="J658" s="2" t="s">
        <v>61</v>
      </c>
      <c r="K658" s="13" t="n">
        <v>45443</v>
      </c>
      <c r="L658" s="2" t="s">
        <v>8821</v>
      </c>
      <c r="M658" s="2" t="s">
        <v>8858</v>
      </c>
    </row>
    <row r="659" customFormat="false" ht="15" hidden="false" customHeight="false" outlineLevel="0" collapsed="false">
      <c r="A659" s="2" t="s">
        <v>3627</v>
      </c>
      <c r="B659" s="2" t="s">
        <v>8882</v>
      </c>
      <c r="C659" s="2" t="s">
        <v>8818</v>
      </c>
      <c r="D659" s="2" t="s">
        <v>8824</v>
      </c>
      <c r="E659" s="13" t="n">
        <v>26135</v>
      </c>
      <c r="F659" s="2" t="n">
        <v>254784366722</v>
      </c>
      <c r="G659" s="2" t="n">
        <v>10</v>
      </c>
      <c r="H659" s="2" t="s">
        <v>95</v>
      </c>
      <c r="I659" s="2" t="s">
        <v>8831</v>
      </c>
      <c r="J659" s="2" t="s">
        <v>62</v>
      </c>
      <c r="K659" s="13" t="n">
        <v>45166</v>
      </c>
      <c r="L659" s="2" t="s">
        <v>8821</v>
      </c>
      <c r="M659" s="2" t="s">
        <v>36</v>
      </c>
    </row>
    <row r="660" customFormat="false" ht="15" hidden="false" customHeight="false" outlineLevel="0" collapsed="false">
      <c r="A660" s="2" t="s">
        <v>5367</v>
      </c>
      <c r="B660" s="2" t="s">
        <v>8868</v>
      </c>
      <c r="C660" s="2" t="s">
        <v>8841</v>
      </c>
      <c r="D660" s="2" t="s">
        <v>8819</v>
      </c>
      <c r="E660" s="13" t="n">
        <v>35280</v>
      </c>
      <c r="F660" s="2" t="n">
        <v>254760104178</v>
      </c>
      <c r="G660" s="2" t="n">
        <v>9</v>
      </c>
      <c r="H660" s="2" t="s">
        <v>95</v>
      </c>
      <c r="I660" s="2" t="s">
        <v>8831</v>
      </c>
      <c r="J660" s="2" t="s">
        <v>62</v>
      </c>
      <c r="K660" s="13" t="n">
        <v>45578</v>
      </c>
      <c r="L660" s="2" t="s">
        <v>8855</v>
      </c>
      <c r="M660" s="2" t="s">
        <v>8858</v>
      </c>
    </row>
    <row r="661" customFormat="false" ht="15" hidden="false" customHeight="false" outlineLevel="0" collapsed="false">
      <c r="A661" s="2" t="s">
        <v>1155</v>
      </c>
      <c r="B661" s="2" t="s">
        <v>8872</v>
      </c>
      <c r="C661" s="2" t="s">
        <v>8867</v>
      </c>
      <c r="D661" s="2" t="s">
        <v>8824</v>
      </c>
      <c r="E661" s="13" t="n">
        <v>26325</v>
      </c>
      <c r="F661" s="2" t="n">
        <v>254797652074</v>
      </c>
      <c r="G661" s="2" t="n">
        <v>3</v>
      </c>
      <c r="H661" s="2" t="s">
        <v>95</v>
      </c>
      <c r="I661" s="2" t="s">
        <v>8820</v>
      </c>
      <c r="J661" s="2" t="s">
        <v>61</v>
      </c>
      <c r="K661" s="13" t="n">
        <v>45402</v>
      </c>
      <c r="L661" s="2" t="s">
        <v>8821</v>
      </c>
      <c r="M661" s="2" t="s">
        <v>36</v>
      </c>
    </row>
    <row r="662" customFormat="false" ht="15" hidden="false" customHeight="false" outlineLevel="0" collapsed="false">
      <c r="A662" s="2" t="s">
        <v>371</v>
      </c>
      <c r="B662" s="2" t="s">
        <v>8840</v>
      </c>
      <c r="C662" s="2" t="s">
        <v>8881</v>
      </c>
      <c r="D662" s="2" t="s">
        <v>8824</v>
      </c>
      <c r="E662" s="13" t="n">
        <v>34512</v>
      </c>
      <c r="F662" s="2" t="n">
        <v>254716104857</v>
      </c>
      <c r="G662" s="2" t="n">
        <v>3</v>
      </c>
      <c r="H662" s="2" t="s">
        <v>95</v>
      </c>
      <c r="I662" s="2" t="s">
        <v>8834</v>
      </c>
      <c r="J662" s="2" t="s">
        <v>58</v>
      </c>
      <c r="K662" s="13" t="n">
        <v>45574</v>
      </c>
      <c r="L662" s="2" t="s">
        <v>8855</v>
      </c>
      <c r="M662" s="2" t="s">
        <v>36</v>
      </c>
    </row>
    <row r="663" customFormat="false" ht="15" hidden="false" customHeight="false" outlineLevel="0" collapsed="false">
      <c r="A663" s="2" t="s">
        <v>426</v>
      </c>
      <c r="B663" s="2" t="s">
        <v>8880</v>
      </c>
      <c r="C663" s="2" t="s">
        <v>8865</v>
      </c>
      <c r="D663" s="2" t="s">
        <v>8819</v>
      </c>
      <c r="E663" s="13" t="n">
        <v>28842</v>
      </c>
      <c r="F663" s="2" t="n">
        <v>254791932582</v>
      </c>
      <c r="G663" s="2" t="n">
        <v>9</v>
      </c>
      <c r="H663" s="2" t="s">
        <v>8850</v>
      </c>
      <c r="I663" s="2" t="s">
        <v>8852</v>
      </c>
      <c r="J663" s="2" t="s">
        <v>60</v>
      </c>
      <c r="K663" s="13" t="n">
        <v>45213</v>
      </c>
      <c r="L663" s="2" t="s">
        <v>8821</v>
      </c>
      <c r="M663" s="2" t="s">
        <v>8858</v>
      </c>
    </row>
    <row r="664" customFormat="false" ht="15" hidden="false" customHeight="false" outlineLevel="0" collapsed="false">
      <c r="A664" s="2" t="s">
        <v>7199</v>
      </c>
      <c r="B664" s="2" t="s">
        <v>8878</v>
      </c>
      <c r="C664" s="2" t="s">
        <v>8841</v>
      </c>
      <c r="D664" s="2" t="s">
        <v>8824</v>
      </c>
      <c r="E664" s="13" t="n">
        <v>31889</v>
      </c>
      <c r="F664" s="2" t="n">
        <v>254790465362</v>
      </c>
      <c r="G664" s="2" t="n">
        <v>6</v>
      </c>
      <c r="H664" s="2" t="s">
        <v>95</v>
      </c>
      <c r="I664" s="2" t="s">
        <v>8864</v>
      </c>
      <c r="J664" s="2" t="s">
        <v>59</v>
      </c>
      <c r="K664" s="13" t="n">
        <v>45256</v>
      </c>
      <c r="L664" s="2" t="s">
        <v>8821</v>
      </c>
      <c r="M664" s="2" t="s">
        <v>8858</v>
      </c>
    </row>
    <row r="665" customFormat="false" ht="15" hidden="false" customHeight="false" outlineLevel="0" collapsed="false">
      <c r="A665" s="2" t="s">
        <v>3985</v>
      </c>
      <c r="B665" s="2" t="s">
        <v>8838</v>
      </c>
      <c r="C665" s="2" t="s">
        <v>8863</v>
      </c>
      <c r="D665" s="2" t="s">
        <v>8824</v>
      </c>
      <c r="E665" s="13" t="n">
        <v>25590</v>
      </c>
      <c r="F665" s="2" t="n">
        <v>254762719526</v>
      </c>
      <c r="G665" s="2" t="n">
        <v>9</v>
      </c>
      <c r="H665" s="2" t="s">
        <v>95</v>
      </c>
      <c r="I665" s="2" t="s">
        <v>8852</v>
      </c>
      <c r="J665" s="2" t="s">
        <v>58</v>
      </c>
      <c r="K665" s="13" t="n">
        <v>45104</v>
      </c>
      <c r="L665" s="2" t="s">
        <v>8821</v>
      </c>
      <c r="M665" s="2" t="s">
        <v>8858</v>
      </c>
    </row>
    <row r="666" customFormat="false" ht="15" hidden="false" customHeight="false" outlineLevel="0" collapsed="false">
      <c r="A666" s="2" t="s">
        <v>191</v>
      </c>
      <c r="B666" s="2" t="s">
        <v>8872</v>
      </c>
      <c r="C666" s="2" t="s">
        <v>8867</v>
      </c>
      <c r="D666" s="2" t="s">
        <v>8824</v>
      </c>
      <c r="E666" s="13" t="n">
        <v>28303</v>
      </c>
      <c r="F666" s="2" t="n">
        <v>254761908845</v>
      </c>
      <c r="G666" s="2" t="n">
        <v>3</v>
      </c>
      <c r="H666" s="2" t="s">
        <v>95</v>
      </c>
      <c r="I666" s="2" t="s">
        <v>8825</v>
      </c>
      <c r="J666" s="2" t="s">
        <v>61</v>
      </c>
      <c r="K666" s="13" t="n">
        <v>45312</v>
      </c>
      <c r="L666" s="2" t="s">
        <v>8821</v>
      </c>
      <c r="M666" s="2" t="s">
        <v>36</v>
      </c>
    </row>
    <row r="667" customFormat="false" ht="15" hidden="false" customHeight="false" outlineLevel="0" collapsed="false">
      <c r="A667" s="2" t="s">
        <v>1244</v>
      </c>
      <c r="B667" s="2" t="s">
        <v>8853</v>
      </c>
      <c r="C667" s="2" t="s">
        <v>8846</v>
      </c>
      <c r="D667" s="2" t="s">
        <v>8824</v>
      </c>
      <c r="E667" s="13" t="n">
        <v>35803</v>
      </c>
      <c r="F667" s="2" t="n">
        <v>254735704262</v>
      </c>
      <c r="G667" s="2" t="n">
        <v>2</v>
      </c>
      <c r="H667" s="2" t="s">
        <v>8850</v>
      </c>
      <c r="I667" s="2" t="s">
        <v>8864</v>
      </c>
      <c r="J667" s="2" t="s">
        <v>59</v>
      </c>
      <c r="K667" s="13" t="n">
        <v>44947</v>
      </c>
      <c r="L667" s="2" t="s">
        <v>8821</v>
      </c>
      <c r="M667" s="2" t="s">
        <v>8858</v>
      </c>
    </row>
    <row r="668" customFormat="false" ht="15" hidden="false" customHeight="false" outlineLevel="0" collapsed="false">
      <c r="A668" s="2" t="s">
        <v>3155</v>
      </c>
      <c r="B668" s="2" t="s">
        <v>8880</v>
      </c>
      <c r="C668" s="2" t="s">
        <v>8867</v>
      </c>
      <c r="D668" s="2" t="s">
        <v>8819</v>
      </c>
      <c r="E668" s="13" t="n">
        <v>33978</v>
      </c>
      <c r="F668" s="2" t="n">
        <v>254710957697</v>
      </c>
      <c r="G668" s="2" t="n">
        <v>4</v>
      </c>
      <c r="H668" s="2" t="s">
        <v>8850</v>
      </c>
      <c r="I668" s="2" t="s">
        <v>8825</v>
      </c>
      <c r="J668" s="2" t="s">
        <v>60</v>
      </c>
      <c r="K668" s="13" t="n">
        <v>45431</v>
      </c>
      <c r="L668" s="2" t="s">
        <v>8855</v>
      </c>
      <c r="M668" s="2" t="s">
        <v>36</v>
      </c>
    </row>
    <row r="669" customFormat="false" ht="15" hidden="false" customHeight="false" outlineLevel="0" collapsed="false">
      <c r="A669" s="2" t="s">
        <v>970</v>
      </c>
      <c r="B669" s="2" t="s">
        <v>8856</v>
      </c>
      <c r="C669" s="2" t="s">
        <v>8867</v>
      </c>
      <c r="D669" s="2" t="s">
        <v>8819</v>
      </c>
      <c r="E669" s="13" t="n">
        <v>30279</v>
      </c>
      <c r="F669" s="2" t="n">
        <v>254718772554</v>
      </c>
      <c r="G669" s="2" t="n">
        <v>10</v>
      </c>
      <c r="H669" s="2" t="s">
        <v>95</v>
      </c>
      <c r="I669" s="2" t="s">
        <v>8864</v>
      </c>
      <c r="J669" s="2" t="s">
        <v>58</v>
      </c>
      <c r="K669" s="13" t="n">
        <v>45506</v>
      </c>
      <c r="L669" s="2" t="s">
        <v>8821</v>
      </c>
      <c r="M669" s="2" t="s">
        <v>36</v>
      </c>
    </row>
    <row r="670" customFormat="false" ht="15" hidden="false" customHeight="false" outlineLevel="0" collapsed="false">
      <c r="A670" s="2" t="s">
        <v>5103</v>
      </c>
      <c r="B670" s="2" t="s">
        <v>8840</v>
      </c>
      <c r="C670" s="2" t="s">
        <v>8818</v>
      </c>
      <c r="D670" s="2" t="s">
        <v>8824</v>
      </c>
      <c r="E670" s="13" t="n">
        <v>30949</v>
      </c>
      <c r="F670" s="2" t="n">
        <v>254785177493</v>
      </c>
      <c r="G670" s="2" t="n">
        <v>15</v>
      </c>
      <c r="H670" s="2" t="s">
        <v>8850</v>
      </c>
      <c r="I670" s="2" t="s">
        <v>8820</v>
      </c>
      <c r="J670" s="2" t="s">
        <v>61</v>
      </c>
      <c r="K670" s="13" t="n">
        <v>45207</v>
      </c>
      <c r="L670" s="2" t="s">
        <v>8821</v>
      </c>
      <c r="M670" s="2" t="s">
        <v>36</v>
      </c>
    </row>
    <row r="671" customFormat="false" ht="15" hidden="false" customHeight="false" outlineLevel="0" collapsed="false">
      <c r="A671" s="2" t="s">
        <v>8581</v>
      </c>
      <c r="B671" s="2" t="s">
        <v>8856</v>
      </c>
      <c r="C671" s="2" t="s">
        <v>8861</v>
      </c>
      <c r="D671" s="2" t="s">
        <v>8824</v>
      </c>
      <c r="E671" s="13" t="n">
        <v>35620</v>
      </c>
      <c r="F671" s="2" t="n">
        <v>254776514912</v>
      </c>
      <c r="G671" s="2" t="n">
        <v>6</v>
      </c>
      <c r="H671" s="2" t="s">
        <v>95</v>
      </c>
      <c r="I671" s="2" t="s">
        <v>8864</v>
      </c>
      <c r="J671" s="2" t="s">
        <v>59</v>
      </c>
      <c r="K671" s="13" t="n">
        <v>45051</v>
      </c>
      <c r="L671" s="2" t="s">
        <v>8821</v>
      </c>
      <c r="M671" s="2" t="s">
        <v>36</v>
      </c>
    </row>
    <row r="672" customFormat="false" ht="15" hidden="false" customHeight="false" outlineLevel="0" collapsed="false">
      <c r="A672" s="2" t="s">
        <v>7845</v>
      </c>
      <c r="B672" s="2" t="s">
        <v>8817</v>
      </c>
      <c r="C672" s="2" t="s">
        <v>8876</v>
      </c>
      <c r="D672" s="2" t="s">
        <v>8819</v>
      </c>
      <c r="E672" s="13" t="n">
        <v>35323</v>
      </c>
      <c r="F672" s="2" t="n">
        <v>254754923454</v>
      </c>
      <c r="G672" s="2" t="n">
        <v>2</v>
      </c>
      <c r="H672" s="2" t="s">
        <v>95</v>
      </c>
      <c r="I672" s="2" t="s">
        <v>8864</v>
      </c>
      <c r="J672" s="2" t="s">
        <v>59</v>
      </c>
      <c r="K672" s="13" t="n">
        <v>45250</v>
      </c>
      <c r="L672" s="2" t="s">
        <v>8855</v>
      </c>
      <c r="M672" s="2" t="s">
        <v>36</v>
      </c>
    </row>
    <row r="673" customFormat="false" ht="15" hidden="false" customHeight="false" outlineLevel="0" collapsed="false">
      <c r="A673" s="2" t="s">
        <v>2172</v>
      </c>
      <c r="B673" s="2" t="s">
        <v>8883</v>
      </c>
      <c r="C673" s="2" t="s">
        <v>8827</v>
      </c>
      <c r="D673" s="2" t="s">
        <v>8819</v>
      </c>
      <c r="E673" s="13" t="n">
        <v>31143</v>
      </c>
      <c r="F673" s="2" t="n">
        <v>254713741017</v>
      </c>
      <c r="G673" s="2" t="n">
        <v>8</v>
      </c>
      <c r="H673" s="2" t="s">
        <v>8850</v>
      </c>
      <c r="I673" s="2" t="s">
        <v>8820</v>
      </c>
      <c r="J673" s="2" t="s">
        <v>62</v>
      </c>
      <c r="K673" s="13" t="n">
        <v>45264</v>
      </c>
      <c r="L673" s="2" t="s">
        <v>8821</v>
      </c>
      <c r="M673" s="2" t="s">
        <v>36</v>
      </c>
    </row>
    <row r="674" customFormat="false" ht="15" hidden="false" customHeight="false" outlineLevel="0" collapsed="false">
      <c r="A674" s="2" t="s">
        <v>441</v>
      </c>
      <c r="B674" s="2" t="s">
        <v>8878</v>
      </c>
      <c r="C674" s="2" t="s">
        <v>8823</v>
      </c>
      <c r="D674" s="2" t="s">
        <v>8824</v>
      </c>
      <c r="E674" s="13" t="n">
        <v>31094</v>
      </c>
      <c r="F674" s="2" t="n">
        <v>254779749603</v>
      </c>
      <c r="G674" s="2" t="n">
        <v>13</v>
      </c>
      <c r="H674" s="2" t="s">
        <v>95</v>
      </c>
      <c r="I674" s="2" t="s">
        <v>8825</v>
      </c>
      <c r="J674" s="2" t="s">
        <v>62</v>
      </c>
      <c r="K674" s="13" t="n">
        <v>45171</v>
      </c>
      <c r="L674" s="2" t="s">
        <v>8855</v>
      </c>
      <c r="M674" s="2" t="s">
        <v>36</v>
      </c>
    </row>
    <row r="675" customFormat="false" ht="15" hidden="false" customHeight="false" outlineLevel="0" collapsed="false">
      <c r="A675" s="2" t="s">
        <v>4057</v>
      </c>
      <c r="B675" s="2" t="s">
        <v>8822</v>
      </c>
      <c r="C675" s="2" t="s">
        <v>8823</v>
      </c>
      <c r="D675" s="2" t="s">
        <v>8824</v>
      </c>
      <c r="E675" s="13" t="n">
        <v>36072</v>
      </c>
      <c r="F675" s="2" t="n">
        <v>254752047653</v>
      </c>
      <c r="G675" s="2" t="n">
        <v>15</v>
      </c>
      <c r="H675" s="2" t="s">
        <v>95</v>
      </c>
      <c r="I675" s="2" t="s">
        <v>8828</v>
      </c>
      <c r="J675" s="2" t="s">
        <v>58</v>
      </c>
      <c r="K675" s="13" t="n">
        <v>45014</v>
      </c>
      <c r="L675" s="2" t="s">
        <v>8855</v>
      </c>
      <c r="M675" s="2" t="s">
        <v>36</v>
      </c>
    </row>
    <row r="676" customFormat="false" ht="15" hidden="false" customHeight="false" outlineLevel="0" collapsed="false">
      <c r="A676" s="2" t="s">
        <v>3047</v>
      </c>
      <c r="B676" s="2" t="s">
        <v>8826</v>
      </c>
      <c r="C676" s="2" t="s">
        <v>8830</v>
      </c>
      <c r="D676" s="2" t="s">
        <v>8819</v>
      </c>
      <c r="E676" s="13" t="n">
        <v>32802</v>
      </c>
      <c r="F676" s="2" t="n">
        <v>254785062345</v>
      </c>
      <c r="G676" s="2" t="n">
        <v>1</v>
      </c>
      <c r="H676" s="2" t="s">
        <v>8850</v>
      </c>
      <c r="I676" s="2" t="s">
        <v>8842</v>
      </c>
      <c r="J676" s="2" t="s">
        <v>61</v>
      </c>
      <c r="K676" s="13" t="n">
        <v>45369</v>
      </c>
      <c r="L676" s="2" t="s">
        <v>8821</v>
      </c>
      <c r="M676" s="2" t="s">
        <v>8858</v>
      </c>
    </row>
    <row r="677" customFormat="false" ht="15" hidden="false" customHeight="false" outlineLevel="0" collapsed="false">
      <c r="A677" s="2" t="s">
        <v>2415</v>
      </c>
      <c r="B677" s="2" t="s">
        <v>8849</v>
      </c>
      <c r="C677" s="2" t="s">
        <v>8818</v>
      </c>
      <c r="D677" s="2" t="s">
        <v>8824</v>
      </c>
      <c r="E677" s="13" t="n">
        <v>30981</v>
      </c>
      <c r="F677" s="2" t="n">
        <v>254761528873</v>
      </c>
      <c r="G677" s="2" t="n">
        <v>8</v>
      </c>
      <c r="H677" s="2" t="s">
        <v>8850</v>
      </c>
      <c r="I677" s="2" t="s">
        <v>8848</v>
      </c>
      <c r="J677" s="2" t="s">
        <v>62</v>
      </c>
      <c r="K677" s="13" t="n">
        <v>45602</v>
      </c>
      <c r="L677" s="2" t="s">
        <v>8821</v>
      </c>
      <c r="M677" s="2" t="s">
        <v>36</v>
      </c>
    </row>
    <row r="678" customFormat="false" ht="15" hidden="false" customHeight="false" outlineLevel="0" collapsed="false">
      <c r="A678" s="2" t="s">
        <v>755</v>
      </c>
      <c r="B678" s="2" t="s">
        <v>8862</v>
      </c>
      <c r="C678" s="2" t="s">
        <v>8841</v>
      </c>
      <c r="D678" s="2" t="s">
        <v>8819</v>
      </c>
      <c r="E678" s="13" t="n">
        <v>26162</v>
      </c>
      <c r="F678" s="2" t="n">
        <v>254723782772</v>
      </c>
      <c r="G678" s="2" t="n">
        <v>1</v>
      </c>
      <c r="H678" s="2" t="s">
        <v>95</v>
      </c>
      <c r="I678" s="2" t="s">
        <v>8848</v>
      </c>
      <c r="J678" s="2" t="s">
        <v>59</v>
      </c>
      <c r="K678" s="13" t="n">
        <v>45263</v>
      </c>
      <c r="L678" s="2" t="s">
        <v>8821</v>
      </c>
      <c r="M678" s="2" t="s">
        <v>36</v>
      </c>
    </row>
    <row r="679" customFormat="false" ht="15" hidden="false" customHeight="false" outlineLevel="0" collapsed="false">
      <c r="A679" s="2" t="s">
        <v>3315</v>
      </c>
      <c r="B679" s="2" t="s">
        <v>8860</v>
      </c>
      <c r="C679" s="2" t="s">
        <v>8873</v>
      </c>
      <c r="D679" s="2" t="s">
        <v>8819</v>
      </c>
      <c r="E679" s="13" t="n">
        <v>33801</v>
      </c>
      <c r="F679" s="2" t="n">
        <v>254728478117</v>
      </c>
      <c r="G679" s="2" t="n">
        <v>13</v>
      </c>
      <c r="H679" s="2" t="s">
        <v>95</v>
      </c>
      <c r="I679" s="2" t="s">
        <v>8820</v>
      </c>
      <c r="J679" s="2" t="s">
        <v>59</v>
      </c>
      <c r="K679" s="13" t="n">
        <v>45562</v>
      </c>
      <c r="L679" s="2" t="s">
        <v>8821</v>
      </c>
      <c r="M679" s="2" t="s">
        <v>8858</v>
      </c>
    </row>
    <row r="680" customFormat="false" ht="15" hidden="false" customHeight="false" outlineLevel="0" collapsed="false">
      <c r="A680" s="2" t="s">
        <v>7521</v>
      </c>
      <c r="B680" s="2" t="s">
        <v>8883</v>
      </c>
      <c r="C680" s="2" t="s">
        <v>8881</v>
      </c>
      <c r="D680" s="2" t="s">
        <v>8819</v>
      </c>
      <c r="E680" s="13" t="n">
        <v>37585</v>
      </c>
      <c r="F680" s="2" t="n">
        <v>254729784909</v>
      </c>
      <c r="G680" s="2" t="n">
        <v>8</v>
      </c>
      <c r="H680" s="2" t="s">
        <v>8850</v>
      </c>
      <c r="I680" s="2" t="s">
        <v>8848</v>
      </c>
      <c r="J680" s="2" t="s">
        <v>60</v>
      </c>
      <c r="K680" s="13" t="n">
        <v>45293</v>
      </c>
      <c r="L680" s="2" t="s">
        <v>8821</v>
      </c>
      <c r="M680" s="2" t="s">
        <v>36</v>
      </c>
    </row>
    <row r="681" customFormat="false" ht="15" hidden="false" customHeight="false" outlineLevel="0" collapsed="false">
      <c r="A681" s="2" t="s">
        <v>8563</v>
      </c>
      <c r="B681" s="2" t="s">
        <v>8856</v>
      </c>
      <c r="C681" s="2" t="s">
        <v>8833</v>
      </c>
      <c r="D681" s="2" t="s">
        <v>8819</v>
      </c>
      <c r="E681" s="13" t="n">
        <v>25830</v>
      </c>
      <c r="F681" s="2" t="n">
        <v>254741861591</v>
      </c>
      <c r="G681" s="2" t="n">
        <v>9</v>
      </c>
      <c r="H681" s="2" t="s">
        <v>95</v>
      </c>
      <c r="I681" s="2" t="s">
        <v>8842</v>
      </c>
      <c r="J681" s="2" t="s">
        <v>60</v>
      </c>
      <c r="K681" s="13" t="n">
        <v>45600</v>
      </c>
      <c r="L681" s="2" t="s">
        <v>8821</v>
      </c>
      <c r="M681" s="2" t="s">
        <v>36</v>
      </c>
    </row>
    <row r="682" customFormat="false" ht="15" hidden="false" customHeight="false" outlineLevel="0" collapsed="false">
      <c r="A682" s="2" t="s">
        <v>4099</v>
      </c>
      <c r="B682" s="2" t="s">
        <v>8856</v>
      </c>
      <c r="C682" s="2" t="s">
        <v>8859</v>
      </c>
      <c r="D682" s="2" t="s">
        <v>8824</v>
      </c>
      <c r="E682" s="13" t="n">
        <v>29993</v>
      </c>
      <c r="F682" s="2" t="n">
        <v>254790498733</v>
      </c>
      <c r="G682" s="2" t="n">
        <v>12</v>
      </c>
      <c r="H682" s="2" t="s">
        <v>8850</v>
      </c>
      <c r="I682" s="2" t="s">
        <v>8848</v>
      </c>
      <c r="J682" s="2" t="s">
        <v>62</v>
      </c>
      <c r="K682" s="13" t="n">
        <v>45120</v>
      </c>
      <c r="L682" s="2" t="s">
        <v>8821</v>
      </c>
      <c r="M682" s="2" t="s">
        <v>36</v>
      </c>
    </row>
    <row r="683" customFormat="false" ht="15" hidden="false" customHeight="false" outlineLevel="0" collapsed="false">
      <c r="A683" s="2" t="s">
        <v>4419</v>
      </c>
      <c r="B683" s="2" t="s">
        <v>8860</v>
      </c>
      <c r="C683" s="2" t="s">
        <v>8823</v>
      </c>
      <c r="D683" s="2" t="s">
        <v>8824</v>
      </c>
      <c r="E683" s="13" t="n">
        <v>35222</v>
      </c>
      <c r="F683" s="2" t="n">
        <v>254739448158</v>
      </c>
      <c r="G683" s="2" t="n">
        <v>15</v>
      </c>
      <c r="H683" s="2" t="s">
        <v>95</v>
      </c>
      <c r="I683" s="2" t="s">
        <v>8852</v>
      </c>
      <c r="J683" s="2" t="s">
        <v>59</v>
      </c>
      <c r="K683" s="13" t="n">
        <v>45034</v>
      </c>
      <c r="L683" s="2" t="s">
        <v>8821</v>
      </c>
      <c r="M683" s="2" t="s">
        <v>8858</v>
      </c>
    </row>
    <row r="684" customFormat="false" ht="15" hidden="false" customHeight="false" outlineLevel="0" collapsed="false">
      <c r="A684" s="2" t="s">
        <v>1604</v>
      </c>
      <c r="B684" s="2" t="s">
        <v>8874</v>
      </c>
      <c r="C684" s="2" t="s">
        <v>8876</v>
      </c>
      <c r="D684" s="2" t="s">
        <v>8819</v>
      </c>
      <c r="E684" s="13" t="n">
        <v>30422</v>
      </c>
      <c r="F684" s="2" t="n">
        <v>254763729043</v>
      </c>
      <c r="G684" s="2" t="n">
        <v>3</v>
      </c>
      <c r="H684" s="2" t="s">
        <v>95</v>
      </c>
      <c r="I684" s="2" t="s">
        <v>8844</v>
      </c>
      <c r="J684" s="2" t="s">
        <v>58</v>
      </c>
      <c r="K684" s="13" t="n">
        <v>45266</v>
      </c>
      <c r="L684" s="2" t="s">
        <v>8821</v>
      </c>
      <c r="M684" s="2" t="s">
        <v>36</v>
      </c>
    </row>
    <row r="685" customFormat="false" ht="15" hidden="false" customHeight="false" outlineLevel="0" collapsed="false">
      <c r="A685" s="2" t="s">
        <v>5861</v>
      </c>
      <c r="B685" s="2" t="s">
        <v>8883</v>
      </c>
      <c r="C685" s="2" t="s">
        <v>8870</v>
      </c>
      <c r="D685" s="2" t="s">
        <v>8819</v>
      </c>
      <c r="E685" s="13" t="n">
        <v>26180</v>
      </c>
      <c r="F685" s="2" t="n">
        <v>254794736292</v>
      </c>
      <c r="G685" s="2" t="n">
        <v>10</v>
      </c>
      <c r="H685" s="2" t="s">
        <v>8850</v>
      </c>
      <c r="I685" s="2" t="s">
        <v>8820</v>
      </c>
      <c r="J685" s="2" t="s">
        <v>58</v>
      </c>
      <c r="K685" s="13" t="n">
        <v>45072</v>
      </c>
      <c r="L685" s="2" t="s">
        <v>8821</v>
      </c>
      <c r="M685" s="2" t="s">
        <v>36</v>
      </c>
    </row>
    <row r="686" customFormat="false" ht="15" hidden="false" customHeight="false" outlineLevel="0" collapsed="false">
      <c r="A686" s="2" t="s">
        <v>6259</v>
      </c>
      <c r="B686" s="2" t="s">
        <v>8871</v>
      </c>
      <c r="C686" s="2" t="s">
        <v>8873</v>
      </c>
      <c r="D686" s="2" t="s">
        <v>8824</v>
      </c>
      <c r="E686" s="13" t="n">
        <v>32210</v>
      </c>
      <c r="F686" s="2" t="n">
        <v>254784424395</v>
      </c>
      <c r="G686" s="2" t="n">
        <v>4</v>
      </c>
      <c r="H686" s="2" t="s">
        <v>95</v>
      </c>
      <c r="I686" s="2" t="s">
        <v>8831</v>
      </c>
      <c r="J686" s="2" t="s">
        <v>58</v>
      </c>
      <c r="K686" s="13" t="n">
        <v>45195</v>
      </c>
      <c r="L686" s="2" t="s">
        <v>8821</v>
      </c>
      <c r="M686" s="2" t="s">
        <v>36</v>
      </c>
    </row>
    <row r="687" customFormat="false" ht="15" hidden="false" customHeight="false" outlineLevel="0" collapsed="false">
      <c r="A687" s="2" t="s">
        <v>381</v>
      </c>
      <c r="B687" s="2" t="s">
        <v>8832</v>
      </c>
      <c r="C687" s="2" t="s">
        <v>8876</v>
      </c>
      <c r="D687" s="2" t="s">
        <v>8819</v>
      </c>
      <c r="E687" s="13" t="n">
        <v>27786</v>
      </c>
      <c r="F687" s="2" t="n">
        <v>254755417034</v>
      </c>
      <c r="G687" s="2" t="n">
        <v>15</v>
      </c>
      <c r="H687" s="2" t="s">
        <v>95</v>
      </c>
      <c r="I687" s="2" t="s">
        <v>8834</v>
      </c>
      <c r="J687" s="2" t="s">
        <v>61</v>
      </c>
      <c r="K687" s="13" t="n">
        <v>45620</v>
      </c>
      <c r="L687" s="2" t="s">
        <v>8821</v>
      </c>
      <c r="M687" s="2" t="s">
        <v>36</v>
      </c>
    </row>
    <row r="688" customFormat="false" ht="15" hidden="false" customHeight="false" outlineLevel="0" collapsed="false">
      <c r="A688" s="2" t="s">
        <v>8731</v>
      </c>
      <c r="B688" s="2" t="s">
        <v>8874</v>
      </c>
      <c r="C688" s="2" t="s">
        <v>8867</v>
      </c>
      <c r="D688" s="2" t="s">
        <v>8824</v>
      </c>
      <c r="E688" s="13" t="n">
        <v>34279</v>
      </c>
      <c r="F688" s="2" t="n">
        <v>254718774822</v>
      </c>
      <c r="G688" s="2" t="n">
        <v>2</v>
      </c>
      <c r="H688" s="2" t="s">
        <v>95</v>
      </c>
      <c r="I688" s="2" t="s">
        <v>8828</v>
      </c>
      <c r="J688" s="2" t="s">
        <v>59</v>
      </c>
      <c r="K688" s="13" t="n">
        <v>45466</v>
      </c>
      <c r="L688" s="2" t="s">
        <v>8821</v>
      </c>
      <c r="M688" s="2" t="s">
        <v>8858</v>
      </c>
    </row>
    <row r="689" customFormat="false" ht="15" hidden="false" customHeight="false" outlineLevel="0" collapsed="false">
      <c r="A689" s="2" t="s">
        <v>4287</v>
      </c>
      <c r="B689" s="2" t="s">
        <v>8886</v>
      </c>
      <c r="C689" s="2" t="s">
        <v>8839</v>
      </c>
      <c r="D689" s="2" t="s">
        <v>8819</v>
      </c>
      <c r="E689" s="13" t="n">
        <v>34140</v>
      </c>
      <c r="F689" s="2" t="n">
        <v>254792681879</v>
      </c>
      <c r="G689" s="2" t="n">
        <v>10</v>
      </c>
      <c r="H689" s="2" t="s">
        <v>95</v>
      </c>
      <c r="I689" s="2" t="s">
        <v>8857</v>
      </c>
      <c r="J689" s="2" t="s">
        <v>60</v>
      </c>
      <c r="K689" s="13" t="n">
        <v>45366</v>
      </c>
      <c r="L689" s="2" t="s">
        <v>8821</v>
      </c>
      <c r="M689" s="2" t="s">
        <v>36</v>
      </c>
    </row>
    <row r="690" customFormat="false" ht="15" hidden="false" customHeight="false" outlineLevel="0" collapsed="false">
      <c r="A690" s="2" t="s">
        <v>1091</v>
      </c>
      <c r="B690" s="2" t="s">
        <v>8885</v>
      </c>
      <c r="C690" s="2" t="s">
        <v>8833</v>
      </c>
      <c r="D690" s="2" t="s">
        <v>8824</v>
      </c>
      <c r="E690" s="13" t="n">
        <v>31068</v>
      </c>
      <c r="F690" s="2" t="n">
        <v>254738083391</v>
      </c>
      <c r="G690" s="2" t="n">
        <v>12</v>
      </c>
      <c r="H690" s="2" t="s">
        <v>95</v>
      </c>
      <c r="I690" s="2" t="s">
        <v>8847</v>
      </c>
      <c r="J690" s="2" t="s">
        <v>62</v>
      </c>
      <c r="K690" s="13" t="n">
        <v>45213</v>
      </c>
      <c r="L690" s="2" t="s">
        <v>8821</v>
      </c>
      <c r="M690" s="2" t="s">
        <v>36</v>
      </c>
    </row>
    <row r="691" customFormat="false" ht="15" hidden="false" customHeight="false" outlineLevel="0" collapsed="false">
      <c r="A691" s="2" t="s">
        <v>3379</v>
      </c>
      <c r="B691" s="2" t="s">
        <v>8853</v>
      </c>
      <c r="C691" s="2" t="s">
        <v>8861</v>
      </c>
      <c r="D691" s="2" t="s">
        <v>8824</v>
      </c>
      <c r="E691" s="13" t="n">
        <v>37462</v>
      </c>
      <c r="F691" s="2" t="n">
        <v>254776919318</v>
      </c>
      <c r="G691" s="2" t="n">
        <v>9</v>
      </c>
      <c r="H691" s="2" t="s">
        <v>8850</v>
      </c>
      <c r="I691" s="2" t="s">
        <v>8828</v>
      </c>
      <c r="J691" s="2" t="s">
        <v>60</v>
      </c>
      <c r="K691" s="13" t="n">
        <v>45587</v>
      </c>
      <c r="L691" s="2" t="s">
        <v>8821</v>
      </c>
      <c r="M691" s="2" t="s">
        <v>8858</v>
      </c>
    </row>
    <row r="692" customFormat="false" ht="15" hidden="false" customHeight="false" outlineLevel="0" collapsed="false">
      <c r="A692" s="2" t="s">
        <v>3975</v>
      </c>
      <c r="B692" s="2" t="s">
        <v>8866</v>
      </c>
      <c r="C692" s="2" t="s">
        <v>8881</v>
      </c>
      <c r="D692" s="2" t="s">
        <v>8819</v>
      </c>
      <c r="E692" s="13" t="n">
        <v>37112</v>
      </c>
      <c r="F692" s="2" t="n">
        <v>254737809859</v>
      </c>
      <c r="G692" s="2" t="n">
        <v>4</v>
      </c>
      <c r="H692" s="2" t="s">
        <v>95</v>
      </c>
      <c r="I692" s="2" t="s">
        <v>8847</v>
      </c>
      <c r="J692" s="2" t="s">
        <v>59</v>
      </c>
      <c r="K692" s="13" t="n">
        <v>45522</v>
      </c>
      <c r="L692" s="2" t="s">
        <v>8855</v>
      </c>
      <c r="M692" s="2" t="s">
        <v>36</v>
      </c>
    </row>
    <row r="693" customFormat="false" ht="15" hidden="false" customHeight="false" outlineLevel="0" collapsed="false">
      <c r="A693" s="2" t="s">
        <v>461</v>
      </c>
      <c r="B693" s="2" t="s">
        <v>8835</v>
      </c>
      <c r="C693" s="2" t="s">
        <v>8888</v>
      </c>
      <c r="D693" s="2" t="s">
        <v>8824</v>
      </c>
      <c r="E693" s="13" t="n">
        <v>32702</v>
      </c>
      <c r="F693" s="2" t="n">
        <v>254783893835</v>
      </c>
      <c r="G693" s="2" t="n">
        <v>2</v>
      </c>
      <c r="H693" s="2" t="s">
        <v>95</v>
      </c>
      <c r="I693" s="2" t="s">
        <v>8825</v>
      </c>
      <c r="J693" s="2" t="s">
        <v>60</v>
      </c>
      <c r="K693" s="13" t="n">
        <v>45512</v>
      </c>
      <c r="L693" s="2" t="s">
        <v>8855</v>
      </c>
      <c r="M693" s="2" t="s">
        <v>36</v>
      </c>
    </row>
    <row r="694" customFormat="false" ht="15" hidden="false" customHeight="false" outlineLevel="0" collapsed="false">
      <c r="A694" s="2" t="s">
        <v>2634</v>
      </c>
      <c r="B694" s="2" t="s">
        <v>8868</v>
      </c>
      <c r="C694" s="2" t="s">
        <v>8867</v>
      </c>
      <c r="D694" s="2" t="s">
        <v>8824</v>
      </c>
      <c r="E694" s="13" t="n">
        <v>30957</v>
      </c>
      <c r="F694" s="2" t="n">
        <v>254767190488</v>
      </c>
      <c r="G694" s="2" t="n">
        <v>8</v>
      </c>
      <c r="H694" s="2" t="s">
        <v>8850</v>
      </c>
      <c r="I694" s="2" t="s">
        <v>8842</v>
      </c>
      <c r="J694" s="2" t="s">
        <v>61</v>
      </c>
      <c r="K694" s="13" t="n">
        <v>45403</v>
      </c>
      <c r="L694" s="2" t="s">
        <v>8821</v>
      </c>
      <c r="M694" s="2" t="s">
        <v>8858</v>
      </c>
    </row>
    <row r="695" customFormat="false" ht="15" hidden="false" customHeight="false" outlineLevel="0" collapsed="false">
      <c r="A695" s="2" t="s">
        <v>8906</v>
      </c>
      <c r="B695" s="2" t="s">
        <v>8835</v>
      </c>
      <c r="C695" s="2" t="s">
        <v>8870</v>
      </c>
      <c r="D695" s="2" t="s">
        <v>8819</v>
      </c>
      <c r="E695" s="13" t="n">
        <v>33006</v>
      </c>
      <c r="F695" s="2" t="n">
        <v>254745651567</v>
      </c>
      <c r="G695" s="2" t="n">
        <v>11</v>
      </c>
      <c r="H695" s="2" t="s">
        <v>95</v>
      </c>
      <c r="I695" s="2" t="s">
        <v>8844</v>
      </c>
      <c r="J695" s="2" t="s">
        <v>58</v>
      </c>
      <c r="K695" s="13" t="n">
        <v>44952</v>
      </c>
      <c r="L695" s="2" t="s">
        <v>8821</v>
      </c>
      <c r="M695" s="2" t="s">
        <v>36</v>
      </c>
    </row>
    <row r="696" customFormat="false" ht="15" hidden="false" customHeight="false" outlineLevel="0" collapsed="false">
      <c r="A696" s="2" t="s">
        <v>8907</v>
      </c>
      <c r="B696" s="2" t="s">
        <v>8826</v>
      </c>
      <c r="C696" s="2" t="s">
        <v>8888</v>
      </c>
      <c r="D696" s="2" t="s">
        <v>8819</v>
      </c>
      <c r="E696" s="13" t="n">
        <v>31871</v>
      </c>
      <c r="F696" s="2" t="n">
        <v>254783286377</v>
      </c>
      <c r="G696" s="2" t="n">
        <v>4</v>
      </c>
      <c r="H696" s="2" t="s">
        <v>8850</v>
      </c>
      <c r="I696" s="2" t="s">
        <v>8831</v>
      </c>
      <c r="J696" s="2" t="s">
        <v>60</v>
      </c>
      <c r="K696" s="13" t="n">
        <v>45048</v>
      </c>
      <c r="L696" s="2" t="s">
        <v>8821</v>
      </c>
      <c r="M696" s="2" t="s">
        <v>36</v>
      </c>
    </row>
    <row r="697" customFormat="false" ht="15" hidden="false" customHeight="false" outlineLevel="0" collapsed="false">
      <c r="A697" s="2" t="s">
        <v>501</v>
      </c>
      <c r="B697" s="2" t="s">
        <v>8832</v>
      </c>
      <c r="C697" s="2" t="s">
        <v>8863</v>
      </c>
      <c r="D697" s="2" t="s">
        <v>8824</v>
      </c>
      <c r="E697" s="13" t="n">
        <v>31890</v>
      </c>
      <c r="F697" s="2" t="n">
        <v>254711145397</v>
      </c>
      <c r="G697" s="2" t="n">
        <v>13</v>
      </c>
      <c r="H697" s="2" t="s">
        <v>8850</v>
      </c>
      <c r="I697" s="2" t="s">
        <v>8834</v>
      </c>
      <c r="J697" s="2" t="s">
        <v>60</v>
      </c>
      <c r="K697" s="13" t="n">
        <v>45545</v>
      </c>
      <c r="L697" s="2" t="s">
        <v>8855</v>
      </c>
      <c r="M697" s="2" t="s">
        <v>8858</v>
      </c>
    </row>
    <row r="698" customFormat="false" ht="15" hidden="false" customHeight="false" outlineLevel="0" collapsed="false">
      <c r="A698" s="2" t="s">
        <v>4651</v>
      </c>
      <c r="B698" s="2" t="s">
        <v>8853</v>
      </c>
      <c r="C698" s="2" t="s">
        <v>8833</v>
      </c>
      <c r="D698" s="2" t="s">
        <v>8824</v>
      </c>
      <c r="E698" s="13" t="n">
        <v>25801</v>
      </c>
      <c r="F698" s="2" t="n">
        <v>254740545068</v>
      </c>
      <c r="G698" s="2" t="n">
        <v>4</v>
      </c>
      <c r="H698" s="2" t="s">
        <v>95</v>
      </c>
      <c r="I698" s="2" t="s">
        <v>8847</v>
      </c>
      <c r="J698" s="2" t="s">
        <v>59</v>
      </c>
      <c r="K698" s="13" t="n">
        <v>45451</v>
      </c>
      <c r="L698" s="2" t="s">
        <v>8855</v>
      </c>
      <c r="M698" s="2" t="s">
        <v>8858</v>
      </c>
    </row>
    <row r="699" customFormat="false" ht="15" hidden="false" customHeight="false" outlineLevel="0" collapsed="false">
      <c r="A699" s="2" t="s">
        <v>4437</v>
      </c>
      <c r="B699" s="2" t="s">
        <v>8838</v>
      </c>
      <c r="C699" s="2" t="s">
        <v>8865</v>
      </c>
      <c r="D699" s="2" t="s">
        <v>8819</v>
      </c>
      <c r="E699" s="13" t="n">
        <v>33280</v>
      </c>
      <c r="F699" s="2" t="n">
        <v>254768878740</v>
      </c>
      <c r="G699" s="2" t="n">
        <v>8</v>
      </c>
      <c r="H699" s="2" t="s">
        <v>95</v>
      </c>
      <c r="I699" s="2" t="s">
        <v>8844</v>
      </c>
      <c r="J699" s="2" t="s">
        <v>59</v>
      </c>
      <c r="K699" s="13" t="n">
        <v>45119</v>
      </c>
      <c r="L699" s="2" t="s">
        <v>8821</v>
      </c>
      <c r="M699" s="2" t="s">
        <v>36</v>
      </c>
    </row>
    <row r="700" customFormat="false" ht="15" hidden="false" customHeight="false" outlineLevel="0" collapsed="false">
      <c r="A700" s="2" t="s">
        <v>5733</v>
      </c>
      <c r="B700" s="2" t="s">
        <v>8872</v>
      </c>
      <c r="C700" s="2" t="s">
        <v>8888</v>
      </c>
      <c r="D700" s="2" t="s">
        <v>8824</v>
      </c>
      <c r="E700" s="13" t="n">
        <v>25806</v>
      </c>
      <c r="F700" s="2" t="n">
        <v>254740264841</v>
      </c>
      <c r="G700" s="2" t="n">
        <v>7</v>
      </c>
      <c r="H700" s="2" t="s">
        <v>8850</v>
      </c>
      <c r="I700" s="2" t="s">
        <v>8852</v>
      </c>
      <c r="J700" s="2" t="s">
        <v>61</v>
      </c>
      <c r="K700" s="13" t="n">
        <v>45601</v>
      </c>
      <c r="L700" s="2" t="s">
        <v>8821</v>
      </c>
      <c r="M700" s="2" t="s">
        <v>36</v>
      </c>
    </row>
    <row r="701" customFormat="false" ht="15" hidden="false" customHeight="false" outlineLevel="0" collapsed="false">
      <c r="A701" s="2" t="s">
        <v>5629</v>
      </c>
      <c r="B701" s="2" t="s">
        <v>8882</v>
      </c>
      <c r="C701" s="2" t="s">
        <v>8833</v>
      </c>
      <c r="D701" s="2" t="s">
        <v>8819</v>
      </c>
      <c r="E701" s="13" t="n">
        <v>26232</v>
      </c>
      <c r="F701" s="2" t="n">
        <v>254754325475</v>
      </c>
      <c r="G701" s="2" t="n">
        <v>10</v>
      </c>
      <c r="H701" s="2" t="s">
        <v>8850</v>
      </c>
      <c r="I701" s="2" t="s">
        <v>8842</v>
      </c>
      <c r="J701" s="2" t="s">
        <v>59</v>
      </c>
      <c r="K701" s="13" t="n">
        <v>44959</v>
      </c>
      <c r="L701" s="2" t="s">
        <v>8855</v>
      </c>
      <c r="M701" s="2" t="s">
        <v>36</v>
      </c>
    </row>
    <row r="702" customFormat="false" ht="15" hidden="false" customHeight="false" outlineLevel="0" collapsed="false">
      <c r="A702" s="2" t="s">
        <v>476</v>
      </c>
      <c r="B702" s="2" t="s">
        <v>8878</v>
      </c>
      <c r="C702" s="2" t="s">
        <v>8881</v>
      </c>
      <c r="D702" s="2" t="s">
        <v>8824</v>
      </c>
      <c r="E702" s="13" t="n">
        <v>34440</v>
      </c>
      <c r="F702" s="2" t="n">
        <v>254795765571</v>
      </c>
      <c r="G702" s="2" t="n">
        <v>15</v>
      </c>
      <c r="H702" s="2" t="s">
        <v>8850</v>
      </c>
      <c r="I702" s="2" t="s">
        <v>8825</v>
      </c>
      <c r="J702" s="2" t="s">
        <v>59</v>
      </c>
      <c r="K702" s="13" t="n">
        <v>45038</v>
      </c>
      <c r="L702" s="2" t="s">
        <v>8821</v>
      </c>
      <c r="M702" s="2" t="s">
        <v>36</v>
      </c>
    </row>
    <row r="703" customFormat="false" ht="15" hidden="false" customHeight="false" outlineLevel="0" collapsed="false">
      <c r="A703" s="2" t="s">
        <v>3497</v>
      </c>
      <c r="B703" s="2" t="s">
        <v>8817</v>
      </c>
      <c r="C703" s="2" t="s">
        <v>8873</v>
      </c>
      <c r="D703" s="2" t="s">
        <v>8819</v>
      </c>
      <c r="E703" s="13" t="n">
        <v>26653</v>
      </c>
      <c r="F703" s="2" t="n">
        <v>254719326928</v>
      </c>
      <c r="G703" s="2" t="n">
        <v>15</v>
      </c>
      <c r="H703" s="2" t="s">
        <v>8850</v>
      </c>
      <c r="I703" s="2" t="s">
        <v>8834</v>
      </c>
      <c r="J703" s="2" t="s">
        <v>59</v>
      </c>
      <c r="K703" s="13" t="n">
        <v>45427</v>
      </c>
      <c r="L703" s="2" t="s">
        <v>8821</v>
      </c>
      <c r="M703" s="2" t="s">
        <v>36</v>
      </c>
    </row>
    <row r="704" customFormat="false" ht="15" hidden="false" customHeight="false" outlineLevel="0" collapsed="false">
      <c r="A704" s="2" t="s">
        <v>2008</v>
      </c>
      <c r="B704" s="2" t="s">
        <v>8868</v>
      </c>
      <c r="C704" s="2" t="s">
        <v>8818</v>
      </c>
      <c r="D704" s="2" t="s">
        <v>8819</v>
      </c>
      <c r="E704" s="13" t="n">
        <v>27243</v>
      </c>
      <c r="F704" s="2" t="n">
        <v>254753858604</v>
      </c>
      <c r="G704" s="2" t="n">
        <v>14</v>
      </c>
      <c r="H704" s="2" t="s">
        <v>8850</v>
      </c>
      <c r="I704" s="2" t="s">
        <v>8842</v>
      </c>
      <c r="J704" s="2" t="s">
        <v>59</v>
      </c>
      <c r="K704" s="13" t="n">
        <v>45304</v>
      </c>
      <c r="L704" s="2" t="s">
        <v>8821</v>
      </c>
      <c r="M704" s="2" t="s">
        <v>36</v>
      </c>
    </row>
    <row r="705" customFormat="false" ht="15" hidden="false" customHeight="false" outlineLevel="0" collapsed="false">
      <c r="A705" s="2" t="s">
        <v>7861</v>
      </c>
      <c r="B705" s="2" t="s">
        <v>8866</v>
      </c>
      <c r="C705" s="2" t="s">
        <v>8841</v>
      </c>
      <c r="D705" s="2" t="s">
        <v>8819</v>
      </c>
      <c r="E705" s="13" t="n">
        <v>35301</v>
      </c>
      <c r="F705" s="2" t="n">
        <v>254737605500</v>
      </c>
      <c r="G705" s="2" t="n">
        <v>5</v>
      </c>
      <c r="H705" s="2" t="s">
        <v>8850</v>
      </c>
      <c r="I705" s="2" t="s">
        <v>8864</v>
      </c>
      <c r="J705" s="2" t="s">
        <v>61</v>
      </c>
      <c r="K705" s="13" t="n">
        <v>44997</v>
      </c>
      <c r="L705" s="2" t="s">
        <v>8821</v>
      </c>
      <c r="M705" s="2" t="s">
        <v>36</v>
      </c>
    </row>
    <row r="706" customFormat="false" ht="15" hidden="false" customHeight="false" outlineLevel="0" collapsed="false">
      <c r="A706" s="2" t="s">
        <v>993</v>
      </c>
      <c r="B706" s="2" t="s">
        <v>8860</v>
      </c>
      <c r="C706" s="2" t="s">
        <v>8846</v>
      </c>
      <c r="D706" s="2" t="s">
        <v>8819</v>
      </c>
      <c r="E706" s="13" t="n">
        <v>30217</v>
      </c>
      <c r="F706" s="2" t="n">
        <v>254710999023</v>
      </c>
      <c r="G706" s="2" t="n">
        <v>3</v>
      </c>
      <c r="H706" s="2" t="s">
        <v>8850</v>
      </c>
      <c r="I706" s="2" t="s">
        <v>8825</v>
      </c>
      <c r="J706" s="2" t="s">
        <v>61</v>
      </c>
      <c r="K706" s="13" t="n">
        <v>45628</v>
      </c>
      <c r="L706" s="2" t="s">
        <v>8821</v>
      </c>
      <c r="M706" s="2" t="s">
        <v>36</v>
      </c>
    </row>
    <row r="707" customFormat="false" ht="15" hidden="false" customHeight="false" outlineLevel="0" collapsed="false">
      <c r="A707" s="2" t="s">
        <v>1026</v>
      </c>
      <c r="B707" s="2" t="s">
        <v>8822</v>
      </c>
      <c r="C707" s="2" t="s">
        <v>8827</v>
      </c>
      <c r="D707" s="2" t="s">
        <v>8824</v>
      </c>
      <c r="E707" s="13" t="n">
        <v>37118</v>
      </c>
      <c r="F707" s="2" t="n">
        <v>254796744801</v>
      </c>
      <c r="G707" s="2" t="n">
        <v>15</v>
      </c>
      <c r="H707" s="2" t="s">
        <v>8850</v>
      </c>
      <c r="I707" s="2" t="s">
        <v>8844</v>
      </c>
      <c r="J707" s="2" t="s">
        <v>60</v>
      </c>
      <c r="K707" s="13" t="n">
        <v>45516</v>
      </c>
      <c r="L707" s="2" t="s">
        <v>8855</v>
      </c>
      <c r="M707" s="2" t="s">
        <v>36</v>
      </c>
    </row>
    <row r="708" customFormat="false" ht="15" hidden="false" customHeight="false" outlineLevel="0" collapsed="false">
      <c r="A708" s="2" t="s">
        <v>446</v>
      </c>
      <c r="B708" s="2" t="s">
        <v>8871</v>
      </c>
      <c r="C708" s="2" t="s">
        <v>8865</v>
      </c>
      <c r="D708" s="2" t="s">
        <v>8824</v>
      </c>
      <c r="E708" s="13" t="n">
        <v>35161</v>
      </c>
      <c r="F708" s="2" t="n">
        <v>254761628861</v>
      </c>
      <c r="G708" s="2" t="n">
        <v>15</v>
      </c>
      <c r="H708" s="2" t="s">
        <v>95</v>
      </c>
      <c r="I708" s="2" t="s">
        <v>8864</v>
      </c>
      <c r="J708" s="2" t="s">
        <v>62</v>
      </c>
      <c r="K708" s="13" t="n">
        <v>45559</v>
      </c>
      <c r="L708" s="2" t="s">
        <v>8821</v>
      </c>
      <c r="M708" s="2" t="s">
        <v>8858</v>
      </c>
    </row>
    <row r="709" customFormat="false" ht="15" hidden="false" customHeight="false" outlineLevel="0" collapsed="false">
      <c r="A709" s="2" t="s">
        <v>2251</v>
      </c>
      <c r="B709" s="2" t="s">
        <v>8845</v>
      </c>
      <c r="C709" s="2" t="s">
        <v>8863</v>
      </c>
      <c r="D709" s="2" t="s">
        <v>8824</v>
      </c>
      <c r="E709" s="13" t="n">
        <v>26417</v>
      </c>
      <c r="F709" s="2" t="n">
        <v>254799477179</v>
      </c>
      <c r="G709" s="2" t="n">
        <v>15</v>
      </c>
      <c r="H709" s="2" t="s">
        <v>95</v>
      </c>
      <c r="I709" s="2" t="s">
        <v>8864</v>
      </c>
      <c r="J709" s="2" t="s">
        <v>59</v>
      </c>
      <c r="K709" s="13" t="n">
        <v>45088</v>
      </c>
      <c r="L709" s="2" t="s">
        <v>8855</v>
      </c>
      <c r="M709" s="2" t="s">
        <v>8858</v>
      </c>
    </row>
    <row r="710" customFormat="false" ht="15" hidden="false" customHeight="false" outlineLevel="0" collapsed="false">
      <c r="A710" s="2" t="s">
        <v>2346</v>
      </c>
      <c r="B710" s="2" t="s">
        <v>8868</v>
      </c>
      <c r="C710" s="2" t="s">
        <v>8869</v>
      </c>
      <c r="D710" s="2" t="s">
        <v>8824</v>
      </c>
      <c r="E710" s="13" t="n">
        <v>28279</v>
      </c>
      <c r="F710" s="2" t="n">
        <v>254770523603</v>
      </c>
      <c r="G710" s="2" t="n">
        <v>3</v>
      </c>
      <c r="H710" s="2" t="s">
        <v>8850</v>
      </c>
      <c r="I710" s="2" t="s">
        <v>8831</v>
      </c>
      <c r="J710" s="2" t="s">
        <v>62</v>
      </c>
      <c r="K710" s="13" t="n">
        <v>45034</v>
      </c>
      <c r="L710" s="2" t="s">
        <v>8821</v>
      </c>
      <c r="M710" s="2" t="s">
        <v>8858</v>
      </c>
    </row>
    <row r="711" customFormat="false" ht="15" hidden="false" customHeight="false" outlineLevel="0" collapsed="false">
      <c r="A711" s="2" t="s">
        <v>1511</v>
      </c>
      <c r="B711" s="2" t="s">
        <v>8856</v>
      </c>
      <c r="C711" s="2" t="s">
        <v>8870</v>
      </c>
      <c r="D711" s="2" t="s">
        <v>8824</v>
      </c>
      <c r="E711" s="13" t="n">
        <v>25985</v>
      </c>
      <c r="F711" s="2" t="n">
        <v>254756124957</v>
      </c>
      <c r="G711" s="2" t="n">
        <v>12</v>
      </c>
      <c r="H711" s="2" t="s">
        <v>8850</v>
      </c>
      <c r="I711" s="2" t="s">
        <v>8831</v>
      </c>
      <c r="J711" s="2" t="s">
        <v>61</v>
      </c>
      <c r="K711" s="13" t="n">
        <v>45638</v>
      </c>
      <c r="L711" s="2" t="s">
        <v>8821</v>
      </c>
      <c r="M711" s="2" t="s">
        <v>36</v>
      </c>
    </row>
    <row r="712" customFormat="false" ht="15" hidden="false" customHeight="false" outlineLevel="0" collapsed="false">
      <c r="A712" s="2" t="s">
        <v>3319</v>
      </c>
      <c r="B712" s="2" t="s">
        <v>8878</v>
      </c>
      <c r="C712" s="2" t="s">
        <v>8870</v>
      </c>
      <c r="D712" s="2" t="s">
        <v>8824</v>
      </c>
      <c r="E712" s="13" t="n">
        <v>31466</v>
      </c>
      <c r="F712" s="2" t="n">
        <v>254771922288</v>
      </c>
      <c r="G712" s="2" t="n">
        <v>2</v>
      </c>
      <c r="H712" s="2" t="s">
        <v>95</v>
      </c>
      <c r="I712" s="2" t="s">
        <v>8857</v>
      </c>
      <c r="J712" s="2" t="s">
        <v>59</v>
      </c>
      <c r="K712" s="13" t="n">
        <v>45066</v>
      </c>
      <c r="L712" s="2" t="s">
        <v>8855</v>
      </c>
      <c r="M712" s="2" t="s">
        <v>36</v>
      </c>
    </row>
    <row r="713" customFormat="false" ht="15" hidden="false" customHeight="false" outlineLevel="0" collapsed="false">
      <c r="A713" s="2" t="s">
        <v>201</v>
      </c>
      <c r="B713" s="2" t="s">
        <v>8835</v>
      </c>
      <c r="C713" s="2" t="s">
        <v>8818</v>
      </c>
      <c r="D713" s="2" t="s">
        <v>8819</v>
      </c>
      <c r="E713" s="13" t="n">
        <v>36673</v>
      </c>
      <c r="F713" s="2" t="n">
        <v>254733788294</v>
      </c>
      <c r="G713" s="2" t="n">
        <v>5</v>
      </c>
      <c r="H713" s="2" t="s">
        <v>95</v>
      </c>
      <c r="I713" s="2" t="s">
        <v>8857</v>
      </c>
      <c r="J713" s="2" t="s">
        <v>61</v>
      </c>
      <c r="K713" s="13" t="n">
        <v>45092</v>
      </c>
      <c r="L713" s="2" t="s">
        <v>8821</v>
      </c>
      <c r="M713" s="2" t="s">
        <v>36</v>
      </c>
    </row>
    <row r="714" customFormat="false" ht="15" hidden="false" customHeight="false" outlineLevel="0" collapsed="false">
      <c r="A714" s="2" t="s">
        <v>919</v>
      </c>
      <c r="B714" s="2" t="s">
        <v>8860</v>
      </c>
      <c r="C714" s="2" t="s">
        <v>8888</v>
      </c>
      <c r="D714" s="2" t="s">
        <v>8819</v>
      </c>
      <c r="E714" s="13" t="n">
        <v>25881</v>
      </c>
      <c r="F714" s="2" t="n">
        <v>254739081281</v>
      </c>
      <c r="G714" s="2" t="n">
        <v>12</v>
      </c>
      <c r="H714" s="2" t="s">
        <v>95</v>
      </c>
      <c r="I714" s="2" t="s">
        <v>8852</v>
      </c>
      <c r="J714" s="2" t="s">
        <v>62</v>
      </c>
      <c r="K714" s="13" t="n">
        <v>45084</v>
      </c>
      <c r="L714" s="2" t="s">
        <v>8821</v>
      </c>
      <c r="M714" s="2" t="s">
        <v>8858</v>
      </c>
    </row>
    <row r="715" customFormat="false" ht="15" hidden="false" customHeight="false" outlineLevel="0" collapsed="false">
      <c r="A715" s="2" t="s">
        <v>2866</v>
      </c>
      <c r="B715" s="2" t="s">
        <v>8886</v>
      </c>
      <c r="C715" s="2" t="s">
        <v>8830</v>
      </c>
      <c r="D715" s="2" t="s">
        <v>8824</v>
      </c>
      <c r="E715" s="13" t="n">
        <v>26994</v>
      </c>
      <c r="F715" s="2" t="n">
        <v>254751382580</v>
      </c>
      <c r="G715" s="2" t="n">
        <v>8</v>
      </c>
      <c r="H715" s="2" t="s">
        <v>95</v>
      </c>
      <c r="I715" s="2" t="s">
        <v>8848</v>
      </c>
      <c r="J715" s="2" t="s">
        <v>58</v>
      </c>
      <c r="K715" s="13" t="n">
        <v>45462</v>
      </c>
      <c r="L715" s="2" t="s">
        <v>8821</v>
      </c>
      <c r="M715" s="2" t="s">
        <v>8858</v>
      </c>
    </row>
    <row r="716" customFormat="false" ht="15" hidden="false" customHeight="false" outlineLevel="0" collapsed="false">
      <c r="A716" s="2" t="s">
        <v>3749</v>
      </c>
      <c r="B716" s="2" t="s">
        <v>8840</v>
      </c>
      <c r="C716" s="2" t="s">
        <v>8827</v>
      </c>
      <c r="D716" s="2" t="s">
        <v>8819</v>
      </c>
      <c r="E716" s="13" t="n">
        <v>30053</v>
      </c>
      <c r="F716" s="2" t="n">
        <v>254766597298</v>
      </c>
      <c r="G716" s="2" t="n">
        <v>1</v>
      </c>
      <c r="H716" s="2" t="s">
        <v>95</v>
      </c>
      <c r="I716" s="2" t="s">
        <v>8844</v>
      </c>
      <c r="J716" s="2" t="s">
        <v>59</v>
      </c>
      <c r="K716" s="13" t="n">
        <v>45171</v>
      </c>
      <c r="L716" s="2" t="s">
        <v>8821</v>
      </c>
      <c r="M716" s="2" t="s">
        <v>36</v>
      </c>
    </row>
    <row r="717" customFormat="false" ht="15" hidden="false" customHeight="false" outlineLevel="0" collapsed="false">
      <c r="A717" s="2" t="s">
        <v>1899</v>
      </c>
      <c r="B717" s="2" t="s">
        <v>8822</v>
      </c>
      <c r="C717" s="2" t="s">
        <v>8865</v>
      </c>
      <c r="D717" s="2" t="s">
        <v>8819</v>
      </c>
      <c r="E717" s="13" t="n">
        <v>28070</v>
      </c>
      <c r="F717" s="2" t="n">
        <v>254753908184</v>
      </c>
      <c r="G717" s="2" t="n">
        <v>6</v>
      </c>
      <c r="H717" s="2" t="s">
        <v>95</v>
      </c>
      <c r="I717" s="2" t="s">
        <v>8848</v>
      </c>
      <c r="J717" s="2" t="s">
        <v>59</v>
      </c>
      <c r="K717" s="13" t="n">
        <v>45098</v>
      </c>
      <c r="L717" s="2" t="s">
        <v>8855</v>
      </c>
      <c r="M717" s="2" t="s">
        <v>8858</v>
      </c>
    </row>
    <row r="718" customFormat="false" ht="15" hidden="false" customHeight="false" outlineLevel="0" collapsed="false">
      <c r="A718" s="2" t="s">
        <v>166</v>
      </c>
      <c r="B718" s="2" t="s">
        <v>8879</v>
      </c>
      <c r="C718" s="2" t="s">
        <v>8869</v>
      </c>
      <c r="D718" s="2" t="s">
        <v>8819</v>
      </c>
      <c r="E718" s="13" t="n">
        <v>28222</v>
      </c>
      <c r="F718" s="2" t="n">
        <v>254712012537</v>
      </c>
      <c r="G718" s="2" t="n">
        <v>7</v>
      </c>
      <c r="H718" s="2" t="s">
        <v>8850</v>
      </c>
      <c r="I718" s="2" t="s">
        <v>8820</v>
      </c>
      <c r="J718" s="2" t="s">
        <v>61</v>
      </c>
      <c r="K718" s="13" t="n">
        <v>45035</v>
      </c>
      <c r="L718" s="2" t="s">
        <v>8821</v>
      </c>
      <c r="M718" s="2" t="s">
        <v>8858</v>
      </c>
    </row>
    <row r="719" customFormat="false" ht="15" hidden="false" customHeight="false" outlineLevel="0" collapsed="false">
      <c r="A719" s="2" t="s">
        <v>4627</v>
      </c>
      <c r="B719" s="2" t="s">
        <v>8886</v>
      </c>
      <c r="C719" s="2" t="s">
        <v>8867</v>
      </c>
      <c r="D719" s="2" t="s">
        <v>8824</v>
      </c>
      <c r="E719" s="13" t="n">
        <v>30734</v>
      </c>
      <c r="F719" s="2" t="n">
        <v>254715897385</v>
      </c>
      <c r="G719" s="2" t="n">
        <v>2</v>
      </c>
      <c r="H719" s="2" t="s">
        <v>95</v>
      </c>
      <c r="I719" s="2" t="s">
        <v>8842</v>
      </c>
      <c r="J719" s="2" t="s">
        <v>60</v>
      </c>
      <c r="K719" s="13" t="n">
        <v>45212</v>
      </c>
      <c r="L719" s="2" t="s">
        <v>8855</v>
      </c>
      <c r="M719" s="2" t="s">
        <v>36</v>
      </c>
    </row>
    <row r="720" customFormat="false" ht="15" hidden="false" customHeight="false" outlineLevel="0" collapsed="false">
      <c r="A720" s="2" t="s">
        <v>386</v>
      </c>
      <c r="B720" s="2" t="s">
        <v>8878</v>
      </c>
      <c r="C720" s="2" t="s">
        <v>8876</v>
      </c>
      <c r="D720" s="2" t="s">
        <v>8819</v>
      </c>
      <c r="E720" s="13" t="n">
        <v>29345</v>
      </c>
      <c r="F720" s="2" t="n">
        <v>254754566533</v>
      </c>
      <c r="G720" s="2" t="n">
        <v>3</v>
      </c>
      <c r="H720" s="2" t="s">
        <v>8850</v>
      </c>
      <c r="I720" s="2" t="s">
        <v>8852</v>
      </c>
      <c r="J720" s="2" t="s">
        <v>61</v>
      </c>
      <c r="K720" s="13" t="n">
        <v>45541</v>
      </c>
      <c r="L720" s="2" t="s">
        <v>8821</v>
      </c>
      <c r="M720" s="2" t="s">
        <v>36</v>
      </c>
    </row>
    <row r="721" customFormat="false" ht="15" hidden="false" customHeight="false" outlineLevel="0" collapsed="false">
      <c r="A721" s="2" t="s">
        <v>236</v>
      </c>
      <c r="B721" s="2" t="s">
        <v>8866</v>
      </c>
      <c r="C721" s="2" t="s">
        <v>8861</v>
      </c>
      <c r="D721" s="2" t="s">
        <v>8819</v>
      </c>
      <c r="E721" s="13" t="n">
        <v>26225</v>
      </c>
      <c r="F721" s="2" t="n">
        <v>254777567894</v>
      </c>
      <c r="G721" s="2" t="n">
        <v>10</v>
      </c>
      <c r="H721" s="2" t="s">
        <v>95</v>
      </c>
      <c r="I721" s="2" t="s">
        <v>8831</v>
      </c>
      <c r="J721" s="2" t="s">
        <v>58</v>
      </c>
      <c r="K721" s="13" t="n">
        <v>45386</v>
      </c>
      <c r="L721" s="2" t="s">
        <v>8821</v>
      </c>
      <c r="M721" s="2" t="s">
        <v>36</v>
      </c>
    </row>
    <row r="722" customFormat="false" ht="15" hidden="false" customHeight="false" outlineLevel="0" collapsed="false">
      <c r="A722" s="2" t="s">
        <v>1593</v>
      </c>
      <c r="B722" s="2" t="s">
        <v>8849</v>
      </c>
      <c r="C722" s="2" t="s">
        <v>8827</v>
      </c>
      <c r="D722" s="2" t="s">
        <v>8819</v>
      </c>
      <c r="E722" s="13" t="n">
        <v>31395</v>
      </c>
      <c r="F722" s="2" t="n">
        <v>254728462384</v>
      </c>
      <c r="G722" s="2" t="n">
        <v>6</v>
      </c>
      <c r="H722" s="2" t="s">
        <v>8850</v>
      </c>
      <c r="I722" s="2" t="s">
        <v>8834</v>
      </c>
      <c r="J722" s="2" t="s">
        <v>59</v>
      </c>
      <c r="K722" s="13" t="n">
        <v>45176</v>
      </c>
      <c r="L722" s="2" t="s">
        <v>8821</v>
      </c>
      <c r="M722" s="2" t="s">
        <v>8858</v>
      </c>
    </row>
    <row r="723" customFormat="false" ht="15" hidden="false" customHeight="false" outlineLevel="0" collapsed="false">
      <c r="A723" s="2" t="s">
        <v>1927</v>
      </c>
      <c r="B723" s="2" t="s">
        <v>8882</v>
      </c>
      <c r="C723" s="2" t="s">
        <v>8867</v>
      </c>
      <c r="D723" s="2" t="s">
        <v>8824</v>
      </c>
      <c r="E723" s="13" t="n">
        <v>30622</v>
      </c>
      <c r="F723" s="2" t="n">
        <v>254754116005</v>
      </c>
      <c r="G723" s="2" t="n">
        <v>3</v>
      </c>
      <c r="H723" s="2" t="s">
        <v>8850</v>
      </c>
      <c r="I723" s="2" t="s">
        <v>8844</v>
      </c>
      <c r="J723" s="2" t="s">
        <v>58</v>
      </c>
      <c r="K723" s="13" t="n">
        <v>45170</v>
      </c>
      <c r="L723" s="2" t="s">
        <v>8855</v>
      </c>
      <c r="M723" s="2" t="s">
        <v>36</v>
      </c>
    </row>
    <row r="724" customFormat="false" ht="15" hidden="false" customHeight="false" outlineLevel="0" collapsed="false">
      <c r="A724" s="2" t="s">
        <v>4359</v>
      </c>
      <c r="B724" s="2" t="s">
        <v>8878</v>
      </c>
      <c r="C724" s="2" t="s">
        <v>8839</v>
      </c>
      <c r="D724" s="2" t="s">
        <v>8819</v>
      </c>
      <c r="E724" s="13" t="n">
        <v>26051</v>
      </c>
      <c r="F724" s="2" t="n">
        <v>254782385198</v>
      </c>
      <c r="G724" s="2" t="n">
        <v>1</v>
      </c>
      <c r="H724" s="2" t="s">
        <v>95</v>
      </c>
      <c r="I724" s="2" t="s">
        <v>8852</v>
      </c>
      <c r="J724" s="2" t="s">
        <v>59</v>
      </c>
      <c r="K724" s="13" t="n">
        <v>45266</v>
      </c>
      <c r="L724" s="2" t="s">
        <v>8855</v>
      </c>
      <c r="M724" s="2" t="s">
        <v>36</v>
      </c>
    </row>
    <row r="725" customFormat="false" ht="15" hidden="false" customHeight="false" outlineLevel="0" collapsed="false">
      <c r="A725" s="2" t="s">
        <v>2083</v>
      </c>
      <c r="B725" s="2" t="s">
        <v>8826</v>
      </c>
      <c r="C725" s="2" t="s">
        <v>8859</v>
      </c>
      <c r="D725" s="2" t="s">
        <v>8819</v>
      </c>
      <c r="E725" s="13" t="n">
        <v>29819</v>
      </c>
      <c r="F725" s="2" t="n">
        <v>254735832275</v>
      </c>
      <c r="G725" s="2" t="n">
        <v>1</v>
      </c>
      <c r="H725" s="2" t="s">
        <v>95</v>
      </c>
      <c r="I725" s="2" t="s">
        <v>8831</v>
      </c>
      <c r="J725" s="2" t="s">
        <v>59</v>
      </c>
      <c r="K725" s="13" t="n">
        <v>44933</v>
      </c>
      <c r="L725" s="2" t="s">
        <v>8821</v>
      </c>
      <c r="M725" s="2" t="s">
        <v>36</v>
      </c>
    </row>
    <row r="726" customFormat="false" ht="15" hidden="false" customHeight="false" outlineLevel="0" collapsed="false">
      <c r="A726" s="2" t="s">
        <v>5293</v>
      </c>
      <c r="B726" s="2" t="s">
        <v>8838</v>
      </c>
      <c r="C726" s="2" t="s">
        <v>8870</v>
      </c>
      <c r="D726" s="2" t="s">
        <v>8824</v>
      </c>
      <c r="E726" s="13" t="n">
        <v>30423</v>
      </c>
      <c r="F726" s="2" t="n">
        <v>254732033022</v>
      </c>
      <c r="G726" s="2" t="n">
        <v>12</v>
      </c>
      <c r="H726" s="2" t="s">
        <v>95</v>
      </c>
      <c r="I726" s="2" t="s">
        <v>8831</v>
      </c>
      <c r="J726" s="2" t="s">
        <v>61</v>
      </c>
      <c r="K726" s="13" t="n">
        <v>45007</v>
      </c>
      <c r="L726" s="2" t="s">
        <v>8821</v>
      </c>
      <c r="M726" s="2" t="s">
        <v>36</v>
      </c>
    </row>
    <row r="727" customFormat="false" ht="15" hidden="false" customHeight="false" outlineLevel="0" collapsed="false">
      <c r="A727" s="2" t="s">
        <v>2828</v>
      </c>
      <c r="B727" s="2" t="s">
        <v>8886</v>
      </c>
      <c r="C727" s="2" t="s">
        <v>8841</v>
      </c>
      <c r="D727" s="2" t="s">
        <v>8824</v>
      </c>
      <c r="E727" s="13" t="n">
        <v>32647</v>
      </c>
      <c r="F727" s="2" t="n">
        <v>254774581639</v>
      </c>
      <c r="G727" s="2" t="n">
        <v>2</v>
      </c>
      <c r="H727" s="2" t="s">
        <v>8850</v>
      </c>
      <c r="I727" s="2" t="s">
        <v>8842</v>
      </c>
      <c r="J727" s="2" t="s">
        <v>61</v>
      </c>
      <c r="K727" s="13" t="n">
        <v>45386</v>
      </c>
      <c r="L727" s="2" t="s">
        <v>8821</v>
      </c>
      <c r="M727" s="2" t="s">
        <v>8858</v>
      </c>
    </row>
    <row r="728" customFormat="false" ht="15" hidden="false" customHeight="false" outlineLevel="0" collapsed="false">
      <c r="A728" s="2" t="s">
        <v>3275</v>
      </c>
      <c r="B728" s="2" t="s">
        <v>8871</v>
      </c>
      <c r="C728" s="2" t="s">
        <v>8865</v>
      </c>
      <c r="D728" s="2" t="s">
        <v>8819</v>
      </c>
      <c r="E728" s="13" t="n">
        <v>35993</v>
      </c>
      <c r="F728" s="2" t="n">
        <v>254774693042</v>
      </c>
      <c r="G728" s="2" t="n">
        <v>1</v>
      </c>
      <c r="H728" s="2" t="s">
        <v>8850</v>
      </c>
      <c r="I728" s="2" t="s">
        <v>8842</v>
      </c>
      <c r="J728" s="2" t="s">
        <v>58</v>
      </c>
      <c r="K728" s="13" t="n">
        <v>45551</v>
      </c>
      <c r="L728" s="2" t="s">
        <v>8821</v>
      </c>
      <c r="M728" s="2" t="s">
        <v>36</v>
      </c>
    </row>
    <row r="729" customFormat="false" ht="15" hidden="false" customHeight="false" outlineLevel="0" collapsed="false">
      <c r="A729" s="2" t="s">
        <v>1804</v>
      </c>
      <c r="B729" s="2" t="s">
        <v>8883</v>
      </c>
      <c r="C729" s="2" t="s">
        <v>8870</v>
      </c>
      <c r="D729" s="2" t="s">
        <v>8824</v>
      </c>
      <c r="E729" s="13" t="n">
        <v>29719</v>
      </c>
      <c r="F729" s="2" t="n">
        <v>254760351362</v>
      </c>
      <c r="G729" s="2" t="n">
        <v>9</v>
      </c>
      <c r="H729" s="2" t="s">
        <v>8850</v>
      </c>
      <c r="I729" s="2" t="s">
        <v>8825</v>
      </c>
      <c r="J729" s="2" t="s">
        <v>60</v>
      </c>
      <c r="K729" s="13" t="n">
        <v>45401</v>
      </c>
      <c r="L729" s="2" t="s">
        <v>8821</v>
      </c>
      <c r="M729" s="2" t="s">
        <v>8858</v>
      </c>
    </row>
    <row r="730" customFormat="false" ht="15" hidden="false" customHeight="false" outlineLevel="0" collapsed="false">
      <c r="A730" s="2" t="s">
        <v>1813</v>
      </c>
      <c r="B730" s="2" t="s">
        <v>8817</v>
      </c>
      <c r="C730" s="2" t="s">
        <v>8861</v>
      </c>
      <c r="D730" s="2" t="s">
        <v>8824</v>
      </c>
      <c r="E730" s="13" t="n">
        <v>30017</v>
      </c>
      <c r="F730" s="2" t="n">
        <v>254775961801</v>
      </c>
      <c r="G730" s="2" t="n">
        <v>7</v>
      </c>
      <c r="H730" s="2" t="s">
        <v>8850</v>
      </c>
      <c r="I730" s="2" t="s">
        <v>8842</v>
      </c>
      <c r="J730" s="2" t="s">
        <v>60</v>
      </c>
      <c r="K730" s="13" t="n">
        <v>44931</v>
      </c>
      <c r="L730" s="2" t="s">
        <v>8855</v>
      </c>
      <c r="M730" s="2" t="s">
        <v>8858</v>
      </c>
    </row>
    <row r="731" customFormat="false" ht="15" hidden="false" customHeight="false" outlineLevel="0" collapsed="false">
      <c r="A731" s="2" t="s">
        <v>610</v>
      </c>
      <c r="B731" s="2" t="s">
        <v>8838</v>
      </c>
      <c r="C731" s="2" t="s">
        <v>8823</v>
      </c>
      <c r="D731" s="2" t="s">
        <v>8819</v>
      </c>
      <c r="E731" s="13" t="n">
        <v>32831</v>
      </c>
      <c r="F731" s="2" t="n">
        <v>254761650472</v>
      </c>
      <c r="G731" s="2" t="n">
        <v>15</v>
      </c>
      <c r="H731" s="2" t="s">
        <v>95</v>
      </c>
      <c r="I731" s="2" t="s">
        <v>8831</v>
      </c>
      <c r="J731" s="2" t="s">
        <v>61</v>
      </c>
      <c r="K731" s="13" t="n">
        <v>44999</v>
      </c>
      <c r="L731" s="2" t="s">
        <v>8821</v>
      </c>
      <c r="M731" s="2" t="s">
        <v>36</v>
      </c>
    </row>
    <row r="732" customFormat="false" ht="15" hidden="false" customHeight="false" outlineLevel="0" collapsed="false">
      <c r="A732" s="2" t="s">
        <v>6791</v>
      </c>
      <c r="B732" s="2" t="s">
        <v>8875</v>
      </c>
      <c r="C732" s="2" t="s">
        <v>8888</v>
      </c>
      <c r="D732" s="2" t="s">
        <v>8819</v>
      </c>
      <c r="E732" s="13" t="n">
        <v>37606</v>
      </c>
      <c r="F732" s="2" t="n">
        <v>254797363169</v>
      </c>
      <c r="G732" s="2" t="n">
        <v>7</v>
      </c>
      <c r="H732" s="2" t="s">
        <v>8850</v>
      </c>
      <c r="I732" s="2" t="s">
        <v>8864</v>
      </c>
      <c r="J732" s="2" t="s">
        <v>59</v>
      </c>
      <c r="K732" s="13" t="n">
        <v>45577</v>
      </c>
      <c r="L732" s="2" t="s">
        <v>8821</v>
      </c>
      <c r="M732" s="2" t="s">
        <v>8858</v>
      </c>
    </row>
    <row r="733" customFormat="false" ht="15" hidden="false" customHeight="false" outlineLevel="0" collapsed="false">
      <c r="A733" s="2" t="s">
        <v>1285</v>
      </c>
      <c r="B733" s="2" t="s">
        <v>8856</v>
      </c>
      <c r="C733" s="2" t="s">
        <v>8818</v>
      </c>
      <c r="D733" s="2" t="s">
        <v>8819</v>
      </c>
      <c r="E733" s="13" t="n">
        <v>26471</v>
      </c>
      <c r="F733" s="2" t="n">
        <v>254745075212</v>
      </c>
      <c r="G733" s="2" t="n">
        <v>10</v>
      </c>
      <c r="H733" s="2" t="s">
        <v>8850</v>
      </c>
      <c r="I733" s="2" t="s">
        <v>8852</v>
      </c>
      <c r="J733" s="2" t="s">
        <v>59</v>
      </c>
      <c r="K733" s="13" t="n">
        <v>45650</v>
      </c>
      <c r="L733" s="2" t="s">
        <v>8821</v>
      </c>
      <c r="M733" s="2" t="s">
        <v>36</v>
      </c>
    </row>
    <row r="734" customFormat="false" ht="15" hidden="false" customHeight="false" outlineLevel="0" collapsed="false">
      <c r="A734" s="2" t="s">
        <v>3063</v>
      </c>
      <c r="B734" s="2" t="s">
        <v>8886</v>
      </c>
      <c r="C734" s="2" t="s">
        <v>8876</v>
      </c>
      <c r="D734" s="2" t="s">
        <v>8824</v>
      </c>
      <c r="E734" s="13" t="n">
        <v>29224</v>
      </c>
      <c r="F734" s="2" t="n">
        <v>254788673120</v>
      </c>
      <c r="G734" s="2" t="n">
        <v>15</v>
      </c>
      <c r="H734" s="2" t="s">
        <v>95</v>
      </c>
      <c r="I734" s="2" t="s">
        <v>8857</v>
      </c>
      <c r="J734" s="2" t="s">
        <v>59</v>
      </c>
      <c r="K734" s="13" t="n">
        <v>45021</v>
      </c>
      <c r="L734" s="2" t="s">
        <v>8855</v>
      </c>
      <c r="M734" s="2" t="s">
        <v>36</v>
      </c>
    </row>
    <row r="735" customFormat="false" ht="15" hidden="false" customHeight="false" outlineLevel="0" collapsed="false">
      <c r="A735" s="2" t="s">
        <v>5619</v>
      </c>
      <c r="B735" s="2" t="s">
        <v>8868</v>
      </c>
      <c r="C735" s="2" t="s">
        <v>8863</v>
      </c>
      <c r="D735" s="2" t="s">
        <v>8824</v>
      </c>
      <c r="E735" s="13" t="n">
        <v>35573</v>
      </c>
      <c r="F735" s="2" t="n">
        <v>254788662295</v>
      </c>
      <c r="G735" s="2" t="n">
        <v>5</v>
      </c>
      <c r="H735" s="2" t="s">
        <v>8850</v>
      </c>
      <c r="I735" s="2" t="s">
        <v>8864</v>
      </c>
      <c r="J735" s="2" t="s">
        <v>58</v>
      </c>
      <c r="K735" s="13" t="n">
        <v>45236</v>
      </c>
      <c r="L735" s="2" t="s">
        <v>8821</v>
      </c>
      <c r="M735" s="2" t="s">
        <v>36</v>
      </c>
    </row>
    <row r="736" customFormat="false" ht="15" hidden="false" customHeight="false" outlineLevel="0" collapsed="false">
      <c r="A736" s="2" t="s">
        <v>1919</v>
      </c>
      <c r="B736" s="2" t="s">
        <v>8882</v>
      </c>
      <c r="C736" s="2" t="s">
        <v>8876</v>
      </c>
      <c r="D736" s="2" t="s">
        <v>8824</v>
      </c>
      <c r="E736" s="13" t="n">
        <v>28999</v>
      </c>
      <c r="F736" s="2" t="n">
        <v>254710861718</v>
      </c>
      <c r="G736" s="2" t="n">
        <v>3</v>
      </c>
      <c r="H736" s="2" t="s">
        <v>8850</v>
      </c>
      <c r="I736" s="2" t="s">
        <v>8820</v>
      </c>
      <c r="J736" s="2" t="s">
        <v>58</v>
      </c>
      <c r="K736" s="13" t="n">
        <v>45141</v>
      </c>
      <c r="L736" s="2" t="s">
        <v>8821</v>
      </c>
      <c r="M736" s="2" t="s">
        <v>8858</v>
      </c>
    </row>
    <row r="737" customFormat="false" ht="15" hidden="false" customHeight="false" outlineLevel="0" collapsed="false">
      <c r="A737" s="2" t="s">
        <v>3256</v>
      </c>
      <c r="B737" s="2" t="s">
        <v>8835</v>
      </c>
      <c r="C737" s="2" t="s">
        <v>8873</v>
      </c>
      <c r="D737" s="2" t="s">
        <v>8824</v>
      </c>
      <c r="E737" s="13" t="n">
        <v>35379</v>
      </c>
      <c r="F737" s="2" t="n">
        <v>254735018189</v>
      </c>
      <c r="G737" s="2" t="n">
        <v>12</v>
      </c>
      <c r="H737" s="2" t="s">
        <v>95</v>
      </c>
      <c r="I737" s="2" t="s">
        <v>8831</v>
      </c>
      <c r="J737" s="2" t="s">
        <v>61</v>
      </c>
      <c r="K737" s="13" t="n">
        <v>45368</v>
      </c>
      <c r="L737" s="2" t="s">
        <v>8821</v>
      </c>
      <c r="M737" s="2" t="s">
        <v>36</v>
      </c>
    </row>
    <row r="738" customFormat="false" ht="15" hidden="false" customHeight="false" outlineLevel="0" collapsed="false">
      <c r="A738" s="2" t="s">
        <v>6039</v>
      </c>
      <c r="B738" s="2" t="s">
        <v>8835</v>
      </c>
      <c r="C738" s="2" t="s">
        <v>8841</v>
      </c>
      <c r="D738" s="2" t="s">
        <v>8819</v>
      </c>
      <c r="E738" s="13" t="n">
        <v>36095</v>
      </c>
      <c r="F738" s="2" t="n">
        <v>254734525524</v>
      </c>
      <c r="G738" s="2" t="n">
        <v>13</v>
      </c>
      <c r="H738" s="2" t="s">
        <v>95</v>
      </c>
      <c r="I738" s="2" t="s">
        <v>8834</v>
      </c>
      <c r="J738" s="2" t="s">
        <v>61</v>
      </c>
      <c r="K738" s="13" t="n">
        <v>45144</v>
      </c>
      <c r="L738" s="2" t="s">
        <v>8855</v>
      </c>
      <c r="M738" s="2" t="s">
        <v>36</v>
      </c>
    </row>
    <row r="739" customFormat="false" ht="15" hidden="false" customHeight="false" outlineLevel="0" collapsed="false">
      <c r="A739" s="2" t="s">
        <v>1665</v>
      </c>
      <c r="B739" s="2" t="s">
        <v>8866</v>
      </c>
      <c r="C739" s="2" t="s">
        <v>8830</v>
      </c>
      <c r="D739" s="2" t="s">
        <v>8824</v>
      </c>
      <c r="E739" s="13" t="n">
        <v>29261</v>
      </c>
      <c r="F739" s="2" t="n">
        <v>254718625158</v>
      </c>
      <c r="G739" s="2" t="n">
        <v>6</v>
      </c>
      <c r="H739" s="2" t="s">
        <v>95</v>
      </c>
      <c r="I739" s="2" t="s">
        <v>8848</v>
      </c>
      <c r="J739" s="2" t="s">
        <v>59</v>
      </c>
      <c r="K739" s="13" t="n">
        <v>45014</v>
      </c>
      <c r="L739" s="2" t="s">
        <v>8855</v>
      </c>
      <c r="M739" s="2" t="s">
        <v>8858</v>
      </c>
    </row>
    <row r="740" customFormat="false" ht="15" hidden="false" customHeight="false" outlineLevel="0" collapsed="false">
      <c r="A740" s="2" t="s">
        <v>4045</v>
      </c>
      <c r="B740" s="2" t="s">
        <v>8853</v>
      </c>
      <c r="C740" s="2" t="s">
        <v>8818</v>
      </c>
      <c r="D740" s="2" t="s">
        <v>8819</v>
      </c>
      <c r="E740" s="13" t="n">
        <v>27761</v>
      </c>
      <c r="F740" s="2" t="n">
        <v>254722997893</v>
      </c>
      <c r="G740" s="2" t="n">
        <v>4</v>
      </c>
      <c r="H740" s="2" t="s">
        <v>95</v>
      </c>
      <c r="I740" s="2" t="s">
        <v>8842</v>
      </c>
      <c r="J740" s="2" t="s">
        <v>62</v>
      </c>
      <c r="K740" s="13" t="n">
        <v>45199</v>
      </c>
      <c r="L740" s="2" t="s">
        <v>8821</v>
      </c>
      <c r="M740" s="2" t="s">
        <v>8858</v>
      </c>
    </row>
    <row r="741" customFormat="false" ht="15" hidden="false" customHeight="false" outlineLevel="0" collapsed="false">
      <c r="A741" s="2" t="s">
        <v>1392</v>
      </c>
      <c r="B741" s="2" t="s">
        <v>8878</v>
      </c>
      <c r="C741" s="2" t="s">
        <v>8888</v>
      </c>
      <c r="D741" s="2" t="s">
        <v>8824</v>
      </c>
      <c r="E741" s="13" t="n">
        <v>36697</v>
      </c>
      <c r="F741" s="2" t="n">
        <v>254752308622</v>
      </c>
      <c r="G741" s="2" t="n">
        <v>14</v>
      </c>
      <c r="H741" s="2" t="s">
        <v>95</v>
      </c>
      <c r="I741" s="2" t="s">
        <v>8844</v>
      </c>
      <c r="J741" s="2" t="s">
        <v>61</v>
      </c>
      <c r="K741" s="13" t="n">
        <v>45366</v>
      </c>
      <c r="L741" s="2" t="s">
        <v>8855</v>
      </c>
      <c r="M741" s="2" t="s">
        <v>36</v>
      </c>
    </row>
    <row r="742" customFormat="false" ht="15" hidden="false" customHeight="false" outlineLevel="0" collapsed="false">
      <c r="A742" s="2" t="s">
        <v>2596</v>
      </c>
      <c r="B742" s="2" t="s">
        <v>8817</v>
      </c>
      <c r="C742" s="2" t="s">
        <v>8870</v>
      </c>
      <c r="D742" s="2" t="s">
        <v>8824</v>
      </c>
      <c r="E742" s="13" t="n">
        <v>33781</v>
      </c>
      <c r="F742" s="2" t="n">
        <v>254728637880</v>
      </c>
      <c r="G742" s="2" t="n">
        <v>1</v>
      </c>
      <c r="H742" s="2" t="s">
        <v>95</v>
      </c>
      <c r="I742" s="2" t="s">
        <v>8857</v>
      </c>
      <c r="J742" s="2" t="s">
        <v>60</v>
      </c>
      <c r="K742" s="13" t="n">
        <v>45029</v>
      </c>
      <c r="L742" s="2" t="s">
        <v>8821</v>
      </c>
      <c r="M742" s="2" t="s">
        <v>36</v>
      </c>
    </row>
    <row r="743" customFormat="false" ht="15" hidden="false" customHeight="false" outlineLevel="0" collapsed="false">
      <c r="A743" s="2" t="s">
        <v>4025</v>
      </c>
      <c r="B743" s="2" t="s">
        <v>8885</v>
      </c>
      <c r="C743" s="2" t="s">
        <v>8859</v>
      </c>
      <c r="D743" s="2" t="s">
        <v>8824</v>
      </c>
      <c r="E743" s="13" t="n">
        <v>36090</v>
      </c>
      <c r="F743" s="2" t="n">
        <v>254798614357</v>
      </c>
      <c r="G743" s="2" t="n">
        <v>4</v>
      </c>
      <c r="H743" s="2" t="s">
        <v>95</v>
      </c>
      <c r="I743" s="2" t="s">
        <v>8852</v>
      </c>
      <c r="J743" s="2" t="s">
        <v>60</v>
      </c>
      <c r="K743" s="13" t="n">
        <v>45601</v>
      </c>
      <c r="L743" s="2" t="s">
        <v>8821</v>
      </c>
      <c r="M743" s="2" t="s">
        <v>36</v>
      </c>
    </row>
    <row r="744" customFormat="false" ht="15" hidden="false" customHeight="false" outlineLevel="0" collapsed="false">
      <c r="A744" s="2" t="s">
        <v>1489</v>
      </c>
      <c r="B744" s="2" t="s">
        <v>8860</v>
      </c>
      <c r="C744" s="2" t="s">
        <v>8839</v>
      </c>
      <c r="D744" s="2" t="s">
        <v>8824</v>
      </c>
      <c r="E744" s="13" t="n">
        <v>26644</v>
      </c>
      <c r="F744" s="2" t="n">
        <v>254763709262</v>
      </c>
      <c r="G744" s="2" t="n">
        <v>12</v>
      </c>
      <c r="H744" s="2" t="s">
        <v>95</v>
      </c>
      <c r="I744" s="2" t="s">
        <v>8844</v>
      </c>
      <c r="J744" s="2" t="s">
        <v>61</v>
      </c>
      <c r="K744" s="13" t="n">
        <v>45621</v>
      </c>
      <c r="L744" s="2" t="s">
        <v>8855</v>
      </c>
      <c r="M744" s="2" t="s">
        <v>36</v>
      </c>
    </row>
    <row r="745" customFormat="false" ht="15" hidden="false" customHeight="false" outlineLevel="0" collapsed="false">
      <c r="A745" s="2" t="s">
        <v>2574</v>
      </c>
      <c r="B745" s="2" t="s">
        <v>8875</v>
      </c>
      <c r="C745" s="2" t="s">
        <v>8833</v>
      </c>
      <c r="D745" s="2" t="s">
        <v>8819</v>
      </c>
      <c r="E745" s="13" t="n">
        <v>34474</v>
      </c>
      <c r="F745" s="2" t="n">
        <v>254727161260</v>
      </c>
      <c r="G745" s="2" t="n">
        <v>8</v>
      </c>
      <c r="H745" s="2" t="s">
        <v>95</v>
      </c>
      <c r="I745" s="2" t="s">
        <v>8834</v>
      </c>
      <c r="J745" s="2" t="s">
        <v>62</v>
      </c>
      <c r="K745" s="13" t="n">
        <v>45126</v>
      </c>
      <c r="L745" s="2" t="s">
        <v>8855</v>
      </c>
      <c r="M745" s="2" t="s">
        <v>36</v>
      </c>
    </row>
    <row r="746" customFormat="false" ht="15" hidden="false" customHeight="false" outlineLevel="0" collapsed="false">
      <c r="A746" s="2" t="s">
        <v>6021</v>
      </c>
      <c r="B746" s="2" t="s">
        <v>8851</v>
      </c>
      <c r="C746" s="2" t="s">
        <v>8839</v>
      </c>
      <c r="D746" s="2" t="s">
        <v>8819</v>
      </c>
      <c r="E746" s="13" t="n">
        <v>35842</v>
      </c>
      <c r="F746" s="2" t="n">
        <v>254738405950</v>
      </c>
      <c r="G746" s="2" t="n">
        <v>3</v>
      </c>
      <c r="H746" s="2" t="s">
        <v>95</v>
      </c>
      <c r="I746" s="2" t="s">
        <v>8825</v>
      </c>
      <c r="J746" s="2" t="s">
        <v>61</v>
      </c>
      <c r="K746" s="13" t="n">
        <v>45605</v>
      </c>
      <c r="L746" s="2" t="s">
        <v>8821</v>
      </c>
      <c r="M746" s="2" t="s">
        <v>36</v>
      </c>
    </row>
    <row r="747" customFormat="false" ht="15" hidden="false" customHeight="false" outlineLevel="0" collapsed="false">
      <c r="A747" s="2" t="s">
        <v>5065</v>
      </c>
      <c r="B747" s="2" t="s">
        <v>8843</v>
      </c>
      <c r="C747" s="2" t="s">
        <v>8846</v>
      </c>
      <c r="D747" s="2" t="s">
        <v>8824</v>
      </c>
      <c r="E747" s="13" t="n">
        <v>33079</v>
      </c>
      <c r="F747" s="2" t="n">
        <v>254726521948</v>
      </c>
      <c r="G747" s="2" t="n">
        <v>11</v>
      </c>
      <c r="H747" s="2" t="s">
        <v>95</v>
      </c>
      <c r="I747" s="2" t="s">
        <v>8857</v>
      </c>
      <c r="J747" s="2" t="s">
        <v>61</v>
      </c>
      <c r="K747" s="13" t="n">
        <v>45214</v>
      </c>
      <c r="L747" s="2" t="s">
        <v>8821</v>
      </c>
      <c r="M747" s="2" t="s">
        <v>36</v>
      </c>
    </row>
    <row r="748" customFormat="false" ht="15" hidden="false" customHeight="false" outlineLevel="0" collapsed="false">
      <c r="A748" s="2" t="s">
        <v>1931</v>
      </c>
      <c r="B748" s="2" t="s">
        <v>8826</v>
      </c>
      <c r="C748" s="2" t="s">
        <v>8869</v>
      </c>
      <c r="D748" s="2" t="s">
        <v>8824</v>
      </c>
      <c r="E748" s="13" t="n">
        <v>30980</v>
      </c>
      <c r="F748" s="2" t="n">
        <v>254761224263</v>
      </c>
      <c r="G748" s="2" t="n">
        <v>11</v>
      </c>
      <c r="H748" s="2" t="s">
        <v>8850</v>
      </c>
      <c r="I748" s="2" t="s">
        <v>8831</v>
      </c>
      <c r="J748" s="2" t="s">
        <v>59</v>
      </c>
      <c r="K748" s="13" t="n">
        <v>45542</v>
      </c>
      <c r="L748" s="2" t="s">
        <v>8821</v>
      </c>
      <c r="M748" s="2" t="s">
        <v>36</v>
      </c>
    </row>
    <row r="749" customFormat="false" ht="15" hidden="false" customHeight="false" outlineLevel="0" collapsed="false">
      <c r="A749" s="2" t="s">
        <v>3441</v>
      </c>
      <c r="B749" s="2" t="s">
        <v>8878</v>
      </c>
      <c r="C749" s="2" t="s">
        <v>8881</v>
      </c>
      <c r="D749" s="2" t="s">
        <v>8819</v>
      </c>
      <c r="E749" s="13" t="n">
        <v>32177</v>
      </c>
      <c r="F749" s="2" t="n">
        <v>254725583513</v>
      </c>
      <c r="G749" s="2" t="n">
        <v>10</v>
      </c>
      <c r="H749" s="2" t="s">
        <v>8850</v>
      </c>
      <c r="I749" s="2" t="s">
        <v>8828</v>
      </c>
      <c r="J749" s="2" t="s">
        <v>60</v>
      </c>
      <c r="K749" s="13" t="n">
        <v>45018</v>
      </c>
      <c r="L749" s="2" t="s">
        <v>8855</v>
      </c>
      <c r="M749" s="2" t="s">
        <v>36</v>
      </c>
    </row>
    <row r="750" customFormat="false" ht="15" hidden="false" customHeight="false" outlineLevel="0" collapsed="false">
      <c r="A750" s="2" t="s">
        <v>3218</v>
      </c>
      <c r="B750" s="2" t="s">
        <v>8840</v>
      </c>
      <c r="C750" s="2" t="s">
        <v>8876</v>
      </c>
      <c r="D750" s="2" t="s">
        <v>8824</v>
      </c>
      <c r="E750" s="13" t="n">
        <v>32527</v>
      </c>
      <c r="F750" s="2" t="n">
        <v>254752901755</v>
      </c>
      <c r="G750" s="2" t="n">
        <v>13</v>
      </c>
      <c r="H750" s="2" t="s">
        <v>8850</v>
      </c>
      <c r="I750" s="2" t="s">
        <v>8852</v>
      </c>
      <c r="J750" s="2" t="s">
        <v>59</v>
      </c>
      <c r="K750" s="13" t="n">
        <v>45475</v>
      </c>
      <c r="L750" s="2" t="s">
        <v>8821</v>
      </c>
      <c r="M750" s="2" t="s">
        <v>36</v>
      </c>
    </row>
    <row r="751" customFormat="false" ht="15" hidden="false" customHeight="false" outlineLevel="0" collapsed="false">
      <c r="A751" s="2" t="s">
        <v>8465</v>
      </c>
      <c r="B751" s="2" t="s">
        <v>8878</v>
      </c>
      <c r="C751" s="2" t="s">
        <v>8833</v>
      </c>
      <c r="D751" s="2" t="s">
        <v>8824</v>
      </c>
      <c r="E751" s="13" t="n">
        <v>34717</v>
      </c>
      <c r="F751" s="2" t="n">
        <v>254739380829</v>
      </c>
      <c r="G751" s="2" t="n">
        <v>8</v>
      </c>
      <c r="H751" s="2" t="s">
        <v>8850</v>
      </c>
      <c r="I751" s="2" t="s">
        <v>8828</v>
      </c>
      <c r="J751" s="2" t="s">
        <v>62</v>
      </c>
      <c r="K751" s="13" t="n">
        <v>45398</v>
      </c>
      <c r="L751" s="2" t="s">
        <v>8821</v>
      </c>
      <c r="M751" s="2" t="s">
        <v>36</v>
      </c>
    </row>
    <row r="752" customFormat="false" ht="15" hidden="false" customHeight="false" outlineLevel="0" collapsed="false">
      <c r="A752" s="2" t="s">
        <v>1349</v>
      </c>
      <c r="B752" s="2" t="s">
        <v>8868</v>
      </c>
      <c r="C752" s="2" t="s">
        <v>8830</v>
      </c>
      <c r="D752" s="2" t="s">
        <v>8824</v>
      </c>
      <c r="E752" s="13" t="n">
        <v>26583</v>
      </c>
      <c r="F752" s="2" t="n">
        <v>254787037211</v>
      </c>
      <c r="G752" s="2" t="n">
        <v>8</v>
      </c>
      <c r="H752" s="2" t="s">
        <v>95</v>
      </c>
      <c r="I752" s="2" t="s">
        <v>8847</v>
      </c>
      <c r="J752" s="2" t="s">
        <v>60</v>
      </c>
      <c r="K752" s="13" t="n">
        <v>45243</v>
      </c>
      <c r="L752" s="2" t="s">
        <v>8855</v>
      </c>
      <c r="M752" s="2" t="s">
        <v>36</v>
      </c>
    </row>
    <row r="753" customFormat="false" ht="15" hidden="false" customHeight="false" outlineLevel="0" collapsed="false">
      <c r="A753" s="2" t="s">
        <v>6083</v>
      </c>
      <c r="B753" s="2" t="s">
        <v>8885</v>
      </c>
      <c r="C753" s="2" t="s">
        <v>8839</v>
      </c>
      <c r="D753" s="2" t="s">
        <v>8819</v>
      </c>
      <c r="E753" s="13" t="n">
        <v>33324</v>
      </c>
      <c r="F753" s="2" t="n">
        <v>254734027688</v>
      </c>
      <c r="G753" s="2" t="n">
        <v>14</v>
      </c>
      <c r="H753" s="2" t="s">
        <v>8850</v>
      </c>
      <c r="I753" s="2" t="s">
        <v>8864</v>
      </c>
      <c r="J753" s="2" t="s">
        <v>61</v>
      </c>
      <c r="K753" s="13" t="n">
        <v>45142</v>
      </c>
      <c r="L753" s="2" t="s">
        <v>8821</v>
      </c>
      <c r="M753" s="2" t="s">
        <v>36</v>
      </c>
    </row>
    <row r="754" customFormat="false" ht="15" hidden="false" customHeight="false" outlineLevel="0" collapsed="false">
      <c r="A754" s="2" t="s">
        <v>3583</v>
      </c>
      <c r="B754" s="2" t="s">
        <v>8838</v>
      </c>
      <c r="C754" s="2" t="s">
        <v>8859</v>
      </c>
      <c r="D754" s="2" t="s">
        <v>8824</v>
      </c>
      <c r="E754" s="13" t="n">
        <v>26189</v>
      </c>
      <c r="F754" s="2" t="n">
        <v>254762527814</v>
      </c>
      <c r="G754" s="2" t="n">
        <v>7</v>
      </c>
      <c r="H754" s="2" t="s">
        <v>95</v>
      </c>
      <c r="I754" s="2" t="s">
        <v>8857</v>
      </c>
      <c r="J754" s="2" t="s">
        <v>60</v>
      </c>
      <c r="K754" s="13" t="n">
        <v>45272</v>
      </c>
      <c r="L754" s="2" t="s">
        <v>8821</v>
      </c>
      <c r="M754" s="2" t="s">
        <v>36</v>
      </c>
    </row>
    <row r="755" customFormat="false" ht="15" hidden="false" customHeight="false" outlineLevel="0" collapsed="false">
      <c r="A755" s="2" t="s">
        <v>331</v>
      </c>
      <c r="B755" s="2" t="s">
        <v>8853</v>
      </c>
      <c r="C755" s="2" t="s">
        <v>8881</v>
      </c>
      <c r="D755" s="2" t="s">
        <v>8819</v>
      </c>
      <c r="E755" s="13" t="n">
        <v>34735</v>
      </c>
      <c r="F755" s="2" t="n">
        <v>254750812122</v>
      </c>
      <c r="G755" s="2" t="n">
        <v>8</v>
      </c>
      <c r="H755" s="2" t="s">
        <v>95</v>
      </c>
      <c r="I755" s="2" t="s">
        <v>8848</v>
      </c>
      <c r="J755" s="2" t="s">
        <v>59</v>
      </c>
      <c r="K755" s="13" t="n">
        <v>45258</v>
      </c>
      <c r="L755" s="2" t="s">
        <v>8855</v>
      </c>
      <c r="M755" s="2" t="s">
        <v>8858</v>
      </c>
    </row>
    <row r="756" customFormat="false" ht="15" hidden="false" customHeight="false" outlineLevel="0" collapsed="false">
      <c r="A756" s="2" t="s">
        <v>216</v>
      </c>
      <c r="B756" s="2" t="s">
        <v>8874</v>
      </c>
      <c r="C756" s="2" t="s">
        <v>8841</v>
      </c>
      <c r="D756" s="2" t="s">
        <v>8819</v>
      </c>
      <c r="E756" s="13" t="n">
        <v>32209</v>
      </c>
      <c r="F756" s="2" t="n">
        <v>254758617120</v>
      </c>
      <c r="G756" s="2" t="n">
        <v>12</v>
      </c>
      <c r="H756" s="2" t="s">
        <v>95</v>
      </c>
      <c r="I756" s="2" t="s">
        <v>8852</v>
      </c>
      <c r="J756" s="2" t="s">
        <v>59</v>
      </c>
      <c r="K756" s="13" t="n">
        <v>45150</v>
      </c>
      <c r="L756" s="2" t="s">
        <v>8855</v>
      </c>
      <c r="M756" s="2" t="s">
        <v>8858</v>
      </c>
    </row>
    <row r="757" customFormat="false" ht="15" hidden="false" customHeight="false" outlineLevel="0" collapsed="false">
      <c r="A757" s="2" t="s">
        <v>5347</v>
      </c>
      <c r="B757" s="2" t="s">
        <v>8877</v>
      </c>
      <c r="C757" s="2" t="s">
        <v>8873</v>
      </c>
      <c r="D757" s="2" t="s">
        <v>8819</v>
      </c>
      <c r="E757" s="13" t="n">
        <v>29224</v>
      </c>
      <c r="F757" s="2" t="n">
        <v>254725750026</v>
      </c>
      <c r="G757" s="2" t="n">
        <v>9</v>
      </c>
      <c r="H757" s="2" t="s">
        <v>8850</v>
      </c>
      <c r="I757" s="2" t="s">
        <v>8848</v>
      </c>
      <c r="J757" s="2" t="s">
        <v>61</v>
      </c>
      <c r="K757" s="13" t="n">
        <v>45291</v>
      </c>
      <c r="L757" s="2" t="s">
        <v>8821</v>
      </c>
      <c r="M757" s="2" t="s">
        <v>8858</v>
      </c>
    </row>
    <row r="758" customFormat="false" ht="15" hidden="false" customHeight="false" outlineLevel="0" collapsed="false">
      <c r="A758" s="2" t="s">
        <v>7405</v>
      </c>
      <c r="B758" s="2" t="s">
        <v>8866</v>
      </c>
      <c r="C758" s="2" t="s">
        <v>8859</v>
      </c>
      <c r="D758" s="2" t="s">
        <v>8824</v>
      </c>
      <c r="E758" s="13" t="n">
        <v>31051</v>
      </c>
      <c r="F758" s="2" t="n">
        <v>254790014633</v>
      </c>
      <c r="G758" s="2" t="n">
        <v>3</v>
      </c>
      <c r="H758" s="2" t="s">
        <v>8850</v>
      </c>
      <c r="I758" s="2" t="s">
        <v>8864</v>
      </c>
      <c r="J758" s="2" t="s">
        <v>58</v>
      </c>
      <c r="K758" s="13" t="n">
        <v>45173</v>
      </c>
      <c r="L758" s="2" t="s">
        <v>8855</v>
      </c>
      <c r="M758" s="2" t="s">
        <v>8858</v>
      </c>
    </row>
    <row r="759" customFormat="false" ht="15" hidden="false" customHeight="false" outlineLevel="0" collapsed="false">
      <c r="A759" s="2" t="s">
        <v>2073</v>
      </c>
      <c r="B759" s="2" t="s">
        <v>8879</v>
      </c>
      <c r="C759" s="2" t="s">
        <v>8818</v>
      </c>
      <c r="D759" s="2" t="s">
        <v>8819</v>
      </c>
      <c r="E759" s="13" t="n">
        <v>32102</v>
      </c>
      <c r="F759" s="2" t="n">
        <v>254725653496</v>
      </c>
      <c r="G759" s="2" t="n">
        <v>2</v>
      </c>
      <c r="H759" s="2" t="s">
        <v>95</v>
      </c>
      <c r="I759" s="2" t="s">
        <v>8847</v>
      </c>
      <c r="J759" s="2" t="s">
        <v>62</v>
      </c>
      <c r="K759" s="13" t="n">
        <v>45382</v>
      </c>
      <c r="L759" s="2" t="s">
        <v>8821</v>
      </c>
      <c r="M759" s="2" t="s">
        <v>36</v>
      </c>
    </row>
    <row r="760" customFormat="false" ht="15" hidden="false" customHeight="false" outlineLevel="0" collapsed="false">
      <c r="A760" s="2" t="s">
        <v>4331</v>
      </c>
      <c r="B760" s="2" t="s">
        <v>8874</v>
      </c>
      <c r="C760" s="2" t="s">
        <v>8881</v>
      </c>
      <c r="D760" s="2" t="s">
        <v>8819</v>
      </c>
      <c r="E760" s="13" t="n">
        <v>36669</v>
      </c>
      <c r="F760" s="2" t="n">
        <v>254761534222</v>
      </c>
      <c r="G760" s="2" t="n">
        <v>8</v>
      </c>
      <c r="H760" s="2" t="s">
        <v>8850</v>
      </c>
      <c r="I760" s="2" t="s">
        <v>8834</v>
      </c>
      <c r="J760" s="2" t="s">
        <v>62</v>
      </c>
      <c r="K760" s="13" t="n">
        <v>45023</v>
      </c>
      <c r="L760" s="2" t="s">
        <v>8821</v>
      </c>
      <c r="M760" s="2" t="s">
        <v>36</v>
      </c>
    </row>
    <row r="761" customFormat="false" ht="15" hidden="false" customHeight="false" outlineLevel="0" collapsed="false">
      <c r="A761" s="2" t="s">
        <v>3123</v>
      </c>
      <c r="B761" s="2" t="s">
        <v>8835</v>
      </c>
      <c r="C761" s="2" t="s">
        <v>8876</v>
      </c>
      <c r="D761" s="2" t="s">
        <v>8819</v>
      </c>
      <c r="E761" s="13" t="n">
        <v>32927</v>
      </c>
      <c r="F761" s="2" t="n">
        <v>254762854477</v>
      </c>
      <c r="G761" s="2" t="n">
        <v>9</v>
      </c>
      <c r="H761" s="2" t="s">
        <v>8850</v>
      </c>
      <c r="I761" s="2" t="s">
        <v>8825</v>
      </c>
      <c r="J761" s="2" t="s">
        <v>62</v>
      </c>
      <c r="K761" s="13" t="n">
        <v>45477</v>
      </c>
      <c r="L761" s="2" t="s">
        <v>8821</v>
      </c>
      <c r="M761" s="2" t="s">
        <v>36</v>
      </c>
    </row>
    <row r="762" customFormat="false" ht="15" hidden="false" customHeight="false" outlineLevel="0" collapsed="false">
      <c r="A762" s="2" t="s">
        <v>256</v>
      </c>
      <c r="B762" s="2" t="s">
        <v>8875</v>
      </c>
      <c r="C762" s="2" t="s">
        <v>8873</v>
      </c>
      <c r="D762" s="2" t="s">
        <v>8819</v>
      </c>
      <c r="E762" s="13" t="n">
        <v>28212</v>
      </c>
      <c r="F762" s="2" t="n">
        <v>254784453495</v>
      </c>
      <c r="G762" s="2" t="n">
        <v>8</v>
      </c>
      <c r="H762" s="2" t="s">
        <v>8850</v>
      </c>
      <c r="I762" s="2" t="s">
        <v>8825</v>
      </c>
      <c r="J762" s="2" t="s">
        <v>58</v>
      </c>
      <c r="K762" s="13" t="n">
        <v>45540</v>
      </c>
      <c r="L762" s="2" t="s">
        <v>8821</v>
      </c>
      <c r="M762" s="2" t="s">
        <v>36</v>
      </c>
    </row>
    <row r="763" customFormat="false" ht="15" hidden="false" customHeight="false" outlineLevel="0" collapsed="false">
      <c r="A763" s="2" t="s">
        <v>4105</v>
      </c>
      <c r="B763" s="2" t="s">
        <v>8885</v>
      </c>
      <c r="C763" s="2" t="s">
        <v>8823</v>
      </c>
      <c r="D763" s="2" t="s">
        <v>8819</v>
      </c>
      <c r="E763" s="13" t="n">
        <v>29269</v>
      </c>
      <c r="F763" s="2" t="n">
        <v>254726739248</v>
      </c>
      <c r="G763" s="2" t="n">
        <v>9</v>
      </c>
      <c r="H763" s="2" t="s">
        <v>8850</v>
      </c>
      <c r="I763" s="2" t="s">
        <v>8844</v>
      </c>
      <c r="J763" s="2" t="s">
        <v>62</v>
      </c>
      <c r="K763" s="13" t="n">
        <v>45189</v>
      </c>
      <c r="L763" s="2" t="s">
        <v>8821</v>
      </c>
      <c r="M763" s="2" t="s">
        <v>8858</v>
      </c>
    </row>
    <row r="764" customFormat="false" ht="15" hidden="false" customHeight="false" outlineLevel="0" collapsed="false">
      <c r="A764" s="2" t="s">
        <v>4779</v>
      </c>
      <c r="B764" s="2" t="s">
        <v>8868</v>
      </c>
      <c r="C764" s="2" t="s">
        <v>8854</v>
      </c>
      <c r="D764" s="2" t="s">
        <v>8824</v>
      </c>
      <c r="E764" s="13" t="n">
        <v>25668</v>
      </c>
      <c r="F764" s="2" t="n">
        <v>254728771026</v>
      </c>
      <c r="G764" s="2" t="n">
        <v>10</v>
      </c>
      <c r="H764" s="2" t="s">
        <v>8850</v>
      </c>
      <c r="I764" s="2" t="s">
        <v>8864</v>
      </c>
      <c r="J764" s="2" t="s">
        <v>60</v>
      </c>
      <c r="K764" s="13" t="n">
        <v>44974</v>
      </c>
      <c r="L764" s="2" t="s">
        <v>8821</v>
      </c>
      <c r="M764" s="2" t="s">
        <v>36</v>
      </c>
    </row>
    <row r="765" customFormat="false" ht="15" hidden="false" customHeight="false" outlineLevel="0" collapsed="false">
      <c r="A765" s="2" t="s">
        <v>839</v>
      </c>
      <c r="B765" s="2" t="s">
        <v>8843</v>
      </c>
      <c r="C765" s="2" t="s">
        <v>8823</v>
      </c>
      <c r="D765" s="2" t="s">
        <v>8819</v>
      </c>
      <c r="E765" s="13" t="n">
        <v>28091</v>
      </c>
      <c r="F765" s="2" t="n">
        <v>254729014267</v>
      </c>
      <c r="G765" s="2" t="n">
        <v>5</v>
      </c>
      <c r="H765" s="2" t="s">
        <v>95</v>
      </c>
      <c r="I765" s="2" t="s">
        <v>8828</v>
      </c>
      <c r="J765" s="2" t="s">
        <v>62</v>
      </c>
      <c r="K765" s="13" t="n">
        <v>44972</v>
      </c>
      <c r="L765" s="2" t="s">
        <v>8821</v>
      </c>
      <c r="M765" s="2" t="s">
        <v>36</v>
      </c>
    </row>
    <row r="766" customFormat="false" ht="15" hidden="false" customHeight="false" outlineLevel="0" collapsed="false">
      <c r="A766" s="2" t="s">
        <v>961</v>
      </c>
      <c r="B766" s="2" t="s">
        <v>8838</v>
      </c>
      <c r="C766" s="2" t="s">
        <v>8827</v>
      </c>
      <c r="D766" s="2" t="s">
        <v>8824</v>
      </c>
      <c r="E766" s="13" t="n">
        <v>31860</v>
      </c>
      <c r="F766" s="2" t="n">
        <v>254744987131</v>
      </c>
      <c r="G766" s="2" t="n">
        <v>7</v>
      </c>
      <c r="H766" s="2" t="s">
        <v>95</v>
      </c>
      <c r="I766" s="2" t="s">
        <v>8842</v>
      </c>
      <c r="J766" s="2" t="s">
        <v>61</v>
      </c>
      <c r="K766" s="13" t="n">
        <v>45564</v>
      </c>
      <c r="L766" s="2" t="s">
        <v>8821</v>
      </c>
      <c r="M766" s="2" t="s">
        <v>36</v>
      </c>
    </row>
    <row r="767" customFormat="false" ht="15" hidden="false" customHeight="false" outlineLevel="0" collapsed="false">
      <c r="A767" s="2" t="s">
        <v>3687</v>
      </c>
      <c r="B767" s="2" t="s">
        <v>8840</v>
      </c>
      <c r="C767" s="2" t="s">
        <v>8827</v>
      </c>
      <c r="D767" s="2" t="s">
        <v>8824</v>
      </c>
      <c r="E767" s="13" t="n">
        <v>35769</v>
      </c>
      <c r="F767" s="2" t="n">
        <v>254794975906</v>
      </c>
      <c r="G767" s="2" t="n">
        <v>12</v>
      </c>
      <c r="H767" s="2" t="s">
        <v>95</v>
      </c>
      <c r="I767" s="2" t="s">
        <v>8864</v>
      </c>
      <c r="J767" s="2" t="s">
        <v>60</v>
      </c>
      <c r="K767" s="13" t="n">
        <v>45475</v>
      </c>
      <c r="L767" s="2" t="s">
        <v>8821</v>
      </c>
      <c r="M767" s="2" t="s">
        <v>8858</v>
      </c>
    </row>
    <row r="768" customFormat="false" ht="15" hidden="false" customHeight="false" outlineLevel="0" collapsed="false">
      <c r="A768" s="2" t="s">
        <v>5037</v>
      </c>
      <c r="B768" s="2" t="s">
        <v>8866</v>
      </c>
      <c r="C768" s="2" t="s">
        <v>8818</v>
      </c>
      <c r="D768" s="2" t="s">
        <v>8819</v>
      </c>
      <c r="E768" s="13" t="n">
        <v>29032</v>
      </c>
      <c r="F768" s="2" t="n">
        <v>254720405175</v>
      </c>
      <c r="G768" s="2" t="n">
        <v>5</v>
      </c>
      <c r="H768" s="2" t="s">
        <v>95</v>
      </c>
      <c r="I768" s="2" t="s">
        <v>8857</v>
      </c>
      <c r="J768" s="2" t="s">
        <v>58</v>
      </c>
      <c r="K768" s="13" t="n">
        <v>45371</v>
      </c>
      <c r="L768" s="2" t="s">
        <v>8855</v>
      </c>
      <c r="M768" s="2" t="s">
        <v>36</v>
      </c>
    </row>
    <row r="769" customFormat="false" ht="15" hidden="false" customHeight="false" outlineLevel="0" collapsed="false">
      <c r="A769" s="2" t="s">
        <v>481</v>
      </c>
      <c r="B769" s="2" t="s">
        <v>8882</v>
      </c>
      <c r="C769" s="2" t="s">
        <v>8869</v>
      </c>
      <c r="D769" s="2" t="s">
        <v>8824</v>
      </c>
      <c r="E769" s="13" t="n">
        <v>33545</v>
      </c>
      <c r="F769" s="2" t="n">
        <v>254729640030</v>
      </c>
      <c r="G769" s="2" t="n">
        <v>14</v>
      </c>
      <c r="H769" s="2" t="s">
        <v>95</v>
      </c>
      <c r="I769" s="2" t="s">
        <v>8834</v>
      </c>
      <c r="J769" s="2" t="s">
        <v>58</v>
      </c>
      <c r="K769" s="13" t="n">
        <v>45298</v>
      </c>
      <c r="L769" s="2" t="s">
        <v>8821</v>
      </c>
      <c r="M769" s="2" t="s">
        <v>8858</v>
      </c>
    </row>
    <row r="770" customFormat="false" ht="15" hidden="false" customHeight="false" outlineLevel="0" collapsed="false">
      <c r="A770" s="2" t="s">
        <v>6749</v>
      </c>
      <c r="B770" s="2" t="s">
        <v>8835</v>
      </c>
      <c r="C770" s="2" t="s">
        <v>8861</v>
      </c>
      <c r="D770" s="2" t="s">
        <v>8824</v>
      </c>
      <c r="E770" s="13" t="n">
        <v>30867</v>
      </c>
      <c r="F770" s="2" t="n">
        <v>254789031028</v>
      </c>
      <c r="G770" s="2" t="n">
        <v>14</v>
      </c>
      <c r="H770" s="2" t="s">
        <v>8850</v>
      </c>
      <c r="I770" s="2" t="s">
        <v>8825</v>
      </c>
      <c r="J770" s="2" t="s">
        <v>62</v>
      </c>
      <c r="K770" s="13" t="n">
        <v>45053</v>
      </c>
      <c r="L770" s="2" t="s">
        <v>8821</v>
      </c>
      <c r="M770" s="2" t="s">
        <v>36</v>
      </c>
    </row>
    <row r="771" customFormat="false" ht="15" hidden="false" customHeight="false" outlineLevel="0" collapsed="false">
      <c r="A771" s="2" t="s">
        <v>3119</v>
      </c>
      <c r="B771" s="2" t="s">
        <v>8835</v>
      </c>
      <c r="C771" s="2" t="s">
        <v>8869</v>
      </c>
      <c r="D771" s="2" t="s">
        <v>8824</v>
      </c>
      <c r="E771" s="13" t="n">
        <v>32054</v>
      </c>
      <c r="F771" s="2" t="n">
        <v>254734249450</v>
      </c>
      <c r="G771" s="2" t="n">
        <v>6</v>
      </c>
      <c r="H771" s="2" t="s">
        <v>8850</v>
      </c>
      <c r="I771" s="2" t="s">
        <v>8847</v>
      </c>
      <c r="J771" s="2" t="s">
        <v>62</v>
      </c>
      <c r="K771" s="13" t="n">
        <v>44976</v>
      </c>
      <c r="L771" s="2" t="s">
        <v>8821</v>
      </c>
      <c r="M771" s="2" t="s">
        <v>36</v>
      </c>
    </row>
    <row r="772" customFormat="false" ht="15" hidden="false" customHeight="false" outlineLevel="0" collapsed="false">
      <c r="A772" s="2" t="s">
        <v>1528</v>
      </c>
      <c r="B772" s="2" t="s">
        <v>8832</v>
      </c>
      <c r="C772" s="2" t="s">
        <v>8833</v>
      </c>
      <c r="D772" s="2" t="s">
        <v>8819</v>
      </c>
      <c r="E772" s="13" t="n">
        <v>25889</v>
      </c>
      <c r="F772" s="2" t="n">
        <v>254760841764</v>
      </c>
      <c r="G772" s="2" t="n">
        <v>10</v>
      </c>
      <c r="H772" s="2" t="s">
        <v>8850</v>
      </c>
      <c r="I772" s="2" t="s">
        <v>8820</v>
      </c>
      <c r="J772" s="2" t="s">
        <v>60</v>
      </c>
      <c r="K772" s="13" t="n">
        <v>45657</v>
      </c>
      <c r="L772" s="2" t="s">
        <v>8821</v>
      </c>
      <c r="M772" s="2" t="s">
        <v>8858</v>
      </c>
    </row>
    <row r="773" customFormat="false" ht="15" hidden="false" customHeight="false" outlineLevel="0" collapsed="false">
      <c r="A773" s="2" t="s">
        <v>4077</v>
      </c>
      <c r="B773" s="2" t="s">
        <v>8874</v>
      </c>
      <c r="C773" s="2" t="s">
        <v>8870</v>
      </c>
      <c r="D773" s="2" t="s">
        <v>8824</v>
      </c>
      <c r="E773" s="13" t="n">
        <v>36234</v>
      </c>
      <c r="F773" s="2" t="n">
        <v>254747020332</v>
      </c>
      <c r="G773" s="2" t="n">
        <v>7</v>
      </c>
      <c r="H773" s="2" t="s">
        <v>95</v>
      </c>
      <c r="I773" s="2" t="s">
        <v>8834</v>
      </c>
      <c r="J773" s="2" t="s">
        <v>58</v>
      </c>
      <c r="K773" s="13" t="n">
        <v>45289</v>
      </c>
      <c r="L773" s="2" t="s">
        <v>8821</v>
      </c>
      <c r="M773" s="2" t="s">
        <v>8858</v>
      </c>
    </row>
    <row r="774" customFormat="false" ht="15" hidden="false" customHeight="false" outlineLevel="0" collapsed="false">
      <c r="A774" s="2" t="s">
        <v>4197</v>
      </c>
      <c r="B774" s="2" t="s">
        <v>8826</v>
      </c>
      <c r="C774" s="2" t="s">
        <v>8839</v>
      </c>
      <c r="D774" s="2" t="s">
        <v>8819</v>
      </c>
      <c r="E774" s="13" t="n">
        <v>32925</v>
      </c>
      <c r="F774" s="2" t="n">
        <v>254732161108</v>
      </c>
      <c r="G774" s="2" t="n">
        <v>10</v>
      </c>
      <c r="H774" s="2" t="s">
        <v>95</v>
      </c>
      <c r="I774" s="2" t="s">
        <v>8825</v>
      </c>
      <c r="J774" s="2" t="s">
        <v>60</v>
      </c>
      <c r="K774" s="13" t="n">
        <v>45008</v>
      </c>
      <c r="L774" s="2" t="s">
        <v>8855</v>
      </c>
      <c r="M774" s="2" t="s">
        <v>36</v>
      </c>
    </row>
    <row r="775" customFormat="false" ht="15" hidden="false" customHeight="false" outlineLevel="0" collapsed="false">
      <c r="A775" s="2" t="s">
        <v>1377</v>
      </c>
      <c r="B775" s="2" t="s">
        <v>8877</v>
      </c>
      <c r="C775" s="2" t="s">
        <v>8859</v>
      </c>
      <c r="D775" s="2" t="s">
        <v>8819</v>
      </c>
      <c r="E775" s="13" t="n">
        <v>35751</v>
      </c>
      <c r="F775" s="2" t="n">
        <v>254764421457</v>
      </c>
      <c r="G775" s="2" t="n">
        <v>1</v>
      </c>
      <c r="H775" s="2" t="s">
        <v>95</v>
      </c>
      <c r="I775" s="2" t="s">
        <v>8864</v>
      </c>
      <c r="J775" s="2" t="s">
        <v>58</v>
      </c>
      <c r="K775" s="13" t="n">
        <v>45066</v>
      </c>
      <c r="L775" s="2" t="s">
        <v>8855</v>
      </c>
      <c r="M775" s="2" t="s">
        <v>36</v>
      </c>
    </row>
    <row r="776" customFormat="false" ht="15" hidden="false" customHeight="false" outlineLevel="0" collapsed="false">
      <c r="A776" s="2" t="s">
        <v>1403</v>
      </c>
      <c r="B776" s="2" t="s">
        <v>8856</v>
      </c>
      <c r="C776" s="2" t="s">
        <v>8867</v>
      </c>
      <c r="D776" s="2" t="s">
        <v>8819</v>
      </c>
      <c r="E776" s="13" t="n">
        <v>31403</v>
      </c>
      <c r="F776" s="2" t="n">
        <v>254791520297</v>
      </c>
      <c r="G776" s="2" t="n">
        <v>8</v>
      </c>
      <c r="H776" s="2" t="s">
        <v>95</v>
      </c>
      <c r="I776" s="2" t="s">
        <v>8852</v>
      </c>
      <c r="J776" s="2" t="s">
        <v>62</v>
      </c>
      <c r="K776" s="13" t="n">
        <v>45467</v>
      </c>
      <c r="L776" s="2" t="s">
        <v>8821</v>
      </c>
      <c r="M776" s="2" t="s">
        <v>36</v>
      </c>
    </row>
    <row r="777" customFormat="false" ht="15" hidden="false" customHeight="false" outlineLevel="0" collapsed="false">
      <c r="A777" s="2" t="s">
        <v>2604</v>
      </c>
      <c r="B777" s="2" t="s">
        <v>8868</v>
      </c>
      <c r="C777" s="2" t="s">
        <v>8888</v>
      </c>
      <c r="D777" s="2" t="s">
        <v>8819</v>
      </c>
      <c r="E777" s="13" t="n">
        <v>27207</v>
      </c>
      <c r="F777" s="2" t="n">
        <v>254766736822</v>
      </c>
      <c r="G777" s="2" t="n">
        <v>8</v>
      </c>
      <c r="H777" s="2" t="s">
        <v>8850</v>
      </c>
      <c r="I777" s="2" t="s">
        <v>8828</v>
      </c>
      <c r="J777" s="2" t="s">
        <v>60</v>
      </c>
      <c r="K777" s="13" t="n">
        <v>45063</v>
      </c>
      <c r="L777" s="2" t="s">
        <v>8821</v>
      </c>
      <c r="M777" s="2" t="s">
        <v>36</v>
      </c>
    </row>
    <row r="778" customFormat="false" ht="15" hidden="false" customHeight="false" outlineLevel="0" collapsed="false">
      <c r="A778" s="2" t="s">
        <v>2323</v>
      </c>
      <c r="B778" s="2" t="s">
        <v>8883</v>
      </c>
      <c r="C778" s="2" t="s">
        <v>8854</v>
      </c>
      <c r="D778" s="2" t="s">
        <v>8824</v>
      </c>
      <c r="E778" s="13" t="n">
        <v>31318</v>
      </c>
      <c r="F778" s="2" t="n">
        <v>254749398948</v>
      </c>
      <c r="G778" s="2" t="n">
        <v>5</v>
      </c>
      <c r="H778" s="2" t="s">
        <v>95</v>
      </c>
      <c r="I778" s="2" t="s">
        <v>8820</v>
      </c>
      <c r="J778" s="2" t="s">
        <v>62</v>
      </c>
      <c r="K778" s="13" t="n">
        <v>45047</v>
      </c>
      <c r="L778" s="2" t="s">
        <v>8855</v>
      </c>
      <c r="M778" s="2" t="s">
        <v>36</v>
      </c>
    </row>
    <row r="779" customFormat="false" ht="15" hidden="false" customHeight="false" outlineLevel="0" collapsed="false">
      <c r="A779" s="2" t="s">
        <v>1502</v>
      </c>
      <c r="B779" s="2" t="s">
        <v>8882</v>
      </c>
      <c r="C779" s="2" t="s">
        <v>8870</v>
      </c>
      <c r="D779" s="2" t="s">
        <v>8824</v>
      </c>
      <c r="E779" s="13" t="n">
        <v>32829</v>
      </c>
      <c r="F779" s="2" t="n">
        <v>254717717080</v>
      </c>
      <c r="G779" s="2" t="n">
        <v>6</v>
      </c>
      <c r="H779" s="2" t="s">
        <v>95</v>
      </c>
      <c r="I779" s="2" t="s">
        <v>8848</v>
      </c>
      <c r="J779" s="2" t="s">
        <v>61</v>
      </c>
      <c r="K779" s="13" t="n">
        <v>44963</v>
      </c>
      <c r="L779" s="2" t="s">
        <v>8821</v>
      </c>
      <c r="M779" s="2" t="s">
        <v>36</v>
      </c>
    </row>
    <row r="780" customFormat="false" ht="15" hidden="false" customHeight="false" outlineLevel="0" collapsed="false">
      <c r="A780" s="2" t="s">
        <v>635</v>
      </c>
      <c r="B780" s="2" t="s">
        <v>8880</v>
      </c>
      <c r="C780" s="2" t="s">
        <v>8873</v>
      </c>
      <c r="D780" s="2" t="s">
        <v>8824</v>
      </c>
      <c r="E780" s="13" t="n">
        <v>33635</v>
      </c>
      <c r="F780" s="2" t="n">
        <v>254757584523</v>
      </c>
      <c r="G780" s="2" t="n">
        <v>1</v>
      </c>
      <c r="H780" s="2" t="s">
        <v>95</v>
      </c>
      <c r="I780" s="2" t="s">
        <v>8842</v>
      </c>
      <c r="J780" s="2" t="s">
        <v>61</v>
      </c>
      <c r="K780" s="13" t="n">
        <v>45285</v>
      </c>
      <c r="L780" s="2" t="s">
        <v>8821</v>
      </c>
      <c r="M780" s="2" t="s">
        <v>36</v>
      </c>
    </row>
    <row r="781" customFormat="false" ht="15" hidden="false" customHeight="false" outlineLevel="0" collapsed="false">
      <c r="A781" s="2" t="s">
        <v>2929</v>
      </c>
      <c r="B781" s="2" t="s">
        <v>8882</v>
      </c>
      <c r="C781" s="2" t="s">
        <v>8859</v>
      </c>
      <c r="D781" s="2" t="s">
        <v>8819</v>
      </c>
      <c r="E781" s="13" t="n">
        <v>37329</v>
      </c>
      <c r="F781" s="2" t="n">
        <v>254730888358</v>
      </c>
      <c r="G781" s="2" t="n">
        <v>13</v>
      </c>
      <c r="H781" s="2" t="s">
        <v>8850</v>
      </c>
      <c r="I781" s="2" t="s">
        <v>8831</v>
      </c>
      <c r="J781" s="2" t="s">
        <v>61</v>
      </c>
      <c r="K781" s="13" t="n">
        <v>45053</v>
      </c>
      <c r="L781" s="2" t="s">
        <v>8855</v>
      </c>
      <c r="M781" s="2" t="s">
        <v>36</v>
      </c>
    </row>
    <row r="782" customFormat="false" ht="15" hidden="false" customHeight="false" outlineLevel="0" collapsed="false">
      <c r="A782" s="2" t="s">
        <v>1556</v>
      </c>
      <c r="B782" s="2" t="s">
        <v>8851</v>
      </c>
      <c r="C782" s="2" t="s">
        <v>8846</v>
      </c>
      <c r="D782" s="2" t="s">
        <v>8819</v>
      </c>
      <c r="E782" s="13" t="n">
        <v>32673</v>
      </c>
      <c r="F782" s="2" t="n">
        <v>254768864146</v>
      </c>
      <c r="G782" s="2" t="n">
        <v>11</v>
      </c>
      <c r="H782" s="2" t="s">
        <v>8850</v>
      </c>
      <c r="I782" s="2" t="s">
        <v>8828</v>
      </c>
      <c r="J782" s="2" t="s">
        <v>59</v>
      </c>
      <c r="K782" s="13" t="n">
        <v>45113</v>
      </c>
      <c r="L782" s="2" t="s">
        <v>8821</v>
      </c>
      <c r="M782" s="2" t="s">
        <v>8858</v>
      </c>
    </row>
    <row r="783" customFormat="false" ht="15" hidden="false" customHeight="false" outlineLevel="0" collapsed="false">
      <c r="A783" s="2" t="s">
        <v>7693</v>
      </c>
      <c r="B783" s="2" t="s">
        <v>8840</v>
      </c>
      <c r="C783" s="2" t="s">
        <v>8830</v>
      </c>
      <c r="D783" s="2" t="s">
        <v>8819</v>
      </c>
      <c r="E783" s="13" t="n">
        <v>25747</v>
      </c>
      <c r="F783" s="2" t="n">
        <v>254748238599</v>
      </c>
      <c r="G783" s="2" t="n">
        <v>1</v>
      </c>
      <c r="H783" s="2" t="s">
        <v>95</v>
      </c>
      <c r="I783" s="2" t="s">
        <v>8842</v>
      </c>
      <c r="J783" s="2" t="s">
        <v>61</v>
      </c>
      <c r="K783" s="13" t="n">
        <v>45653</v>
      </c>
      <c r="L783" s="2" t="s">
        <v>8821</v>
      </c>
      <c r="M783" s="2" t="s">
        <v>36</v>
      </c>
    </row>
    <row r="784" customFormat="false" ht="15" hidden="false" customHeight="false" outlineLevel="0" collapsed="false">
      <c r="A784" s="2" t="s">
        <v>2444</v>
      </c>
      <c r="B784" s="2" t="s">
        <v>8856</v>
      </c>
      <c r="C784" s="2" t="s">
        <v>8846</v>
      </c>
      <c r="D784" s="2" t="s">
        <v>8819</v>
      </c>
      <c r="E784" s="13" t="n">
        <v>29532</v>
      </c>
      <c r="F784" s="2" t="n">
        <v>254766518457</v>
      </c>
      <c r="G784" s="2" t="n">
        <v>8</v>
      </c>
      <c r="H784" s="2" t="s">
        <v>8850</v>
      </c>
      <c r="I784" s="2" t="s">
        <v>8852</v>
      </c>
      <c r="J784" s="2" t="s">
        <v>59</v>
      </c>
      <c r="K784" s="13" t="n">
        <v>45417</v>
      </c>
      <c r="L784" s="2" t="s">
        <v>8821</v>
      </c>
      <c r="M784" s="2" t="s">
        <v>8858</v>
      </c>
    </row>
    <row r="785" customFormat="false" ht="15" hidden="false" customHeight="false" outlineLevel="0" collapsed="false">
      <c r="A785" s="2" t="s">
        <v>3127</v>
      </c>
      <c r="B785" s="2" t="s">
        <v>8832</v>
      </c>
      <c r="C785" s="2" t="s">
        <v>8830</v>
      </c>
      <c r="D785" s="2" t="s">
        <v>8819</v>
      </c>
      <c r="E785" s="13" t="n">
        <v>37614</v>
      </c>
      <c r="F785" s="2" t="n">
        <v>254712839001</v>
      </c>
      <c r="G785" s="2" t="n">
        <v>3</v>
      </c>
      <c r="H785" s="2" t="s">
        <v>95</v>
      </c>
      <c r="I785" s="2" t="s">
        <v>8844</v>
      </c>
      <c r="J785" s="2" t="s">
        <v>62</v>
      </c>
      <c r="K785" s="13" t="n">
        <v>45325</v>
      </c>
      <c r="L785" s="2" t="s">
        <v>8821</v>
      </c>
      <c r="M785" s="2" t="s">
        <v>36</v>
      </c>
    </row>
    <row r="786" customFormat="false" ht="15" hidden="false" customHeight="false" outlineLevel="0" collapsed="false">
      <c r="A786" s="2" t="s">
        <v>6487</v>
      </c>
      <c r="B786" s="2" t="s">
        <v>8838</v>
      </c>
      <c r="C786" s="2" t="s">
        <v>8867</v>
      </c>
      <c r="D786" s="2" t="s">
        <v>8819</v>
      </c>
      <c r="E786" s="13" t="n">
        <v>26995</v>
      </c>
      <c r="F786" s="2" t="n">
        <v>254768294586</v>
      </c>
      <c r="G786" s="2" t="n">
        <v>8</v>
      </c>
      <c r="H786" s="2" t="s">
        <v>8850</v>
      </c>
      <c r="I786" s="2" t="s">
        <v>8834</v>
      </c>
      <c r="J786" s="2" t="s">
        <v>61</v>
      </c>
      <c r="K786" s="13" t="n">
        <v>45277</v>
      </c>
      <c r="L786" s="2" t="s">
        <v>8821</v>
      </c>
      <c r="M786" s="2" t="s">
        <v>8858</v>
      </c>
    </row>
    <row r="787" customFormat="false" ht="15" hidden="false" customHeight="false" outlineLevel="0" collapsed="false">
      <c r="A787" s="2" t="s">
        <v>3135</v>
      </c>
      <c r="B787" s="2" t="s">
        <v>8835</v>
      </c>
      <c r="C787" s="2" t="s">
        <v>8839</v>
      </c>
      <c r="D787" s="2" t="s">
        <v>8824</v>
      </c>
      <c r="E787" s="13" t="n">
        <v>31325</v>
      </c>
      <c r="F787" s="2" t="n">
        <v>254725437721</v>
      </c>
      <c r="G787" s="2" t="n">
        <v>14</v>
      </c>
      <c r="H787" s="2" t="s">
        <v>8850</v>
      </c>
      <c r="I787" s="2" t="s">
        <v>8864</v>
      </c>
      <c r="J787" s="2" t="s">
        <v>59</v>
      </c>
      <c r="K787" s="13" t="n">
        <v>45450</v>
      </c>
      <c r="L787" s="2" t="s">
        <v>8855</v>
      </c>
      <c r="M787" s="2" t="s">
        <v>36</v>
      </c>
    </row>
    <row r="788" customFormat="false" ht="15" hidden="false" customHeight="false" outlineLevel="0" collapsed="false">
      <c r="A788" s="2" t="s">
        <v>4503</v>
      </c>
      <c r="B788" s="2" t="s">
        <v>8875</v>
      </c>
      <c r="C788" s="2" t="s">
        <v>8861</v>
      </c>
      <c r="D788" s="2" t="s">
        <v>8819</v>
      </c>
      <c r="E788" s="13" t="n">
        <v>36886</v>
      </c>
      <c r="F788" s="2" t="n">
        <v>254735322723</v>
      </c>
      <c r="G788" s="2" t="n">
        <v>14</v>
      </c>
      <c r="H788" s="2" t="s">
        <v>95</v>
      </c>
      <c r="I788" s="2" t="s">
        <v>8831</v>
      </c>
      <c r="J788" s="2" t="s">
        <v>58</v>
      </c>
      <c r="K788" s="13" t="n">
        <v>45032</v>
      </c>
      <c r="L788" s="2" t="s">
        <v>8821</v>
      </c>
      <c r="M788" s="2" t="s">
        <v>8858</v>
      </c>
    </row>
    <row r="789" customFormat="false" ht="15" hidden="false" customHeight="false" outlineLevel="0" collapsed="false">
      <c r="A789" s="2" t="s">
        <v>1292</v>
      </c>
      <c r="B789" s="2" t="s">
        <v>8838</v>
      </c>
      <c r="C789" s="2" t="s">
        <v>8818</v>
      </c>
      <c r="D789" s="2" t="s">
        <v>8819</v>
      </c>
      <c r="E789" s="13" t="n">
        <v>26426</v>
      </c>
      <c r="F789" s="2" t="n">
        <v>254722205146</v>
      </c>
      <c r="G789" s="2" t="n">
        <v>14</v>
      </c>
      <c r="H789" s="2" t="s">
        <v>95</v>
      </c>
      <c r="I789" s="2" t="s">
        <v>8842</v>
      </c>
      <c r="J789" s="2" t="s">
        <v>61</v>
      </c>
      <c r="K789" s="13" t="n">
        <v>45076</v>
      </c>
      <c r="L789" s="2" t="s">
        <v>8821</v>
      </c>
      <c r="M789" s="2" t="s">
        <v>36</v>
      </c>
    </row>
    <row r="790" customFormat="false" ht="15" hidden="false" customHeight="false" outlineLevel="0" collapsed="false">
      <c r="A790" s="2" t="s">
        <v>5317</v>
      </c>
      <c r="B790" s="2" t="s">
        <v>8822</v>
      </c>
      <c r="C790" s="2" t="s">
        <v>8861</v>
      </c>
      <c r="D790" s="2" t="s">
        <v>8824</v>
      </c>
      <c r="E790" s="13" t="n">
        <v>30847</v>
      </c>
      <c r="F790" s="2" t="n">
        <v>254796419192</v>
      </c>
      <c r="G790" s="2" t="n">
        <v>1</v>
      </c>
      <c r="H790" s="2" t="s">
        <v>8850</v>
      </c>
      <c r="I790" s="2" t="s">
        <v>8825</v>
      </c>
      <c r="J790" s="2" t="s">
        <v>60</v>
      </c>
      <c r="K790" s="13" t="n">
        <v>45417</v>
      </c>
      <c r="L790" s="2" t="s">
        <v>8821</v>
      </c>
      <c r="M790" s="2" t="s">
        <v>36</v>
      </c>
    </row>
    <row r="791" customFormat="false" ht="15" hidden="false" customHeight="false" outlineLevel="0" collapsed="false">
      <c r="A791" s="2" t="s">
        <v>2907</v>
      </c>
      <c r="B791" s="2" t="s">
        <v>8878</v>
      </c>
      <c r="C791" s="2" t="s">
        <v>8823</v>
      </c>
      <c r="D791" s="2" t="s">
        <v>8819</v>
      </c>
      <c r="E791" s="13" t="n">
        <v>33952</v>
      </c>
      <c r="F791" s="2" t="n">
        <v>254715488046</v>
      </c>
      <c r="G791" s="2" t="n">
        <v>1</v>
      </c>
      <c r="H791" s="2" t="s">
        <v>95</v>
      </c>
      <c r="I791" s="2" t="s">
        <v>8852</v>
      </c>
      <c r="J791" s="2" t="s">
        <v>60</v>
      </c>
      <c r="K791" s="13" t="n">
        <v>45179</v>
      </c>
      <c r="L791" s="2" t="s">
        <v>8821</v>
      </c>
      <c r="M791" s="2" t="s">
        <v>36</v>
      </c>
    </row>
    <row r="792" customFormat="false" ht="15" hidden="false" customHeight="false" outlineLevel="0" collapsed="false">
      <c r="A792" s="2" t="s">
        <v>850</v>
      </c>
      <c r="B792" s="2" t="s">
        <v>8838</v>
      </c>
      <c r="C792" s="2" t="s">
        <v>8873</v>
      </c>
      <c r="D792" s="2" t="s">
        <v>8824</v>
      </c>
      <c r="E792" s="13" t="n">
        <v>36666</v>
      </c>
      <c r="F792" s="2" t="n">
        <v>254775939337</v>
      </c>
      <c r="G792" s="2" t="n">
        <v>6</v>
      </c>
      <c r="H792" s="2" t="s">
        <v>8850</v>
      </c>
      <c r="I792" s="2" t="s">
        <v>8834</v>
      </c>
      <c r="J792" s="2" t="s">
        <v>58</v>
      </c>
      <c r="K792" s="13" t="n">
        <v>45030</v>
      </c>
      <c r="L792" s="2" t="s">
        <v>8821</v>
      </c>
      <c r="M792" s="2" t="s">
        <v>36</v>
      </c>
    </row>
    <row r="793" customFormat="false" ht="15" hidden="false" customHeight="false" outlineLevel="0" collapsed="false">
      <c r="A793" s="2" t="s">
        <v>3827</v>
      </c>
      <c r="B793" s="2" t="s">
        <v>8871</v>
      </c>
      <c r="C793" s="2" t="s">
        <v>8881</v>
      </c>
      <c r="D793" s="2" t="s">
        <v>8824</v>
      </c>
      <c r="E793" s="13" t="n">
        <v>28653</v>
      </c>
      <c r="F793" s="2" t="n">
        <v>254741977671</v>
      </c>
      <c r="G793" s="2" t="n">
        <v>11</v>
      </c>
      <c r="H793" s="2" t="s">
        <v>8850</v>
      </c>
      <c r="I793" s="2" t="s">
        <v>8831</v>
      </c>
      <c r="J793" s="2" t="s">
        <v>62</v>
      </c>
      <c r="K793" s="13" t="n">
        <v>45297</v>
      </c>
      <c r="L793" s="2" t="s">
        <v>8855</v>
      </c>
      <c r="M793" s="2" t="s">
        <v>36</v>
      </c>
    </row>
    <row r="794" customFormat="false" ht="15" hidden="false" customHeight="false" outlineLevel="0" collapsed="false">
      <c r="A794" s="2" t="s">
        <v>1275</v>
      </c>
      <c r="B794" s="2" t="s">
        <v>8829</v>
      </c>
      <c r="C794" s="2" t="s">
        <v>8823</v>
      </c>
      <c r="D794" s="2" t="s">
        <v>8819</v>
      </c>
      <c r="E794" s="13" t="n">
        <v>27840</v>
      </c>
      <c r="F794" s="2" t="n">
        <v>254735894291</v>
      </c>
      <c r="G794" s="2" t="n">
        <v>12</v>
      </c>
      <c r="H794" s="2" t="s">
        <v>8850</v>
      </c>
      <c r="I794" s="2" t="s">
        <v>8825</v>
      </c>
      <c r="J794" s="2" t="s">
        <v>58</v>
      </c>
      <c r="K794" s="13" t="n">
        <v>45543</v>
      </c>
      <c r="L794" s="2" t="s">
        <v>8821</v>
      </c>
      <c r="M794" s="2" t="s">
        <v>36</v>
      </c>
    </row>
    <row r="795" customFormat="false" ht="15" hidden="false" customHeight="false" outlineLevel="0" collapsed="false">
      <c r="A795" s="2" t="s">
        <v>2215</v>
      </c>
      <c r="B795" s="2" t="s">
        <v>8822</v>
      </c>
      <c r="C795" s="2" t="s">
        <v>8833</v>
      </c>
      <c r="D795" s="2" t="s">
        <v>8819</v>
      </c>
      <c r="E795" s="13" t="n">
        <v>36634</v>
      </c>
      <c r="F795" s="2" t="n">
        <v>254766131539</v>
      </c>
      <c r="G795" s="2" t="n">
        <v>9</v>
      </c>
      <c r="H795" s="2" t="s">
        <v>8850</v>
      </c>
      <c r="I795" s="2" t="s">
        <v>8857</v>
      </c>
      <c r="J795" s="2" t="s">
        <v>60</v>
      </c>
      <c r="K795" s="13" t="n">
        <v>45084</v>
      </c>
      <c r="L795" s="2" t="s">
        <v>8821</v>
      </c>
      <c r="M795" s="2" t="s">
        <v>8858</v>
      </c>
    </row>
    <row r="796" customFormat="false" ht="15" hidden="false" customHeight="false" outlineLevel="0" collapsed="false">
      <c r="A796" s="2" t="s">
        <v>1419</v>
      </c>
      <c r="B796" s="2" t="s">
        <v>8838</v>
      </c>
      <c r="C796" s="2" t="s">
        <v>8861</v>
      </c>
      <c r="D796" s="2" t="s">
        <v>8819</v>
      </c>
      <c r="E796" s="13" t="n">
        <v>28309</v>
      </c>
      <c r="F796" s="2" t="n">
        <v>254732405653</v>
      </c>
      <c r="G796" s="2" t="n">
        <v>10</v>
      </c>
      <c r="H796" s="2" t="s">
        <v>8850</v>
      </c>
      <c r="I796" s="2" t="s">
        <v>8864</v>
      </c>
      <c r="J796" s="2" t="s">
        <v>59</v>
      </c>
      <c r="K796" s="13" t="n">
        <v>45421</v>
      </c>
      <c r="L796" s="2" t="s">
        <v>8821</v>
      </c>
      <c r="M796" s="2" t="s">
        <v>36</v>
      </c>
    </row>
    <row r="797" customFormat="false" ht="15" hidden="false" customHeight="false" outlineLevel="0" collapsed="false">
      <c r="A797" s="2" t="s">
        <v>2104</v>
      </c>
      <c r="B797" s="2" t="s">
        <v>8877</v>
      </c>
      <c r="C797" s="2" t="s">
        <v>8863</v>
      </c>
      <c r="D797" s="2" t="s">
        <v>8819</v>
      </c>
      <c r="E797" s="13" t="n">
        <v>27005</v>
      </c>
      <c r="F797" s="2" t="n">
        <v>254732215479</v>
      </c>
      <c r="G797" s="2" t="n">
        <v>8</v>
      </c>
      <c r="H797" s="2" t="s">
        <v>8850</v>
      </c>
      <c r="I797" s="2" t="s">
        <v>8857</v>
      </c>
      <c r="J797" s="2" t="s">
        <v>61</v>
      </c>
      <c r="K797" s="13" t="n">
        <v>45334</v>
      </c>
      <c r="L797" s="2" t="s">
        <v>8855</v>
      </c>
      <c r="M797" s="2" t="s">
        <v>36</v>
      </c>
    </row>
    <row r="798" customFormat="false" ht="15" hidden="false" customHeight="false" outlineLevel="0" collapsed="false">
      <c r="A798" s="2" t="s">
        <v>1972</v>
      </c>
      <c r="B798" s="2" t="s">
        <v>8862</v>
      </c>
      <c r="C798" s="2" t="s">
        <v>8841</v>
      </c>
      <c r="D798" s="2" t="s">
        <v>8819</v>
      </c>
      <c r="E798" s="13" t="n">
        <v>30376</v>
      </c>
      <c r="F798" s="2" t="n">
        <v>254778826270</v>
      </c>
      <c r="G798" s="2" t="n">
        <v>8</v>
      </c>
      <c r="H798" s="2" t="s">
        <v>8850</v>
      </c>
      <c r="I798" s="2" t="s">
        <v>8834</v>
      </c>
      <c r="J798" s="2" t="s">
        <v>59</v>
      </c>
      <c r="K798" s="13" t="n">
        <v>45090</v>
      </c>
      <c r="L798" s="2" t="s">
        <v>8821</v>
      </c>
      <c r="M798" s="2" t="s">
        <v>36</v>
      </c>
    </row>
    <row r="799" customFormat="false" ht="15" hidden="false" customHeight="false" outlineLevel="0" collapsed="false">
      <c r="A799" s="2" t="s">
        <v>885</v>
      </c>
      <c r="B799" s="2" t="s">
        <v>8851</v>
      </c>
      <c r="C799" s="2" t="s">
        <v>8839</v>
      </c>
      <c r="D799" s="2" t="s">
        <v>8824</v>
      </c>
      <c r="E799" s="13" t="n">
        <v>28192</v>
      </c>
      <c r="F799" s="2" t="n">
        <v>254715246661</v>
      </c>
      <c r="G799" s="2" t="n">
        <v>11</v>
      </c>
      <c r="H799" s="2" t="s">
        <v>95</v>
      </c>
      <c r="I799" s="2" t="s">
        <v>8834</v>
      </c>
      <c r="J799" s="2" t="s">
        <v>59</v>
      </c>
      <c r="K799" s="13" t="n">
        <v>44973</v>
      </c>
      <c r="L799" s="2" t="s">
        <v>8821</v>
      </c>
      <c r="M799" s="2" t="s">
        <v>36</v>
      </c>
    </row>
    <row r="800" customFormat="false" ht="15" hidden="false" customHeight="false" outlineLevel="0" collapsed="false">
      <c r="A800" s="2" t="s">
        <v>2684</v>
      </c>
      <c r="B800" s="2" t="s">
        <v>8817</v>
      </c>
      <c r="C800" s="2" t="s">
        <v>8888</v>
      </c>
      <c r="D800" s="2" t="s">
        <v>8824</v>
      </c>
      <c r="E800" s="13" t="n">
        <v>31155</v>
      </c>
      <c r="F800" s="2" t="n">
        <v>254753561957</v>
      </c>
      <c r="G800" s="2" t="n">
        <v>2</v>
      </c>
      <c r="H800" s="2" t="s">
        <v>8850</v>
      </c>
      <c r="I800" s="2" t="s">
        <v>8864</v>
      </c>
      <c r="J800" s="2" t="s">
        <v>59</v>
      </c>
      <c r="K800" s="13" t="n">
        <v>45045</v>
      </c>
      <c r="L800" s="2" t="s">
        <v>8855</v>
      </c>
      <c r="M800" s="2" t="s">
        <v>36</v>
      </c>
    </row>
    <row r="801" customFormat="false" ht="15" hidden="false" customHeight="false" outlineLevel="0" collapsed="false">
      <c r="A801" s="2" t="s">
        <v>579</v>
      </c>
      <c r="B801" s="2" t="s">
        <v>8872</v>
      </c>
      <c r="C801" s="2" t="s">
        <v>8888</v>
      </c>
      <c r="D801" s="2" t="s">
        <v>8819</v>
      </c>
      <c r="E801" s="13" t="n">
        <v>32894</v>
      </c>
      <c r="F801" s="2" t="n">
        <v>254747539330</v>
      </c>
      <c r="G801" s="2" t="n">
        <v>3</v>
      </c>
      <c r="H801" s="2" t="s">
        <v>8850</v>
      </c>
      <c r="I801" s="2" t="s">
        <v>8820</v>
      </c>
      <c r="J801" s="2" t="s">
        <v>62</v>
      </c>
      <c r="K801" s="13" t="n">
        <v>44937</v>
      </c>
      <c r="L801" s="2" t="s">
        <v>8821</v>
      </c>
      <c r="M801" s="2" t="s">
        <v>8858</v>
      </c>
    </row>
    <row r="802" customFormat="false" ht="15" hidden="false" customHeight="false" outlineLevel="0" collapsed="false">
      <c r="A802" s="2" t="s">
        <v>1850</v>
      </c>
      <c r="B802" s="2" t="s">
        <v>8851</v>
      </c>
      <c r="C802" s="2" t="s">
        <v>8841</v>
      </c>
      <c r="D802" s="2" t="s">
        <v>8824</v>
      </c>
      <c r="E802" s="13" t="n">
        <v>31737</v>
      </c>
      <c r="F802" s="2" t="n">
        <v>254739613670</v>
      </c>
      <c r="G802" s="2" t="n">
        <v>6</v>
      </c>
      <c r="H802" s="2" t="s">
        <v>8850</v>
      </c>
      <c r="I802" s="2" t="s">
        <v>8831</v>
      </c>
      <c r="J802" s="2" t="s">
        <v>62</v>
      </c>
      <c r="K802" s="13" t="n">
        <v>45545</v>
      </c>
      <c r="L802" s="2" t="s">
        <v>8855</v>
      </c>
      <c r="M802" s="2" t="s">
        <v>36</v>
      </c>
    </row>
    <row r="803" customFormat="false" ht="15" hidden="false" customHeight="false" outlineLevel="0" collapsed="false">
      <c r="A803" s="2" t="s">
        <v>4405</v>
      </c>
      <c r="B803" s="2" t="s">
        <v>8879</v>
      </c>
      <c r="C803" s="2" t="s">
        <v>8833</v>
      </c>
      <c r="D803" s="2" t="s">
        <v>8824</v>
      </c>
      <c r="E803" s="13" t="n">
        <v>35909</v>
      </c>
      <c r="F803" s="2" t="n">
        <v>254722575001</v>
      </c>
      <c r="G803" s="2" t="n">
        <v>8</v>
      </c>
      <c r="H803" s="2" t="s">
        <v>95</v>
      </c>
      <c r="I803" s="2" t="s">
        <v>8847</v>
      </c>
      <c r="J803" s="2" t="s">
        <v>59</v>
      </c>
      <c r="K803" s="13" t="n">
        <v>45371</v>
      </c>
      <c r="L803" s="2" t="s">
        <v>8821</v>
      </c>
      <c r="M803" s="2" t="s">
        <v>36</v>
      </c>
    </row>
    <row r="804" customFormat="false" ht="15" hidden="false" customHeight="false" outlineLevel="0" collapsed="false">
      <c r="A804" s="2" t="s">
        <v>1087</v>
      </c>
      <c r="B804" s="2" t="s">
        <v>8883</v>
      </c>
      <c r="C804" s="2" t="s">
        <v>8818</v>
      </c>
      <c r="D804" s="2" t="s">
        <v>8824</v>
      </c>
      <c r="E804" s="13" t="n">
        <v>37231</v>
      </c>
      <c r="F804" s="2" t="n">
        <v>254731866570</v>
      </c>
      <c r="G804" s="2" t="n">
        <v>15</v>
      </c>
      <c r="H804" s="2" t="s">
        <v>95</v>
      </c>
      <c r="I804" s="2" t="s">
        <v>8842</v>
      </c>
      <c r="J804" s="2" t="s">
        <v>62</v>
      </c>
      <c r="K804" s="13" t="n">
        <v>45590</v>
      </c>
      <c r="L804" s="2" t="s">
        <v>8821</v>
      </c>
      <c r="M804" s="2" t="s">
        <v>36</v>
      </c>
    </row>
    <row r="805" customFormat="false" ht="15" hidden="false" customHeight="false" outlineLevel="0" collapsed="false">
      <c r="A805" s="2" t="s">
        <v>4457</v>
      </c>
      <c r="B805" s="2" t="s">
        <v>8860</v>
      </c>
      <c r="C805" s="2" t="s">
        <v>8876</v>
      </c>
      <c r="D805" s="2" t="s">
        <v>8819</v>
      </c>
      <c r="E805" s="13" t="n">
        <v>28900</v>
      </c>
      <c r="F805" s="2" t="n">
        <v>254780703020</v>
      </c>
      <c r="G805" s="2" t="n">
        <v>3</v>
      </c>
      <c r="H805" s="2" t="s">
        <v>95</v>
      </c>
      <c r="I805" s="2" t="s">
        <v>8848</v>
      </c>
      <c r="J805" s="2" t="s">
        <v>58</v>
      </c>
      <c r="K805" s="13" t="n">
        <v>45178</v>
      </c>
      <c r="L805" s="2" t="s">
        <v>8855</v>
      </c>
      <c r="M805" s="2" t="s">
        <v>8858</v>
      </c>
    </row>
    <row r="806" customFormat="false" ht="15" hidden="false" customHeight="false" outlineLevel="0" collapsed="false">
      <c r="A806" s="2" t="s">
        <v>5019</v>
      </c>
      <c r="B806" s="2" t="s">
        <v>8853</v>
      </c>
      <c r="C806" s="2" t="s">
        <v>8823</v>
      </c>
      <c r="D806" s="2" t="s">
        <v>8819</v>
      </c>
      <c r="E806" s="13" t="n">
        <v>25991</v>
      </c>
      <c r="F806" s="2" t="n">
        <v>254743332025</v>
      </c>
      <c r="G806" s="2" t="n">
        <v>13</v>
      </c>
      <c r="H806" s="2" t="s">
        <v>95</v>
      </c>
      <c r="I806" s="2" t="s">
        <v>8834</v>
      </c>
      <c r="J806" s="2" t="s">
        <v>59</v>
      </c>
      <c r="K806" s="13" t="n">
        <v>44940</v>
      </c>
      <c r="L806" s="2" t="s">
        <v>8821</v>
      </c>
      <c r="M806" s="2" t="s">
        <v>36</v>
      </c>
    </row>
    <row r="807" customFormat="false" ht="15" hidden="false" customHeight="false" outlineLevel="0" collapsed="false">
      <c r="A807" s="2" t="s">
        <v>914</v>
      </c>
      <c r="B807" s="2" t="s">
        <v>8885</v>
      </c>
      <c r="C807" s="2" t="s">
        <v>8827</v>
      </c>
      <c r="D807" s="2" t="s">
        <v>8819</v>
      </c>
      <c r="E807" s="13" t="n">
        <v>28027</v>
      </c>
      <c r="F807" s="2" t="n">
        <v>254728687147</v>
      </c>
      <c r="G807" s="2" t="n">
        <v>8</v>
      </c>
      <c r="H807" s="2" t="s">
        <v>8850</v>
      </c>
      <c r="I807" s="2" t="s">
        <v>8828</v>
      </c>
      <c r="J807" s="2" t="s">
        <v>60</v>
      </c>
      <c r="K807" s="13" t="n">
        <v>45273</v>
      </c>
      <c r="L807" s="2" t="s">
        <v>8821</v>
      </c>
      <c r="M807" s="2" t="s">
        <v>8858</v>
      </c>
    </row>
    <row r="808" customFormat="false" ht="15" hidden="false" customHeight="false" outlineLevel="0" collapsed="false">
      <c r="A808" s="2" t="s">
        <v>4159</v>
      </c>
      <c r="B808" s="2" t="s">
        <v>8875</v>
      </c>
      <c r="C808" s="2" t="s">
        <v>8846</v>
      </c>
      <c r="D808" s="2" t="s">
        <v>8819</v>
      </c>
      <c r="E808" s="13" t="n">
        <v>28947</v>
      </c>
      <c r="F808" s="2" t="n">
        <v>254712846476</v>
      </c>
      <c r="G808" s="2" t="n">
        <v>14</v>
      </c>
      <c r="H808" s="2" t="s">
        <v>95</v>
      </c>
      <c r="I808" s="2" t="s">
        <v>8825</v>
      </c>
      <c r="J808" s="2" t="s">
        <v>62</v>
      </c>
      <c r="K808" s="13" t="n">
        <v>45483</v>
      </c>
      <c r="L808" s="2" t="s">
        <v>8821</v>
      </c>
      <c r="M808" s="2" t="s">
        <v>36</v>
      </c>
    </row>
    <row r="809" customFormat="false" ht="15" hidden="false" customHeight="false" outlineLevel="0" collapsed="false">
      <c r="A809" s="2" t="s">
        <v>1130</v>
      </c>
      <c r="B809" s="2" t="s">
        <v>8882</v>
      </c>
      <c r="C809" s="2" t="s">
        <v>8839</v>
      </c>
      <c r="D809" s="2" t="s">
        <v>8819</v>
      </c>
      <c r="E809" s="13" t="n">
        <v>37442</v>
      </c>
      <c r="F809" s="2" t="n">
        <v>254740423822</v>
      </c>
      <c r="G809" s="2" t="n">
        <v>7</v>
      </c>
      <c r="H809" s="2" t="s">
        <v>8850</v>
      </c>
      <c r="I809" s="2" t="s">
        <v>8828</v>
      </c>
      <c r="J809" s="2" t="s">
        <v>60</v>
      </c>
      <c r="K809" s="13" t="n">
        <v>44928</v>
      </c>
      <c r="L809" s="2" t="s">
        <v>8821</v>
      </c>
      <c r="M809" s="2" t="s">
        <v>36</v>
      </c>
    </row>
    <row r="810" customFormat="false" ht="15" hidden="false" customHeight="false" outlineLevel="0" collapsed="false">
      <c r="A810" s="2" t="s">
        <v>1724</v>
      </c>
      <c r="B810" s="2" t="s">
        <v>8877</v>
      </c>
      <c r="C810" s="2" t="s">
        <v>8873</v>
      </c>
      <c r="D810" s="2" t="s">
        <v>8819</v>
      </c>
      <c r="E810" s="13" t="n">
        <v>34661</v>
      </c>
      <c r="F810" s="2" t="n">
        <v>254740134894</v>
      </c>
      <c r="G810" s="2" t="n">
        <v>2</v>
      </c>
      <c r="H810" s="2" t="s">
        <v>8850</v>
      </c>
      <c r="I810" s="2" t="s">
        <v>8844</v>
      </c>
      <c r="J810" s="2" t="s">
        <v>58</v>
      </c>
      <c r="K810" s="13" t="n">
        <v>45042</v>
      </c>
      <c r="L810" s="2" t="s">
        <v>8821</v>
      </c>
      <c r="M810" s="2" t="s">
        <v>36</v>
      </c>
    </row>
    <row r="811" customFormat="false" ht="15" hidden="false" customHeight="false" outlineLevel="0" collapsed="false">
      <c r="A811" s="2" t="s">
        <v>2806</v>
      </c>
      <c r="B811" s="2" t="s">
        <v>8832</v>
      </c>
      <c r="C811" s="2" t="s">
        <v>8873</v>
      </c>
      <c r="D811" s="2" t="s">
        <v>8824</v>
      </c>
      <c r="E811" s="13" t="n">
        <v>34002</v>
      </c>
      <c r="F811" s="2" t="n">
        <v>254781199906</v>
      </c>
      <c r="G811" s="2" t="n">
        <v>6</v>
      </c>
      <c r="H811" s="2" t="s">
        <v>95</v>
      </c>
      <c r="I811" s="2" t="s">
        <v>8852</v>
      </c>
      <c r="J811" s="2" t="s">
        <v>61</v>
      </c>
      <c r="K811" s="13" t="n">
        <v>45546</v>
      </c>
      <c r="L811" s="2" t="s">
        <v>8821</v>
      </c>
      <c r="M811" s="2" t="s">
        <v>36</v>
      </c>
    </row>
    <row r="812" customFormat="false" ht="15" hidden="false" customHeight="false" outlineLevel="0" collapsed="false">
      <c r="A812" s="2" t="s">
        <v>1650</v>
      </c>
      <c r="B812" s="2" t="s">
        <v>8882</v>
      </c>
      <c r="C812" s="2" t="s">
        <v>8859</v>
      </c>
      <c r="D812" s="2" t="s">
        <v>8824</v>
      </c>
      <c r="E812" s="13" t="n">
        <v>32298</v>
      </c>
      <c r="F812" s="2" t="n">
        <v>254745621515</v>
      </c>
      <c r="G812" s="2" t="n">
        <v>13</v>
      </c>
      <c r="H812" s="2" t="s">
        <v>95</v>
      </c>
      <c r="I812" s="2" t="s">
        <v>8820</v>
      </c>
      <c r="J812" s="2" t="s">
        <v>59</v>
      </c>
      <c r="K812" s="13" t="n">
        <v>45204</v>
      </c>
      <c r="L812" s="2" t="s">
        <v>8821</v>
      </c>
      <c r="M812" s="2" t="s">
        <v>36</v>
      </c>
    </row>
    <row r="813" customFormat="false" ht="15" hidden="false" customHeight="false" outlineLevel="0" collapsed="false">
      <c r="A813" s="2" t="s">
        <v>896</v>
      </c>
      <c r="B813" s="2" t="s">
        <v>8872</v>
      </c>
      <c r="C813" s="2" t="s">
        <v>8827</v>
      </c>
      <c r="D813" s="2" t="s">
        <v>8819</v>
      </c>
      <c r="E813" s="13" t="n">
        <v>29051</v>
      </c>
      <c r="F813" s="2" t="n">
        <v>254787556758</v>
      </c>
      <c r="G813" s="2" t="n">
        <v>7</v>
      </c>
      <c r="H813" s="2" t="s">
        <v>8850</v>
      </c>
      <c r="I813" s="2" t="s">
        <v>8828</v>
      </c>
      <c r="J813" s="2" t="s">
        <v>58</v>
      </c>
      <c r="K813" s="13" t="n">
        <v>45416</v>
      </c>
      <c r="L813" s="2" t="s">
        <v>8821</v>
      </c>
      <c r="M813" s="2" t="s">
        <v>36</v>
      </c>
    </row>
    <row r="814" customFormat="false" ht="15" hidden="false" customHeight="false" outlineLevel="0" collapsed="false">
      <c r="A814" s="2" t="s">
        <v>3803</v>
      </c>
      <c r="B814" s="2" t="s">
        <v>8877</v>
      </c>
      <c r="C814" s="2" t="s">
        <v>8865</v>
      </c>
      <c r="D814" s="2" t="s">
        <v>8824</v>
      </c>
      <c r="E814" s="13" t="n">
        <v>29779</v>
      </c>
      <c r="F814" s="2" t="n">
        <v>254765558669</v>
      </c>
      <c r="G814" s="2" t="n">
        <v>10</v>
      </c>
      <c r="H814" s="2" t="s">
        <v>8850</v>
      </c>
      <c r="I814" s="2" t="s">
        <v>8828</v>
      </c>
      <c r="J814" s="2" t="s">
        <v>59</v>
      </c>
      <c r="K814" s="13" t="n">
        <v>45253</v>
      </c>
      <c r="L814" s="2" t="s">
        <v>8855</v>
      </c>
      <c r="M814" s="2" t="s">
        <v>8858</v>
      </c>
    </row>
    <row r="815" customFormat="false" ht="15" hidden="false" customHeight="false" outlineLevel="0" collapsed="false">
      <c r="A815" s="2" t="s">
        <v>2570</v>
      </c>
      <c r="B815" s="2" t="s">
        <v>8851</v>
      </c>
      <c r="C815" s="2" t="s">
        <v>8863</v>
      </c>
      <c r="D815" s="2" t="s">
        <v>8819</v>
      </c>
      <c r="E815" s="13" t="n">
        <v>37152</v>
      </c>
      <c r="F815" s="2" t="n">
        <v>254761623796</v>
      </c>
      <c r="G815" s="2" t="n">
        <v>2</v>
      </c>
      <c r="H815" s="2" t="s">
        <v>8850</v>
      </c>
      <c r="I815" s="2" t="s">
        <v>8857</v>
      </c>
      <c r="J815" s="2" t="s">
        <v>62</v>
      </c>
      <c r="K815" s="13" t="n">
        <v>45431</v>
      </c>
      <c r="L815" s="2" t="s">
        <v>8821</v>
      </c>
      <c r="M815" s="2" t="s">
        <v>36</v>
      </c>
    </row>
    <row r="816" customFormat="false" ht="15" hidden="false" customHeight="false" outlineLevel="0" collapsed="false">
      <c r="A816" s="2" t="s">
        <v>3234</v>
      </c>
      <c r="B816" s="2" t="s">
        <v>8885</v>
      </c>
      <c r="C816" s="2" t="s">
        <v>8818</v>
      </c>
      <c r="D816" s="2" t="s">
        <v>8824</v>
      </c>
      <c r="E816" s="13" t="n">
        <v>31199</v>
      </c>
      <c r="F816" s="2" t="n">
        <v>254784943752</v>
      </c>
      <c r="G816" s="2" t="n">
        <v>8</v>
      </c>
      <c r="H816" s="2" t="s">
        <v>95</v>
      </c>
      <c r="I816" s="2" t="s">
        <v>8825</v>
      </c>
      <c r="J816" s="2" t="s">
        <v>58</v>
      </c>
      <c r="K816" s="13" t="n">
        <v>45135</v>
      </c>
      <c r="L816" s="2" t="s">
        <v>8821</v>
      </c>
      <c r="M816" s="2" t="s">
        <v>36</v>
      </c>
    </row>
    <row r="817" customFormat="false" ht="15" hidden="false" customHeight="false" outlineLevel="0" collapsed="false">
      <c r="A817" s="2" t="s">
        <v>6491</v>
      </c>
      <c r="B817" s="2" t="s">
        <v>8872</v>
      </c>
      <c r="C817" s="2" t="s">
        <v>8863</v>
      </c>
      <c r="D817" s="2" t="s">
        <v>8824</v>
      </c>
      <c r="E817" s="13" t="n">
        <v>28625</v>
      </c>
      <c r="F817" s="2" t="n">
        <v>254742547451</v>
      </c>
      <c r="G817" s="2" t="n">
        <v>4</v>
      </c>
      <c r="H817" s="2" t="s">
        <v>95</v>
      </c>
      <c r="I817" s="2" t="s">
        <v>8820</v>
      </c>
      <c r="J817" s="2" t="s">
        <v>59</v>
      </c>
      <c r="K817" s="13" t="n">
        <v>45074</v>
      </c>
      <c r="L817" s="2" t="s">
        <v>8821</v>
      </c>
      <c r="M817" s="2" t="s">
        <v>36</v>
      </c>
    </row>
    <row r="818" customFormat="false" ht="15" hidden="false" customHeight="false" outlineLevel="0" collapsed="false">
      <c r="A818" s="2" t="s">
        <v>4559</v>
      </c>
      <c r="B818" s="2" t="s">
        <v>8838</v>
      </c>
      <c r="C818" s="2" t="s">
        <v>8888</v>
      </c>
      <c r="D818" s="2" t="s">
        <v>8819</v>
      </c>
      <c r="E818" s="13" t="n">
        <v>34669</v>
      </c>
      <c r="F818" s="2" t="n">
        <v>254724228398</v>
      </c>
      <c r="G818" s="2" t="n">
        <v>11</v>
      </c>
      <c r="H818" s="2" t="s">
        <v>95</v>
      </c>
      <c r="I818" s="2" t="s">
        <v>8847</v>
      </c>
      <c r="J818" s="2" t="s">
        <v>62</v>
      </c>
      <c r="K818" s="13" t="n">
        <v>45639</v>
      </c>
      <c r="L818" s="2" t="s">
        <v>8821</v>
      </c>
      <c r="M818" s="2" t="s">
        <v>36</v>
      </c>
    </row>
    <row r="819" customFormat="false" ht="15" hidden="false" customHeight="false" outlineLevel="0" collapsed="false">
      <c r="A819" s="2" t="s">
        <v>7967</v>
      </c>
      <c r="B819" s="2" t="s">
        <v>8843</v>
      </c>
      <c r="C819" s="2" t="s">
        <v>8827</v>
      </c>
      <c r="D819" s="2" t="s">
        <v>8819</v>
      </c>
      <c r="E819" s="13" t="n">
        <v>29011</v>
      </c>
      <c r="F819" s="2" t="n">
        <v>254786394469</v>
      </c>
      <c r="G819" s="2" t="n">
        <v>14</v>
      </c>
      <c r="H819" s="2" t="s">
        <v>8850</v>
      </c>
      <c r="I819" s="2" t="s">
        <v>8828</v>
      </c>
      <c r="J819" s="2" t="s">
        <v>59</v>
      </c>
      <c r="K819" s="13" t="n">
        <v>45007</v>
      </c>
      <c r="L819" s="2" t="s">
        <v>8855</v>
      </c>
      <c r="M819" s="2" t="s">
        <v>36</v>
      </c>
    </row>
    <row r="820" customFormat="false" ht="15" hidden="false" customHeight="false" outlineLevel="0" collapsed="false">
      <c r="A820" s="2" t="s">
        <v>5075</v>
      </c>
      <c r="B820" s="2" t="s">
        <v>8860</v>
      </c>
      <c r="C820" s="2" t="s">
        <v>8818</v>
      </c>
      <c r="D820" s="2" t="s">
        <v>8824</v>
      </c>
      <c r="E820" s="13" t="n">
        <v>32734</v>
      </c>
      <c r="F820" s="2" t="n">
        <v>254724933959</v>
      </c>
      <c r="G820" s="2" t="n">
        <v>3</v>
      </c>
      <c r="H820" s="2" t="s">
        <v>95</v>
      </c>
      <c r="I820" s="2" t="s">
        <v>8852</v>
      </c>
      <c r="J820" s="2" t="s">
        <v>58</v>
      </c>
      <c r="K820" s="13" t="n">
        <v>45272</v>
      </c>
      <c r="L820" s="2" t="s">
        <v>8821</v>
      </c>
      <c r="M820" s="2" t="s">
        <v>36</v>
      </c>
    </row>
    <row r="821" customFormat="false" ht="15" hidden="false" customHeight="false" outlineLevel="0" collapsed="false">
      <c r="A821" s="2" t="s">
        <v>3739</v>
      </c>
      <c r="B821" s="2" t="s">
        <v>8856</v>
      </c>
      <c r="C821" s="2" t="s">
        <v>8870</v>
      </c>
      <c r="D821" s="2" t="s">
        <v>8824</v>
      </c>
      <c r="E821" s="13" t="n">
        <v>25776</v>
      </c>
      <c r="F821" s="2" t="n">
        <v>254786781282</v>
      </c>
      <c r="G821" s="2" t="n">
        <v>9</v>
      </c>
      <c r="H821" s="2" t="s">
        <v>8850</v>
      </c>
      <c r="I821" s="2" t="s">
        <v>8864</v>
      </c>
      <c r="J821" s="2" t="s">
        <v>59</v>
      </c>
      <c r="K821" s="13" t="n">
        <v>45360</v>
      </c>
      <c r="L821" s="2" t="s">
        <v>8855</v>
      </c>
      <c r="M821" s="2" t="s">
        <v>36</v>
      </c>
    </row>
    <row r="822" customFormat="false" ht="15" hidden="false" customHeight="false" outlineLevel="0" collapsed="false">
      <c r="A822" s="2" t="s">
        <v>521</v>
      </c>
      <c r="B822" s="2" t="s">
        <v>8832</v>
      </c>
      <c r="C822" s="2" t="s">
        <v>8841</v>
      </c>
      <c r="D822" s="2" t="s">
        <v>8824</v>
      </c>
      <c r="E822" s="13" t="n">
        <v>31825</v>
      </c>
      <c r="F822" s="2" t="n">
        <v>254793086647</v>
      </c>
      <c r="G822" s="2" t="n">
        <v>1</v>
      </c>
      <c r="H822" s="2" t="s">
        <v>95</v>
      </c>
      <c r="I822" s="2" t="s">
        <v>8842</v>
      </c>
      <c r="J822" s="2" t="s">
        <v>59</v>
      </c>
      <c r="K822" s="13" t="n">
        <v>45313</v>
      </c>
      <c r="L822" s="2" t="s">
        <v>8821</v>
      </c>
      <c r="M822" s="2" t="s">
        <v>8858</v>
      </c>
    </row>
    <row r="823" customFormat="false" ht="15" hidden="false" customHeight="false" outlineLevel="0" collapsed="false">
      <c r="A823" s="2" t="s">
        <v>161</v>
      </c>
      <c r="B823" s="2" t="s">
        <v>8866</v>
      </c>
      <c r="C823" s="2" t="s">
        <v>8876</v>
      </c>
      <c r="D823" s="2" t="s">
        <v>8819</v>
      </c>
      <c r="E823" s="13" t="n">
        <v>36698</v>
      </c>
      <c r="F823" s="2" t="n">
        <v>254717337905</v>
      </c>
      <c r="G823" s="2" t="n">
        <v>13</v>
      </c>
      <c r="H823" s="2" t="s">
        <v>8850</v>
      </c>
      <c r="I823" s="2" t="s">
        <v>8852</v>
      </c>
      <c r="J823" s="2" t="s">
        <v>61</v>
      </c>
      <c r="K823" s="13" t="n">
        <v>45584</v>
      </c>
      <c r="L823" s="2" t="s">
        <v>8821</v>
      </c>
      <c r="M823" s="2" t="s">
        <v>36</v>
      </c>
    </row>
    <row r="824" customFormat="false" ht="15" hidden="false" customHeight="false" outlineLevel="0" collapsed="false">
      <c r="A824" s="2" t="s">
        <v>7663</v>
      </c>
      <c r="B824" s="2" t="s">
        <v>8849</v>
      </c>
      <c r="C824" s="2" t="s">
        <v>8869</v>
      </c>
      <c r="D824" s="2" t="s">
        <v>8819</v>
      </c>
      <c r="E824" s="13" t="n">
        <v>27793</v>
      </c>
      <c r="F824" s="2" t="n">
        <v>254742149161</v>
      </c>
      <c r="G824" s="2" t="n">
        <v>5</v>
      </c>
      <c r="H824" s="2" t="s">
        <v>95</v>
      </c>
      <c r="I824" s="2" t="s">
        <v>8857</v>
      </c>
      <c r="J824" s="2" t="s">
        <v>58</v>
      </c>
      <c r="K824" s="13" t="n">
        <v>45298</v>
      </c>
      <c r="L824" s="2" t="s">
        <v>8821</v>
      </c>
      <c r="M824" s="2" t="s">
        <v>36</v>
      </c>
    </row>
    <row r="825" customFormat="false" ht="15" hidden="false" customHeight="false" outlineLevel="0" collapsed="false">
      <c r="A825" s="2" t="s">
        <v>3535</v>
      </c>
      <c r="B825" s="2" t="s">
        <v>8840</v>
      </c>
      <c r="C825" s="2" t="s">
        <v>8823</v>
      </c>
      <c r="D825" s="2" t="s">
        <v>8819</v>
      </c>
      <c r="E825" s="13" t="n">
        <v>25695</v>
      </c>
      <c r="F825" s="2" t="n">
        <v>254746127119</v>
      </c>
      <c r="G825" s="2" t="n">
        <v>2</v>
      </c>
      <c r="H825" s="2" t="s">
        <v>95</v>
      </c>
      <c r="I825" s="2" t="s">
        <v>8848</v>
      </c>
      <c r="J825" s="2" t="s">
        <v>61</v>
      </c>
      <c r="K825" s="13" t="n">
        <v>45491</v>
      </c>
      <c r="L825" s="2" t="s">
        <v>8821</v>
      </c>
      <c r="M825" s="2" t="s">
        <v>36</v>
      </c>
    </row>
    <row r="826" customFormat="false" ht="15" hidden="false" customHeight="false" outlineLevel="0" collapsed="false">
      <c r="A826" s="2" t="s">
        <v>1906</v>
      </c>
      <c r="B826" s="2" t="s">
        <v>8879</v>
      </c>
      <c r="C826" s="2" t="s">
        <v>8854</v>
      </c>
      <c r="D826" s="2" t="s">
        <v>8824</v>
      </c>
      <c r="E826" s="13" t="n">
        <v>32914</v>
      </c>
      <c r="F826" s="2" t="n">
        <v>254777137866</v>
      </c>
      <c r="G826" s="2" t="n">
        <v>4</v>
      </c>
      <c r="H826" s="2" t="s">
        <v>8850</v>
      </c>
      <c r="I826" s="2" t="s">
        <v>8842</v>
      </c>
      <c r="J826" s="2" t="s">
        <v>60</v>
      </c>
      <c r="K826" s="13" t="n">
        <v>44935</v>
      </c>
      <c r="L826" s="2" t="s">
        <v>8821</v>
      </c>
      <c r="M826" s="2" t="s">
        <v>36</v>
      </c>
    </row>
    <row r="827" customFormat="false" ht="15" hidden="false" customHeight="false" outlineLevel="0" collapsed="false">
      <c r="A827" s="2" t="s">
        <v>2646</v>
      </c>
      <c r="B827" s="2" t="s">
        <v>8829</v>
      </c>
      <c r="C827" s="2" t="s">
        <v>8861</v>
      </c>
      <c r="D827" s="2" t="s">
        <v>8819</v>
      </c>
      <c r="E827" s="13" t="n">
        <v>33443</v>
      </c>
      <c r="F827" s="2" t="n">
        <v>254713178988</v>
      </c>
      <c r="G827" s="2" t="n">
        <v>10</v>
      </c>
      <c r="H827" s="2" t="s">
        <v>8850</v>
      </c>
      <c r="I827" s="2" t="s">
        <v>8847</v>
      </c>
      <c r="J827" s="2" t="s">
        <v>62</v>
      </c>
      <c r="K827" s="13" t="n">
        <v>45442</v>
      </c>
      <c r="L827" s="2" t="s">
        <v>8821</v>
      </c>
      <c r="M827" s="2" t="s">
        <v>36</v>
      </c>
    </row>
    <row r="828" customFormat="false" ht="15" hidden="false" customHeight="false" outlineLevel="0" collapsed="false">
      <c r="A828" s="2" t="s">
        <v>2836</v>
      </c>
      <c r="B828" s="2" t="s">
        <v>8826</v>
      </c>
      <c r="C828" s="2" t="s">
        <v>8827</v>
      </c>
      <c r="D828" s="2" t="s">
        <v>8819</v>
      </c>
      <c r="E828" s="13" t="n">
        <v>29302</v>
      </c>
      <c r="F828" s="2" t="n">
        <v>254738943676</v>
      </c>
      <c r="G828" s="2" t="n">
        <v>13</v>
      </c>
      <c r="H828" s="2" t="s">
        <v>95</v>
      </c>
      <c r="I828" s="2" t="s">
        <v>8864</v>
      </c>
      <c r="J828" s="2" t="s">
        <v>59</v>
      </c>
      <c r="K828" s="13" t="n">
        <v>45401</v>
      </c>
      <c r="L828" s="2" t="s">
        <v>8821</v>
      </c>
      <c r="M828" s="2" t="s">
        <v>8858</v>
      </c>
    </row>
    <row r="829" customFormat="false" ht="15" hidden="false" customHeight="false" outlineLevel="0" collapsed="false">
      <c r="A829" s="2" t="s">
        <v>534</v>
      </c>
      <c r="B829" s="2" t="s">
        <v>8849</v>
      </c>
      <c r="C829" s="2" t="s">
        <v>8865</v>
      </c>
      <c r="D829" s="2" t="s">
        <v>8819</v>
      </c>
      <c r="E829" s="13" t="n">
        <v>28651</v>
      </c>
      <c r="F829" s="2" t="n">
        <v>254762027391</v>
      </c>
      <c r="G829" s="2" t="n">
        <v>4</v>
      </c>
      <c r="H829" s="2" t="s">
        <v>95</v>
      </c>
      <c r="I829" s="2" t="s">
        <v>8848</v>
      </c>
      <c r="J829" s="2" t="s">
        <v>62</v>
      </c>
      <c r="K829" s="13" t="n">
        <v>45295</v>
      </c>
      <c r="L829" s="2" t="s">
        <v>8821</v>
      </c>
      <c r="M829" s="2" t="s">
        <v>36</v>
      </c>
    </row>
    <row r="830" customFormat="false" ht="15" hidden="false" customHeight="false" outlineLevel="0" collapsed="false">
      <c r="A830" s="2" t="s">
        <v>7751</v>
      </c>
      <c r="B830" s="2" t="s">
        <v>8832</v>
      </c>
      <c r="C830" s="2" t="s">
        <v>8854</v>
      </c>
      <c r="D830" s="2" t="s">
        <v>8819</v>
      </c>
      <c r="E830" s="13" t="n">
        <v>36948</v>
      </c>
      <c r="F830" s="2" t="n">
        <v>254776962870</v>
      </c>
      <c r="G830" s="2" t="n">
        <v>2</v>
      </c>
      <c r="H830" s="2" t="s">
        <v>8850</v>
      </c>
      <c r="I830" s="2" t="s">
        <v>8844</v>
      </c>
      <c r="J830" s="2" t="s">
        <v>59</v>
      </c>
      <c r="K830" s="13" t="n">
        <v>44942</v>
      </c>
      <c r="L830" s="2" t="s">
        <v>8821</v>
      </c>
      <c r="M830" s="2" t="s">
        <v>36</v>
      </c>
    </row>
    <row r="831" customFormat="false" ht="15" hidden="false" customHeight="false" outlineLevel="0" collapsed="false">
      <c r="A831" s="2" t="s">
        <v>1895</v>
      </c>
      <c r="B831" s="2" t="s">
        <v>8879</v>
      </c>
      <c r="C831" s="2" t="s">
        <v>8827</v>
      </c>
      <c r="D831" s="2" t="s">
        <v>8819</v>
      </c>
      <c r="E831" s="13" t="n">
        <v>27168</v>
      </c>
      <c r="F831" s="2" t="n">
        <v>254734049971</v>
      </c>
      <c r="G831" s="2" t="n">
        <v>12</v>
      </c>
      <c r="H831" s="2" t="s">
        <v>8850</v>
      </c>
      <c r="I831" s="2" t="s">
        <v>8834</v>
      </c>
      <c r="J831" s="2" t="s">
        <v>61</v>
      </c>
      <c r="K831" s="13" t="n">
        <v>45299</v>
      </c>
      <c r="L831" s="2" t="s">
        <v>8821</v>
      </c>
      <c r="M831" s="2" t="s">
        <v>8858</v>
      </c>
    </row>
    <row r="832" customFormat="false" ht="15" hidden="false" customHeight="false" outlineLevel="0" collapsed="false">
      <c r="A832" s="2" t="s">
        <v>1163</v>
      </c>
      <c r="B832" s="2" t="s">
        <v>8822</v>
      </c>
      <c r="C832" s="2" t="s">
        <v>8888</v>
      </c>
      <c r="D832" s="2" t="s">
        <v>8824</v>
      </c>
      <c r="E832" s="13" t="n">
        <v>28540</v>
      </c>
      <c r="F832" s="2" t="n">
        <v>254763813150</v>
      </c>
      <c r="G832" s="2" t="n">
        <v>7</v>
      </c>
      <c r="H832" s="2" t="s">
        <v>95</v>
      </c>
      <c r="I832" s="2" t="s">
        <v>8847</v>
      </c>
      <c r="J832" s="2" t="s">
        <v>60</v>
      </c>
      <c r="K832" s="13" t="n">
        <v>45426</v>
      </c>
      <c r="L832" s="2" t="s">
        <v>8821</v>
      </c>
      <c r="M832" s="2" t="s">
        <v>36</v>
      </c>
    </row>
    <row r="833" customFormat="false" ht="15" hidden="false" customHeight="false" outlineLevel="0" collapsed="false">
      <c r="A833" s="2" t="s">
        <v>625</v>
      </c>
      <c r="B833" s="2" t="s">
        <v>8860</v>
      </c>
      <c r="C833" s="2" t="s">
        <v>8846</v>
      </c>
      <c r="D833" s="2" t="s">
        <v>8819</v>
      </c>
      <c r="E833" s="13" t="n">
        <v>27712</v>
      </c>
      <c r="F833" s="2" t="n">
        <v>254793297363</v>
      </c>
      <c r="G833" s="2" t="n">
        <v>11</v>
      </c>
      <c r="H833" s="2" t="s">
        <v>95</v>
      </c>
      <c r="I833" s="2" t="s">
        <v>8864</v>
      </c>
      <c r="J833" s="2" t="s">
        <v>59</v>
      </c>
      <c r="K833" s="13" t="n">
        <v>45445</v>
      </c>
      <c r="L833" s="2" t="s">
        <v>8821</v>
      </c>
      <c r="M833" s="2" t="s">
        <v>36</v>
      </c>
    </row>
    <row r="834" customFormat="false" ht="15" hidden="false" customHeight="false" outlineLevel="0" collapsed="false">
      <c r="A834" s="2" t="s">
        <v>8908</v>
      </c>
      <c r="B834" s="2" t="s">
        <v>8862</v>
      </c>
      <c r="C834" s="2" t="s">
        <v>8876</v>
      </c>
      <c r="D834" s="2" t="s">
        <v>8819</v>
      </c>
      <c r="E834" s="13" t="n">
        <v>27893</v>
      </c>
      <c r="F834" s="2" t="n">
        <v>254739937437</v>
      </c>
      <c r="G834" s="2" t="n">
        <v>7</v>
      </c>
      <c r="H834" s="2" t="s">
        <v>8850</v>
      </c>
      <c r="I834" s="2" t="s">
        <v>8852</v>
      </c>
      <c r="J834" s="2" t="s">
        <v>58</v>
      </c>
      <c r="K834" s="13" t="n">
        <v>45089</v>
      </c>
      <c r="L834" s="2" t="s">
        <v>8821</v>
      </c>
      <c r="M834" s="2" t="s">
        <v>8858</v>
      </c>
    </row>
    <row r="835" customFormat="false" ht="15" hidden="false" customHeight="false" outlineLevel="0" collapsed="false">
      <c r="A835" s="2" t="s">
        <v>3579</v>
      </c>
      <c r="B835" s="2" t="s">
        <v>8829</v>
      </c>
      <c r="C835" s="2" t="s">
        <v>8827</v>
      </c>
      <c r="D835" s="2" t="s">
        <v>8819</v>
      </c>
      <c r="E835" s="13" t="n">
        <v>36482</v>
      </c>
      <c r="F835" s="2" t="n">
        <v>254724542266</v>
      </c>
      <c r="G835" s="2" t="n">
        <v>15</v>
      </c>
      <c r="H835" s="2" t="s">
        <v>8850</v>
      </c>
      <c r="I835" s="2" t="s">
        <v>8842</v>
      </c>
      <c r="J835" s="2" t="s">
        <v>59</v>
      </c>
      <c r="K835" s="13" t="n">
        <v>45403</v>
      </c>
      <c r="L835" s="2" t="s">
        <v>8855</v>
      </c>
      <c r="M835" s="2" t="s">
        <v>36</v>
      </c>
    </row>
    <row r="836" customFormat="false" ht="15" hidden="false" customHeight="false" outlineLevel="0" collapsed="false">
      <c r="A836" s="2" t="s">
        <v>1637</v>
      </c>
      <c r="B836" s="2" t="s">
        <v>8877</v>
      </c>
      <c r="C836" s="2" t="s">
        <v>8841</v>
      </c>
      <c r="D836" s="2" t="s">
        <v>8824</v>
      </c>
      <c r="E836" s="13" t="n">
        <v>27191</v>
      </c>
      <c r="F836" s="2" t="n">
        <v>254725344634</v>
      </c>
      <c r="G836" s="2" t="n">
        <v>5</v>
      </c>
      <c r="H836" s="2" t="s">
        <v>8850</v>
      </c>
      <c r="I836" s="2" t="s">
        <v>8820</v>
      </c>
      <c r="J836" s="2" t="s">
        <v>62</v>
      </c>
      <c r="K836" s="13" t="n">
        <v>45545</v>
      </c>
      <c r="L836" s="2" t="s">
        <v>8821</v>
      </c>
      <c r="M836" s="2" t="s">
        <v>8858</v>
      </c>
    </row>
    <row r="837" customFormat="false" ht="15" hidden="false" customHeight="false" outlineLevel="0" collapsed="false">
      <c r="A837" s="2" t="s">
        <v>3361</v>
      </c>
      <c r="B837" s="2" t="s">
        <v>8862</v>
      </c>
      <c r="C837" s="2" t="s">
        <v>8823</v>
      </c>
      <c r="D837" s="2" t="s">
        <v>8824</v>
      </c>
      <c r="E837" s="13" t="n">
        <v>29166</v>
      </c>
      <c r="F837" s="2" t="n">
        <v>254718375220</v>
      </c>
      <c r="G837" s="2" t="n">
        <v>15</v>
      </c>
      <c r="H837" s="2" t="s">
        <v>8850</v>
      </c>
      <c r="I837" s="2" t="s">
        <v>8842</v>
      </c>
      <c r="J837" s="2" t="s">
        <v>61</v>
      </c>
      <c r="K837" s="13" t="n">
        <v>45254</v>
      </c>
      <c r="L837" s="2" t="s">
        <v>8821</v>
      </c>
      <c r="M837" s="2" t="s">
        <v>36</v>
      </c>
    </row>
    <row r="838" customFormat="false" ht="15" hidden="false" customHeight="false" outlineLevel="0" collapsed="false">
      <c r="A838" s="2" t="s">
        <v>7453</v>
      </c>
      <c r="B838" s="2" t="s">
        <v>8838</v>
      </c>
      <c r="C838" s="2" t="s">
        <v>8846</v>
      </c>
      <c r="D838" s="2" t="s">
        <v>8824</v>
      </c>
      <c r="E838" s="13" t="n">
        <v>30341</v>
      </c>
      <c r="F838" s="2" t="n">
        <v>254795320504</v>
      </c>
      <c r="G838" s="2" t="n">
        <v>3</v>
      </c>
      <c r="H838" s="2" t="s">
        <v>95</v>
      </c>
      <c r="I838" s="2" t="s">
        <v>8828</v>
      </c>
      <c r="J838" s="2" t="s">
        <v>58</v>
      </c>
      <c r="K838" s="13" t="n">
        <v>45627</v>
      </c>
      <c r="L838" s="2" t="s">
        <v>8821</v>
      </c>
      <c r="M838" s="2" t="s">
        <v>8858</v>
      </c>
    </row>
    <row r="839" customFormat="false" ht="15" hidden="false" customHeight="false" outlineLevel="0" collapsed="false">
      <c r="A839" s="2" t="s">
        <v>1940</v>
      </c>
      <c r="B839" s="2" t="s">
        <v>8860</v>
      </c>
      <c r="C839" s="2" t="s">
        <v>8865</v>
      </c>
      <c r="D839" s="2" t="s">
        <v>8819</v>
      </c>
      <c r="E839" s="13" t="n">
        <v>27542</v>
      </c>
      <c r="F839" s="2" t="n">
        <v>254799878149</v>
      </c>
      <c r="G839" s="2" t="n">
        <v>15</v>
      </c>
      <c r="H839" s="2" t="s">
        <v>8850</v>
      </c>
      <c r="I839" s="2" t="s">
        <v>8828</v>
      </c>
      <c r="J839" s="2" t="s">
        <v>58</v>
      </c>
      <c r="K839" s="13" t="n">
        <v>45656</v>
      </c>
      <c r="L839" s="2" t="s">
        <v>8821</v>
      </c>
      <c r="M839" s="2" t="s">
        <v>8858</v>
      </c>
    </row>
    <row r="840" customFormat="false" ht="15" hidden="false" customHeight="false" outlineLevel="0" collapsed="false">
      <c r="A840" s="2" t="s">
        <v>3071</v>
      </c>
      <c r="B840" s="2" t="s">
        <v>8879</v>
      </c>
      <c r="C840" s="2" t="s">
        <v>8865</v>
      </c>
      <c r="D840" s="2" t="s">
        <v>8824</v>
      </c>
      <c r="E840" s="13" t="n">
        <v>33364</v>
      </c>
      <c r="F840" s="2" t="n">
        <v>254773820451</v>
      </c>
      <c r="G840" s="2" t="n">
        <v>9</v>
      </c>
      <c r="H840" s="2" t="s">
        <v>95</v>
      </c>
      <c r="I840" s="2" t="s">
        <v>8864</v>
      </c>
      <c r="J840" s="2" t="s">
        <v>61</v>
      </c>
      <c r="K840" s="13" t="n">
        <v>45130</v>
      </c>
      <c r="L840" s="2" t="s">
        <v>8821</v>
      </c>
      <c r="M840" s="2" t="s">
        <v>8858</v>
      </c>
    </row>
    <row r="841" customFormat="false" ht="15" hidden="false" customHeight="false" outlineLevel="0" collapsed="false">
      <c r="A841" s="2" t="s">
        <v>1789</v>
      </c>
      <c r="B841" s="2" t="s">
        <v>8840</v>
      </c>
      <c r="C841" s="2" t="s">
        <v>8827</v>
      </c>
      <c r="D841" s="2" t="s">
        <v>8819</v>
      </c>
      <c r="E841" s="13" t="n">
        <v>25837</v>
      </c>
      <c r="F841" s="2" t="n">
        <v>254753450650</v>
      </c>
      <c r="G841" s="2" t="n">
        <v>11</v>
      </c>
      <c r="H841" s="2" t="s">
        <v>8850</v>
      </c>
      <c r="I841" s="2" t="s">
        <v>8820</v>
      </c>
      <c r="J841" s="2" t="s">
        <v>59</v>
      </c>
      <c r="K841" s="13" t="n">
        <v>45538</v>
      </c>
      <c r="L841" s="2" t="s">
        <v>8855</v>
      </c>
      <c r="M841" s="2" t="s">
        <v>36</v>
      </c>
    </row>
    <row r="842" customFormat="false" ht="15" hidden="false" customHeight="false" outlineLevel="0" collapsed="false">
      <c r="A842" s="2" t="s">
        <v>3260</v>
      </c>
      <c r="B842" s="2" t="s">
        <v>8838</v>
      </c>
      <c r="C842" s="2" t="s">
        <v>8846</v>
      </c>
      <c r="D842" s="2" t="s">
        <v>8819</v>
      </c>
      <c r="E842" s="13" t="n">
        <v>37046</v>
      </c>
      <c r="F842" s="2" t="n">
        <v>254770473000</v>
      </c>
      <c r="G842" s="2" t="n">
        <v>14</v>
      </c>
      <c r="H842" s="2" t="s">
        <v>95</v>
      </c>
      <c r="I842" s="2" t="s">
        <v>8852</v>
      </c>
      <c r="J842" s="2" t="s">
        <v>61</v>
      </c>
      <c r="K842" s="13" t="n">
        <v>45617</v>
      </c>
      <c r="L842" s="2" t="s">
        <v>8821</v>
      </c>
      <c r="M842" s="2" t="s">
        <v>36</v>
      </c>
    </row>
    <row r="843" customFormat="false" ht="15" hidden="false" customHeight="false" outlineLevel="0" collapsed="false">
      <c r="A843" s="2" t="s">
        <v>1125</v>
      </c>
      <c r="B843" s="2" t="s">
        <v>8875</v>
      </c>
      <c r="C843" s="2" t="s">
        <v>8863</v>
      </c>
      <c r="D843" s="2" t="s">
        <v>8819</v>
      </c>
      <c r="E843" s="13" t="n">
        <v>30657</v>
      </c>
      <c r="F843" s="2" t="n">
        <v>254790657252</v>
      </c>
      <c r="G843" s="2" t="n">
        <v>7</v>
      </c>
      <c r="H843" s="2" t="s">
        <v>95</v>
      </c>
      <c r="I843" s="2" t="s">
        <v>8844</v>
      </c>
      <c r="J843" s="2" t="s">
        <v>59</v>
      </c>
      <c r="K843" s="13" t="n">
        <v>45357</v>
      </c>
      <c r="L843" s="2" t="s">
        <v>8821</v>
      </c>
      <c r="M843" s="2" t="s">
        <v>36</v>
      </c>
    </row>
    <row r="844" customFormat="false" ht="15" hidden="false" customHeight="false" outlineLevel="0" collapsed="false">
      <c r="A844" s="2" t="s">
        <v>2261</v>
      </c>
      <c r="B844" s="2" t="s">
        <v>8880</v>
      </c>
      <c r="C844" s="2" t="s">
        <v>8854</v>
      </c>
      <c r="D844" s="2" t="s">
        <v>8819</v>
      </c>
      <c r="E844" s="13" t="n">
        <v>34121</v>
      </c>
      <c r="F844" s="2" t="n">
        <v>254776992183</v>
      </c>
      <c r="G844" s="2" t="n">
        <v>11</v>
      </c>
      <c r="H844" s="2" t="s">
        <v>8850</v>
      </c>
      <c r="I844" s="2" t="s">
        <v>8842</v>
      </c>
      <c r="J844" s="2" t="s">
        <v>61</v>
      </c>
      <c r="K844" s="13" t="n">
        <v>45236</v>
      </c>
      <c r="L844" s="2" t="s">
        <v>8821</v>
      </c>
      <c r="M844" s="2" t="s">
        <v>36</v>
      </c>
    </row>
    <row r="845" customFormat="false" ht="15" hidden="false" customHeight="false" outlineLevel="0" collapsed="false">
      <c r="A845" s="2" t="s">
        <v>2560</v>
      </c>
      <c r="B845" s="2" t="s">
        <v>8829</v>
      </c>
      <c r="C845" s="2" t="s">
        <v>8873</v>
      </c>
      <c r="D845" s="2" t="s">
        <v>8824</v>
      </c>
      <c r="E845" s="13" t="n">
        <v>35698</v>
      </c>
      <c r="F845" s="2" t="n">
        <v>254767496675</v>
      </c>
      <c r="G845" s="2" t="n">
        <v>6</v>
      </c>
      <c r="H845" s="2" t="s">
        <v>95</v>
      </c>
      <c r="I845" s="2" t="s">
        <v>8857</v>
      </c>
      <c r="J845" s="2" t="s">
        <v>62</v>
      </c>
      <c r="K845" s="13" t="n">
        <v>45270</v>
      </c>
      <c r="L845" s="2" t="s">
        <v>8821</v>
      </c>
      <c r="M845" s="2" t="s">
        <v>8858</v>
      </c>
    </row>
    <row r="846" customFormat="false" ht="15" hidden="false" customHeight="false" outlineLevel="0" collapsed="false">
      <c r="A846" s="2" t="s">
        <v>3877</v>
      </c>
      <c r="B846" s="2" t="s">
        <v>8875</v>
      </c>
      <c r="C846" s="2" t="s">
        <v>8865</v>
      </c>
      <c r="D846" s="2" t="s">
        <v>8824</v>
      </c>
      <c r="E846" s="13" t="n">
        <v>34482</v>
      </c>
      <c r="F846" s="2" t="n">
        <v>254793265522</v>
      </c>
      <c r="G846" s="2" t="n">
        <v>15</v>
      </c>
      <c r="H846" s="2" t="s">
        <v>95</v>
      </c>
      <c r="I846" s="2" t="s">
        <v>8825</v>
      </c>
      <c r="J846" s="2" t="s">
        <v>58</v>
      </c>
      <c r="K846" s="13" t="n">
        <v>45602</v>
      </c>
      <c r="L846" s="2" t="s">
        <v>8821</v>
      </c>
      <c r="M846" s="2" t="s">
        <v>36</v>
      </c>
    </row>
    <row r="847" customFormat="false" ht="15" hidden="false" customHeight="false" outlineLevel="0" collapsed="false">
      <c r="A847" s="2" t="s">
        <v>2800</v>
      </c>
      <c r="B847" s="2" t="s">
        <v>8882</v>
      </c>
      <c r="C847" s="2" t="s">
        <v>8863</v>
      </c>
      <c r="D847" s="2" t="s">
        <v>8819</v>
      </c>
      <c r="E847" s="13" t="n">
        <v>35111</v>
      </c>
      <c r="F847" s="2" t="n">
        <v>254795030306</v>
      </c>
      <c r="G847" s="2" t="n">
        <v>8</v>
      </c>
      <c r="H847" s="2" t="s">
        <v>95</v>
      </c>
      <c r="I847" s="2" t="s">
        <v>8852</v>
      </c>
      <c r="J847" s="2" t="s">
        <v>60</v>
      </c>
      <c r="K847" s="13" t="n">
        <v>45565</v>
      </c>
      <c r="L847" s="2" t="s">
        <v>8855</v>
      </c>
      <c r="M847" s="2" t="s">
        <v>36</v>
      </c>
    </row>
    <row r="848" customFormat="false" ht="15" hidden="false" customHeight="false" outlineLevel="0" collapsed="false">
      <c r="A848" s="2" t="s">
        <v>6977</v>
      </c>
      <c r="B848" s="2" t="s">
        <v>8829</v>
      </c>
      <c r="C848" s="2" t="s">
        <v>8841</v>
      </c>
      <c r="D848" s="2" t="s">
        <v>8824</v>
      </c>
      <c r="E848" s="13" t="n">
        <v>30912</v>
      </c>
      <c r="F848" s="2" t="n">
        <v>254726702129</v>
      </c>
      <c r="G848" s="2" t="n">
        <v>6</v>
      </c>
      <c r="H848" s="2" t="s">
        <v>8850</v>
      </c>
      <c r="I848" s="2" t="s">
        <v>8842</v>
      </c>
      <c r="J848" s="2" t="s">
        <v>61</v>
      </c>
      <c r="K848" s="13" t="n">
        <v>45317</v>
      </c>
      <c r="L848" s="2" t="s">
        <v>8821</v>
      </c>
      <c r="M848" s="2" t="s">
        <v>36</v>
      </c>
    </row>
    <row r="849" customFormat="false" ht="15" hidden="false" customHeight="false" outlineLevel="0" collapsed="false">
      <c r="A849" s="2" t="s">
        <v>8909</v>
      </c>
      <c r="B849" s="2" t="s">
        <v>8880</v>
      </c>
      <c r="C849" s="2" t="s">
        <v>8846</v>
      </c>
      <c r="D849" s="2" t="s">
        <v>8824</v>
      </c>
      <c r="E849" s="13" t="n">
        <v>30935</v>
      </c>
      <c r="F849" s="2" t="n">
        <v>254765662309</v>
      </c>
      <c r="G849" s="2" t="n">
        <v>11</v>
      </c>
      <c r="H849" s="2" t="s">
        <v>95</v>
      </c>
      <c r="I849" s="2" t="s">
        <v>8820</v>
      </c>
      <c r="J849" s="2" t="s">
        <v>61</v>
      </c>
      <c r="K849" s="13" t="n">
        <v>45201</v>
      </c>
      <c r="L849" s="2" t="s">
        <v>8821</v>
      </c>
      <c r="M849" s="2" t="s">
        <v>36</v>
      </c>
    </row>
    <row r="850" customFormat="false" ht="15" hidden="false" customHeight="false" outlineLevel="0" collapsed="false">
      <c r="A850" s="2" t="s">
        <v>1056</v>
      </c>
      <c r="B850" s="2" t="s">
        <v>8872</v>
      </c>
      <c r="C850" s="2" t="s">
        <v>8861</v>
      </c>
      <c r="D850" s="2" t="s">
        <v>8824</v>
      </c>
      <c r="E850" s="13" t="n">
        <v>26018</v>
      </c>
      <c r="F850" s="2" t="n">
        <v>254754975010</v>
      </c>
      <c r="G850" s="2" t="n">
        <v>3</v>
      </c>
      <c r="H850" s="2" t="s">
        <v>8850</v>
      </c>
      <c r="I850" s="2" t="s">
        <v>8831</v>
      </c>
      <c r="J850" s="2" t="s">
        <v>62</v>
      </c>
      <c r="K850" s="13" t="n">
        <v>45310</v>
      </c>
      <c r="L850" s="2" t="s">
        <v>8855</v>
      </c>
      <c r="M850" s="2" t="s">
        <v>36</v>
      </c>
    </row>
    <row r="851" customFormat="false" ht="15" hidden="false" customHeight="false" outlineLevel="0" collapsed="false">
      <c r="A851" s="2" t="s">
        <v>5697</v>
      </c>
      <c r="B851" s="2" t="s">
        <v>8838</v>
      </c>
      <c r="C851" s="2" t="s">
        <v>8833</v>
      </c>
      <c r="D851" s="2" t="s">
        <v>8824</v>
      </c>
      <c r="E851" s="13" t="n">
        <v>34725</v>
      </c>
      <c r="F851" s="2" t="n">
        <v>254733315937</v>
      </c>
      <c r="G851" s="2" t="n">
        <v>7</v>
      </c>
      <c r="H851" s="2" t="s">
        <v>8850</v>
      </c>
      <c r="I851" s="2" t="s">
        <v>8857</v>
      </c>
      <c r="J851" s="2" t="s">
        <v>59</v>
      </c>
      <c r="K851" s="13" t="n">
        <v>45518</v>
      </c>
      <c r="L851" s="2" t="s">
        <v>8855</v>
      </c>
      <c r="M851" s="2" t="s">
        <v>36</v>
      </c>
    </row>
    <row r="852" customFormat="false" ht="15" hidden="false" customHeight="false" outlineLevel="0" collapsed="false">
      <c r="A852" s="2" t="s">
        <v>1621</v>
      </c>
      <c r="B852" s="2" t="s">
        <v>8868</v>
      </c>
      <c r="C852" s="2" t="s">
        <v>8830</v>
      </c>
      <c r="D852" s="2" t="s">
        <v>8824</v>
      </c>
      <c r="E852" s="13" t="n">
        <v>28120</v>
      </c>
      <c r="F852" s="2" t="n">
        <v>254794197247</v>
      </c>
      <c r="G852" s="2" t="n">
        <v>15</v>
      </c>
      <c r="H852" s="2" t="s">
        <v>8850</v>
      </c>
      <c r="I852" s="2" t="s">
        <v>8857</v>
      </c>
      <c r="J852" s="2" t="s">
        <v>59</v>
      </c>
      <c r="K852" s="13" t="n">
        <v>45056</v>
      </c>
      <c r="L852" s="2" t="s">
        <v>8821</v>
      </c>
      <c r="M852" s="2" t="s">
        <v>36</v>
      </c>
    </row>
    <row r="853" customFormat="false" ht="15" hidden="false" customHeight="false" outlineLevel="0" collapsed="false">
      <c r="A853" s="2" t="s">
        <v>2642</v>
      </c>
      <c r="B853" s="2" t="s">
        <v>8817</v>
      </c>
      <c r="C853" s="2" t="s">
        <v>8881</v>
      </c>
      <c r="D853" s="2" t="s">
        <v>8819</v>
      </c>
      <c r="E853" s="13" t="n">
        <v>27426</v>
      </c>
      <c r="F853" s="2" t="n">
        <v>254713733713</v>
      </c>
      <c r="G853" s="2" t="n">
        <v>10</v>
      </c>
      <c r="H853" s="2" t="s">
        <v>95</v>
      </c>
      <c r="I853" s="2" t="s">
        <v>8848</v>
      </c>
      <c r="J853" s="2" t="s">
        <v>61</v>
      </c>
      <c r="K853" s="13" t="n">
        <v>45374</v>
      </c>
      <c r="L853" s="2" t="s">
        <v>8821</v>
      </c>
      <c r="M853" s="2" t="s">
        <v>36</v>
      </c>
    </row>
    <row r="854" customFormat="false" ht="15" hidden="false" customHeight="false" outlineLevel="0" collapsed="false">
      <c r="A854" s="2" t="s">
        <v>3165</v>
      </c>
      <c r="B854" s="2" t="s">
        <v>8835</v>
      </c>
      <c r="C854" s="2" t="s">
        <v>8839</v>
      </c>
      <c r="D854" s="2" t="s">
        <v>8819</v>
      </c>
      <c r="E854" s="13" t="n">
        <v>36485</v>
      </c>
      <c r="F854" s="2" t="n">
        <v>254749852264</v>
      </c>
      <c r="G854" s="2" t="n">
        <v>4</v>
      </c>
      <c r="H854" s="2" t="s">
        <v>95</v>
      </c>
      <c r="I854" s="2" t="s">
        <v>8864</v>
      </c>
      <c r="J854" s="2" t="s">
        <v>61</v>
      </c>
      <c r="K854" s="13" t="n">
        <v>45293</v>
      </c>
      <c r="L854" s="2" t="s">
        <v>8821</v>
      </c>
      <c r="M854" s="2" t="s">
        <v>36</v>
      </c>
    </row>
    <row r="855" customFormat="false" ht="15" hidden="false" customHeight="false" outlineLevel="0" collapsed="false">
      <c r="A855" s="2" t="s">
        <v>1265</v>
      </c>
      <c r="B855" s="2" t="s">
        <v>8817</v>
      </c>
      <c r="C855" s="2" t="s">
        <v>8881</v>
      </c>
      <c r="D855" s="2" t="s">
        <v>8819</v>
      </c>
      <c r="E855" s="13" t="n">
        <v>31813</v>
      </c>
      <c r="F855" s="2" t="n">
        <v>254724888976</v>
      </c>
      <c r="G855" s="2" t="n">
        <v>8</v>
      </c>
      <c r="H855" s="2" t="s">
        <v>95</v>
      </c>
      <c r="I855" s="2" t="s">
        <v>8825</v>
      </c>
      <c r="J855" s="2" t="s">
        <v>59</v>
      </c>
      <c r="K855" s="13" t="n">
        <v>45569</v>
      </c>
      <c r="L855" s="2" t="s">
        <v>8821</v>
      </c>
      <c r="M855" s="2" t="s">
        <v>36</v>
      </c>
    </row>
    <row r="856" customFormat="false" ht="15" hidden="false" customHeight="false" outlineLevel="0" collapsed="false">
      <c r="A856" s="2" t="s">
        <v>1042</v>
      </c>
      <c r="B856" s="2" t="s">
        <v>8885</v>
      </c>
      <c r="C856" s="2" t="s">
        <v>8888</v>
      </c>
      <c r="D856" s="2" t="s">
        <v>8819</v>
      </c>
      <c r="E856" s="13" t="n">
        <v>29620</v>
      </c>
      <c r="F856" s="2" t="n">
        <v>254762452316</v>
      </c>
      <c r="G856" s="2" t="n">
        <v>2</v>
      </c>
      <c r="H856" s="2" t="s">
        <v>8850</v>
      </c>
      <c r="I856" s="2" t="s">
        <v>8820</v>
      </c>
      <c r="J856" s="2" t="s">
        <v>61</v>
      </c>
      <c r="K856" s="13" t="n">
        <v>45433</v>
      </c>
      <c r="L856" s="2" t="s">
        <v>8821</v>
      </c>
      <c r="M856" s="2" t="s">
        <v>8858</v>
      </c>
    </row>
    <row r="857" customFormat="false" ht="15" hidden="false" customHeight="false" outlineLevel="0" collapsed="false">
      <c r="A857" s="2" t="s">
        <v>3075</v>
      </c>
      <c r="B857" s="2" t="s">
        <v>8866</v>
      </c>
      <c r="C857" s="2" t="s">
        <v>8869</v>
      </c>
      <c r="D857" s="2" t="s">
        <v>8824</v>
      </c>
      <c r="E857" s="13" t="n">
        <v>27141</v>
      </c>
      <c r="F857" s="2" t="n">
        <v>254731622965</v>
      </c>
      <c r="G857" s="2" t="n">
        <v>3</v>
      </c>
      <c r="H857" s="2" t="s">
        <v>8850</v>
      </c>
      <c r="I857" s="2" t="s">
        <v>8820</v>
      </c>
      <c r="J857" s="2" t="s">
        <v>59</v>
      </c>
      <c r="K857" s="13" t="n">
        <v>45356</v>
      </c>
      <c r="L857" s="2" t="s">
        <v>8821</v>
      </c>
      <c r="M857" s="2" t="s">
        <v>36</v>
      </c>
    </row>
    <row r="858" customFormat="false" ht="15" hidden="false" customHeight="false" outlineLevel="0" collapsed="false">
      <c r="A858" s="2" t="s">
        <v>1578</v>
      </c>
      <c r="B858" s="2" t="s">
        <v>8849</v>
      </c>
      <c r="C858" s="2" t="s">
        <v>8863</v>
      </c>
      <c r="D858" s="2" t="s">
        <v>8819</v>
      </c>
      <c r="E858" s="13" t="n">
        <v>33405</v>
      </c>
      <c r="F858" s="2" t="n">
        <v>254731258513</v>
      </c>
      <c r="G858" s="2" t="n">
        <v>9</v>
      </c>
      <c r="H858" s="2" t="s">
        <v>8850</v>
      </c>
      <c r="I858" s="2" t="s">
        <v>8825</v>
      </c>
      <c r="J858" s="2" t="s">
        <v>59</v>
      </c>
      <c r="K858" s="13" t="n">
        <v>45555</v>
      </c>
      <c r="L858" s="2" t="s">
        <v>8821</v>
      </c>
      <c r="M858" s="2" t="s">
        <v>36</v>
      </c>
    </row>
    <row r="859" customFormat="false" ht="15" hidden="false" customHeight="false" outlineLevel="0" collapsed="false">
      <c r="A859" s="2" t="s">
        <v>1369</v>
      </c>
      <c r="B859" s="2" t="s">
        <v>8829</v>
      </c>
      <c r="C859" s="2" t="s">
        <v>8841</v>
      </c>
      <c r="D859" s="2" t="s">
        <v>8819</v>
      </c>
      <c r="E859" s="13" t="n">
        <v>37322</v>
      </c>
      <c r="F859" s="2" t="n">
        <v>254753961638</v>
      </c>
      <c r="G859" s="2" t="n">
        <v>3</v>
      </c>
      <c r="H859" s="2" t="s">
        <v>95</v>
      </c>
      <c r="I859" s="2" t="s">
        <v>8825</v>
      </c>
      <c r="J859" s="2" t="s">
        <v>59</v>
      </c>
      <c r="K859" s="13" t="n">
        <v>45300</v>
      </c>
      <c r="L859" s="2" t="s">
        <v>8821</v>
      </c>
      <c r="M859" s="2" t="s">
        <v>36</v>
      </c>
    </row>
    <row r="860" customFormat="false" ht="15" hidden="false" customHeight="false" outlineLevel="0" collapsed="false">
      <c r="A860" s="2" t="s">
        <v>1597</v>
      </c>
      <c r="B860" s="2" t="s">
        <v>8875</v>
      </c>
      <c r="C860" s="2" t="s">
        <v>8863</v>
      </c>
      <c r="D860" s="2" t="s">
        <v>8824</v>
      </c>
      <c r="E860" s="13" t="n">
        <v>36619</v>
      </c>
      <c r="F860" s="2" t="n">
        <v>254772685550</v>
      </c>
      <c r="G860" s="2" t="n">
        <v>12</v>
      </c>
      <c r="H860" s="2" t="s">
        <v>8850</v>
      </c>
      <c r="I860" s="2" t="s">
        <v>8842</v>
      </c>
      <c r="J860" s="2" t="s">
        <v>62</v>
      </c>
      <c r="K860" s="13" t="n">
        <v>45283</v>
      </c>
      <c r="L860" s="2" t="s">
        <v>8855</v>
      </c>
      <c r="M860" s="2" t="s">
        <v>36</v>
      </c>
    </row>
    <row r="861" customFormat="false" ht="15" hidden="false" customHeight="false" outlineLevel="0" collapsed="false">
      <c r="A861" s="2" t="s">
        <v>3131</v>
      </c>
      <c r="B861" s="2" t="s">
        <v>8885</v>
      </c>
      <c r="C861" s="2" t="s">
        <v>8846</v>
      </c>
      <c r="D861" s="2" t="s">
        <v>8824</v>
      </c>
      <c r="E861" s="13" t="n">
        <v>31478</v>
      </c>
      <c r="F861" s="2" t="n">
        <v>254723810279</v>
      </c>
      <c r="G861" s="2" t="n">
        <v>10</v>
      </c>
      <c r="H861" s="2" t="s">
        <v>8850</v>
      </c>
      <c r="I861" s="2" t="s">
        <v>8828</v>
      </c>
      <c r="J861" s="2" t="s">
        <v>59</v>
      </c>
      <c r="K861" s="13" t="n">
        <v>45630</v>
      </c>
      <c r="L861" s="2" t="s">
        <v>8855</v>
      </c>
      <c r="M861" s="2" t="s">
        <v>8858</v>
      </c>
    </row>
    <row r="862" customFormat="false" ht="15" hidden="false" customHeight="false" outlineLevel="0" collapsed="false">
      <c r="A862" s="2" t="s">
        <v>643</v>
      </c>
      <c r="B862" s="2" t="s">
        <v>8872</v>
      </c>
      <c r="C862" s="2" t="s">
        <v>8869</v>
      </c>
      <c r="D862" s="2" t="s">
        <v>8819</v>
      </c>
      <c r="E862" s="13" t="n">
        <v>35996</v>
      </c>
      <c r="F862" s="2" t="n">
        <v>254791509842</v>
      </c>
      <c r="G862" s="2" t="n">
        <v>7</v>
      </c>
      <c r="H862" s="2" t="s">
        <v>8850</v>
      </c>
      <c r="I862" s="2" t="s">
        <v>8831</v>
      </c>
      <c r="J862" s="2" t="s">
        <v>62</v>
      </c>
      <c r="K862" s="13" t="n">
        <v>45205</v>
      </c>
      <c r="L862" s="2" t="s">
        <v>8821</v>
      </c>
      <c r="M862" s="2" t="s">
        <v>36</v>
      </c>
    </row>
    <row r="863" customFormat="false" ht="15" hidden="false" customHeight="false" outlineLevel="0" collapsed="false">
      <c r="A863" s="2" t="s">
        <v>835</v>
      </c>
      <c r="B863" s="2" t="s">
        <v>8868</v>
      </c>
      <c r="C863" s="2" t="s">
        <v>8846</v>
      </c>
      <c r="D863" s="2" t="s">
        <v>8824</v>
      </c>
      <c r="E863" s="13" t="n">
        <v>27247</v>
      </c>
      <c r="F863" s="2" t="n">
        <v>254749389352</v>
      </c>
      <c r="G863" s="2" t="n">
        <v>10</v>
      </c>
      <c r="H863" s="2" t="s">
        <v>8850</v>
      </c>
      <c r="I863" s="2" t="s">
        <v>8842</v>
      </c>
      <c r="J863" s="2" t="s">
        <v>58</v>
      </c>
      <c r="K863" s="13" t="n">
        <v>44961</v>
      </c>
      <c r="L863" s="2" t="s">
        <v>8821</v>
      </c>
      <c r="M863" s="2" t="s">
        <v>36</v>
      </c>
    </row>
    <row r="864" customFormat="false" ht="15" hidden="false" customHeight="false" outlineLevel="0" collapsed="false">
      <c r="A864" s="2" t="s">
        <v>2674</v>
      </c>
      <c r="B864" s="2" t="s">
        <v>8879</v>
      </c>
      <c r="C864" s="2" t="s">
        <v>8839</v>
      </c>
      <c r="D864" s="2" t="s">
        <v>8819</v>
      </c>
      <c r="E864" s="13" t="n">
        <v>33080</v>
      </c>
      <c r="F864" s="2" t="n">
        <v>254738881529</v>
      </c>
      <c r="G864" s="2" t="n">
        <v>11</v>
      </c>
      <c r="H864" s="2" t="s">
        <v>8850</v>
      </c>
      <c r="I864" s="2" t="s">
        <v>8844</v>
      </c>
      <c r="J864" s="2" t="s">
        <v>59</v>
      </c>
      <c r="K864" s="13" t="n">
        <v>45117</v>
      </c>
      <c r="L864" s="2" t="s">
        <v>8821</v>
      </c>
      <c r="M864" s="2" t="s">
        <v>36</v>
      </c>
    </row>
    <row r="865" customFormat="false" ht="15" hidden="false" customHeight="false" outlineLevel="0" collapsed="false">
      <c r="A865" s="2" t="s">
        <v>909</v>
      </c>
      <c r="B865" s="2" t="s">
        <v>8875</v>
      </c>
      <c r="C865" s="2" t="s">
        <v>8869</v>
      </c>
      <c r="D865" s="2" t="s">
        <v>8819</v>
      </c>
      <c r="E865" s="13" t="n">
        <v>25742</v>
      </c>
      <c r="F865" s="2" t="n">
        <v>254772461793</v>
      </c>
      <c r="G865" s="2" t="n">
        <v>10</v>
      </c>
      <c r="H865" s="2" t="s">
        <v>8850</v>
      </c>
      <c r="I865" s="2" t="s">
        <v>8831</v>
      </c>
      <c r="J865" s="2" t="s">
        <v>62</v>
      </c>
      <c r="K865" s="13" t="n">
        <v>44938</v>
      </c>
      <c r="L865" s="2" t="s">
        <v>8821</v>
      </c>
      <c r="M865" s="2" t="s">
        <v>8858</v>
      </c>
    </row>
    <row r="866" customFormat="false" ht="15" hidden="false" customHeight="false" outlineLevel="0" collapsed="false">
      <c r="A866" s="2" t="s">
        <v>782</v>
      </c>
      <c r="B866" s="2" t="s">
        <v>8840</v>
      </c>
      <c r="C866" s="2" t="s">
        <v>8830</v>
      </c>
      <c r="D866" s="2" t="s">
        <v>8824</v>
      </c>
      <c r="E866" s="13" t="n">
        <v>32423</v>
      </c>
      <c r="F866" s="2" t="n">
        <v>254791591543</v>
      </c>
      <c r="G866" s="2" t="n">
        <v>15</v>
      </c>
      <c r="H866" s="2" t="s">
        <v>95</v>
      </c>
      <c r="I866" s="2" t="s">
        <v>8848</v>
      </c>
      <c r="J866" s="2" t="s">
        <v>61</v>
      </c>
      <c r="K866" s="13" t="n">
        <v>45466</v>
      </c>
      <c r="L866" s="2" t="s">
        <v>8855</v>
      </c>
      <c r="M866" s="2" t="s">
        <v>36</v>
      </c>
    </row>
    <row r="867" customFormat="false" ht="15" hidden="false" customHeight="false" outlineLevel="0" collapsed="false">
      <c r="A867" s="2" t="s">
        <v>5763</v>
      </c>
      <c r="B867" s="2" t="s">
        <v>8874</v>
      </c>
      <c r="C867" s="2" t="s">
        <v>8859</v>
      </c>
      <c r="D867" s="2" t="s">
        <v>8824</v>
      </c>
      <c r="E867" s="13" t="n">
        <v>32970</v>
      </c>
      <c r="F867" s="2" t="n">
        <v>254716280294</v>
      </c>
      <c r="G867" s="2" t="n">
        <v>5</v>
      </c>
      <c r="H867" s="2" t="s">
        <v>8850</v>
      </c>
      <c r="I867" s="2" t="s">
        <v>8825</v>
      </c>
      <c r="J867" s="2" t="s">
        <v>58</v>
      </c>
      <c r="K867" s="13" t="n">
        <v>44977</v>
      </c>
      <c r="L867" s="2" t="s">
        <v>8855</v>
      </c>
      <c r="M867" s="2" t="s">
        <v>36</v>
      </c>
    </row>
    <row r="868" customFormat="false" ht="15" hidden="false" customHeight="false" outlineLevel="0" collapsed="false">
      <c r="A868" s="2" t="s">
        <v>3551</v>
      </c>
      <c r="B868" s="2" t="s">
        <v>8862</v>
      </c>
      <c r="C868" s="2" t="s">
        <v>8818</v>
      </c>
      <c r="D868" s="2" t="s">
        <v>8824</v>
      </c>
      <c r="E868" s="13" t="n">
        <v>33159</v>
      </c>
      <c r="F868" s="2" t="n">
        <v>254712393947</v>
      </c>
      <c r="G868" s="2" t="n">
        <v>11</v>
      </c>
      <c r="H868" s="2" t="s">
        <v>95</v>
      </c>
      <c r="I868" s="2" t="s">
        <v>8847</v>
      </c>
      <c r="J868" s="2" t="s">
        <v>60</v>
      </c>
      <c r="K868" s="13" t="n">
        <v>45169</v>
      </c>
      <c r="L868" s="2" t="s">
        <v>8821</v>
      </c>
      <c r="M868" s="2" t="s">
        <v>8858</v>
      </c>
    </row>
    <row r="869" customFormat="false" ht="15" hidden="false" customHeight="false" outlineLevel="0" collapsed="false">
      <c r="A869" s="2" t="s">
        <v>2862</v>
      </c>
      <c r="B869" s="2" t="s">
        <v>8878</v>
      </c>
      <c r="C869" s="2" t="s">
        <v>8818</v>
      </c>
      <c r="D869" s="2" t="s">
        <v>8819</v>
      </c>
      <c r="E869" s="13" t="n">
        <v>26559</v>
      </c>
      <c r="F869" s="2" t="n">
        <v>254773068018</v>
      </c>
      <c r="G869" s="2" t="n">
        <v>2</v>
      </c>
      <c r="H869" s="2" t="s">
        <v>8850</v>
      </c>
      <c r="I869" s="2" t="s">
        <v>8864</v>
      </c>
      <c r="J869" s="2" t="s">
        <v>60</v>
      </c>
      <c r="K869" s="13" t="n">
        <v>44967</v>
      </c>
      <c r="L869" s="2" t="s">
        <v>8821</v>
      </c>
      <c r="M869" s="2" t="s">
        <v>36</v>
      </c>
    </row>
    <row r="870" customFormat="false" ht="15" hidden="false" customHeight="false" outlineLevel="0" collapsed="false">
      <c r="A870" s="2" t="s">
        <v>4309</v>
      </c>
      <c r="B870" s="2" t="s">
        <v>8853</v>
      </c>
      <c r="C870" s="2" t="s">
        <v>8869</v>
      </c>
      <c r="D870" s="2" t="s">
        <v>8824</v>
      </c>
      <c r="E870" s="13" t="n">
        <v>33788</v>
      </c>
      <c r="F870" s="2" t="n">
        <v>254792184286</v>
      </c>
      <c r="G870" s="2" t="n">
        <v>1</v>
      </c>
      <c r="H870" s="2" t="s">
        <v>8850</v>
      </c>
      <c r="I870" s="2" t="s">
        <v>8834</v>
      </c>
      <c r="J870" s="2" t="s">
        <v>61</v>
      </c>
      <c r="K870" s="13" t="n">
        <v>45496</v>
      </c>
      <c r="L870" s="2" t="s">
        <v>8855</v>
      </c>
      <c r="M870" s="2" t="s">
        <v>36</v>
      </c>
    </row>
    <row r="871" customFormat="false" ht="15" hidden="false" customHeight="false" outlineLevel="0" collapsed="false">
      <c r="A871" s="2" t="s">
        <v>3099</v>
      </c>
      <c r="B871" s="2" t="s">
        <v>8843</v>
      </c>
      <c r="C871" s="2" t="s">
        <v>8823</v>
      </c>
      <c r="D871" s="2" t="s">
        <v>8819</v>
      </c>
      <c r="E871" s="13" t="n">
        <v>34246</v>
      </c>
      <c r="F871" s="2" t="n">
        <v>254728620619</v>
      </c>
      <c r="G871" s="2" t="n">
        <v>2</v>
      </c>
      <c r="H871" s="2" t="s">
        <v>8850</v>
      </c>
      <c r="I871" s="2" t="s">
        <v>8864</v>
      </c>
      <c r="J871" s="2" t="s">
        <v>61</v>
      </c>
      <c r="K871" s="13" t="n">
        <v>44956</v>
      </c>
      <c r="L871" s="2" t="s">
        <v>8821</v>
      </c>
      <c r="M871" s="2" t="s">
        <v>36</v>
      </c>
    </row>
    <row r="872" customFormat="false" ht="15" hidden="false" customHeight="false" outlineLevel="0" collapsed="false">
      <c r="A872" s="2" t="s">
        <v>3238</v>
      </c>
      <c r="B872" s="2" t="s">
        <v>8872</v>
      </c>
      <c r="C872" s="2" t="s">
        <v>8863</v>
      </c>
      <c r="D872" s="2" t="s">
        <v>8819</v>
      </c>
      <c r="E872" s="13" t="n">
        <v>27508</v>
      </c>
      <c r="F872" s="2" t="n">
        <v>254717045220</v>
      </c>
      <c r="G872" s="2" t="n">
        <v>5</v>
      </c>
      <c r="H872" s="2" t="s">
        <v>95</v>
      </c>
      <c r="I872" s="2" t="s">
        <v>8825</v>
      </c>
      <c r="J872" s="2" t="s">
        <v>58</v>
      </c>
      <c r="K872" s="13" t="n">
        <v>45304</v>
      </c>
      <c r="L872" s="2" t="s">
        <v>8821</v>
      </c>
      <c r="M872" s="2" t="s">
        <v>36</v>
      </c>
    </row>
    <row r="873" customFormat="false" ht="15" hidden="false" customHeight="false" outlineLevel="0" collapsed="false">
      <c r="A873" s="2" t="s">
        <v>186</v>
      </c>
      <c r="B873" s="2" t="s">
        <v>8874</v>
      </c>
      <c r="C873" s="2" t="s">
        <v>8876</v>
      </c>
      <c r="D873" s="2" t="s">
        <v>8824</v>
      </c>
      <c r="E873" s="13" t="n">
        <v>31586</v>
      </c>
      <c r="F873" s="2" t="n">
        <v>254732862463</v>
      </c>
      <c r="G873" s="2" t="n">
        <v>15</v>
      </c>
      <c r="H873" s="2" t="s">
        <v>95</v>
      </c>
      <c r="I873" s="2" t="s">
        <v>8848</v>
      </c>
      <c r="J873" s="2" t="s">
        <v>61</v>
      </c>
      <c r="K873" s="13" t="n">
        <v>45554</v>
      </c>
      <c r="L873" s="2" t="s">
        <v>8821</v>
      </c>
      <c r="M873" s="2" t="s">
        <v>36</v>
      </c>
    </row>
    <row r="874" customFormat="false" ht="15" hidden="false" customHeight="false" outlineLevel="0" collapsed="false">
      <c r="A874" s="2" t="s">
        <v>3869</v>
      </c>
      <c r="B874" s="2" t="s">
        <v>8880</v>
      </c>
      <c r="C874" s="2" t="s">
        <v>8865</v>
      </c>
      <c r="D874" s="2" t="s">
        <v>8824</v>
      </c>
      <c r="E874" s="13" t="n">
        <v>32957</v>
      </c>
      <c r="F874" s="2" t="n">
        <v>254799689017</v>
      </c>
      <c r="G874" s="2" t="n">
        <v>2</v>
      </c>
      <c r="H874" s="2" t="s">
        <v>95</v>
      </c>
      <c r="I874" s="2" t="s">
        <v>8848</v>
      </c>
      <c r="J874" s="2" t="s">
        <v>61</v>
      </c>
      <c r="K874" s="13" t="n">
        <v>45525</v>
      </c>
      <c r="L874" s="2" t="s">
        <v>8855</v>
      </c>
      <c r="M874" s="2" t="s">
        <v>36</v>
      </c>
    </row>
    <row r="875" customFormat="false" ht="15" hidden="false" customHeight="false" outlineLevel="0" collapsed="false">
      <c r="A875" s="2" t="s">
        <v>798</v>
      </c>
      <c r="B875" s="2" t="s">
        <v>8826</v>
      </c>
      <c r="C875" s="2" t="s">
        <v>8846</v>
      </c>
      <c r="D875" s="2" t="s">
        <v>8824</v>
      </c>
      <c r="E875" s="13" t="n">
        <v>33223</v>
      </c>
      <c r="F875" s="2" t="n">
        <v>254721112459</v>
      </c>
      <c r="G875" s="2" t="n">
        <v>6</v>
      </c>
      <c r="H875" s="2" t="s">
        <v>95</v>
      </c>
      <c r="I875" s="2" t="s">
        <v>8852</v>
      </c>
      <c r="J875" s="2" t="s">
        <v>59</v>
      </c>
      <c r="K875" s="13" t="n">
        <v>45158</v>
      </c>
      <c r="L875" s="2" t="s">
        <v>8821</v>
      </c>
      <c r="M875" s="2" t="s">
        <v>36</v>
      </c>
    </row>
    <row r="876" customFormat="false" ht="15" hidden="false" customHeight="false" outlineLevel="0" collapsed="false">
      <c r="A876" s="2" t="s">
        <v>8426</v>
      </c>
      <c r="B876" s="2" t="s">
        <v>8856</v>
      </c>
      <c r="C876" s="2" t="s">
        <v>8841</v>
      </c>
      <c r="D876" s="2" t="s">
        <v>8824</v>
      </c>
      <c r="E876" s="13" t="n">
        <v>36898</v>
      </c>
      <c r="F876" s="2" t="n">
        <v>254761681908</v>
      </c>
      <c r="G876" s="2" t="n">
        <v>4</v>
      </c>
      <c r="H876" s="2" t="s">
        <v>8850</v>
      </c>
      <c r="I876" s="2" t="s">
        <v>8825</v>
      </c>
      <c r="J876" s="2" t="s">
        <v>60</v>
      </c>
      <c r="K876" s="13" t="n">
        <v>44940</v>
      </c>
      <c r="L876" s="2" t="s">
        <v>8821</v>
      </c>
      <c r="M876" s="2" t="s">
        <v>36</v>
      </c>
    </row>
    <row r="877" customFormat="false" ht="15" hidden="false" customHeight="false" outlineLevel="0" collapsed="false">
      <c r="A877" s="2" t="s">
        <v>4031</v>
      </c>
      <c r="B877" s="2" t="s">
        <v>8832</v>
      </c>
      <c r="C877" s="2" t="s">
        <v>8861</v>
      </c>
      <c r="D877" s="2" t="s">
        <v>8819</v>
      </c>
      <c r="E877" s="13" t="n">
        <v>32857</v>
      </c>
      <c r="F877" s="2" t="n">
        <v>254727456426</v>
      </c>
      <c r="G877" s="2" t="n">
        <v>4</v>
      </c>
      <c r="H877" s="2" t="s">
        <v>8850</v>
      </c>
      <c r="I877" s="2" t="s">
        <v>8842</v>
      </c>
      <c r="J877" s="2" t="s">
        <v>61</v>
      </c>
      <c r="K877" s="13" t="n">
        <v>45598</v>
      </c>
      <c r="L877" s="2" t="s">
        <v>8821</v>
      </c>
      <c r="M877" s="2" t="s">
        <v>8858</v>
      </c>
    </row>
    <row r="878" customFormat="false" ht="15" hidden="false" customHeight="false" outlineLevel="0" collapsed="false">
      <c r="A878" s="2" t="s">
        <v>2433</v>
      </c>
      <c r="B878" s="2" t="s">
        <v>8835</v>
      </c>
      <c r="C878" s="2" t="s">
        <v>8854</v>
      </c>
      <c r="D878" s="2" t="s">
        <v>8819</v>
      </c>
      <c r="E878" s="13" t="n">
        <v>29991</v>
      </c>
      <c r="F878" s="2" t="n">
        <v>254729768893</v>
      </c>
      <c r="G878" s="2" t="n">
        <v>8</v>
      </c>
      <c r="H878" s="2" t="s">
        <v>95</v>
      </c>
      <c r="I878" s="2" t="s">
        <v>8864</v>
      </c>
      <c r="J878" s="2" t="s">
        <v>58</v>
      </c>
      <c r="K878" s="13" t="n">
        <v>45360</v>
      </c>
      <c r="L878" s="2" t="s">
        <v>8821</v>
      </c>
      <c r="M878" s="2" t="s">
        <v>36</v>
      </c>
    </row>
    <row r="879" customFormat="false" ht="15" hidden="false" customHeight="false" outlineLevel="0" collapsed="false">
      <c r="A879" s="2" t="s">
        <v>4423</v>
      </c>
      <c r="B879" s="2" t="s">
        <v>8877</v>
      </c>
      <c r="C879" s="2" t="s">
        <v>8861</v>
      </c>
      <c r="D879" s="2" t="s">
        <v>8824</v>
      </c>
      <c r="E879" s="13" t="n">
        <v>36228</v>
      </c>
      <c r="F879" s="2" t="n">
        <v>254757238845</v>
      </c>
      <c r="G879" s="2" t="n">
        <v>5</v>
      </c>
      <c r="H879" s="2" t="s">
        <v>95</v>
      </c>
      <c r="I879" s="2" t="s">
        <v>8857</v>
      </c>
      <c r="J879" s="2" t="s">
        <v>58</v>
      </c>
      <c r="K879" s="13" t="n">
        <v>44956</v>
      </c>
      <c r="L879" s="2" t="s">
        <v>8821</v>
      </c>
      <c r="M879" s="2" t="s">
        <v>8858</v>
      </c>
    </row>
    <row r="880" customFormat="false" ht="15" hidden="false" customHeight="false" outlineLevel="0" collapsed="false">
      <c r="A880" s="2" t="s">
        <v>3853</v>
      </c>
      <c r="B880" s="2" t="s">
        <v>8838</v>
      </c>
      <c r="C880" s="2" t="s">
        <v>8861</v>
      </c>
      <c r="D880" s="2" t="s">
        <v>8824</v>
      </c>
      <c r="E880" s="13" t="n">
        <v>30388</v>
      </c>
      <c r="F880" s="2" t="n">
        <v>254717134621</v>
      </c>
      <c r="G880" s="2" t="n">
        <v>8</v>
      </c>
      <c r="H880" s="2" t="s">
        <v>8850</v>
      </c>
      <c r="I880" s="2" t="s">
        <v>8844</v>
      </c>
      <c r="J880" s="2" t="s">
        <v>58</v>
      </c>
      <c r="K880" s="13" t="n">
        <v>45441</v>
      </c>
      <c r="L880" s="2" t="s">
        <v>8821</v>
      </c>
      <c r="M880" s="2" t="s">
        <v>8858</v>
      </c>
    </row>
    <row r="881" customFormat="false" ht="15" hidden="false" customHeight="false" outlineLevel="0" collapsed="false">
      <c r="A881" s="2" t="s">
        <v>5799</v>
      </c>
      <c r="B881" s="2" t="s">
        <v>8866</v>
      </c>
      <c r="C881" s="2" t="s">
        <v>8873</v>
      </c>
      <c r="D881" s="2" t="s">
        <v>8824</v>
      </c>
      <c r="E881" s="13" t="n">
        <v>35530</v>
      </c>
      <c r="F881" s="2" t="n">
        <v>254781076709</v>
      </c>
      <c r="G881" s="2" t="n">
        <v>10</v>
      </c>
      <c r="H881" s="2" t="s">
        <v>8850</v>
      </c>
      <c r="I881" s="2" t="s">
        <v>8857</v>
      </c>
      <c r="J881" s="2" t="s">
        <v>61</v>
      </c>
      <c r="K881" s="13" t="n">
        <v>45120</v>
      </c>
      <c r="L881" s="2" t="s">
        <v>8821</v>
      </c>
      <c r="M881" s="2" t="s">
        <v>36</v>
      </c>
    </row>
    <row r="882" customFormat="false" ht="15" hidden="false" customHeight="false" outlineLevel="0" collapsed="false">
      <c r="A882" s="2" t="s">
        <v>3001</v>
      </c>
      <c r="B882" s="2" t="s">
        <v>8822</v>
      </c>
      <c r="C882" s="2" t="s">
        <v>8823</v>
      </c>
      <c r="D882" s="2" t="s">
        <v>8824</v>
      </c>
      <c r="E882" s="13" t="n">
        <v>31086</v>
      </c>
      <c r="F882" s="2" t="n">
        <v>254742046782</v>
      </c>
      <c r="G882" s="2" t="n">
        <v>2</v>
      </c>
      <c r="H882" s="2" t="s">
        <v>95</v>
      </c>
      <c r="I882" s="2" t="s">
        <v>8834</v>
      </c>
      <c r="J882" s="2" t="s">
        <v>59</v>
      </c>
      <c r="K882" s="13" t="n">
        <v>45044</v>
      </c>
      <c r="L882" s="2" t="s">
        <v>8855</v>
      </c>
      <c r="M882" s="2" t="s">
        <v>8858</v>
      </c>
    </row>
    <row r="883" customFormat="false" ht="15" hidden="false" customHeight="false" outlineLevel="0" collapsed="false">
      <c r="A883" s="2" t="s">
        <v>4035</v>
      </c>
      <c r="B883" s="2" t="s">
        <v>8845</v>
      </c>
      <c r="C883" s="2" t="s">
        <v>8859</v>
      </c>
      <c r="D883" s="2" t="s">
        <v>8819</v>
      </c>
      <c r="E883" s="13" t="n">
        <v>34738</v>
      </c>
      <c r="F883" s="2" t="n">
        <v>254732955139</v>
      </c>
      <c r="G883" s="2" t="n">
        <v>13</v>
      </c>
      <c r="H883" s="2" t="s">
        <v>95</v>
      </c>
      <c r="I883" s="2" t="s">
        <v>8844</v>
      </c>
      <c r="J883" s="2" t="s">
        <v>60</v>
      </c>
      <c r="K883" s="13" t="n">
        <v>45635</v>
      </c>
      <c r="L883" s="2" t="s">
        <v>8821</v>
      </c>
      <c r="M883" s="2" t="s">
        <v>36</v>
      </c>
    </row>
    <row r="884" customFormat="false" ht="15" hidden="false" customHeight="false" outlineLevel="0" collapsed="false">
      <c r="A884" s="2" t="s">
        <v>211</v>
      </c>
      <c r="B884" s="2" t="s">
        <v>8849</v>
      </c>
      <c r="C884" s="2" t="s">
        <v>8859</v>
      </c>
      <c r="D884" s="2" t="s">
        <v>8824</v>
      </c>
      <c r="E884" s="13" t="n">
        <v>27836</v>
      </c>
      <c r="F884" s="2" t="n">
        <v>254742026965</v>
      </c>
      <c r="G884" s="2" t="n">
        <v>3</v>
      </c>
      <c r="H884" s="2" t="s">
        <v>8850</v>
      </c>
      <c r="I884" s="2" t="s">
        <v>8852</v>
      </c>
      <c r="J884" s="2" t="s">
        <v>58</v>
      </c>
      <c r="K884" s="13" t="n">
        <v>45644</v>
      </c>
      <c r="L884" s="2" t="s">
        <v>8821</v>
      </c>
      <c r="M884" s="2" t="s">
        <v>36</v>
      </c>
    </row>
    <row r="885" customFormat="false" ht="15" hidden="false" customHeight="false" outlineLevel="0" collapsed="false">
      <c r="A885" s="2" t="s">
        <v>1471</v>
      </c>
      <c r="B885" s="2" t="s">
        <v>8856</v>
      </c>
      <c r="C885" s="2" t="s">
        <v>8859</v>
      </c>
      <c r="D885" s="2" t="s">
        <v>8824</v>
      </c>
      <c r="E885" s="13" t="n">
        <v>33455</v>
      </c>
      <c r="F885" s="2" t="n">
        <v>254754835989</v>
      </c>
      <c r="G885" s="2" t="n">
        <v>1</v>
      </c>
      <c r="H885" s="2" t="s">
        <v>95</v>
      </c>
      <c r="I885" s="2" t="s">
        <v>8834</v>
      </c>
      <c r="J885" s="2" t="s">
        <v>58</v>
      </c>
      <c r="K885" s="13" t="n">
        <v>44940</v>
      </c>
      <c r="L885" s="2" t="s">
        <v>8821</v>
      </c>
      <c r="M885" s="2" t="s">
        <v>36</v>
      </c>
    </row>
    <row r="886" customFormat="false" ht="15" hidden="false" customHeight="false" outlineLevel="0" collapsed="false">
      <c r="A886" s="2" t="s">
        <v>3293</v>
      </c>
      <c r="B886" s="2" t="s">
        <v>8877</v>
      </c>
      <c r="C886" s="2" t="s">
        <v>8839</v>
      </c>
      <c r="D886" s="2" t="s">
        <v>8824</v>
      </c>
      <c r="E886" s="13" t="n">
        <v>33835</v>
      </c>
      <c r="F886" s="2" t="n">
        <v>254724681540</v>
      </c>
      <c r="G886" s="2" t="n">
        <v>1</v>
      </c>
      <c r="H886" s="2" t="s">
        <v>95</v>
      </c>
      <c r="I886" s="2" t="s">
        <v>8848</v>
      </c>
      <c r="J886" s="2" t="s">
        <v>60</v>
      </c>
      <c r="K886" s="13" t="n">
        <v>44928</v>
      </c>
      <c r="L886" s="2" t="s">
        <v>8821</v>
      </c>
      <c r="M886" s="2" t="s">
        <v>36</v>
      </c>
    </row>
    <row r="887" customFormat="false" ht="15" hidden="false" customHeight="false" outlineLevel="0" collapsed="false">
      <c r="A887" s="2" t="s">
        <v>2047</v>
      </c>
      <c r="B887" s="2" t="s">
        <v>8874</v>
      </c>
      <c r="C887" s="2" t="s">
        <v>8869</v>
      </c>
      <c r="D887" s="2" t="s">
        <v>8824</v>
      </c>
      <c r="E887" s="13" t="n">
        <v>28890</v>
      </c>
      <c r="F887" s="2" t="n">
        <v>254775855518</v>
      </c>
      <c r="G887" s="2" t="n">
        <v>12</v>
      </c>
      <c r="H887" s="2" t="s">
        <v>8850</v>
      </c>
      <c r="I887" s="2" t="s">
        <v>8857</v>
      </c>
      <c r="J887" s="2" t="s">
        <v>60</v>
      </c>
      <c r="K887" s="13" t="n">
        <v>45238</v>
      </c>
      <c r="L887" s="2" t="s">
        <v>8855</v>
      </c>
      <c r="M887" s="2" t="s">
        <v>36</v>
      </c>
    </row>
    <row r="888" customFormat="false" ht="15" hidden="false" customHeight="false" outlineLevel="0" collapsed="false">
      <c r="A888" s="2" t="s">
        <v>3283</v>
      </c>
      <c r="B888" s="2" t="s">
        <v>8883</v>
      </c>
      <c r="C888" s="2" t="s">
        <v>8869</v>
      </c>
      <c r="D888" s="2" t="s">
        <v>8824</v>
      </c>
      <c r="E888" s="13" t="n">
        <v>34182</v>
      </c>
      <c r="F888" s="2" t="n">
        <v>254725134534</v>
      </c>
      <c r="G888" s="2" t="n">
        <v>5</v>
      </c>
      <c r="H888" s="2" t="s">
        <v>95</v>
      </c>
      <c r="I888" s="2" t="s">
        <v>8828</v>
      </c>
      <c r="J888" s="2" t="s">
        <v>61</v>
      </c>
      <c r="K888" s="13" t="n">
        <v>45288</v>
      </c>
      <c r="L888" s="2" t="s">
        <v>8821</v>
      </c>
      <c r="M888" s="2" t="s">
        <v>36</v>
      </c>
    </row>
    <row r="889" customFormat="false" ht="15" hidden="false" customHeight="false" outlineLevel="0" collapsed="false">
      <c r="A889" s="2" t="s">
        <v>1387</v>
      </c>
      <c r="B889" s="2" t="s">
        <v>8862</v>
      </c>
      <c r="C889" s="2" t="s">
        <v>8865</v>
      </c>
      <c r="D889" s="2" t="s">
        <v>8824</v>
      </c>
      <c r="E889" s="13" t="n">
        <v>33817</v>
      </c>
      <c r="F889" s="2" t="n">
        <v>254737690126</v>
      </c>
      <c r="G889" s="2" t="n">
        <v>12</v>
      </c>
      <c r="H889" s="2" t="s">
        <v>95</v>
      </c>
      <c r="I889" s="2" t="s">
        <v>8831</v>
      </c>
      <c r="J889" s="2" t="s">
        <v>61</v>
      </c>
      <c r="K889" s="13" t="n">
        <v>45177</v>
      </c>
      <c r="L889" s="2" t="s">
        <v>8821</v>
      </c>
      <c r="M889" s="2" t="s">
        <v>36</v>
      </c>
    </row>
    <row r="890" customFormat="false" ht="15" hidden="false" customHeight="false" outlineLevel="0" collapsed="false">
      <c r="A890" s="2" t="s">
        <v>4685</v>
      </c>
      <c r="B890" s="2" t="s">
        <v>8882</v>
      </c>
      <c r="C890" s="2" t="s">
        <v>8888</v>
      </c>
      <c r="D890" s="2" t="s">
        <v>8824</v>
      </c>
      <c r="E890" s="13" t="n">
        <v>36044</v>
      </c>
      <c r="F890" s="2" t="n">
        <v>254762482651</v>
      </c>
      <c r="G890" s="2" t="n">
        <v>10</v>
      </c>
      <c r="H890" s="2" t="s">
        <v>8850</v>
      </c>
      <c r="I890" s="2" t="s">
        <v>8834</v>
      </c>
      <c r="J890" s="2" t="s">
        <v>60</v>
      </c>
      <c r="K890" s="13" t="n">
        <v>45198</v>
      </c>
      <c r="L890" s="2" t="s">
        <v>8821</v>
      </c>
      <c r="M890" s="2" t="s">
        <v>36</v>
      </c>
    </row>
    <row r="891" customFormat="false" ht="15" hidden="false" customHeight="false" outlineLevel="0" collapsed="false">
      <c r="A891" s="2" t="s">
        <v>975</v>
      </c>
      <c r="B891" s="2" t="s">
        <v>8874</v>
      </c>
      <c r="C891" s="2" t="s">
        <v>8870</v>
      </c>
      <c r="D891" s="2" t="s">
        <v>8824</v>
      </c>
      <c r="E891" s="13" t="n">
        <v>33515</v>
      </c>
      <c r="F891" s="2" t="n">
        <v>254748709538</v>
      </c>
      <c r="G891" s="2" t="n">
        <v>2</v>
      </c>
      <c r="H891" s="2" t="s">
        <v>95</v>
      </c>
      <c r="I891" s="2" t="s">
        <v>8847</v>
      </c>
      <c r="J891" s="2" t="s">
        <v>59</v>
      </c>
      <c r="K891" s="13" t="n">
        <v>45370</v>
      </c>
      <c r="L891" s="2" t="s">
        <v>8855</v>
      </c>
      <c r="M891" s="2" t="s">
        <v>36</v>
      </c>
    </row>
    <row r="892" customFormat="false" ht="15" hidden="false" customHeight="false" outlineLevel="0" collapsed="false">
      <c r="A892" s="2" t="s">
        <v>1224</v>
      </c>
      <c r="B892" s="2" t="s">
        <v>8835</v>
      </c>
      <c r="C892" s="2" t="s">
        <v>8854</v>
      </c>
      <c r="D892" s="2" t="s">
        <v>8824</v>
      </c>
      <c r="E892" s="13" t="n">
        <v>32434</v>
      </c>
      <c r="F892" s="2" t="n">
        <v>254748689596</v>
      </c>
      <c r="G892" s="2" t="n">
        <v>2</v>
      </c>
      <c r="H892" s="2" t="s">
        <v>8850</v>
      </c>
      <c r="I892" s="2" t="s">
        <v>8820</v>
      </c>
      <c r="J892" s="2" t="s">
        <v>61</v>
      </c>
      <c r="K892" s="13" t="n">
        <v>45607</v>
      </c>
      <c r="L892" s="2" t="s">
        <v>8821</v>
      </c>
      <c r="M892" s="2" t="s">
        <v>36</v>
      </c>
    </row>
    <row r="893" customFormat="false" ht="15" hidden="false" customHeight="false" outlineLevel="0" collapsed="false">
      <c r="A893" s="2" t="s">
        <v>3051</v>
      </c>
      <c r="B893" s="2" t="s">
        <v>8877</v>
      </c>
      <c r="C893" s="2" t="s">
        <v>8854</v>
      </c>
      <c r="D893" s="2" t="s">
        <v>8819</v>
      </c>
      <c r="E893" s="13" t="n">
        <v>32420</v>
      </c>
      <c r="F893" s="2" t="n">
        <v>254767756952</v>
      </c>
      <c r="G893" s="2" t="n">
        <v>6</v>
      </c>
      <c r="H893" s="2" t="s">
        <v>95</v>
      </c>
      <c r="I893" s="2" t="s">
        <v>8820</v>
      </c>
      <c r="J893" s="2" t="s">
        <v>60</v>
      </c>
      <c r="K893" s="13" t="n">
        <v>44981</v>
      </c>
      <c r="L893" s="2" t="s">
        <v>8821</v>
      </c>
      <c r="M893" s="2" t="s">
        <v>36</v>
      </c>
    </row>
    <row r="894" customFormat="false" ht="15" hidden="false" customHeight="false" outlineLevel="0" collapsed="false">
      <c r="A894" s="2" t="s">
        <v>4143</v>
      </c>
      <c r="B894" s="2" t="s">
        <v>8832</v>
      </c>
      <c r="C894" s="2" t="s">
        <v>8827</v>
      </c>
      <c r="D894" s="2" t="s">
        <v>8824</v>
      </c>
      <c r="E894" s="13" t="n">
        <v>32408</v>
      </c>
      <c r="F894" s="2" t="n">
        <v>254729145387</v>
      </c>
      <c r="G894" s="2" t="n">
        <v>12</v>
      </c>
      <c r="H894" s="2" t="s">
        <v>95</v>
      </c>
      <c r="I894" s="2" t="s">
        <v>8842</v>
      </c>
      <c r="J894" s="2" t="s">
        <v>62</v>
      </c>
      <c r="K894" s="13" t="n">
        <v>45501</v>
      </c>
      <c r="L894" s="2" t="s">
        <v>8821</v>
      </c>
      <c r="M894" s="2" t="s">
        <v>36</v>
      </c>
    </row>
    <row r="895" customFormat="false" ht="15" hidden="false" customHeight="false" outlineLevel="0" collapsed="false">
      <c r="A895" s="2" t="s">
        <v>1693</v>
      </c>
      <c r="B895" s="2" t="s">
        <v>8843</v>
      </c>
      <c r="C895" s="2" t="s">
        <v>8876</v>
      </c>
      <c r="D895" s="2" t="s">
        <v>8824</v>
      </c>
      <c r="E895" s="13" t="n">
        <v>30697</v>
      </c>
      <c r="F895" s="2" t="n">
        <v>254763568120</v>
      </c>
      <c r="G895" s="2" t="n">
        <v>15</v>
      </c>
      <c r="H895" s="2" t="s">
        <v>95</v>
      </c>
      <c r="I895" s="2" t="s">
        <v>8834</v>
      </c>
      <c r="J895" s="2" t="s">
        <v>60</v>
      </c>
      <c r="K895" s="13" t="n">
        <v>45290</v>
      </c>
      <c r="L895" s="2" t="s">
        <v>8821</v>
      </c>
      <c r="M895" s="2" t="s">
        <v>36</v>
      </c>
    </row>
    <row r="896" customFormat="false" ht="15" hidden="false" customHeight="false" outlineLevel="0" collapsed="false">
      <c r="A896" s="2" t="s">
        <v>6893</v>
      </c>
      <c r="B896" s="2" t="s">
        <v>8832</v>
      </c>
      <c r="C896" s="2" t="s">
        <v>8841</v>
      </c>
      <c r="D896" s="2" t="s">
        <v>8824</v>
      </c>
      <c r="E896" s="13" t="n">
        <v>35745</v>
      </c>
      <c r="F896" s="2" t="n">
        <v>254728212104</v>
      </c>
      <c r="G896" s="2" t="n">
        <v>7</v>
      </c>
      <c r="H896" s="2" t="s">
        <v>95</v>
      </c>
      <c r="I896" s="2" t="s">
        <v>8834</v>
      </c>
      <c r="J896" s="2" t="s">
        <v>60</v>
      </c>
      <c r="K896" s="13" t="n">
        <v>45519</v>
      </c>
      <c r="L896" s="2" t="s">
        <v>8821</v>
      </c>
      <c r="M896" s="2" t="s">
        <v>36</v>
      </c>
    </row>
    <row r="897" customFormat="false" ht="15" hidden="false" customHeight="false" outlineLevel="0" collapsed="false">
      <c r="A897" s="2" t="s">
        <v>1193</v>
      </c>
      <c r="B897" s="2" t="s">
        <v>8874</v>
      </c>
      <c r="C897" s="2" t="s">
        <v>8865</v>
      </c>
      <c r="D897" s="2" t="s">
        <v>8819</v>
      </c>
      <c r="E897" s="13" t="n">
        <v>36409</v>
      </c>
      <c r="F897" s="2" t="n">
        <v>254728603902</v>
      </c>
      <c r="G897" s="2" t="n">
        <v>9</v>
      </c>
      <c r="H897" s="2" t="s">
        <v>8850</v>
      </c>
      <c r="I897" s="2" t="s">
        <v>8864</v>
      </c>
      <c r="J897" s="2" t="s">
        <v>60</v>
      </c>
      <c r="K897" s="13" t="n">
        <v>45311</v>
      </c>
      <c r="L897" s="2" t="s">
        <v>8821</v>
      </c>
      <c r="M897" s="2" t="s">
        <v>8858</v>
      </c>
    </row>
    <row r="898" customFormat="false" ht="15" hidden="false" customHeight="false" outlineLevel="0" collapsed="false">
      <c r="A898" s="2" t="s">
        <v>8910</v>
      </c>
      <c r="B898" s="2" t="s">
        <v>8838</v>
      </c>
      <c r="C898" s="2" t="s">
        <v>8870</v>
      </c>
      <c r="D898" s="2" t="s">
        <v>8819</v>
      </c>
      <c r="E898" s="13" t="n">
        <v>33800</v>
      </c>
      <c r="F898" s="2" t="n">
        <v>254785015510</v>
      </c>
      <c r="G898" s="2" t="n">
        <v>1</v>
      </c>
      <c r="H898" s="2" t="s">
        <v>8850</v>
      </c>
      <c r="I898" s="2" t="s">
        <v>8825</v>
      </c>
      <c r="J898" s="2" t="s">
        <v>59</v>
      </c>
      <c r="K898" s="13" t="n">
        <v>45357</v>
      </c>
      <c r="L898" s="2" t="s">
        <v>8821</v>
      </c>
      <c r="M898" s="2" t="s">
        <v>36</v>
      </c>
    </row>
    <row r="899" customFormat="false" ht="15" hidden="false" customHeight="false" outlineLevel="0" collapsed="false">
      <c r="A899" s="2" t="s">
        <v>4889</v>
      </c>
      <c r="B899" s="2" t="s">
        <v>8851</v>
      </c>
      <c r="C899" s="2" t="s">
        <v>8881</v>
      </c>
      <c r="D899" s="2" t="s">
        <v>8824</v>
      </c>
      <c r="E899" s="13" t="n">
        <v>37412</v>
      </c>
      <c r="F899" s="2" t="n">
        <v>254717185483</v>
      </c>
      <c r="G899" s="2" t="n">
        <v>13</v>
      </c>
      <c r="H899" s="2" t="s">
        <v>8850</v>
      </c>
      <c r="I899" s="2" t="s">
        <v>8828</v>
      </c>
      <c r="J899" s="2" t="s">
        <v>61</v>
      </c>
      <c r="K899" s="13" t="n">
        <v>45562</v>
      </c>
      <c r="L899" s="2" t="s">
        <v>8821</v>
      </c>
      <c r="M899" s="2" t="s">
        <v>8858</v>
      </c>
    </row>
    <row r="900" customFormat="false" ht="15" hidden="false" customHeight="false" outlineLevel="0" collapsed="false">
      <c r="A900" s="2" t="s">
        <v>8697</v>
      </c>
      <c r="B900" s="2" t="s">
        <v>8845</v>
      </c>
      <c r="C900" s="2" t="s">
        <v>8830</v>
      </c>
      <c r="D900" s="2" t="s">
        <v>8824</v>
      </c>
      <c r="E900" s="13" t="n">
        <v>36163</v>
      </c>
      <c r="F900" s="2" t="n">
        <v>254789770922</v>
      </c>
      <c r="G900" s="2" t="n">
        <v>2</v>
      </c>
      <c r="H900" s="2" t="s">
        <v>8850</v>
      </c>
      <c r="I900" s="2" t="s">
        <v>8848</v>
      </c>
      <c r="J900" s="2" t="s">
        <v>61</v>
      </c>
      <c r="K900" s="13" t="n">
        <v>44983</v>
      </c>
      <c r="L900" s="2" t="s">
        <v>8821</v>
      </c>
      <c r="M900" s="2" t="s">
        <v>36</v>
      </c>
    </row>
    <row r="901" customFormat="false" ht="15" hidden="false" customHeight="false" outlineLevel="0" collapsed="false">
      <c r="A901" s="2" t="s">
        <v>5025</v>
      </c>
      <c r="B901" s="2" t="s">
        <v>8868</v>
      </c>
      <c r="C901" s="2" t="s">
        <v>8823</v>
      </c>
      <c r="D901" s="2" t="s">
        <v>8819</v>
      </c>
      <c r="E901" s="13" t="n">
        <v>28478</v>
      </c>
      <c r="F901" s="2" t="n">
        <v>254779291785</v>
      </c>
      <c r="G901" s="2" t="n">
        <v>3</v>
      </c>
      <c r="H901" s="2" t="s">
        <v>8850</v>
      </c>
      <c r="I901" s="2" t="s">
        <v>8828</v>
      </c>
      <c r="J901" s="2" t="s">
        <v>59</v>
      </c>
      <c r="K901" s="13" t="n">
        <v>45617</v>
      </c>
      <c r="L901" s="2" t="s">
        <v>8821</v>
      </c>
      <c r="M901" s="2" t="s">
        <v>36</v>
      </c>
    </row>
    <row r="902" customFormat="false" ht="15" hidden="false" customHeight="false" outlineLevel="0" collapsed="false">
      <c r="A902" s="2" t="s">
        <v>3961</v>
      </c>
      <c r="B902" s="2" t="s">
        <v>8849</v>
      </c>
      <c r="C902" s="2" t="s">
        <v>8841</v>
      </c>
      <c r="D902" s="2" t="s">
        <v>8819</v>
      </c>
      <c r="E902" s="13" t="n">
        <v>32843</v>
      </c>
      <c r="F902" s="2" t="n">
        <v>254719011655</v>
      </c>
      <c r="G902" s="2" t="n">
        <v>1</v>
      </c>
      <c r="H902" s="2" t="s">
        <v>95</v>
      </c>
      <c r="I902" s="2" t="s">
        <v>8848</v>
      </c>
      <c r="J902" s="2" t="s">
        <v>58</v>
      </c>
      <c r="K902" s="13" t="n">
        <v>45423</v>
      </c>
      <c r="L902" s="2" t="s">
        <v>8821</v>
      </c>
      <c r="M902" s="2" t="s">
        <v>36</v>
      </c>
    </row>
    <row r="903" customFormat="false" ht="15" hidden="false" customHeight="false" outlineLevel="0" collapsed="false">
      <c r="A903" s="2" t="s">
        <v>4473</v>
      </c>
      <c r="B903" s="2" t="s">
        <v>8872</v>
      </c>
      <c r="C903" s="2" t="s">
        <v>8861</v>
      </c>
      <c r="D903" s="2" t="s">
        <v>8824</v>
      </c>
      <c r="E903" s="13" t="n">
        <v>30363</v>
      </c>
      <c r="F903" s="2" t="n">
        <v>254762440731</v>
      </c>
      <c r="G903" s="2" t="n">
        <v>1</v>
      </c>
      <c r="H903" s="2" t="s">
        <v>95</v>
      </c>
      <c r="I903" s="2" t="s">
        <v>8834</v>
      </c>
      <c r="J903" s="2" t="s">
        <v>61</v>
      </c>
      <c r="K903" s="13" t="n">
        <v>44952</v>
      </c>
      <c r="L903" s="2" t="s">
        <v>8855</v>
      </c>
      <c r="M903" s="2" t="s">
        <v>36</v>
      </c>
    </row>
    <row r="904" customFormat="false" ht="15" hidden="false" customHeight="false" outlineLevel="0" collapsed="false">
      <c r="A904" s="2" t="s">
        <v>1480</v>
      </c>
      <c r="B904" s="2" t="s">
        <v>8856</v>
      </c>
      <c r="C904" s="2" t="s">
        <v>8870</v>
      </c>
      <c r="D904" s="2" t="s">
        <v>8819</v>
      </c>
      <c r="E904" s="13" t="n">
        <v>31299</v>
      </c>
      <c r="F904" s="2" t="n">
        <v>254768029531</v>
      </c>
      <c r="G904" s="2" t="n">
        <v>3</v>
      </c>
      <c r="H904" s="2" t="s">
        <v>95</v>
      </c>
      <c r="I904" s="2" t="s">
        <v>8828</v>
      </c>
      <c r="J904" s="2" t="s">
        <v>59</v>
      </c>
      <c r="K904" s="13" t="n">
        <v>45554</v>
      </c>
      <c r="L904" s="2" t="s">
        <v>8821</v>
      </c>
      <c r="M904" s="2" t="s">
        <v>36</v>
      </c>
    </row>
    <row r="905" customFormat="false" ht="15" hidden="false" customHeight="false" outlineLevel="0" collapsed="false">
      <c r="A905" s="2" t="s">
        <v>2067</v>
      </c>
      <c r="B905" s="2" t="s">
        <v>8840</v>
      </c>
      <c r="C905" s="2" t="s">
        <v>8859</v>
      </c>
      <c r="D905" s="2" t="s">
        <v>8824</v>
      </c>
      <c r="E905" s="13" t="n">
        <v>37613</v>
      </c>
      <c r="F905" s="2" t="n">
        <v>254748927998</v>
      </c>
      <c r="G905" s="2" t="n">
        <v>5</v>
      </c>
      <c r="H905" s="2" t="s">
        <v>95</v>
      </c>
      <c r="I905" s="2" t="s">
        <v>8848</v>
      </c>
      <c r="J905" s="2" t="s">
        <v>61</v>
      </c>
      <c r="K905" s="13" t="n">
        <v>45486</v>
      </c>
      <c r="L905" s="2" t="s">
        <v>8821</v>
      </c>
      <c r="M905" s="2" t="s">
        <v>36</v>
      </c>
    </row>
    <row r="906" customFormat="false" ht="15" hidden="false" customHeight="false" outlineLevel="0" collapsed="false">
      <c r="A906" s="2" t="s">
        <v>356</v>
      </c>
      <c r="B906" s="2" t="s">
        <v>8860</v>
      </c>
      <c r="C906" s="2" t="s">
        <v>8865</v>
      </c>
      <c r="D906" s="2" t="s">
        <v>8824</v>
      </c>
      <c r="E906" s="13" t="n">
        <v>34903</v>
      </c>
      <c r="F906" s="2" t="n">
        <v>254729886575</v>
      </c>
      <c r="G906" s="2" t="n">
        <v>1</v>
      </c>
      <c r="H906" s="2" t="s">
        <v>8850</v>
      </c>
      <c r="I906" s="2" t="s">
        <v>8847</v>
      </c>
      <c r="J906" s="2" t="s">
        <v>58</v>
      </c>
      <c r="K906" s="13" t="n">
        <v>45036</v>
      </c>
      <c r="L906" s="2" t="s">
        <v>8855</v>
      </c>
      <c r="M906" s="2" t="s">
        <v>36</v>
      </c>
    </row>
    <row r="907" customFormat="false" ht="15" hidden="false" customHeight="false" outlineLevel="0" collapsed="false">
      <c r="A907" s="2" t="s">
        <v>421</v>
      </c>
      <c r="B907" s="2" t="s">
        <v>8880</v>
      </c>
      <c r="C907" s="2" t="s">
        <v>8867</v>
      </c>
      <c r="D907" s="2" t="s">
        <v>8824</v>
      </c>
      <c r="E907" s="13" t="n">
        <v>32529</v>
      </c>
      <c r="F907" s="2" t="n">
        <v>254715721942</v>
      </c>
      <c r="G907" s="2" t="n">
        <v>15</v>
      </c>
      <c r="H907" s="2" t="s">
        <v>8850</v>
      </c>
      <c r="I907" s="2" t="s">
        <v>8828</v>
      </c>
      <c r="J907" s="2" t="s">
        <v>61</v>
      </c>
      <c r="K907" s="13" t="n">
        <v>45593</v>
      </c>
      <c r="L907" s="2" t="s">
        <v>8855</v>
      </c>
      <c r="M907" s="2" t="s">
        <v>36</v>
      </c>
    </row>
    <row r="908" customFormat="false" ht="15" hidden="false" customHeight="false" outlineLevel="0" collapsed="false">
      <c r="A908" s="2" t="s">
        <v>6573</v>
      </c>
      <c r="B908" s="2" t="s">
        <v>8885</v>
      </c>
      <c r="C908" s="2" t="s">
        <v>8861</v>
      </c>
      <c r="D908" s="2" t="s">
        <v>8819</v>
      </c>
      <c r="E908" s="13" t="n">
        <v>25639</v>
      </c>
      <c r="F908" s="2" t="n">
        <v>254756819717</v>
      </c>
      <c r="G908" s="2" t="n">
        <v>15</v>
      </c>
      <c r="H908" s="2" t="s">
        <v>8850</v>
      </c>
      <c r="I908" s="2" t="s">
        <v>8857</v>
      </c>
      <c r="J908" s="2" t="s">
        <v>58</v>
      </c>
      <c r="K908" s="13" t="n">
        <v>45439</v>
      </c>
      <c r="L908" s="2" t="s">
        <v>8821</v>
      </c>
      <c r="M908" s="2" t="s">
        <v>36</v>
      </c>
    </row>
    <row r="909" customFormat="false" ht="15" hidden="false" customHeight="false" outlineLevel="0" collapsed="false">
      <c r="A909" s="2" t="s">
        <v>176</v>
      </c>
      <c r="B909" s="2" t="s">
        <v>8878</v>
      </c>
      <c r="C909" s="2" t="s">
        <v>8870</v>
      </c>
      <c r="D909" s="2" t="s">
        <v>8819</v>
      </c>
      <c r="E909" s="13" t="n">
        <v>33932</v>
      </c>
      <c r="F909" s="2" t="n">
        <v>254747358181</v>
      </c>
      <c r="G909" s="2" t="n">
        <v>13</v>
      </c>
      <c r="H909" s="2" t="s">
        <v>8850</v>
      </c>
      <c r="I909" s="2" t="s">
        <v>8842</v>
      </c>
      <c r="J909" s="2" t="s">
        <v>58</v>
      </c>
      <c r="K909" s="13" t="n">
        <v>45503</v>
      </c>
      <c r="L909" s="2" t="s">
        <v>8855</v>
      </c>
      <c r="M909" s="2" t="s">
        <v>8858</v>
      </c>
    </row>
    <row r="910" customFormat="false" ht="15" hidden="false" customHeight="false" outlineLevel="0" collapsed="false">
      <c r="A910" s="2" t="s">
        <v>7575</v>
      </c>
      <c r="B910" s="2" t="s">
        <v>8862</v>
      </c>
      <c r="C910" s="2" t="s">
        <v>8861</v>
      </c>
      <c r="D910" s="2" t="s">
        <v>8824</v>
      </c>
      <c r="E910" s="13" t="n">
        <v>36821</v>
      </c>
      <c r="F910" s="2" t="n">
        <v>254727370722</v>
      </c>
      <c r="G910" s="2" t="n">
        <v>12</v>
      </c>
      <c r="H910" s="2" t="s">
        <v>8850</v>
      </c>
      <c r="I910" s="2" t="s">
        <v>8848</v>
      </c>
      <c r="J910" s="2" t="s">
        <v>62</v>
      </c>
      <c r="K910" s="13" t="n">
        <v>45111</v>
      </c>
      <c r="L910" s="2" t="s">
        <v>8821</v>
      </c>
      <c r="M910" s="2" t="s">
        <v>8858</v>
      </c>
    </row>
    <row r="911" customFormat="false" ht="15" hidden="false" customHeight="false" outlineLevel="0" collapsed="false">
      <c r="A911" s="2" t="s">
        <v>8911</v>
      </c>
      <c r="B911" s="2" t="s">
        <v>8843</v>
      </c>
      <c r="C911" s="2" t="s">
        <v>8830</v>
      </c>
      <c r="D911" s="2" t="s">
        <v>8819</v>
      </c>
      <c r="E911" s="13" t="n">
        <v>27030</v>
      </c>
      <c r="F911" s="2" t="n">
        <v>254777032883</v>
      </c>
      <c r="G911" s="2" t="n">
        <v>15</v>
      </c>
      <c r="H911" s="2" t="s">
        <v>8850</v>
      </c>
      <c r="I911" s="2" t="s">
        <v>8844</v>
      </c>
      <c r="J911" s="2" t="s">
        <v>59</v>
      </c>
      <c r="K911" s="13" t="n">
        <v>45089</v>
      </c>
      <c r="L911" s="2" t="s">
        <v>8821</v>
      </c>
      <c r="M911" s="2" t="s">
        <v>36</v>
      </c>
    </row>
    <row r="912" customFormat="false" ht="15" hidden="false" customHeight="false" outlineLevel="0" collapsed="false">
      <c r="A912" s="2" t="s">
        <v>855</v>
      </c>
      <c r="B912" s="2" t="s">
        <v>8882</v>
      </c>
      <c r="C912" s="2" t="s">
        <v>8827</v>
      </c>
      <c r="D912" s="2" t="s">
        <v>8819</v>
      </c>
      <c r="E912" s="13" t="n">
        <v>29933</v>
      </c>
      <c r="F912" s="2" t="n">
        <v>254792128314</v>
      </c>
      <c r="G912" s="2" t="n">
        <v>5</v>
      </c>
      <c r="H912" s="2" t="s">
        <v>95</v>
      </c>
      <c r="I912" s="2" t="s">
        <v>8820</v>
      </c>
      <c r="J912" s="2" t="s">
        <v>58</v>
      </c>
      <c r="K912" s="13" t="n">
        <v>45357</v>
      </c>
      <c r="L912" s="2" t="s">
        <v>8855</v>
      </c>
      <c r="M912" s="2" t="s">
        <v>36</v>
      </c>
    </row>
    <row r="913" customFormat="false" ht="15" hidden="false" customHeight="false" outlineLevel="0" collapsed="false">
      <c r="A913" s="2" t="s">
        <v>466</v>
      </c>
      <c r="B913" s="2" t="s">
        <v>8875</v>
      </c>
      <c r="C913" s="2" t="s">
        <v>8870</v>
      </c>
      <c r="D913" s="2" t="s">
        <v>8824</v>
      </c>
      <c r="E913" s="13" t="n">
        <v>26003</v>
      </c>
      <c r="F913" s="2" t="n">
        <v>254727880034</v>
      </c>
      <c r="G913" s="2" t="n">
        <v>11</v>
      </c>
      <c r="H913" s="2" t="s">
        <v>95</v>
      </c>
      <c r="I913" s="2" t="s">
        <v>8831</v>
      </c>
      <c r="J913" s="2" t="s">
        <v>60</v>
      </c>
      <c r="K913" s="13" t="n">
        <v>45037</v>
      </c>
      <c r="L913" s="2" t="s">
        <v>8855</v>
      </c>
      <c r="M913" s="2" t="s">
        <v>8858</v>
      </c>
    </row>
    <row r="914" customFormat="false" ht="15" hidden="false" customHeight="false" outlineLevel="0" collapsed="false">
      <c r="A914" s="2" t="s">
        <v>5235</v>
      </c>
      <c r="B914" s="2" t="s">
        <v>8838</v>
      </c>
      <c r="C914" s="2" t="s">
        <v>8861</v>
      </c>
      <c r="D914" s="2" t="s">
        <v>8819</v>
      </c>
      <c r="E914" s="13" t="n">
        <v>32240</v>
      </c>
      <c r="F914" s="2" t="n">
        <v>254721545180</v>
      </c>
      <c r="G914" s="2" t="n">
        <v>10</v>
      </c>
      <c r="H914" s="2" t="s">
        <v>95</v>
      </c>
      <c r="I914" s="2" t="s">
        <v>8852</v>
      </c>
      <c r="J914" s="2" t="s">
        <v>58</v>
      </c>
      <c r="K914" s="13" t="n">
        <v>45092</v>
      </c>
      <c r="L914" s="2" t="s">
        <v>8821</v>
      </c>
      <c r="M914" s="2" t="s">
        <v>36</v>
      </c>
    </row>
    <row r="915" customFormat="false" ht="15" hidden="false" customHeight="false" outlineLevel="0" collapsed="false">
      <c r="A915" s="2" t="s">
        <v>4751</v>
      </c>
      <c r="B915" s="2" t="s">
        <v>8862</v>
      </c>
      <c r="C915" s="2" t="s">
        <v>8863</v>
      </c>
      <c r="D915" s="2" t="s">
        <v>8819</v>
      </c>
      <c r="E915" s="13" t="n">
        <v>28502</v>
      </c>
      <c r="F915" s="2" t="n">
        <v>254755729498</v>
      </c>
      <c r="G915" s="2" t="n">
        <v>3</v>
      </c>
      <c r="H915" s="2" t="s">
        <v>8850</v>
      </c>
      <c r="I915" s="2" t="s">
        <v>8831</v>
      </c>
      <c r="J915" s="2" t="s">
        <v>59</v>
      </c>
      <c r="K915" s="13" t="n">
        <v>45344</v>
      </c>
      <c r="L915" s="2" t="s">
        <v>8855</v>
      </c>
      <c r="M915" s="2" t="s">
        <v>36</v>
      </c>
    </row>
    <row r="916" customFormat="false" ht="15" hidden="false" customHeight="false" outlineLevel="0" collapsed="false">
      <c r="A916" s="2" t="s">
        <v>806</v>
      </c>
      <c r="B916" s="2" t="s">
        <v>8874</v>
      </c>
      <c r="C916" s="2" t="s">
        <v>8827</v>
      </c>
      <c r="D916" s="2" t="s">
        <v>8824</v>
      </c>
      <c r="E916" s="13" t="n">
        <v>33895</v>
      </c>
      <c r="F916" s="2" t="n">
        <v>254767379655</v>
      </c>
      <c r="G916" s="2" t="n">
        <v>11</v>
      </c>
      <c r="H916" s="2" t="s">
        <v>8850</v>
      </c>
      <c r="I916" s="2" t="s">
        <v>8825</v>
      </c>
      <c r="J916" s="2" t="s">
        <v>62</v>
      </c>
      <c r="K916" s="13" t="n">
        <v>45068</v>
      </c>
      <c r="L916" s="2" t="s">
        <v>8821</v>
      </c>
      <c r="M916" s="2" t="s">
        <v>36</v>
      </c>
    </row>
    <row r="917" customFormat="false" ht="15" hidden="false" customHeight="false" outlineLevel="0" collapsed="false">
      <c r="A917" s="2" t="s">
        <v>2852</v>
      </c>
      <c r="B917" s="2" t="s">
        <v>8843</v>
      </c>
      <c r="C917" s="2" t="s">
        <v>8823</v>
      </c>
      <c r="D917" s="2" t="s">
        <v>8824</v>
      </c>
      <c r="E917" s="13" t="n">
        <v>32543</v>
      </c>
      <c r="F917" s="2" t="n">
        <v>254713025600</v>
      </c>
      <c r="G917" s="2" t="n">
        <v>4</v>
      </c>
      <c r="H917" s="2" t="s">
        <v>8850</v>
      </c>
      <c r="I917" s="2" t="s">
        <v>8834</v>
      </c>
      <c r="J917" s="2" t="s">
        <v>61</v>
      </c>
      <c r="K917" s="13" t="n">
        <v>45437</v>
      </c>
      <c r="L917" s="2" t="s">
        <v>8821</v>
      </c>
      <c r="M917" s="2" t="s">
        <v>36</v>
      </c>
    </row>
    <row r="918" customFormat="false" ht="15" hidden="false" customHeight="false" outlineLevel="0" collapsed="false">
      <c r="A918" s="2" t="s">
        <v>5447</v>
      </c>
      <c r="B918" s="2" t="s">
        <v>8862</v>
      </c>
      <c r="C918" s="2" t="s">
        <v>8839</v>
      </c>
      <c r="D918" s="2" t="s">
        <v>8824</v>
      </c>
      <c r="E918" s="13" t="n">
        <v>29344</v>
      </c>
      <c r="F918" s="2" t="n">
        <v>254763582355</v>
      </c>
      <c r="G918" s="2" t="n">
        <v>10</v>
      </c>
      <c r="H918" s="2" t="s">
        <v>95</v>
      </c>
      <c r="I918" s="2" t="s">
        <v>8857</v>
      </c>
      <c r="J918" s="2" t="s">
        <v>58</v>
      </c>
      <c r="K918" s="13" t="n">
        <v>45474</v>
      </c>
      <c r="L918" s="2" t="s">
        <v>8855</v>
      </c>
      <c r="M918" s="2" t="s">
        <v>36</v>
      </c>
    </row>
    <row r="919" customFormat="false" ht="15" hidden="false" customHeight="false" outlineLevel="0" collapsed="false">
      <c r="A919" s="2" t="s">
        <v>6717</v>
      </c>
      <c r="B919" s="2" t="s">
        <v>8845</v>
      </c>
      <c r="C919" s="2" t="s">
        <v>8841</v>
      </c>
      <c r="D919" s="2" t="s">
        <v>8824</v>
      </c>
      <c r="E919" s="13" t="n">
        <v>25944</v>
      </c>
      <c r="F919" s="2" t="n">
        <v>254717971455</v>
      </c>
      <c r="G919" s="2" t="n">
        <v>3</v>
      </c>
      <c r="H919" s="2" t="s">
        <v>95</v>
      </c>
      <c r="I919" s="2" t="s">
        <v>8857</v>
      </c>
      <c r="J919" s="2" t="s">
        <v>60</v>
      </c>
      <c r="K919" s="13" t="n">
        <v>45358</v>
      </c>
      <c r="L919" s="2" t="s">
        <v>8821</v>
      </c>
      <c r="M919" s="2" t="s">
        <v>36</v>
      </c>
    </row>
    <row r="920" customFormat="false" ht="15" hidden="false" customHeight="false" outlineLevel="0" collapsed="false">
      <c r="A920" s="2" t="s">
        <v>2995</v>
      </c>
      <c r="B920" s="2" t="s">
        <v>8880</v>
      </c>
      <c r="C920" s="2" t="s">
        <v>8867</v>
      </c>
      <c r="D920" s="2" t="s">
        <v>8819</v>
      </c>
      <c r="E920" s="13" t="n">
        <v>36948</v>
      </c>
      <c r="F920" s="2" t="n">
        <v>254756418606</v>
      </c>
      <c r="G920" s="2" t="n">
        <v>2</v>
      </c>
      <c r="H920" s="2" t="s">
        <v>8850</v>
      </c>
      <c r="I920" s="2" t="s">
        <v>8848</v>
      </c>
      <c r="J920" s="2" t="s">
        <v>62</v>
      </c>
      <c r="K920" s="13" t="n">
        <v>45504</v>
      </c>
      <c r="L920" s="2" t="s">
        <v>8821</v>
      </c>
      <c r="M920" s="2" t="s">
        <v>8858</v>
      </c>
    </row>
    <row r="921" customFormat="false" ht="15" hidden="false" customHeight="false" outlineLevel="0" collapsed="false">
      <c r="A921" s="2" t="s">
        <v>396</v>
      </c>
      <c r="B921" s="2" t="s">
        <v>8829</v>
      </c>
      <c r="C921" s="2" t="s">
        <v>8823</v>
      </c>
      <c r="D921" s="2" t="s">
        <v>8824</v>
      </c>
      <c r="E921" s="13" t="n">
        <v>28634</v>
      </c>
      <c r="F921" s="2" t="n">
        <v>254778129491</v>
      </c>
      <c r="G921" s="2" t="n">
        <v>4</v>
      </c>
      <c r="H921" s="2" t="s">
        <v>8850</v>
      </c>
      <c r="I921" s="2" t="s">
        <v>8842</v>
      </c>
      <c r="J921" s="2" t="s">
        <v>61</v>
      </c>
      <c r="K921" s="13" t="n">
        <v>44969</v>
      </c>
      <c r="L921" s="2" t="s">
        <v>8821</v>
      </c>
      <c r="M921" s="2" t="s">
        <v>36</v>
      </c>
    </row>
    <row r="922" customFormat="false" ht="15" hidden="false" customHeight="false" outlineLevel="0" collapsed="false">
      <c r="A922" s="2" t="s">
        <v>5767</v>
      </c>
      <c r="B922" s="2" t="s">
        <v>8851</v>
      </c>
      <c r="C922" s="2" t="s">
        <v>8867</v>
      </c>
      <c r="D922" s="2" t="s">
        <v>8824</v>
      </c>
      <c r="E922" s="13" t="n">
        <v>25934</v>
      </c>
      <c r="F922" s="2" t="n">
        <v>254712428651</v>
      </c>
      <c r="G922" s="2" t="n">
        <v>9</v>
      </c>
      <c r="H922" s="2" t="s">
        <v>8850</v>
      </c>
      <c r="I922" s="2" t="s">
        <v>8820</v>
      </c>
      <c r="J922" s="2" t="s">
        <v>61</v>
      </c>
      <c r="K922" s="13" t="n">
        <v>45127</v>
      </c>
      <c r="L922" s="2" t="s">
        <v>8855</v>
      </c>
      <c r="M922" s="2" t="s">
        <v>36</v>
      </c>
    </row>
    <row r="923" customFormat="false" ht="15" hidden="false" customHeight="false" outlineLevel="0" collapsed="false">
      <c r="A923" s="2" t="s">
        <v>1381</v>
      </c>
      <c r="B923" s="2" t="s">
        <v>8832</v>
      </c>
      <c r="C923" s="2" t="s">
        <v>8830</v>
      </c>
      <c r="D923" s="2" t="s">
        <v>8824</v>
      </c>
      <c r="E923" s="13" t="n">
        <v>35778</v>
      </c>
      <c r="F923" s="2" t="n">
        <v>254725836692</v>
      </c>
      <c r="G923" s="2" t="n">
        <v>15</v>
      </c>
      <c r="H923" s="2" t="s">
        <v>8850</v>
      </c>
      <c r="I923" s="2" t="s">
        <v>8844</v>
      </c>
      <c r="J923" s="2" t="s">
        <v>59</v>
      </c>
      <c r="K923" s="13" t="n">
        <v>45489</v>
      </c>
      <c r="L923" s="2" t="s">
        <v>8821</v>
      </c>
      <c r="M923" s="2" t="s">
        <v>8858</v>
      </c>
    </row>
    <row r="924" customFormat="false" ht="15" hidden="false" customHeight="false" outlineLevel="0" collapsed="false">
      <c r="A924" s="2" t="s">
        <v>1064</v>
      </c>
      <c r="B924" s="2" t="s">
        <v>8862</v>
      </c>
      <c r="C924" s="2" t="s">
        <v>8818</v>
      </c>
      <c r="D924" s="2" t="s">
        <v>8819</v>
      </c>
      <c r="E924" s="13" t="n">
        <v>26762</v>
      </c>
      <c r="F924" s="2" t="n">
        <v>254765440710</v>
      </c>
      <c r="G924" s="2" t="n">
        <v>12</v>
      </c>
      <c r="H924" s="2" t="s">
        <v>95</v>
      </c>
      <c r="I924" s="2" t="s">
        <v>8820</v>
      </c>
      <c r="J924" s="2" t="s">
        <v>59</v>
      </c>
      <c r="K924" s="13" t="n">
        <v>45021</v>
      </c>
      <c r="L924" s="2" t="s">
        <v>8821</v>
      </c>
      <c r="M924" s="2" t="s">
        <v>36</v>
      </c>
    </row>
    <row r="925" customFormat="false" ht="15" hidden="false" customHeight="false" outlineLevel="0" collapsed="false">
      <c r="A925" s="2" t="s">
        <v>6507</v>
      </c>
      <c r="B925" s="2" t="s">
        <v>8883</v>
      </c>
      <c r="C925" s="2" t="s">
        <v>8823</v>
      </c>
      <c r="D925" s="2" t="s">
        <v>8824</v>
      </c>
      <c r="E925" s="13" t="n">
        <v>26738</v>
      </c>
      <c r="F925" s="2" t="n">
        <v>254756931572</v>
      </c>
      <c r="G925" s="2" t="n">
        <v>10</v>
      </c>
      <c r="H925" s="2" t="s">
        <v>95</v>
      </c>
      <c r="I925" s="2" t="s">
        <v>8834</v>
      </c>
      <c r="J925" s="2" t="s">
        <v>59</v>
      </c>
      <c r="K925" s="13" t="n">
        <v>45111</v>
      </c>
      <c r="L925" s="2" t="s">
        <v>8855</v>
      </c>
      <c r="M925" s="2" t="s">
        <v>8858</v>
      </c>
    </row>
    <row r="926" customFormat="false" ht="15" hidden="false" customHeight="false" outlineLevel="0" collapsed="false">
      <c r="A926" s="2" t="s">
        <v>8912</v>
      </c>
      <c r="B926" s="2" t="s">
        <v>8845</v>
      </c>
      <c r="C926" s="2" t="s">
        <v>8863</v>
      </c>
      <c r="D926" s="2" t="s">
        <v>8819</v>
      </c>
      <c r="E926" s="13" t="n">
        <v>28432</v>
      </c>
      <c r="F926" s="2" t="n">
        <v>254776428279</v>
      </c>
      <c r="G926" s="2" t="n">
        <v>12</v>
      </c>
      <c r="H926" s="2" t="s">
        <v>8850</v>
      </c>
      <c r="I926" s="2" t="s">
        <v>8831</v>
      </c>
      <c r="J926" s="2" t="s">
        <v>61</v>
      </c>
      <c r="K926" s="13" t="n">
        <v>45005</v>
      </c>
      <c r="L926" s="2" t="s">
        <v>8821</v>
      </c>
      <c r="M926" s="2" t="s">
        <v>36</v>
      </c>
    </row>
    <row r="927" customFormat="false" ht="15" hidden="false" customHeight="false" outlineLevel="0" collapsed="false">
      <c r="A927" s="2" t="s">
        <v>5727</v>
      </c>
      <c r="B927" s="2" t="s">
        <v>8880</v>
      </c>
      <c r="C927" s="2" t="s">
        <v>8846</v>
      </c>
      <c r="D927" s="2" t="s">
        <v>8824</v>
      </c>
      <c r="E927" s="13" t="n">
        <v>32455</v>
      </c>
      <c r="F927" s="2" t="n">
        <v>254782668051</v>
      </c>
      <c r="G927" s="2" t="n">
        <v>9</v>
      </c>
      <c r="H927" s="2" t="s">
        <v>95</v>
      </c>
      <c r="I927" s="2" t="s">
        <v>8820</v>
      </c>
      <c r="J927" s="2" t="s">
        <v>60</v>
      </c>
      <c r="K927" s="13" t="n">
        <v>45466</v>
      </c>
      <c r="L927" s="2" t="s">
        <v>8855</v>
      </c>
      <c r="M927" s="2" t="s">
        <v>8858</v>
      </c>
    </row>
    <row r="928" customFormat="false" ht="15" hidden="false" customHeight="false" outlineLevel="0" collapsed="false">
      <c r="A928" s="2" t="s">
        <v>2772</v>
      </c>
      <c r="B928" s="2" t="s">
        <v>8872</v>
      </c>
      <c r="C928" s="2" t="s">
        <v>8861</v>
      </c>
      <c r="D928" s="2" t="s">
        <v>8819</v>
      </c>
      <c r="E928" s="13" t="n">
        <v>31815</v>
      </c>
      <c r="F928" s="2" t="n">
        <v>254750928246</v>
      </c>
      <c r="G928" s="2" t="n">
        <v>12</v>
      </c>
      <c r="H928" s="2" t="s">
        <v>95</v>
      </c>
      <c r="I928" s="2" t="s">
        <v>8825</v>
      </c>
      <c r="J928" s="2" t="s">
        <v>60</v>
      </c>
      <c r="K928" s="13" t="n">
        <v>45067</v>
      </c>
      <c r="L928" s="2" t="s">
        <v>8821</v>
      </c>
      <c r="M928" s="2" t="s">
        <v>36</v>
      </c>
    </row>
    <row r="929" customFormat="false" ht="15" hidden="false" customHeight="false" outlineLevel="0" collapsed="false">
      <c r="A929" s="2" t="s">
        <v>3511</v>
      </c>
      <c r="B929" s="2" t="s">
        <v>8853</v>
      </c>
      <c r="C929" s="2" t="s">
        <v>8870</v>
      </c>
      <c r="D929" s="2" t="s">
        <v>8819</v>
      </c>
      <c r="E929" s="13" t="n">
        <v>31396</v>
      </c>
      <c r="F929" s="2" t="n">
        <v>254712857448</v>
      </c>
      <c r="G929" s="2" t="n">
        <v>8</v>
      </c>
      <c r="H929" s="2" t="s">
        <v>95</v>
      </c>
      <c r="I929" s="2" t="s">
        <v>8834</v>
      </c>
      <c r="J929" s="2" t="s">
        <v>60</v>
      </c>
      <c r="K929" s="13" t="n">
        <v>45592</v>
      </c>
      <c r="L929" s="2" t="s">
        <v>8855</v>
      </c>
      <c r="M929" s="2" t="s">
        <v>36</v>
      </c>
    </row>
    <row r="930" customFormat="false" ht="15" hidden="false" customHeight="false" outlineLevel="0" collapsed="false">
      <c r="A930" s="2" t="s">
        <v>2987</v>
      </c>
      <c r="B930" s="2" t="s">
        <v>8866</v>
      </c>
      <c r="C930" s="2" t="s">
        <v>8859</v>
      </c>
      <c r="D930" s="2" t="s">
        <v>8819</v>
      </c>
      <c r="E930" s="13" t="n">
        <v>27403</v>
      </c>
      <c r="F930" s="2" t="n">
        <v>254761350116</v>
      </c>
      <c r="G930" s="2" t="n">
        <v>7</v>
      </c>
      <c r="H930" s="2" t="s">
        <v>8850</v>
      </c>
      <c r="I930" s="2" t="s">
        <v>8820</v>
      </c>
      <c r="J930" s="2" t="s">
        <v>59</v>
      </c>
      <c r="K930" s="13" t="n">
        <v>45551</v>
      </c>
      <c r="L930" s="2" t="s">
        <v>8821</v>
      </c>
      <c r="M930" s="2" t="s">
        <v>8858</v>
      </c>
    </row>
    <row r="931" customFormat="false" ht="15" hidden="false" customHeight="false" outlineLevel="0" collapsed="false">
      <c r="A931" s="2" t="s">
        <v>1570</v>
      </c>
      <c r="B931" s="2" t="s">
        <v>8822</v>
      </c>
      <c r="C931" s="2" t="s">
        <v>8854</v>
      </c>
      <c r="D931" s="2" t="s">
        <v>8819</v>
      </c>
      <c r="E931" s="13" t="n">
        <v>29904</v>
      </c>
      <c r="F931" s="2" t="n">
        <v>254782685498</v>
      </c>
      <c r="G931" s="2" t="n">
        <v>13</v>
      </c>
      <c r="H931" s="2" t="s">
        <v>8850</v>
      </c>
      <c r="I931" s="2" t="s">
        <v>8820</v>
      </c>
      <c r="J931" s="2" t="s">
        <v>62</v>
      </c>
      <c r="K931" s="13" t="n">
        <v>45472</v>
      </c>
      <c r="L931" s="2" t="s">
        <v>8821</v>
      </c>
      <c r="M931" s="2" t="s">
        <v>36</v>
      </c>
    </row>
    <row r="932" customFormat="false" ht="15" hidden="false" customHeight="false" outlineLevel="0" collapsed="false">
      <c r="A932" s="2" t="s">
        <v>2136</v>
      </c>
      <c r="B932" s="2" t="s">
        <v>8838</v>
      </c>
      <c r="C932" s="2" t="s">
        <v>8865</v>
      </c>
      <c r="D932" s="2" t="s">
        <v>8819</v>
      </c>
      <c r="E932" s="13" t="n">
        <v>30327</v>
      </c>
      <c r="F932" s="2" t="n">
        <v>254724657945</v>
      </c>
      <c r="G932" s="2" t="n">
        <v>9</v>
      </c>
      <c r="H932" s="2" t="s">
        <v>8850</v>
      </c>
      <c r="I932" s="2" t="s">
        <v>8864</v>
      </c>
      <c r="J932" s="2" t="s">
        <v>60</v>
      </c>
      <c r="K932" s="13" t="n">
        <v>45563</v>
      </c>
      <c r="L932" s="2" t="s">
        <v>8855</v>
      </c>
      <c r="M932" s="2" t="s">
        <v>8858</v>
      </c>
    </row>
    <row r="933" customFormat="false" ht="15" hidden="false" customHeight="false" outlineLevel="0" collapsed="false">
      <c r="A933" s="2" t="s">
        <v>1689</v>
      </c>
      <c r="B933" s="2" t="s">
        <v>8871</v>
      </c>
      <c r="C933" s="2" t="s">
        <v>8839</v>
      </c>
      <c r="D933" s="2" t="s">
        <v>8819</v>
      </c>
      <c r="E933" s="13" t="n">
        <v>31484</v>
      </c>
      <c r="F933" s="2" t="n">
        <v>254712037883</v>
      </c>
      <c r="G933" s="2" t="n">
        <v>5</v>
      </c>
      <c r="H933" s="2" t="s">
        <v>8850</v>
      </c>
      <c r="I933" s="2" t="s">
        <v>8825</v>
      </c>
      <c r="J933" s="2" t="s">
        <v>59</v>
      </c>
      <c r="K933" s="13" t="n">
        <v>45405</v>
      </c>
      <c r="L933" s="2" t="s">
        <v>8821</v>
      </c>
      <c r="M933" s="2" t="s">
        <v>36</v>
      </c>
    </row>
    <row r="934" customFormat="false" ht="15" hidden="false" customHeight="false" outlineLevel="0" collapsed="false">
      <c r="A934" s="2" t="s">
        <v>8913</v>
      </c>
      <c r="B934" s="2" t="s">
        <v>8879</v>
      </c>
      <c r="C934" s="2" t="s">
        <v>8846</v>
      </c>
      <c r="D934" s="2" t="s">
        <v>8824</v>
      </c>
      <c r="E934" s="13" t="n">
        <v>34719</v>
      </c>
      <c r="F934" s="2" t="n">
        <v>254797648351</v>
      </c>
      <c r="G934" s="2" t="n">
        <v>13</v>
      </c>
      <c r="H934" s="2" t="s">
        <v>95</v>
      </c>
      <c r="I934" s="2" t="s">
        <v>8825</v>
      </c>
      <c r="J934" s="2" t="s">
        <v>60</v>
      </c>
      <c r="K934" s="13" t="n">
        <v>45207</v>
      </c>
      <c r="L934" s="2" t="s">
        <v>8821</v>
      </c>
      <c r="M934" s="2" t="s">
        <v>36</v>
      </c>
    </row>
    <row r="935" customFormat="false" ht="15" hidden="false" customHeight="false" outlineLevel="0" collapsed="false">
      <c r="A935" s="2" t="s">
        <v>684</v>
      </c>
      <c r="B935" s="2" t="s">
        <v>8860</v>
      </c>
      <c r="C935" s="2" t="s">
        <v>8818</v>
      </c>
      <c r="D935" s="2" t="s">
        <v>8824</v>
      </c>
      <c r="E935" s="13" t="n">
        <v>29813</v>
      </c>
      <c r="F935" s="2" t="n">
        <v>254714966560</v>
      </c>
      <c r="G935" s="2" t="n">
        <v>6</v>
      </c>
      <c r="H935" s="2" t="s">
        <v>8850</v>
      </c>
      <c r="I935" s="2" t="s">
        <v>8852</v>
      </c>
      <c r="J935" s="2" t="s">
        <v>62</v>
      </c>
      <c r="K935" s="13" t="n">
        <v>44944</v>
      </c>
      <c r="L935" s="2" t="s">
        <v>8821</v>
      </c>
      <c r="M935" s="2" t="s">
        <v>8858</v>
      </c>
    </row>
    <row r="936" customFormat="false" ht="15" hidden="false" customHeight="false" outlineLevel="0" collapsed="false">
      <c r="A936" s="2" t="s">
        <v>4725</v>
      </c>
      <c r="B936" s="2" t="s">
        <v>8880</v>
      </c>
      <c r="C936" s="2" t="s">
        <v>8867</v>
      </c>
      <c r="D936" s="2" t="s">
        <v>8824</v>
      </c>
      <c r="E936" s="13" t="n">
        <v>26940</v>
      </c>
      <c r="F936" s="2" t="n">
        <v>254718595771</v>
      </c>
      <c r="G936" s="2" t="n">
        <v>8</v>
      </c>
      <c r="H936" s="2" t="s">
        <v>95</v>
      </c>
      <c r="I936" s="2" t="s">
        <v>8834</v>
      </c>
      <c r="J936" s="2" t="s">
        <v>60</v>
      </c>
      <c r="K936" s="13" t="n">
        <v>45210</v>
      </c>
      <c r="L936" s="2" t="s">
        <v>8821</v>
      </c>
      <c r="M936" s="2" t="s">
        <v>8858</v>
      </c>
    </row>
    <row r="937" customFormat="false" ht="15" hidden="false" customHeight="false" outlineLevel="0" collapsed="false">
      <c r="A937" s="2" t="s">
        <v>1954</v>
      </c>
      <c r="B937" s="2" t="s">
        <v>8832</v>
      </c>
      <c r="C937" s="2" t="s">
        <v>8867</v>
      </c>
      <c r="D937" s="2" t="s">
        <v>8819</v>
      </c>
      <c r="E937" s="13" t="n">
        <v>28601</v>
      </c>
      <c r="F937" s="2" t="n">
        <v>254741228768</v>
      </c>
      <c r="G937" s="2" t="n">
        <v>2</v>
      </c>
      <c r="H937" s="2" t="s">
        <v>95</v>
      </c>
      <c r="I937" s="2" t="s">
        <v>8828</v>
      </c>
      <c r="J937" s="2" t="s">
        <v>62</v>
      </c>
      <c r="K937" s="13" t="n">
        <v>45105</v>
      </c>
      <c r="L937" s="2" t="s">
        <v>8855</v>
      </c>
      <c r="M937" s="2" t="s">
        <v>36</v>
      </c>
    </row>
    <row r="938" customFormat="false" ht="15" hidden="false" customHeight="false" outlineLevel="0" collapsed="false">
      <c r="A938" s="2" t="s">
        <v>4217</v>
      </c>
      <c r="B938" s="2" t="s">
        <v>8822</v>
      </c>
      <c r="C938" s="2" t="s">
        <v>8846</v>
      </c>
      <c r="D938" s="2" t="s">
        <v>8824</v>
      </c>
      <c r="E938" s="13" t="n">
        <v>26565</v>
      </c>
      <c r="F938" s="2" t="n">
        <v>254712163344</v>
      </c>
      <c r="G938" s="2" t="n">
        <v>11</v>
      </c>
      <c r="H938" s="2" t="s">
        <v>8850</v>
      </c>
      <c r="I938" s="2" t="s">
        <v>8857</v>
      </c>
      <c r="J938" s="2" t="s">
        <v>58</v>
      </c>
      <c r="K938" s="13" t="n">
        <v>45160</v>
      </c>
      <c r="L938" s="2" t="s">
        <v>8821</v>
      </c>
      <c r="M938" s="2" t="s">
        <v>36</v>
      </c>
    </row>
    <row r="939" customFormat="false" ht="15" hidden="false" customHeight="false" outlineLevel="0" collapsed="false">
      <c r="A939" s="2" t="s">
        <v>3567</v>
      </c>
      <c r="B939" s="2" t="s">
        <v>8829</v>
      </c>
      <c r="C939" s="2" t="s">
        <v>8861</v>
      </c>
      <c r="D939" s="2" t="s">
        <v>8819</v>
      </c>
      <c r="E939" s="13" t="n">
        <v>27807</v>
      </c>
      <c r="F939" s="2" t="n">
        <v>254741806744</v>
      </c>
      <c r="G939" s="2" t="n">
        <v>4</v>
      </c>
      <c r="H939" s="2" t="s">
        <v>8850</v>
      </c>
      <c r="I939" s="2" t="s">
        <v>8848</v>
      </c>
      <c r="J939" s="2" t="s">
        <v>60</v>
      </c>
      <c r="K939" s="13" t="n">
        <v>45381</v>
      </c>
      <c r="L939" s="2" t="s">
        <v>8855</v>
      </c>
      <c r="M939" s="2" t="s">
        <v>36</v>
      </c>
    </row>
    <row r="940" customFormat="false" ht="15" hidden="false" customHeight="false" outlineLevel="0" collapsed="false">
      <c r="A940" s="2" t="s">
        <v>765</v>
      </c>
      <c r="B940" s="2" t="s">
        <v>8878</v>
      </c>
      <c r="C940" s="2" t="s">
        <v>8867</v>
      </c>
      <c r="D940" s="2" t="s">
        <v>8824</v>
      </c>
      <c r="E940" s="13" t="n">
        <v>35555</v>
      </c>
      <c r="F940" s="2" t="n">
        <v>254754961030</v>
      </c>
      <c r="G940" s="2" t="n">
        <v>7</v>
      </c>
      <c r="H940" s="2" t="s">
        <v>8850</v>
      </c>
      <c r="I940" s="2" t="s">
        <v>8847</v>
      </c>
      <c r="J940" s="2" t="s">
        <v>60</v>
      </c>
      <c r="K940" s="13" t="n">
        <v>44952</v>
      </c>
      <c r="L940" s="2" t="s">
        <v>8821</v>
      </c>
      <c r="M940" s="2" t="s">
        <v>36</v>
      </c>
    </row>
    <row r="941" customFormat="false" ht="15" hidden="false" customHeight="false" outlineLevel="0" collapsed="false">
      <c r="A941" s="2" t="s">
        <v>4385</v>
      </c>
      <c r="B941" s="2" t="s">
        <v>8882</v>
      </c>
      <c r="C941" s="2" t="s">
        <v>8881</v>
      </c>
      <c r="D941" s="2" t="s">
        <v>8819</v>
      </c>
      <c r="E941" s="13" t="n">
        <v>33979</v>
      </c>
      <c r="F941" s="2" t="n">
        <v>254724258231</v>
      </c>
      <c r="G941" s="2" t="n">
        <v>10</v>
      </c>
      <c r="H941" s="2" t="s">
        <v>95</v>
      </c>
      <c r="I941" s="2" t="s">
        <v>8844</v>
      </c>
      <c r="J941" s="2" t="s">
        <v>62</v>
      </c>
      <c r="K941" s="13" t="n">
        <v>45080</v>
      </c>
      <c r="L941" s="2" t="s">
        <v>8821</v>
      </c>
      <c r="M941" s="2" t="s">
        <v>36</v>
      </c>
    </row>
    <row r="942" customFormat="false" ht="15" hidden="false" customHeight="false" outlineLevel="0" collapsed="false">
      <c r="A942" s="2" t="s">
        <v>2438</v>
      </c>
      <c r="B942" s="2" t="s">
        <v>8871</v>
      </c>
      <c r="C942" s="2" t="s">
        <v>8833</v>
      </c>
      <c r="D942" s="2" t="s">
        <v>8824</v>
      </c>
      <c r="E942" s="13" t="n">
        <v>34609</v>
      </c>
      <c r="F942" s="2" t="n">
        <v>254797135770</v>
      </c>
      <c r="G942" s="2" t="n">
        <v>2</v>
      </c>
      <c r="H942" s="2" t="s">
        <v>95</v>
      </c>
      <c r="I942" s="2" t="s">
        <v>8831</v>
      </c>
      <c r="J942" s="2" t="s">
        <v>62</v>
      </c>
      <c r="K942" s="13" t="n">
        <v>45599</v>
      </c>
      <c r="L942" s="2" t="s">
        <v>8855</v>
      </c>
      <c r="M942" s="2" t="s">
        <v>36</v>
      </c>
    </row>
    <row r="943" customFormat="false" ht="15" hidden="false" customHeight="false" outlineLevel="0" collapsed="false">
      <c r="A943" s="2" t="s">
        <v>592</v>
      </c>
      <c r="B943" s="2" t="s">
        <v>8868</v>
      </c>
      <c r="C943" s="2" t="s">
        <v>8861</v>
      </c>
      <c r="D943" s="2" t="s">
        <v>8824</v>
      </c>
      <c r="E943" s="13" t="n">
        <v>26953</v>
      </c>
      <c r="F943" s="2" t="n">
        <v>254752538880</v>
      </c>
      <c r="G943" s="2" t="n">
        <v>5</v>
      </c>
      <c r="H943" s="2" t="s">
        <v>95</v>
      </c>
      <c r="I943" s="2" t="s">
        <v>8848</v>
      </c>
      <c r="J943" s="2" t="s">
        <v>60</v>
      </c>
      <c r="K943" s="13" t="n">
        <v>45602</v>
      </c>
      <c r="L943" s="2" t="s">
        <v>8821</v>
      </c>
      <c r="M943" s="2" t="s">
        <v>36</v>
      </c>
    </row>
    <row r="944" customFormat="false" ht="15" hidden="false" customHeight="false" outlineLevel="0" collapsed="false">
      <c r="A944" s="2" t="s">
        <v>8658</v>
      </c>
      <c r="B944" s="2" t="s">
        <v>8878</v>
      </c>
      <c r="C944" s="2" t="s">
        <v>8830</v>
      </c>
      <c r="D944" s="2" t="s">
        <v>8819</v>
      </c>
      <c r="E944" s="13" t="n">
        <v>31206</v>
      </c>
      <c r="F944" s="2" t="n">
        <v>254769727893</v>
      </c>
      <c r="G944" s="2" t="n">
        <v>12</v>
      </c>
      <c r="H944" s="2" t="s">
        <v>8850</v>
      </c>
      <c r="I944" s="2" t="s">
        <v>8844</v>
      </c>
      <c r="J944" s="2" t="s">
        <v>58</v>
      </c>
      <c r="K944" s="13" t="n">
        <v>45393</v>
      </c>
      <c r="L944" s="2" t="s">
        <v>8821</v>
      </c>
      <c r="M944" s="2" t="s">
        <v>36</v>
      </c>
    </row>
    <row r="945" customFormat="false" ht="15" hidden="false" customHeight="false" outlineLevel="0" collapsed="false">
      <c r="A945" s="2" t="s">
        <v>1923</v>
      </c>
      <c r="B945" s="2" t="s">
        <v>8843</v>
      </c>
      <c r="C945" s="2" t="s">
        <v>8870</v>
      </c>
      <c r="D945" s="2" t="s">
        <v>8824</v>
      </c>
      <c r="E945" s="13" t="n">
        <v>34289</v>
      </c>
      <c r="F945" s="2" t="n">
        <v>254740838308</v>
      </c>
      <c r="G945" s="2" t="n">
        <v>10</v>
      </c>
      <c r="H945" s="2" t="s">
        <v>95</v>
      </c>
      <c r="I945" s="2" t="s">
        <v>8857</v>
      </c>
      <c r="J945" s="2" t="s">
        <v>59</v>
      </c>
      <c r="K945" s="13" t="n">
        <v>45546</v>
      </c>
      <c r="L945" s="2" t="s">
        <v>8855</v>
      </c>
      <c r="M945" s="2" t="s">
        <v>36</v>
      </c>
    </row>
    <row r="946" customFormat="false" ht="15" hidden="false" customHeight="false" outlineLevel="0" collapsed="false">
      <c r="A946" s="2" t="s">
        <v>2846</v>
      </c>
      <c r="B946" s="2" t="s">
        <v>8829</v>
      </c>
      <c r="C946" s="2" t="s">
        <v>8827</v>
      </c>
      <c r="D946" s="2" t="s">
        <v>8824</v>
      </c>
      <c r="E946" s="13" t="n">
        <v>31543</v>
      </c>
      <c r="F946" s="2" t="n">
        <v>254766508695</v>
      </c>
      <c r="G946" s="2" t="n">
        <v>9</v>
      </c>
      <c r="H946" s="2" t="s">
        <v>95</v>
      </c>
      <c r="I946" s="2" t="s">
        <v>8848</v>
      </c>
      <c r="J946" s="2" t="s">
        <v>61</v>
      </c>
      <c r="K946" s="13" t="n">
        <v>45248</v>
      </c>
      <c r="L946" s="2" t="s">
        <v>8821</v>
      </c>
      <c r="M946" s="2" t="s">
        <v>36</v>
      </c>
    </row>
    <row r="947" customFormat="false" ht="15" hidden="false" customHeight="false" outlineLevel="0" collapsed="false">
      <c r="A947" s="2" t="s">
        <v>865</v>
      </c>
      <c r="B947" s="2" t="s">
        <v>8838</v>
      </c>
      <c r="C947" s="2" t="s">
        <v>8846</v>
      </c>
      <c r="D947" s="2" t="s">
        <v>8824</v>
      </c>
      <c r="E947" s="13" t="n">
        <v>36166</v>
      </c>
      <c r="F947" s="2" t="n">
        <v>254723555369</v>
      </c>
      <c r="G947" s="2" t="n">
        <v>3</v>
      </c>
      <c r="H947" s="2" t="s">
        <v>95</v>
      </c>
      <c r="I947" s="2" t="s">
        <v>8842</v>
      </c>
      <c r="J947" s="2" t="s">
        <v>58</v>
      </c>
      <c r="K947" s="13" t="n">
        <v>45050</v>
      </c>
      <c r="L947" s="2" t="s">
        <v>8821</v>
      </c>
      <c r="M947" s="2" t="s">
        <v>36</v>
      </c>
    </row>
    <row r="948" customFormat="false" ht="15" hidden="false" customHeight="false" outlineLevel="0" collapsed="false">
      <c r="A948" s="2" t="s">
        <v>3021</v>
      </c>
      <c r="B948" s="2" t="s">
        <v>8882</v>
      </c>
      <c r="C948" s="2" t="s">
        <v>8876</v>
      </c>
      <c r="D948" s="2" t="s">
        <v>8824</v>
      </c>
      <c r="E948" s="13" t="n">
        <v>28761</v>
      </c>
      <c r="F948" s="2" t="n">
        <v>254757562437</v>
      </c>
      <c r="G948" s="2" t="n">
        <v>3</v>
      </c>
      <c r="H948" s="2" t="s">
        <v>8850</v>
      </c>
      <c r="I948" s="2" t="s">
        <v>8864</v>
      </c>
      <c r="J948" s="2" t="s">
        <v>62</v>
      </c>
      <c r="K948" s="13" t="n">
        <v>45469</v>
      </c>
      <c r="L948" s="2" t="s">
        <v>8821</v>
      </c>
      <c r="M948" s="2" t="s">
        <v>36</v>
      </c>
    </row>
    <row r="949" customFormat="false" ht="15" hidden="false" customHeight="false" outlineLevel="0" collapsed="false">
      <c r="A949" s="2" t="s">
        <v>1536</v>
      </c>
      <c r="B949" s="2" t="s">
        <v>8862</v>
      </c>
      <c r="C949" s="2" t="s">
        <v>8867</v>
      </c>
      <c r="D949" s="2" t="s">
        <v>8819</v>
      </c>
      <c r="E949" s="13" t="n">
        <v>28303</v>
      </c>
      <c r="F949" s="2" t="n">
        <v>254716071701</v>
      </c>
      <c r="G949" s="2" t="n">
        <v>2</v>
      </c>
      <c r="H949" s="2" t="s">
        <v>8850</v>
      </c>
      <c r="I949" s="2" t="s">
        <v>8847</v>
      </c>
      <c r="J949" s="2" t="s">
        <v>61</v>
      </c>
      <c r="K949" s="13" t="n">
        <v>45271</v>
      </c>
      <c r="L949" s="2" t="s">
        <v>8855</v>
      </c>
      <c r="M949" s="2" t="s">
        <v>8858</v>
      </c>
    </row>
    <row r="950" customFormat="false" ht="15" hidden="false" customHeight="false" outlineLevel="0" collapsed="false">
      <c r="A950" s="2" t="s">
        <v>1060</v>
      </c>
      <c r="B950" s="2" t="s">
        <v>8871</v>
      </c>
      <c r="C950" s="2" t="s">
        <v>8873</v>
      </c>
      <c r="D950" s="2" t="s">
        <v>8819</v>
      </c>
      <c r="E950" s="13" t="n">
        <v>32378</v>
      </c>
      <c r="F950" s="2" t="n">
        <v>254730435507</v>
      </c>
      <c r="G950" s="2" t="n">
        <v>15</v>
      </c>
      <c r="H950" s="2" t="s">
        <v>95</v>
      </c>
      <c r="I950" s="2" t="s">
        <v>8848</v>
      </c>
      <c r="J950" s="2" t="s">
        <v>62</v>
      </c>
      <c r="K950" s="13" t="n">
        <v>45064</v>
      </c>
      <c r="L950" s="2" t="s">
        <v>8821</v>
      </c>
      <c r="M950" s="2" t="s">
        <v>8858</v>
      </c>
    </row>
    <row r="951" customFormat="false" ht="15" hidden="false" customHeight="false" outlineLevel="0" collapsed="false">
      <c r="A951" s="2" t="s">
        <v>1318</v>
      </c>
      <c r="B951" s="2" t="s">
        <v>8868</v>
      </c>
      <c r="C951" s="2" t="s">
        <v>8881</v>
      </c>
      <c r="D951" s="2" t="s">
        <v>8824</v>
      </c>
      <c r="E951" s="13" t="n">
        <v>34500</v>
      </c>
      <c r="F951" s="2" t="n">
        <v>254723005510</v>
      </c>
      <c r="G951" s="2" t="n">
        <v>4</v>
      </c>
      <c r="H951" s="2" t="s">
        <v>8850</v>
      </c>
      <c r="I951" s="2" t="s">
        <v>8847</v>
      </c>
      <c r="J951" s="2" t="s">
        <v>60</v>
      </c>
      <c r="K951" s="13" t="n">
        <v>45107</v>
      </c>
      <c r="L951" s="2" t="s">
        <v>8821</v>
      </c>
      <c r="M951" s="2" t="s">
        <v>8858</v>
      </c>
    </row>
    <row r="952" customFormat="false" ht="15" hidden="false" customHeight="false" outlineLevel="0" collapsed="false">
      <c r="A952" s="2" t="s">
        <v>5379</v>
      </c>
      <c r="B952" s="2" t="s">
        <v>8853</v>
      </c>
      <c r="C952" s="2" t="s">
        <v>8873</v>
      </c>
      <c r="D952" s="2" t="s">
        <v>8819</v>
      </c>
      <c r="E952" s="13" t="n">
        <v>32307</v>
      </c>
      <c r="F952" s="2" t="n">
        <v>254715628343</v>
      </c>
      <c r="G952" s="2" t="n">
        <v>14</v>
      </c>
      <c r="H952" s="2" t="s">
        <v>95</v>
      </c>
      <c r="I952" s="2" t="s">
        <v>8842</v>
      </c>
      <c r="J952" s="2" t="s">
        <v>62</v>
      </c>
      <c r="K952" s="13" t="n">
        <v>45253</v>
      </c>
      <c r="L952" s="2" t="s">
        <v>8821</v>
      </c>
      <c r="M952" s="2" t="s">
        <v>36</v>
      </c>
    </row>
    <row r="953" customFormat="false" ht="15" hidden="false" customHeight="false" outlineLevel="0" collapsed="false">
      <c r="A953" s="2" t="s">
        <v>5641</v>
      </c>
      <c r="B953" s="2" t="s">
        <v>8829</v>
      </c>
      <c r="C953" s="2" t="s">
        <v>8854</v>
      </c>
      <c r="D953" s="2" t="s">
        <v>8824</v>
      </c>
      <c r="E953" s="13" t="n">
        <v>27921</v>
      </c>
      <c r="F953" s="2" t="n">
        <v>254775315141</v>
      </c>
      <c r="G953" s="2" t="n">
        <v>8</v>
      </c>
      <c r="H953" s="2" t="s">
        <v>95</v>
      </c>
      <c r="I953" s="2" t="s">
        <v>8828</v>
      </c>
      <c r="J953" s="2" t="s">
        <v>60</v>
      </c>
      <c r="K953" s="13" t="n">
        <v>45096</v>
      </c>
      <c r="L953" s="2" t="s">
        <v>8821</v>
      </c>
      <c r="M953" s="2" t="s">
        <v>36</v>
      </c>
    </row>
    <row r="954" customFormat="false" ht="15" hidden="false" customHeight="false" outlineLevel="0" collapsed="false">
      <c r="A954" s="2" t="s">
        <v>831</v>
      </c>
      <c r="B954" s="2" t="s">
        <v>8829</v>
      </c>
      <c r="C954" s="2" t="s">
        <v>8841</v>
      </c>
      <c r="D954" s="2" t="s">
        <v>8819</v>
      </c>
      <c r="E954" s="13" t="n">
        <v>30995</v>
      </c>
      <c r="F954" s="2" t="n">
        <v>254713670871</v>
      </c>
      <c r="G954" s="2" t="n">
        <v>10</v>
      </c>
      <c r="H954" s="2" t="s">
        <v>95</v>
      </c>
      <c r="I954" s="2" t="s">
        <v>8857</v>
      </c>
      <c r="J954" s="2" t="s">
        <v>62</v>
      </c>
      <c r="K954" s="13" t="n">
        <v>45071</v>
      </c>
      <c r="L954" s="2" t="s">
        <v>8821</v>
      </c>
      <c r="M954" s="2" t="s">
        <v>36</v>
      </c>
    </row>
    <row r="955" customFormat="false" ht="15" hidden="false" customHeight="false" outlineLevel="0" collapsed="false">
      <c r="A955" s="2" t="s">
        <v>877</v>
      </c>
      <c r="B955" s="2" t="s">
        <v>8883</v>
      </c>
      <c r="C955" s="2" t="s">
        <v>8881</v>
      </c>
      <c r="D955" s="2" t="s">
        <v>8824</v>
      </c>
      <c r="E955" s="13" t="n">
        <v>36903</v>
      </c>
      <c r="F955" s="2" t="n">
        <v>254769703357</v>
      </c>
      <c r="G955" s="2" t="n">
        <v>9</v>
      </c>
      <c r="H955" s="2" t="s">
        <v>95</v>
      </c>
      <c r="I955" s="2" t="s">
        <v>8847</v>
      </c>
      <c r="J955" s="2" t="s">
        <v>60</v>
      </c>
      <c r="K955" s="13" t="n">
        <v>45135</v>
      </c>
      <c r="L955" s="2" t="s">
        <v>8821</v>
      </c>
      <c r="M955" s="2" t="s">
        <v>36</v>
      </c>
    </row>
    <row r="956" customFormat="false" ht="15" hidden="false" customHeight="false" outlineLevel="0" collapsed="false">
      <c r="A956" s="2" t="s">
        <v>2110</v>
      </c>
      <c r="B956" s="2" t="s">
        <v>8826</v>
      </c>
      <c r="C956" s="2" t="s">
        <v>8833</v>
      </c>
      <c r="D956" s="2" t="s">
        <v>8824</v>
      </c>
      <c r="E956" s="13" t="n">
        <v>35992</v>
      </c>
      <c r="F956" s="2" t="n">
        <v>254799753485</v>
      </c>
      <c r="G956" s="2" t="n">
        <v>2</v>
      </c>
      <c r="H956" s="2" t="s">
        <v>8850</v>
      </c>
      <c r="I956" s="2" t="s">
        <v>8825</v>
      </c>
      <c r="J956" s="2" t="s">
        <v>59</v>
      </c>
      <c r="K956" s="13" t="n">
        <v>45196</v>
      </c>
      <c r="L956" s="2" t="s">
        <v>8821</v>
      </c>
      <c r="M956" s="2" t="s">
        <v>36</v>
      </c>
    </row>
    <row r="957" customFormat="false" ht="15" hidden="false" customHeight="false" outlineLevel="0" collapsed="false">
      <c r="A957" s="2" t="s">
        <v>2299</v>
      </c>
      <c r="B957" s="2" t="s">
        <v>8860</v>
      </c>
      <c r="C957" s="2" t="s">
        <v>8861</v>
      </c>
      <c r="D957" s="2" t="s">
        <v>8819</v>
      </c>
      <c r="E957" s="13" t="n">
        <v>29475</v>
      </c>
      <c r="F957" s="2" t="n">
        <v>254752253072</v>
      </c>
      <c r="G957" s="2" t="n">
        <v>15</v>
      </c>
      <c r="H957" s="2" t="s">
        <v>95</v>
      </c>
      <c r="I957" s="2" t="s">
        <v>8842</v>
      </c>
      <c r="J957" s="2" t="s">
        <v>58</v>
      </c>
      <c r="K957" s="13" t="n">
        <v>45209</v>
      </c>
      <c r="L957" s="2" t="s">
        <v>8821</v>
      </c>
      <c r="M957" s="2" t="s">
        <v>36</v>
      </c>
    </row>
    <row r="958" customFormat="false" ht="15" hidden="false" customHeight="false" outlineLevel="0" collapsed="false">
      <c r="A958" s="2" t="s">
        <v>5803</v>
      </c>
      <c r="B958" s="2" t="s">
        <v>8843</v>
      </c>
      <c r="C958" s="2" t="s">
        <v>8833</v>
      </c>
      <c r="D958" s="2" t="s">
        <v>8824</v>
      </c>
      <c r="E958" s="13" t="n">
        <v>26624</v>
      </c>
      <c r="F958" s="2" t="n">
        <v>254739556025</v>
      </c>
      <c r="G958" s="2" t="n">
        <v>11</v>
      </c>
      <c r="H958" s="2" t="s">
        <v>95</v>
      </c>
      <c r="I958" s="2" t="s">
        <v>8834</v>
      </c>
      <c r="J958" s="2" t="s">
        <v>61</v>
      </c>
      <c r="K958" s="13" t="n">
        <v>44935</v>
      </c>
      <c r="L958" s="2" t="s">
        <v>8821</v>
      </c>
      <c r="M958" s="2" t="s">
        <v>8858</v>
      </c>
    </row>
    <row r="959" customFormat="false" ht="15" hidden="false" customHeight="false" outlineLevel="0" collapsed="false">
      <c r="A959" s="2" t="s">
        <v>5183</v>
      </c>
      <c r="B959" s="2" t="s">
        <v>8832</v>
      </c>
      <c r="C959" s="2" t="s">
        <v>8841</v>
      </c>
      <c r="D959" s="2" t="s">
        <v>8819</v>
      </c>
      <c r="E959" s="13" t="n">
        <v>29936</v>
      </c>
      <c r="F959" s="2" t="n">
        <v>254779297448</v>
      </c>
      <c r="G959" s="2" t="n">
        <v>14</v>
      </c>
      <c r="H959" s="2" t="s">
        <v>95</v>
      </c>
      <c r="I959" s="2" t="s">
        <v>8820</v>
      </c>
      <c r="J959" s="2" t="s">
        <v>61</v>
      </c>
      <c r="K959" s="13" t="n">
        <v>45216</v>
      </c>
      <c r="L959" s="2" t="s">
        <v>8821</v>
      </c>
      <c r="M959" s="2" t="s">
        <v>8858</v>
      </c>
    </row>
    <row r="960" customFormat="false" ht="15" hidden="false" customHeight="false" outlineLevel="0" collapsed="false">
      <c r="A960" s="2" t="s">
        <v>3230</v>
      </c>
      <c r="B960" s="2" t="s">
        <v>8838</v>
      </c>
      <c r="C960" s="2" t="s">
        <v>8846</v>
      </c>
      <c r="D960" s="2" t="s">
        <v>8824</v>
      </c>
      <c r="E960" s="13" t="n">
        <v>30656</v>
      </c>
      <c r="F960" s="2" t="n">
        <v>254794694927</v>
      </c>
      <c r="G960" s="2" t="n">
        <v>10</v>
      </c>
      <c r="H960" s="2" t="s">
        <v>95</v>
      </c>
      <c r="I960" s="2" t="s">
        <v>8852</v>
      </c>
      <c r="J960" s="2" t="s">
        <v>60</v>
      </c>
      <c r="K960" s="13" t="n">
        <v>44966</v>
      </c>
      <c r="L960" s="2" t="s">
        <v>8855</v>
      </c>
      <c r="M960" s="2" t="s">
        <v>36</v>
      </c>
    </row>
    <row r="961" customFormat="false" ht="15" hidden="false" customHeight="false" outlineLevel="0" collapsed="false">
      <c r="A961" s="2" t="s">
        <v>5083</v>
      </c>
      <c r="B961" s="2" t="s">
        <v>8877</v>
      </c>
      <c r="C961" s="2" t="s">
        <v>8859</v>
      </c>
      <c r="D961" s="2" t="s">
        <v>8824</v>
      </c>
      <c r="E961" s="13" t="n">
        <v>32608</v>
      </c>
      <c r="F961" s="2" t="n">
        <v>254790241009</v>
      </c>
      <c r="G961" s="2" t="n">
        <v>6</v>
      </c>
      <c r="H961" s="2" t="s">
        <v>8850</v>
      </c>
      <c r="I961" s="2" t="s">
        <v>8834</v>
      </c>
      <c r="J961" s="2" t="s">
        <v>58</v>
      </c>
      <c r="K961" s="13" t="n">
        <v>45611</v>
      </c>
      <c r="L961" s="2" t="s">
        <v>8821</v>
      </c>
      <c r="M961" s="2" t="s">
        <v>36</v>
      </c>
    </row>
    <row r="962" customFormat="false" ht="15" hidden="false" customHeight="false" outlineLevel="0" collapsed="false">
      <c r="A962" s="2" t="s">
        <v>7925</v>
      </c>
      <c r="B962" s="2" t="s">
        <v>8843</v>
      </c>
      <c r="C962" s="2" t="s">
        <v>8865</v>
      </c>
      <c r="D962" s="2" t="s">
        <v>8819</v>
      </c>
      <c r="E962" s="13" t="n">
        <v>32339</v>
      </c>
      <c r="F962" s="2" t="n">
        <v>254733648417</v>
      </c>
      <c r="G962" s="2" t="n">
        <v>8</v>
      </c>
      <c r="H962" s="2" t="s">
        <v>8850</v>
      </c>
      <c r="I962" s="2" t="s">
        <v>8852</v>
      </c>
      <c r="J962" s="2" t="s">
        <v>58</v>
      </c>
      <c r="K962" s="13" t="n">
        <v>45260</v>
      </c>
      <c r="L962" s="2" t="s">
        <v>8821</v>
      </c>
      <c r="M962" s="2" t="s">
        <v>8858</v>
      </c>
    </row>
    <row r="963" customFormat="false" ht="15" hidden="false" customHeight="false" outlineLevel="0" collapsed="false">
      <c r="A963" s="2" t="s">
        <v>3415</v>
      </c>
      <c r="B963" s="2" t="s">
        <v>8849</v>
      </c>
      <c r="C963" s="2" t="s">
        <v>8865</v>
      </c>
      <c r="D963" s="2" t="s">
        <v>8819</v>
      </c>
      <c r="E963" s="13" t="n">
        <v>28729</v>
      </c>
      <c r="F963" s="2" t="n">
        <v>254713887287</v>
      </c>
      <c r="G963" s="2" t="n">
        <v>5</v>
      </c>
      <c r="H963" s="2" t="s">
        <v>8850</v>
      </c>
      <c r="I963" s="2" t="s">
        <v>8857</v>
      </c>
      <c r="J963" s="2" t="s">
        <v>59</v>
      </c>
      <c r="K963" s="13" t="n">
        <v>45427</v>
      </c>
      <c r="L963" s="2" t="s">
        <v>8855</v>
      </c>
      <c r="M963" s="2" t="s">
        <v>36</v>
      </c>
    </row>
    <row r="964" customFormat="false" ht="15" hidden="false" customHeight="false" outlineLevel="0" collapsed="false">
      <c r="A964" s="2" t="s">
        <v>1867</v>
      </c>
      <c r="B964" s="2" t="s">
        <v>8838</v>
      </c>
      <c r="C964" s="2" t="s">
        <v>8876</v>
      </c>
      <c r="D964" s="2" t="s">
        <v>8824</v>
      </c>
      <c r="E964" s="13" t="n">
        <v>33015</v>
      </c>
      <c r="F964" s="2" t="n">
        <v>254767069281</v>
      </c>
      <c r="G964" s="2" t="n">
        <v>7</v>
      </c>
      <c r="H964" s="2" t="s">
        <v>8850</v>
      </c>
      <c r="I964" s="2" t="s">
        <v>8820</v>
      </c>
      <c r="J964" s="2" t="s">
        <v>60</v>
      </c>
      <c r="K964" s="13" t="n">
        <v>45252</v>
      </c>
      <c r="L964" s="2" t="s">
        <v>8855</v>
      </c>
      <c r="M964" s="2" t="s">
        <v>36</v>
      </c>
    </row>
    <row r="965" customFormat="false" ht="15" hidden="false" customHeight="false" outlineLevel="0" collapsed="false">
      <c r="A965" s="2" t="s">
        <v>2943</v>
      </c>
      <c r="B965" s="2" t="s">
        <v>8883</v>
      </c>
      <c r="C965" s="2" t="s">
        <v>8870</v>
      </c>
      <c r="D965" s="2" t="s">
        <v>8824</v>
      </c>
      <c r="E965" s="13" t="n">
        <v>33569</v>
      </c>
      <c r="F965" s="2" t="n">
        <v>254739703731</v>
      </c>
      <c r="G965" s="2" t="n">
        <v>10</v>
      </c>
      <c r="H965" s="2" t="s">
        <v>95</v>
      </c>
      <c r="I965" s="2" t="s">
        <v>8857</v>
      </c>
      <c r="J965" s="2" t="s">
        <v>59</v>
      </c>
      <c r="K965" s="13" t="n">
        <v>44973</v>
      </c>
      <c r="L965" s="2" t="s">
        <v>8821</v>
      </c>
      <c r="M965" s="2" t="s">
        <v>36</v>
      </c>
    </row>
    <row r="966" customFormat="false" ht="15" hidden="false" customHeight="false" outlineLevel="0" collapsed="false">
      <c r="A966" s="2" t="s">
        <v>1181</v>
      </c>
      <c r="B966" s="2" t="s">
        <v>8871</v>
      </c>
      <c r="C966" s="2" t="s">
        <v>8818</v>
      </c>
      <c r="D966" s="2" t="s">
        <v>8824</v>
      </c>
      <c r="E966" s="13" t="n">
        <v>28781</v>
      </c>
      <c r="F966" s="2" t="n">
        <v>254722113513</v>
      </c>
      <c r="G966" s="2" t="n">
        <v>13</v>
      </c>
      <c r="H966" s="2" t="s">
        <v>8850</v>
      </c>
      <c r="I966" s="2" t="s">
        <v>8844</v>
      </c>
      <c r="J966" s="2" t="s">
        <v>62</v>
      </c>
      <c r="K966" s="13" t="n">
        <v>44947</v>
      </c>
      <c r="L966" s="2" t="s">
        <v>8821</v>
      </c>
      <c r="M966" s="2" t="s">
        <v>36</v>
      </c>
    </row>
    <row r="967" customFormat="false" ht="15" hidden="false" customHeight="false" outlineLevel="0" collapsed="false">
      <c r="A967" s="2" t="s">
        <v>2752</v>
      </c>
      <c r="B967" s="2" t="s">
        <v>8835</v>
      </c>
      <c r="C967" s="2" t="s">
        <v>8863</v>
      </c>
      <c r="D967" s="2" t="s">
        <v>8824</v>
      </c>
      <c r="E967" s="13" t="n">
        <v>30485</v>
      </c>
      <c r="F967" s="2" t="n">
        <v>254740780751</v>
      </c>
      <c r="G967" s="2" t="n">
        <v>5</v>
      </c>
      <c r="H967" s="2" t="s">
        <v>95</v>
      </c>
      <c r="I967" s="2" t="s">
        <v>8844</v>
      </c>
      <c r="J967" s="2" t="s">
        <v>60</v>
      </c>
      <c r="K967" s="13" t="n">
        <v>45130</v>
      </c>
      <c r="L967" s="2" t="s">
        <v>8855</v>
      </c>
      <c r="M967" s="2" t="s">
        <v>36</v>
      </c>
    </row>
    <row r="968" customFormat="false" ht="15" hidden="false" customHeight="false" outlineLevel="0" collapsed="false">
      <c r="A968" s="2" t="s">
        <v>5843</v>
      </c>
      <c r="B968" s="2" t="s">
        <v>8853</v>
      </c>
      <c r="C968" s="2" t="s">
        <v>8861</v>
      </c>
      <c r="D968" s="2" t="s">
        <v>8819</v>
      </c>
      <c r="E968" s="13" t="n">
        <v>31049</v>
      </c>
      <c r="F968" s="2" t="n">
        <v>254777310099</v>
      </c>
      <c r="G968" s="2" t="n">
        <v>7</v>
      </c>
      <c r="H968" s="2" t="s">
        <v>8850</v>
      </c>
      <c r="I968" s="2" t="s">
        <v>8820</v>
      </c>
      <c r="J968" s="2" t="s">
        <v>59</v>
      </c>
      <c r="K968" s="13" t="n">
        <v>44947</v>
      </c>
      <c r="L968" s="2" t="s">
        <v>8821</v>
      </c>
      <c r="M968" s="2" t="s">
        <v>36</v>
      </c>
    </row>
    <row r="969" customFormat="false" ht="15" hidden="false" customHeight="false" outlineLevel="0" collapsed="false">
      <c r="A969" s="2" t="s">
        <v>301</v>
      </c>
      <c r="B969" s="2" t="s">
        <v>8843</v>
      </c>
      <c r="C969" s="2" t="s">
        <v>8823</v>
      </c>
      <c r="D969" s="2" t="s">
        <v>8824</v>
      </c>
      <c r="E969" s="13" t="n">
        <v>26044</v>
      </c>
      <c r="F969" s="2" t="n">
        <v>254726595059</v>
      </c>
      <c r="G969" s="2" t="n">
        <v>14</v>
      </c>
      <c r="H969" s="2" t="s">
        <v>8850</v>
      </c>
      <c r="I969" s="2" t="s">
        <v>8852</v>
      </c>
      <c r="J969" s="2" t="s">
        <v>61</v>
      </c>
      <c r="K969" s="13" t="n">
        <v>45631</v>
      </c>
      <c r="L969" s="2" t="s">
        <v>8821</v>
      </c>
      <c r="M969" s="2" t="s">
        <v>36</v>
      </c>
    </row>
    <row r="970" customFormat="false" ht="15" hidden="false" customHeight="false" outlineLevel="0" collapsed="false">
      <c r="A970" s="2" t="s">
        <v>4565</v>
      </c>
      <c r="B970" s="2" t="s">
        <v>8871</v>
      </c>
      <c r="C970" s="2" t="s">
        <v>8865</v>
      </c>
      <c r="D970" s="2" t="s">
        <v>8819</v>
      </c>
      <c r="E970" s="13" t="n">
        <v>27428</v>
      </c>
      <c r="F970" s="2" t="n">
        <v>254711978608</v>
      </c>
      <c r="G970" s="2" t="n">
        <v>12</v>
      </c>
      <c r="H970" s="2" t="s">
        <v>95</v>
      </c>
      <c r="I970" s="2" t="s">
        <v>8825</v>
      </c>
      <c r="J970" s="2" t="s">
        <v>62</v>
      </c>
      <c r="K970" s="13" t="n">
        <v>45443</v>
      </c>
      <c r="L970" s="2" t="s">
        <v>8855</v>
      </c>
      <c r="M970" s="2" t="s">
        <v>36</v>
      </c>
    </row>
    <row r="971" customFormat="false" ht="15" hidden="false" customHeight="false" outlineLevel="0" collapsed="false">
      <c r="A971" s="2" t="s">
        <v>2504</v>
      </c>
      <c r="B971" s="2" t="s">
        <v>8871</v>
      </c>
      <c r="C971" s="2" t="s">
        <v>8818</v>
      </c>
      <c r="D971" s="2" t="s">
        <v>8824</v>
      </c>
      <c r="E971" s="13" t="n">
        <v>32673</v>
      </c>
      <c r="F971" s="2" t="n">
        <v>254746782333</v>
      </c>
      <c r="G971" s="2" t="n">
        <v>8</v>
      </c>
      <c r="H971" s="2" t="s">
        <v>95</v>
      </c>
      <c r="I971" s="2" t="s">
        <v>8825</v>
      </c>
      <c r="J971" s="2" t="s">
        <v>60</v>
      </c>
      <c r="K971" s="13" t="n">
        <v>45451</v>
      </c>
      <c r="L971" s="2" t="s">
        <v>8855</v>
      </c>
      <c r="M971" s="2" t="s">
        <v>8858</v>
      </c>
    </row>
    <row r="972" customFormat="false" ht="15" hidden="false" customHeight="false" outlineLevel="0" collapsed="false">
      <c r="A972" s="2" t="s">
        <v>6289</v>
      </c>
      <c r="B972" s="2" t="s">
        <v>8838</v>
      </c>
      <c r="C972" s="2" t="s">
        <v>8863</v>
      </c>
      <c r="D972" s="2" t="s">
        <v>8824</v>
      </c>
      <c r="E972" s="13" t="n">
        <v>32327</v>
      </c>
      <c r="F972" s="2" t="n">
        <v>254774874074</v>
      </c>
      <c r="G972" s="2" t="n">
        <v>5</v>
      </c>
      <c r="H972" s="2" t="s">
        <v>95</v>
      </c>
      <c r="I972" s="2" t="s">
        <v>8842</v>
      </c>
      <c r="J972" s="2" t="s">
        <v>58</v>
      </c>
      <c r="K972" s="13" t="n">
        <v>45154</v>
      </c>
      <c r="L972" s="2" t="s">
        <v>8855</v>
      </c>
      <c r="M972" s="2" t="s">
        <v>8858</v>
      </c>
    </row>
    <row r="973" customFormat="false" ht="15" hidden="false" customHeight="false" outlineLevel="0" collapsed="false">
      <c r="A973" s="2" t="s">
        <v>506</v>
      </c>
      <c r="B973" s="2" t="s">
        <v>8860</v>
      </c>
      <c r="C973" s="2" t="s">
        <v>8839</v>
      </c>
      <c r="D973" s="2" t="s">
        <v>8819</v>
      </c>
      <c r="E973" s="13" t="n">
        <v>34235</v>
      </c>
      <c r="F973" s="2" t="n">
        <v>254763331228</v>
      </c>
      <c r="G973" s="2" t="n">
        <v>13</v>
      </c>
      <c r="H973" s="2" t="s">
        <v>95</v>
      </c>
      <c r="I973" s="2" t="s">
        <v>8847</v>
      </c>
      <c r="J973" s="2" t="s">
        <v>60</v>
      </c>
      <c r="K973" s="13" t="n">
        <v>45037</v>
      </c>
      <c r="L973" s="2" t="s">
        <v>8855</v>
      </c>
      <c r="M973" s="2" t="s">
        <v>36</v>
      </c>
    </row>
    <row r="974" customFormat="false" ht="15" hidden="false" customHeight="false" outlineLevel="0" collapsed="false">
      <c r="A974" s="2" t="s">
        <v>3915</v>
      </c>
      <c r="B974" s="2" t="s">
        <v>8826</v>
      </c>
      <c r="C974" s="2" t="s">
        <v>8830</v>
      </c>
      <c r="D974" s="2" t="s">
        <v>8819</v>
      </c>
      <c r="E974" s="13" t="n">
        <v>32664</v>
      </c>
      <c r="F974" s="2" t="n">
        <v>254737874581</v>
      </c>
      <c r="G974" s="2" t="n">
        <v>14</v>
      </c>
      <c r="H974" s="2" t="s">
        <v>8850</v>
      </c>
      <c r="I974" s="2" t="s">
        <v>8848</v>
      </c>
      <c r="J974" s="2" t="s">
        <v>59</v>
      </c>
      <c r="K974" s="13" t="n">
        <v>45572</v>
      </c>
      <c r="L974" s="2" t="s">
        <v>8821</v>
      </c>
      <c r="M974" s="2" t="s">
        <v>36</v>
      </c>
    </row>
    <row r="975" customFormat="false" ht="15" hidden="false" customHeight="false" outlineLevel="0" collapsed="false">
      <c r="A975" s="2" t="s">
        <v>4545</v>
      </c>
      <c r="B975" s="2" t="s">
        <v>8868</v>
      </c>
      <c r="C975" s="2" t="s">
        <v>8881</v>
      </c>
      <c r="D975" s="2" t="s">
        <v>8819</v>
      </c>
      <c r="E975" s="13" t="n">
        <v>34999</v>
      </c>
      <c r="F975" s="2" t="n">
        <v>254717909847</v>
      </c>
      <c r="G975" s="2" t="n">
        <v>13</v>
      </c>
      <c r="H975" s="2" t="s">
        <v>8850</v>
      </c>
      <c r="I975" s="2" t="s">
        <v>8834</v>
      </c>
      <c r="J975" s="2" t="s">
        <v>61</v>
      </c>
      <c r="K975" s="13" t="n">
        <v>45411</v>
      </c>
      <c r="L975" s="2" t="s">
        <v>8821</v>
      </c>
      <c r="M975" s="2" t="s">
        <v>36</v>
      </c>
    </row>
    <row r="976" customFormat="false" ht="15" hidden="false" customHeight="false" outlineLevel="0" collapsed="false">
      <c r="A976" s="2" t="s">
        <v>820</v>
      </c>
      <c r="B976" s="2" t="s">
        <v>8862</v>
      </c>
      <c r="C976" s="2" t="s">
        <v>8867</v>
      </c>
      <c r="D976" s="2" t="s">
        <v>8824</v>
      </c>
      <c r="E976" s="13" t="n">
        <v>28866</v>
      </c>
      <c r="F976" s="2" t="n">
        <v>254710747830</v>
      </c>
      <c r="G976" s="2" t="n">
        <v>5</v>
      </c>
      <c r="H976" s="2" t="s">
        <v>95</v>
      </c>
      <c r="I976" s="2" t="s">
        <v>8857</v>
      </c>
      <c r="J976" s="2" t="s">
        <v>61</v>
      </c>
      <c r="K976" s="13" t="n">
        <v>45632</v>
      </c>
      <c r="L976" s="2" t="s">
        <v>8855</v>
      </c>
      <c r="M976" s="2" t="s">
        <v>36</v>
      </c>
    </row>
    <row r="977" customFormat="false" ht="15" hidden="false" customHeight="false" outlineLevel="0" collapsed="false">
      <c r="A977" s="2" t="s">
        <v>286</v>
      </c>
      <c r="B977" s="2" t="s">
        <v>8877</v>
      </c>
      <c r="C977" s="2" t="s">
        <v>8861</v>
      </c>
      <c r="D977" s="2" t="s">
        <v>8819</v>
      </c>
      <c r="E977" s="13" t="n">
        <v>31213</v>
      </c>
      <c r="F977" s="2" t="n">
        <v>254724098750</v>
      </c>
      <c r="G977" s="2" t="n">
        <v>7</v>
      </c>
      <c r="H977" s="2" t="s">
        <v>95</v>
      </c>
      <c r="I977" s="2" t="s">
        <v>8842</v>
      </c>
      <c r="J977" s="2" t="s">
        <v>59</v>
      </c>
      <c r="K977" s="13" t="n">
        <v>45652</v>
      </c>
      <c r="L977" s="2" t="s">
        <v>8821</v>
      </c>
      <c r="M977" s="2" t="s">
        <v>36</v>
      </c>
    </row>
    <row r="978" customFormat="false" ht="15" hidden="false" customHeight="false" outlineLevel="0" collapsed="false">
      <c r="A978" s="2" t="s">
        <v>760</v>
      </c>
      <c r="B978" s="2" t="s">
        <v>8885</v>
      </c>
      <c r="C978" s="2" t="s">
        <v>8830</v>
      </c>
      <c r="D978" s="2" t="s">
        <v>8819</v>
      </c>
      <c r="E978" s="13" t="n">
        <v>28191</v>
      </c>
      <c r="F978" s="2" t="n">
        <v>254766932774</v>
      </c>
      <c r="G978" s="2" t="n">
        <v>8</v>
      </c>
      <c r="H978" s="2" t="s">
        <v>95</v>
      </c>
      <c r="I978" s="2" t="s">
        <v>8852</v>
      </c>
      <c r="J978" s="2" t="s">
        <v>62</v>
      </c>
      <c r="K978" s="13" t="n">
        <v>45375</v>
      </c>
      <c r="L978" s="2" t="s">
        <v>8855</v>
      </c>
      <c r="M978" s="2" t="s">
        <v>36</v>
      </c>
    </row>
    <row r="979" customFormat="false" ht="15" hidden="false" customHeight="false" outlineLevel="0" collapsed="false">
      <c r="A979" s="2" t="s">
        <v>376</v>
      </c>
      <c r="B979" s="2" t="s">
        <v>8829</v>
      </c>
      <c r="C979" s="2" t="s">
        <v>8865</v>
      </c>
      <c r="D979" s="2" t="s">
        <v>8824</v>
      </c>
      <c r="E979" s="13" t="n">
        <v>35247</v>
      </c>
      <c r="F979" s="2" t="n">
        <v>254746387450</v>
      </c>
      <c r="G979" s="2" t="n">
        <v>9</v>
      </c>
      <c r="H979" s="2" t="s">
        <v>8850</v>
      </c>
      <c r="I979" s="2" t="s">
        <v>8848</v>
      </c>
      <c r="J979" s="2" t="s">
        <v>60</v>
      </c>
      <c r="K979" s="13" t="n">
        <v>45230</v>
      </c>
      <c r="L979" s="2" t="s">
        <v>8821</v>
      </c>
      <c r="M979" s="2" t="s">
        <v>36</v>
      </c>
    </row>
    <row r="980" customFormat="false" ht="15" hidden="false" customHeight="false" outlineLevel="0" collapsed="false">
      <c r="A980" s="2" t="s">
        <v>1617</v>
      </c>
      <c r="B980" s="2" t="s">
        <v>8874</v>
      </c>
      <c r="C980" s="2" t="s">
        <v>8867</v>
      </c>
      <c r="D980" s="2" t="s">
        <v>8824</v>
      </c>
      <c r="E980" s="13" t="n">
        <v>32408</v>
      </c>
      <c r="F980" s="2" t="n">
        <v>254779709974</v>
      </c>
      <c r="G980" s="2" t="n">
        <v>10</v>
      </c>
      <c r="H980" s="2" t="s">
        <v>8850</v>
      </c>
      <c r="I980" s="2" t="s">
        <v>8847</v>
      </c>
      <c r="J980" s="2" t="s">
        <v>61</v>
      </c>
      <c r="K980" s="13" t="n">
        <v>45136</v>
      </c>
      <c r="L980" s="2" t="s">
        <v>8821</v>
      </c>
      <c r="M980" s="2" t="s">
        <v>36</v>
      </c>
    </row>
    <row r="981" customFormat="false" ht="15" hidden="false" customHeight="false" outlineLevel="0" collapsed="false">
      <c r="A981" s="2" t="s">
        <v>291</v>
      </c>
      <c r="B981" s="2" t="s">
        <v>8817</v>
      </c>
      <c r="C981" s="2" t="s">
        <v>8869</v>
      </c>
      <c r="D981" s="2" t="s">
        <v>8824</v>
      </c>
      <c r="E981" s="13" t="n">
        <v>28566</v>
      </c>
      <c r="F981" s="2" t="n">
        <v>254734055277</v>
      </c>
      <c r="G981" s="2" t="n">
        <v>3</v>
      </c>
      <c r="H981" s="2" t="s">
        <v>8850</v>
      </c>
      <c r="I981" s="2" t="s">
        <v>8825</v>
      </c>
      <c r="J981" s="2" t="s">
        <v>58</v>
      </c>
      <c r="K981" s="13" t="n">
        <v>45412</v>
      </c>
      <c r="L981" s="2" t="s">
        <v>8821</v>
      </c>
      <c r="M981" s="2" t="s">
        <v>36</v>
      </c>
    </row>
    <row r="982" customFormat="false" ht="15" hidden="false" customHeight="false" outlineLevel="0" collapsed="false">
      <c r="A982" s="2" t="s">
        <v>1990</v>
      </c>
      <c r="B982" s="2" t="s">
        <v>8860</v>
      </c>
      <c r="C982" s="2" t="s">
        <v>8869</v>
      </c>
      <c r="D982" s="2" t="s">
        <v>8819</v>
      </c>
      <c r="E982" s="13" t="n">
        <v>30289</v>
      </c>
      <c r="F982" s="2" t="n">
        <v>254718201748</v>
      </c>
      <c r="G982" s="2" t="n">
        <v>10</v>
      </c>
      <c r="H982" s="2" t="s">
        <v>8850</v>
      </c>
      <c r="I982" s="2" t="s">
        <v>8848</v>
      </c>
      <c r="J982" s="2" t="s">
        <v>59</v>
      </c>
      <c r="K982" s="13" t="n">
        <v>45477</v>
      </c>
      <c r="L982" s="2" t="s">
        <v>8821</v>
      </c>
      <c r="M982" s="2" t="s">
        <v>36</v>
      </c>
    </row>
    <row r="983" customFormat="false" ht="15" hidden="false" customHeight="false" outlineLevel="0" collapsed="false">
      <c r="A983" s="2" t="s">
        <v>2592</v>
      </c>
      <c r="B983" s="2" t="s">
        <v>8882</v>
      </c>
      <c r="C983" s="2" t="s">
        <v>8841</v>
      </c>
      <c r="D983" s="2" t="s">
        <v>8824</v>
      </c>
      <c r="E983" s="13" t="n">
        <v>30854</v>
      </c>
      <c r="F983" s="2" t="n">
        <v>254748143010</v>
      </c>
      <c r="G983" s="2" t="n">
        <v>14</v>
      </c>
      <c r="H983" s="2" t="s">
        <v>8850</v>
      </c>
      <c r="I983" s="2" t="s">
        <v>8848</v>
      </c>
      <c r="J983" s="2" t="s">
        <v>60</v>
      </c>
      <c r="K983" s="13" t="n">
        <v>44941</v>
      </c>
      <c r="L983" s="2" t="s">
        <v>8821</v>
      </c>
      <c r="M983" s="2" t="s">
        <v>8858</v>
      </c>
    </row>
    <row r="984" customFormat="false" ht="15" hidden="false" customHeight="false" outlineLevel="0" collapsed="false">
      <c r="A984" s="2" t="s">
        <v>4801</v>
      </c>
      <c r="B984" s="2" t="s">
        <v>8856</v>
      </c>
      <c r="C984" s="2" t="s">
        <v>8841</v>
      </c>
      <c r="D984" s="2" t="s">
        <v>8819</v>
      </c>
      <c r="E984" s="13" t="n">
        <v>31673</v>
      </c>
      <c r="F984" s="2" t="n">
        <v>254789542677</v>
      </c>
      <c r="G984" s="2" t="n">
        <v>3</v>
      </c>
      <c r="H984" s="2" t="s">
        <v>95</v>
      </c>
      <c r="I984" s="2" t="s">
        <v>8864</v>
      </c>
      <c r="J984" s="2" t="s">
        <v>59</v>
      </c>
      <c r="K984" s="13" t="n">
        <v>45583</v>
      </c>
      <c r="L984" s="2" t="s">
        <v>8821</v>
      </c>
      <c r="M984" s="2" t="s">
        <v>36</v>
      </c>
    </row>
    <row r="985" customFormat="false" ht="15" hidden="false" customHeight="false" outlineLevel="0" collapsed="false">
      <c r="A985" s="2" t="s">
        <v>674</v>
      </c>
      <c r="B985" s="2" t="s">
        <v>8874</v>
      </c>
      <c r="C985" s="2" t="s">
        <v>8861</v>
      </c>
      <c r="D985" s="2" t="s">
        <v>8824</v>
      </c>
      <c r="E985" s="13" t="n">
        <v>31689</v>
      </c>
      <c r="F985" s="2" t="n">
        <v>254754313350</v>
      </c>
      <c r="G985" s="2" t="n">
        <v>10</v>
      </c>
      <c r="H985" s="2" t="s">
        <v>8850</v>
      </c>
      <c r="I985" s="2" t="s">
        <v>8864</v>
      </c>
      <c r="J985" s="2" t="s">
        <v>62</v>
      </c>
      <c r="K985" s="13" t="n">
        <v>45056</v>
      </c>
      <c r="L985" s="2" t="s">
        <v>8855</v>
      </c>
      <c r="M985" s="2" t="s">
        <v>36</v>
      </c>
    </row>
    <row r="986" customFormat="false" ht="15" hidden="false" customHeight="false" outlineLevel="0" collapsed="false">
      <c r="A986" s="2" t="s">
        <v>181</v>
      </c>
      <c r="B986" s="2" t="s">
        <v>8840</v>
      </c>
      <c r="C986" s="2" t="s">
        <v>8827</v>
      </c>
      <c r="D986" s="2" t="s">
        <v>8819</v>
      </c>
      <c r="E986" s="13" t="n">
        <v>29246</v>
      </c>
      <c r="F986" s="2" t="n">
        <v>254729237874</v>
      </c>
      <c r="G986" s="2" t="n">
        <v>3</v>
      </c>
      <c r="H986" s="2" t="s">
        <v>8850</v>
      </c>
      <c r="I986" s="2" t="s">
        <v>8820</v>
      </c>
      <c r="J986" s="2" t="s">
        <v>60</v>
      </c>
      <c r="K986" s="13" t="n">
        <v>45164</v>
      </c>
      <c r="L986" s="2" t="s">
        <v>8821</v>
      </c>
      <c r="M986" s="2" t="s">
        <v>36</v>
      </c>
    </row>
    <row r="987" customFormat="false" ht="15" hidden="false" customHeight="false" outlineLevel="0" collapsed="false">
      <c r="A987" s="2" t="s">
        <v>716</v>
      </c>
      <c r="B987" s="2" t="s">
        <v>8838</v>
      </c>
      <c r="C987" s="2" t="s">
        <v>8859</v>
      </c>
      <c r="D987" s="2" t="s">
        <v>8824</v>
      </c>
      <c r="E987" s="13" t="n">
        <v>28759</v>
      </c>
      <c r="F987" s="2" t="n">
        <v>254750608690</v>
      </c>
      <c r="G987" s="2" t="n">
        <v>9</v>
      </c>
      <c r="H987" s="2" t="s">
        <v>95</v>
      </c>
      <c r="I987" s="2" t="s">
        <v>8831</v>
      </c>
      <c r="J987" s="2" t="s">
        <v>62</v>
      </c>
      <c r="K987" s="13" t="n">
        <v>45377</v>
      </c>
      <c r="L987" s="2" t="s">
        <v>8855</v>
      </c>
      <c r="M987" s="2" t="s">
        <v>8858</v>
      </c>
    </row>
    <row r="988" customFormat="false" ht="15" hidden="false" customHeight="false" outlineLevel="0" collapsed="false">
      <c r="A988" s="2" t="s">
        <v>1968</v>
      </c>
      <c r="B988" s="2" t="s">
        <v>8883</v>
      </c>
      <c r="C988" s="2" t="s">
        <v>8861</v>
      </c>
      <c r="D988" s="2" t="s">
        <v>8824</v>
      </c>
      <c r="E988" s="13" t="n">
        <v>34684</v>
      </c>
      <c r="F988" s="2" t="n">
        <v>254781227403</v>
      </c>
      <c r="G988" s="2" t="n">
        <v>2</v>
      </c>
      <c r="H988" s="2" t="s">
        <v>95</v>
      </c>
      <c r="I988" s="2" t="s">
        <v>8828</v>
      </c>
      <c r="J988" s="2" t="s">
        <v>60</v>
      </c>
      <c r="K988" s="13" t="n">
        <v>45290</v>
      </c>
      <c r="L988" s="2" t="s">
        <v>8821</v>
      </c>
      <c r="M988" s="2" t="s">
        <v>8858</v>
      </c>
    </row>
    <row r="989" customFormat="false" ht="15" hidden="false" customHeight="false" outlineLevel="0" collapsed="false">
      <c r="A989" s="2" t="s">
        <v>1434</v>
      </c>
      <c r="B989" s="2" t="s">
        <v>8856</v>
      </c>
      <c r="C989" s="2" t="s">
        <v>8830</v>
      </c>
      <c r="D989" s="2" t="s">
        <v>8824</v>
      </c>
      <c r="E989" s="13" t="n">
        <v>36030</v>
      </c>
      <c r="F989" s="2" t="n">
        <v>254797522323</v>
      </c>
      <c r="G989" s="2" t="n">
        <v>6</v>
      </c>
      <c r="H989" s="2" t="s">
        <v>95</v>
      </c>
      <c r="I989" s="2" t="s">
        <v>8820</v>
      </c>
      <c r="J989" s="2" t="s">
        <v>60</v>
      </c>
      <c r="K989" s="13" t="n">
        <v>45183</v>
      </c>
      <c r="L989" s="2" t="s">
        <v>8855</v>
      </c>
      <c r="M989" s="2" t="s">
        <v>36</v>
      </c>
    </row>
    <row r="990" customFormat="false" ht="15" hidden="false" customHeight="false" outlineLevel="0" collapsed="false">
      <c r="A990" s="2" t="s">
        <v>4445</v>
      </c>
      <c r="B990" s="2" t="s">
        <v>8880</v>
      </c>
      <c r="C990" s="2" t="s">
        <v>8841</v>
      </c>
      <c r="D990" s="2" t="s">
        <v>8824</v>
      </c>
      <c r="E990" s="13" t="n">
        <v>35540</v>
      </c>
      <c r="F990" s="2" t="n">
        <v>254760225060</v>
      </c>
      <c r="G990" s="2" t="n">
        <v>3</v>
      </c>
      <c r="H990" s="2" t="s">
        <v>95</v>
      </c>
      <c r="I990" s="2" t="s">
        <v>8831</v>
      </c>
      <c r="J990" s="2" t="s">
        <v>61</v>
      </c>
      <c r="K990" s="13" t="n">
        <v>45500</v>
      </c>
      <c r="L990" s="2" t="s">
        <v>8821</v>
      </c>
      <c r="M990" s="2" t="s">
        <v>36</v>
      </c>
    </row>
    <row r="991" customFormat="false" ht="15" hidden="false" customHeight="false" outlineLevel="0" collapsed="false">
      <c r="A991" s="2" t="s">
        <v>2144</v>
      </c>
      <c r="B991" s="2" t="s">
        <v>8829</v>
      </c>
      <c r="C991" s="2" t="s">
        <v>8888</v>
      </c>
      <c r="D991" s="2" t="s">
        <v>8824</v>
      </c>
      <c r="E991" s="13" t="n">
        <v>25851</v>
      </c>
      <c r="F991" s="2" t="n">
        <v>254777483781</v>
      </c>
      <c r="G991" s="2" t="n">
        <v>15</v>
      </c>
      <c r="H991" s="2" t="s">
        <v>95</v>
      </c>
      <c r="I991" s="2" t="s">
        <v>8848</v>
      </c>
      <c r="J991" s="2" t="s">
        <v>60</v>
      </c>
      <c r="K991" s="13" t="n">
        <v>45263</v>
      </c>
      <c r="L991" s="2" t="s">
        <v>8821</v>
      </c>
      <c r="M991" s="2" t="s">
        <v>36</v>
      </c>
    </row>
    <row r="992" customFormat="false" ht="15" hidden="false" customHeight="false" outlineLevel="0" collapsed="false">
      <c r="A992" s="2" t="s">
        <v>1438</v>
      </c>
      <c r="B992" s="2" t="s">
        <v>8875</v>
      </c>
      <c r="C992" s="2" t="s">
        <v>8846</v>
      </c>
      <c r="D992" s="2" t="s">
        <v>8824</v>
      </c>
      <c r="E992" s="13" t="n">
        <v>36709</v>
      </c>
      <c r="F992" s="2" t="n">
        <v>254793922374</v>
      </c>
      <c r="G992" s="2" t="n">
        <v>1</v>
      </c>
      <c r="H992" s="2" t="s">
        <v>95</v>
      </c>
      <c r="I992" s="2" t="s">
        <v>8864</v>
      </c>
      <c r="J992" s="2" t="s">
        <v>61</v>
      </c>
      <c r="K992" s="13" t="n">
        <v>45639</v>
      </c>
      <c r="L992" s="2" t="s">
        <v>8855</v>
      </c>
      <c r="M992" s="2" t="s">
        <v>8858</v>
      </c>
    </row>
    <row r="993" customFormat="false" ht="15" hidden="false" customHeight="false" outlineLevel="0" collapsed="false">
      <c r="A993" s="2" t="s">
        <v>5179</v>
      </c>
      <c r="B993" s="2" t="s">
        <v>8853</v>
      </c>
      <c r="C993" s="2" t="s">
        <v>8863</v>
      </c>
      <c r="D993" s="2" t="s">
        <v>8819</v>
      </c>
      <c r="E993" s="13" t="n">
        <v>29822</v>
      </c>
      <c r="F993" s="2" t="n">
        <v>254715126257</v>
      </c>
      <c r="G993" s="2" t="n">
        <v>6</v>
      </c>
      <c r="H993" s="2" t="s">
        <v>95</v>
      </c>
      <c r="I993" s="2" t="s">
        <v>8848</v>
      </c>
      <c r="J993" s="2" t="s">
        <v>59</v>
      </c>
      <c r="K993" s="13" t="n">
        <v>45590</v>
      </c>
      <c r="L993" s="2" t="s">
        <v>8821</v>
      </c>
      <c r="M993" s="2" t="s">
        <v>36</v>
      </c>
    </row>
    <row r="994" customFormat="false" ht="15" hidden="false" customHeight="false" outlineLevel="0" collapsed="false">
      <c r="A994" s="2" t="s">
        <v>5127</v>
      </c>
      <c r="B994" s="2" t="s">
        <v>8822</v>
      </c>
      <c r="C994" s="2" t="s">
        <v>8870</v>
      </c>
      <c r="D994" s="2" t="s">
        <v>8819</v>
      </c>
      <c r="E994" s="13" t="n">
        <v>27602</v>
      </c>
      <c r="F994" s="2" t="n">
        <v>254752176116</v>
      </c>
      <c r="G994" s="2" t="n">
        <v>2</v>
      </c>
      <c r="H994" s="2" t="s">
        <v>8850</v>
      </c>
      <c r="I994" s="2" t="s">
        <v>8831</v>
      </c>
      <c r="J994" s="2" t="s">
        <v>62</v>
      </c>
      <c r="K994" s="13" t="n">
        <v>45049</v>
      </c>
      <c r="L994" s="2" t="s">
        <v>8821</v>
      </c>
      <c r="M994" s="2" t="s">
        <v>36</v>
      </c>
    </row>
    <row r="995" customFormat="false" ht="15" hidden="false" customHeight="false" outlineLevel="0" collapsed="false">
      <c r="A995" s="2" t="s">
        <v>2790</v>
      </c>
      <c r="B995" s="2" t="s">
        <v>8871</v>
      </c>
      <c r="C995" s="2" t="s">
        <v>8888</v>
      </c>
      <c r="D995" s="2" t="s">
        <v>8819</v>
      </c>
      <c r="E995" s="13" t="n">
        <v>33213</v>
      </c>
      <c r="F995" s="2" t="n">
        <v>254799187054</v>
      </c>
      <c r="G995" s="2" t="n">
        <v>7</v>
      </c>
      <c r="H995" s="2" t="s">
        <v>8850</v>
      </c>
      <c r="I995" s="2" t="s">
        <v>8852</v>
      </c>
      <c r="J995" s="2" t="s">
        <v>58</v>
      </c>
      <c r="K995" s="13" t="n">
        <v>45527</v>
      </c>
      <c r="L995" s="2" t="s">
        <v>8821</v>
      </c>
      <c r="M995" s="2" t="s">
        <v>36</v>
      </c>
    </row>
    <row r="996" customFormat="false" ht="15" hidden="false" customHeight="false" outlineLevel="0" collapsed="false">
      <c r="A996" s="2" t="s">
        <v>1861</v>
      </c>
      <c r="B996" s="2" t="s">
        <v>8826</v>
      </c>
      <c r="C996" s="2" t="s">
        <v>8873</v>
      </c>
      <c r="D996" s="2" t="s">
        <v>8824</v>
      </c>
      <c r="E996" s="13" t="n">
        <v>37339</v>
      </c>
      <c r="F996" s="2" t="n">
        <v>254715973820</v>
      </c>
      <c r="G996" s="2" t="n">
        <v>5</v>
      </c>
      <c r="H996" s="2" t="s">
        <v>95</v>
      </c>
      <c r="I996" s="2" t="s">
        <v>8864</v>
      </c>
      <c r="J996" s="2" t="s">
        <v>62</v>
      </c>
      <c r="K996" s="13" t="n">
        <v>45200</v>
      </c>
      <c r="L996" s="2" t="s">
        <v>8855</v>
      </c>
      <c r="M996" s="2" t="s">
        <v>36</v>
      </c>
    </row>
    <row r="997" customFormat="false" ht="15" hidden="false" customHeight="false" outlineLevel="0" collapsed="false">
      <c r="A997" s="2" t="s">
        <v>6741</v>
      </c>
      <c r="B997" s="2" t="s">
        <v>8879</v>
      </c>
      <c r="C997" s="2" t="s">
        <v>8830</v>
      </c>
      <c r="D997" s="2" t="s">
        <v>8824</v>
      </c>
      <c r="E997" s="13" t="n">
        <v>25697</v>
      </c>
      <c r="F997" s="2" t="n">
        <v>254772579321</v>
      </c>
      <c r="G997" s="2" t="n">
        <v>10</v>
      </c>
      <c r="H997" s="2" t="s">
        <v>95</v>
      </c>
      <c r="I997" s="2" t="s">
        <v>8848</v>
      </c>
      <c r="J997" s="2" t="s">
        <v>61</v>
      </c>
      <c r="K997" s="13" t="n">
        <v>45501</v>
      </c>
      <c r="L997" s="2" t="s">
        <v>8821</v>
      </c>
      <c r="M997" s="2" t="s">
        <v>36</v>
      </c>
    </row>
    <row r="998" customFormat="false" ht="15" hidden="false" customHeight="false" outlineLevel="0" collapsed="false">
      <c r="A998" s="2" t="s">
        <v>8361</v>
      </c>
      <c r="B998" s="2" t="s">
        <v>8835</v>
      </c>
      <c r="C998" s="2" t="s">
        <v>8869</v>
      </c>
      <c r="D998" s="2" t="s">
        <v>8819</v>
      </c>
      <c r="E998" s="13" t="n">
        <v>27477</v>
      </c>
      <c r="F998" s="2" t="n">
        <v>254732727871</v>
      </c>
      <c r="G998" s="2" t="n">
        <v>13</v>
      </c>
      <c r="H998" s="2" t="s">
        <v>95</v>
      </c>
      <c r="I998" s="2" t="s">
        <v>8831</v>
      </c>
      <c r="J998" s="2" t="s">
        <v>60</v>
      </c>
      <c r="K998" s="13" t="n">
        <v>45015</v>
      </c>
      <c r="L998" s="2" t="s">
        <v>8855</v>
      </c>
      <c r="M998" s="2" t="s">
        <v>36</v>
      </c>
    </row>
    <row r="999" customFormat="false" ht="15" hidden="false" customHeight="false" outlineLevel="0" collapsed="false">
      <c r="A999" s="2" t="s">
        <v>2028</v>
      </c>
      <c r="B999" s="2" t="s">
        <v>8886</v>
      </c>
      <c r="C999" s="2" t="s">
        <v>8841</v>
      </c>
      <c r="D999" s="2" t="s">
        <v>8819</v>
      </c>
      <c r="E999" s="13" t="n">
        <v>31194</v>
      </c>
      <c r="F999" s="2" t="n">
        <v>254751672868</v>
      </c>
      <c r="G999" s="2" t="n">
        <v>1</v>
      </c>
      <c r="H999" s="2" t="s">
        <v>8850</v>
      </c>
      <c r="I999" s="2" t="s">
        <v>8864</v>
      </c>
      <c r="J999" s="2" t="s">
        <v>60</v>
      </c>
      <c r="K999" s="13" t="n">
        <v>45624</v>
      </c>
      <c r="L999" s="2" t="s">
        <v>8821</v>
      </c>
      <c r="M999" s="2" t="s">
        <v>36</v>
      </c>
    </row>
    <row r="1000" customFormat="false" ht="15" hidden="false" customHeight="false" outlineLevel="0" collapsed="false">
      <c r="A1000" s="2" t="s">
        <v>2626</v>
      </c>
      <c r="B1000" s="2" t="s">
        <v>8843</v>
      </c>
      <c r="C1000" s="2" t="s">
        <v>8841</v>
      </c>
      <c r="D1000" s="2" t="s">
        <v>8824</v>
      </c>
      <c r="E1000" s="13" t="n">
        <v>28774</v>
      </c>
      <c r="F1000" s="2" t="n">
        <v>254736739479</v>
      </c>
      <c r="G1000" s="2" t="n">
        <v>3</v>
      </c>
      <c r="H1000" s="2" t="s">
        <v>8850</v>
      </c>
      <c r="I1000" s="2" t="s">
        <v>8834</v>
      </c>
      <c r="J1000" s="2" t="s">
        <v>61</v>
      </c>
      <c r="K1000" s="13" t="n">
        <v>45350</v>
      </c>
      <c r="L1000" s="2" t="s">
        <v>8821</v>
      </c>
      <c r="M1000" s="2" t="s">
        <v>36</v>
      </c>
    </row>
    <row r="1001" customFormat="false" ht="15" hidden="false" customHeight="false" outlineLevel="0" collapsed="false">
      <c r="A1001" s="2" t="s">
        <v>900</v>
      </c>
      <c r="B1001" s="2" t="s">
        <v>8879</v>
      </c>
      <c r="C1001" s="2" t="s">
        <v>8861</v>
      </c>
      <c r="D1001" s="2" t="s">
        <v>8824</v>
      </c>
      <c r="E1001" s="13" t="n">
        <v>37061</v>
      </c>
      <c r="F1001" s="2" t="n">
        <v>254794694930</v>
      </c>
      <c r="G1001" s="2" t="n">
        <v>11</v>
      </c>
      <c r="H1001" s="2" t="s">
        <v>95</v>
      </c>
      <c r="I1001" s="2" t="s">
        <v>8820</v>
      </c>
      <c r="J1001" s="2" t="s">
        <v>62</v>
      </c>
      <c r="K1001" s="13" t="n">
        <v>45299</v>
      </c>
      <c r="L1001" s="2" t="s">
        <v>8855</v>
      </c>
      <c r="M1001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19"/>
  </cols>
  <sheetData>
    <row r="1" customFormat="false" ht="15" hidden="false" customHeight="false" outlineLevel="0" collapsed="false">
      <c r="A1" s="10" t="s">
        <v>8914</v>
      </c>
      <c r="B1" s="10" t="s">
        <v>72</v>
      </c>
      <c r="C1" s="10" t="s">
        <v>8915</v>
      </c>
      <c r="D1" s="10" t="s">
        <v>8916</v>
      </c>
      <c r="E1" s="10" t="s">
        <v>8917</v>
      </c>
      <c r="F1" s="10" t="s">
        <v>8918</v>
      </c>
      <c r="G1" s="10" t="s">
        <v>8919</v>
      </c>
    </row>
    <row r="2" customFormat="false" ht="15" hidden="false" customHeight="false" outlineLevel="0" collapsed="false">
      <c r="A2" s="2" t="s">
        <v>8920</v>
      </c>
      <c r="B2" s="2" t="s">
        <v>6931</v>
      </c>
      <c r="C2" s="13" t="n">
        <v>45475.3333333333</v>
      </c>
      <c r="D2" s="2" t="s">
        <v>8921</v>
      </c>
      <c r="E2" s="2" t="n">
        <v>0.903</v>
      </c>
      <c r="F2" s="2" t="s">
        <v>8922</v>
      </c>
      <c r="G2" s="14" t="b">
        <f aca="false">FALSE()</f>
        <v>0</v>
      </c>
    </row>
    <row r="3" customFormat="false" ht="15" hidden="false" customHeight="false" outlineLevel="0" collapsed="false">
      <c r="A3" s="2" t="s">
        <v>8923</v>
      </c>
      <c r="B3" s="2" t="s">
        <v>3843</v>
      </c>
      <c r="C3" s="13" t="n">
        <v>45687.7083333333</v>
      </c>
      <c r="D3" s="2" t="s">
        <v>8921</v>
      </c>
      <c r="E3" s="2" t="n">
        <v>0.821</v>
      </c>
      <c r="F3" s="2" t="s">
        <v>8924</v>
      </c>
      <c r="G3" s="14" t="b">
        <f aca="false">FALSE()</f>
        <v>0</v>
      </c>
    </row>
    <row r="4" customFormat="false" ht="15" hidden="false" customHeight="false" outlineLevel="0" collapsed="false">
      <c r="A4" s="2" t="s">
        <v>8925</v>
      </c>
      <c r="B4" s="2" t="s">
        <v>4709</v>
      </c>
      <c r="C4" s="13" t="n">
        <v>45439.2083333333</v>
      </c>
      <c r="D4" s="2" t="s">
        <v>8926</v>
      </c>
      <c r="E4" s="2" t="n">
        <v>0.636</v>
      </c>
      <c r="F4" s="2" t="s">
        <v>8927</v>
      </c>
      <c r="G4" s="14" t="b">
        <f aca="false">FALSE()</f>
        <v>0</v>
      </c>
    </row>
    <row r="5" customFormat="false" ht="15" hidden="false" customHeight="false" outlineLevel="0" collapsed="false">
      <c r="A5" s="2" t="s">
        <v>8928</v>
      </c>
      <c r="B5" s="2" t="s">
        <v>1591</v>
      </c>
      <c r="C5" s="13" t="n">
        <v>45855.5833333333</v>
      </c>
      <c r="D5" s="2" t="s">
        <v>8926</v>
      </c>
      <c r="E5" s="2" t="n">
        <v>0.727</v>
      </c>
      <c r="F5" s="2" t="s">
        <v>8922</v>
      </c>
      <c r="G5" s="14" t="b">
        <f aca="false">FALSE()</f>
        <v>0</v>
      </c>
    </row>
    <row r="6" customFormat="false" ht="15" hidden="false" customHeight="false" outlineLevel="0" collapsed="false">
      <c r="A6" s="2" t="s">
        <v>8929</v>
      </c>
      <c r="B6" s="2" t="s">
        <v>7323</v>
      </c>
      <c r="C6" s="13" t="n">
        <v>45361.3333333333</v>
      </c>
      <c r="D6" s="2" t="s">
        <v>8930</v>
      </c>
      <c r="E6" s="2" t="n">
        <v>0.694</v>
      </c>
      <c r="F6" s="2" t="s">
        <v>8922</v>
      </c>
      <c r="G6" s="14" t="b">
        <f aca="false">FALSE()</f>
        <v>0</v>
      </c>
    </row>
    <row r="7" customFormat="false" ht="15" hidden="false" customHeight="false" outlineLevel="0" collapsed="false">
      <c r="A7" s="2" t="s">
        <v>8931</v>
      </c>
      <c r="B7" s="2" t="s">
        <v>5659</v>
      </c>
      <c r="C7" s="13" t="n">
        <v>45599.5833333333</v>
      </c>
      <c r="D7" s="2" t="s">
        <v>8926</v>
      </c>
      <c r="E7" s="2" t="n">
        <v>0.859</v>
      </c>
      <c r="F7" s="2" t="s">
        <v>8927</v>
      </c>
      <c r="G7" s="14" t="b">
        <f aca="false">FALSE()</f>
        <v>0</v>
      </c>
    </row>
    <row r="8" customFormat="false" ht="15" hidden="false" customHeight="false" outlineLevel="0" collapsed="false">
      <c r="A8" s="2" t="s">
        <v>8932</v>
      </c>
      <c r="B8" s="2" t="s">
        <v>7609</v>
      </c>
      <c r="C8" s="13" t="n">
        <v>45371</v>
      </c>
      <c r="D8" s="2" t="s">
        <v>8921</v>
      </c>
      <c r="E8" s="2" t="n">
        <v>0.828</v>
      </c>
      <c r="F8" s="2" t="s">
        <v>8933</v>
      </c>
      <c r="G8" s="14" t="b">
        <f aca="false">FALSE()</f>
        <v>0</v>
      </c>
    </row>
    <row r="9" customFormat="false" ht="15" hidden="false" customHeight="false" outlineLevel="0" collapsed="false">
      <c r="A9" s="2" t="s">
        <v>8934</v>
      </c>
      <c r="B9" s="2" t="s">
        <v>5635</v>
      </c>
      <c r="C9" s="13" t="n">
        <v>45475.625</v>
      </c>
      <c r="D9" s="2" t="s">
        <v>8926</v>
      </c>
      <c r="E9" s="2" t="n">
        <v>0.804</v>
      </c>
      <c r="F9" s="2" t="s">
        <v>8922</v>
      </c>
      <c r="G9" s="14" t="b">
        <f aca="false">FALSE()</f>
        <v>0</v>
      </c>
    </row>
    <row r="10" customFormat="false" ht="15" hidden="false" customHeight="false" outlineLevel="0" collapsed="false">
      <c r="A10" s="2" t="s">
        <v>8935</v>
      </c>
      <c r="B10" s="2" t="s">
        <v>5353</v>
      </c>
      <c r="C10" s="13" t="n">
        <v>45975.7083333333</v>
      </c>
      <c r="D10" s="2" t="s">
        <v>8926</v>
      </c>
      <c r="E10" s="2" t="n">
        <v>0.978</v>
      </c>
      <c r="F10" s="2" t="s">
        <v>8922</v>
      </c>
      <c r="G10" s="14" t="b">
        <f aca="false">FALSE()</f>
        <v>0</v>
      </c>
    </row>
    <row r="11" customFormat="false" ht="15" hidden="false" customHeight="false" outlineLevel="0" collapsed="false">
      <c r="A11" s="2" t="s">
        <v>8936</v>
      </c>
      <c r="B11" s="2" t="s">
        <v>8221</v>
      </c>
      <c r="C11" s="13" t="n">
        <v>45470</v>
      </c>
      <c r="D11" s="2" t="s">
        <v>8930</v>
      </c>
      <c r="E11" s="2" t="n">
        <v>0.905</v>
      </c>
      <c r="F11" s="2" t="s">
        <v>8933</v>
      </c>
      <c r="G11" s="14" t="b">
        <f aca="false">FALSE()</f>
        <v>0</v>
      </c>
    </row>
    <row r="12" customFormat="false" ht="15" hidden="false" customHeight="false" outlineLevel="0" collapsed="false">
      <c r="A12" s="2" t="s">
        <v>8937</v>
      </c>
      <c r="B12" s="2" t="s">
        <v>4487</v>
      </c>
      <c r="C12" s="13" t="n">
        <v>45773.7083333333</v>
      </c>
      <c r="D12" s="2" t="s">
        <v>8930</v>
      </c>
      <c r="E12" s="2" t="n">
        <v>0.859</v>
      </c>
      <c r="F12" s="2" t="s">
        <v>8922</v>
      </c>
      <c r="G12" s="14" t="b">
        <f aca="false">FALSE()</f>
        <v>0</v>
      </c>
    </row>
    <row r="13" customFormat="false" ht="15" hidden="false" customHeight="false" outlineLevel="0" collapsed="false">
      <c r="A13" s="2" t="s">
        <v>8938</v>
      </c>
      <c r="B13" s="2" t="s">
        <v>1345</v>
      </c>
      <c r="C13" s="13" t="n">
        <v>45706.25</v>
      </c>
      <c r="D13" s="2" t="s">
        <v>8930</v>
      </c>
      <c r="E13" s="2" t="n">
        <v>0.668</v>
      </c>
      <c r="F13" s="2" t="s">
        <v>8922</v>
      </c>
      <c r="G13" s="14" t="b">
        <f aca="false">FALSE()</f>
        <v>0</v>
      </c>
    </row>
    <row r="14" customFormat="false" ht="15" hidden="false" customHeight="false" outlineLevel="0" collapsed="false">
      <c r="A14" s="2" t="s">
        <v>8939</v>
      </c>
      <c r="B14" s="2" t="s">
        <v>6481</v>
      </c>
      <c r="C14" s="13" t="n">
        <v>45706.4166666667</v>
      </c>
      <c r="D14" s="2" t="s">
        <v>8940</v>
      </c>
      <c r="E14" s="2" t="n">
        <v>0.729</v>
      </c>
      <c r="F14" s="2" t="s">
        <v>8924</v>
      </c>
      <c r="G14" s="14" t="b">
        <f aca="false">FALSE()</f>
        <v>0</v>
      </c>
    </row>
    <row r="15" customFormat="false" ht="15" hidden="false" customHeight="false" outlineLevel="0" collapsed="false">
      <c r="A15" s="2" t="s">
        <v>8941</v>
      </c>
      <c r="B15" s="2" t="s">
        <v>2243</v>
      </c>
      <c r="C15" s="13" t="n">
        <v>45357.375</v>
      </c>
      <c r="D15" s="2" t="s">
        <v>8940</v>
      </c>
      <c r="E15" s="2" t="n">
        <v>0.691</v>
      </c>
      <c r="F15" s="2" t="s">
        <v>8927</v>
      </c>
      <c r="G15" s="14" t="b">
        <f aca="false">FALSE()</f>
        <v>0</v>
      </c>
    </row>
    <row r="16" customFormat="false" ht="15" hidden="false" customHeight="false" outlineLevel="0" collapsed="false">
      <c r="A16" s="2" t="s">
        <v>8942</v>
      </c>
      <c r="B16" s="2" t="s">
        <v>2150</v>
      </c>
      <c r="C16" s="13" t="n">
        <v>45935.7916666667</v>
      </c>
      <c r="D16" s="2" t="s">
        <v>8926</v>
      </c>
      <c r="E16" s="2" t="n">
        <v>0.878</v>
      </c>
      <c r="F16" s="2" t="s">
        <v>8933</v>
      </c>
      <c r="G16" s="14" t="b">
        <f aca="false">FALSE()</f>
        <v>0</v>
      </c>
    </row>
    <row r="17" customFormat="false" ht="15" hidden="false" customHeight="false" outlineLevel="0" collapsed="false">
      <c r="A17" s="2" t="s">
        <v>8943</v>
      </c>
      <c r="B17" s="2" t="s">
        <v>8235</v>
      </c>
      <c r="C17" s="13" t="n">
        <v>45732.875</v>
      </c>
      <c r="D17" s="2" t="s">
        <v>8926</v>
      </c>
      <c r="E17" s="2" t="n">
        <v>0.807</v>
      </c>
      <c r="F17" s="2" t="s">
        <v>8924</v>
      </c>
      <c r="G17" s="14" t="b">
        <f aca="false">FALSE()</f>
        <v>0</v>
      </c>
    </row>
    <row r="18" customFormat="false" ht="15" hidden="false" customHeight="false" outlineLevel="0" collapsed="false">
      <c r="A18" s="2" t="s">
        <v>8944</v>
      </c>
      <c r="B18" s="2" t="s">
        <v>7431</v>
      </c>
      <c r="C18" s="13" t="n">
        <v>45551.5416666667</v>
      </c>
      <c r="D18" s="2" t="s">
        <v>8926</v>
      </c>
      <c r="E18" s="2" t="n">
        <v>0.907</v>
      </c>
      <c r="F18" s="2" t="s">
        <v>8933</v>
      </c>
      <c r="G18" s="14" t="b">
        <f aca="false">FALSE()</f>
        <v>0</v>
      </c>
    </row>
    <row r="19" customFormat="false" ht="15" hidden="false" customHeight="false" outlineLevel="0" collapsed="false">
      <c r="A19" s="2" t="s">
        <v>8945</v>
      </c>
      <c r="B19" s="2" t="s">
        <v>1831</v>
      </c>
      <c r="C19" s="13" t="n">
        <v>45798</v>
      </c>
      <c r="D19" s="2" t="s">
        <v>8930</v>
      </c>
      <c r="E19" s="2" t="n">
        <v>0.906</v>
      </c>
      <c r="F19" s="2" t="s">
        <v>8927</v>
      </c>
      <c r="G19" s="14" t="b">
        <f aca="false">FALSE()</f>
        <v>0</v>
      </c>
    </row>
    <row r="20" customFormat="false" ht="15" hidden="false" customHeight="false" outlineLevel="0" collapsed="false">
      <c r="A20" s="2" t="s">
        <v>8946</v>
      </c>
      <c r="B20" s="2" t="s">
        <v>5877</v>
      </c>
      <c r="C20" s="13" t="n">
        <v>45329.125</v>
      </c>
      <c r="D20" s="2" t="s">
        <v>8930</v>
      </c>
      <c r="E20" s="2" t="n">
        <v>0.839</v>
      </c>
      <c r="F20" s="2" t="s">
        <v>8924</v>
      </c>
      <c r="G20" s="14" t="b">
        <f aca="false">FALSE()</f>
        <v>0</v>
      </c>
    </row>
    <row r="21" customFormat="false" ht="15" hidden="false" customHeight="false" outlineLevel="0" collapsed="false">
      <c r="A21" s="2" t="s">
        <v>8947</v>
      </c>
      <c r="B21" s="2" t="s">
        <v>2672</v>
      </c>
      <c r="C21" s="13" t="n">
        <v>45480.5</v>
      </c>
      <c r="D21" s="2" t="s">
        <v>8930</v>
      </c>
      <c r="E21" s="2" t="n">
        <v>0.87</v>
      </c>
      <c r="F21" s="2" t="s">
        <v>8933</v>
      </c>
      <c r="G21" s="14" t="b">
        <f aca="false">FALSE()</f>
        <v>0</v>
      </c>
    </row>
    <row r="22" customFormat="false" ht="15" hidden="false" customHeight="false" outlineLevel="0" collapsed="false">
      <c r="A22" s="2" t="s">
        <v>8948</v>
      </c>
      <c r="B22" s="2" t="s">
        <v>3819</v>
      </c>
      <c r="C22" s="13" t="n">
        <v>45687.4583333333</v>
      </c>
      <c r="D22" s="2" t="s">
        <v>8930</v>
      </c>
      <c r="E22" s="2" t="n">
        <v>0.888</v>
      </c>
      <c r="F22" s="2" t="s">
        <v>8927</v>
      </c>
      <c r="G22" s="14" t="b">
        <f aca="false">FALSE()</f>
        <v>0</v>
      </c>
    </row>
    <row r="23" customFormat="false" ht="15" hidden="false" customHeight="false" outlineLevel="0" collapsed="false">
      <c r="A23" s="2" t="s">
        <v>8949</v>
      </c>
      <c r="B23" s="2" t="s">
        <v>8265</v>
      </c>
      <c r="C23" s="13" t="n">
        <v>45907.4583333333</v>
      </c>
      <c r="D23" s="2" t="s">
        <v>8926</v>
      </c>
      <c r="E23" s="2" t="n">
        <v>0.868</v>
      </c>
      <c r="F23" s="2" t="s">
        <v>8922</v>
      </c>
      <c r="G23" s="14" t="b">
        <f aca="false">FALSE()</f>
        <v>0</v>
      </c>
    </row>
    <row r="24" customFormat="false" ht="15" hidden="false" customHeight="false" outlineLevel="0" collapsed="false">
      <c r="A24" s="2" t="s">
        <v>8950</v>
      </c>
      <c r="B24" s="2" t="s">
        <v>3045</v>
      </c>
      <c r="C24" s="13" t="n">
        <v>45616.125</v>
      </c>
      <c r="D24" s="2" t="s">
        <v>8926</v>
      </c>
      <c r="E24" s="2" t="n">
        <v>0.977</v>
      </c>
      <c r="F24" s="2" t="s">
        <v>8927</v>
      </c>
      <c r="G24" s="14" t="b">
        <f aca="false">TRUE()</f>
        <v>1</v>
      </c>
    </row>
    <row r="25" customFormat="false" ht="15" hidden="false" customHeight="false" outlineLevel="0" collapsed="false">
      <c r="A25" s="2" t="s">
        <v>8951</v>
      </c>
      <c r="B25" s="2" t="s">
        <v>2858</v>
      </c>
      <c r="C25" s="13" t="n">
        <v>45454.5833333333</v>
      </c>
      <c r="D25" s="2" t="s">
        <v>8940</v>
      </c>
      <c r="E25" s="2" t="n">
        <v>0.967</v>
      </c>
      <c r="F25" s="2" t="s">
        <v>8933</v>
      </c>
      <c r="G25" s="14" t="b">
        <f aca="false">TRUE()</f>
        <v>1</v>
      </c>
    </row>
    <row r="26" customFormat="false" ht="15" hidden="false" customHeight="false" outlineLevel="0" collapsed="false">
      <c r="A26" s="2" t="s">
        <v>8952</v>
      </c>
      <c r="B26" s="2" t="s">
        <v>1017</v>
      </c>
      <c r="C26" s="13" t="n">
        <v>45353.1666666667</v>
      </c>
      <c r="D26" s="2" t="s">
        <v>8940</v>
      </c>
      <c r="E26" s="2" t="n">
        <v>0.631</v>
      </c>
      <c r="F26" s="2" t="s">
        <v>8924</v>
      </c>
      <c r="G26" s="14" t="b">
        <f aca="false">FALSE()</f>
        <v>0</v>
      </c>
    </row>
    <row r="27" customFormat="false" ht="15" hidden="false" customHeight="false" outlineLevel="0" collapsed="false">
      <c r="A27" s="2" t="s">
        <v>8953</v>
      </c>
      <c r="B27" s="2" t="s">
        <v>1035</v>
      </c>
      <c r="C27" s="13" t="n">
        <v>45324.9583333333</v>
      </c>
      <c r="D27" s="2" t="s">
        <v>8930</v>
      </c>
      <c r="E27" s="2" t="n">
        <v>0.834</v>
      </c>
      <c r="F27" s="2" t="s">
        <v>8922</v>
      </c>
      <c r="G27" s="14" t="b">
        <f aca="false">FALSE()</f>
        <v>0</v>
      </c>
    </row>
    <row r="28" customFormat="false" ht="15" hidden="false" customHeight="false" outlineLevel="0" collapsed="false">
      <c r="A28" s="2" t="s">
        <v>8954</v>
      </c>
      <c r="B28" s="2" t="s">
        <v>4379</v>
      </c>
      <c r="C28" s="13" t="n">
        <v>45632.4583333333</v>
      </c>
      <c r="D28" s="2" t="s">
        <v>8926</v>
      </c>
      <c r="E28" s="2" t="n">
        <v>0.98</v>
      </c>
      <c r="F28" s="2" t="s">
        <v>8922</v>
      </c>
      <c r="G28" s="14" t="b">
        <f aca="false">TRUE()</f>
        <v>1</v>
      </c>
    </row>
    <row r="29" customFormat="false" ht="15" hidden="false" customHeight="false" outlineLevel="0" collapsed="false">
      <c r="A29" s="2" t="s">
        <v>8955</v>
      </c>
      <c r="B29" s="2" t="s">
        <v>3307</v>
      </c>
      <c r="C29" s="13" t="n">
        <v>45445.7083333333</v>
      </c>
      <c r="D29" s="2" t="s">
        <v>8921</v>
      </c>
      <c r="E29" s="2" t="n">
        <v>0.868</v>
      </c>
      <c r="F29" s="2" t="s">
        <v>8927</v>
      </c>
      <c r="G29" s="14" t="b">
        <f aca="false">FALSE()</f>
        <v>0</v>
      </c>
    </row>
    <row r="30" customFormat="false" ht="15" hidden="false" customHeight="false" outlineLevel="0" collapsed="false">
      <c r="A30" s="2" t="s">
        <v>8956</v>
      </c>
      <c r="B30" s="2" t="s">
        <v>1316</v>
      </c>
      <c r="C30" s="13" t="n">
        <v>45484.1666666667</v>
      </c>
      <c r="D30" s="2" t="s">
        <v>8940</v>
      </c>
      <c r="E30" s="2" t="n">
        <v>0.945</v>
      </c>
      <c r="F30" s="2" t="s">
        <v>8927</v>
      </c>
      <c r="G30" s="14" t="b">
        <f aca="false">FALSE()</f>
        <v>0</v>
      </c>
    </row>
    <row r="31" customFormat="false" ht="15" hidden="false" customHeight="false" outlineLevel="0" collapsed="false">
      <c r="A31" s="2" t="s">
        <v>8957</v>
      </c>
      <c r="B31" s="2" t="s">
        <v>8187</v>
      </c>
      <c r="C31" s="13" t="n">
        <v>45560.7916666667</v>
      </c>
      <c r="D31" s="2" t="s">
        <v>8921</v>
      </c>
      <c r="E31" s="2" t="n">
        <v>0.826</v>
      </c>
      <c r="F31" s="2" t="s">
        <v>8924</v>
      </c>
      <c r="G31" s="14" t="b">
        <f aca="false">FALSE()</f>
        <v>0</v>
      </c>
    </row>
    <row r="32" customFormat="false" ht="15" hidden="false" customHeight="false" outlineLevel="0" collapsed="false">
      <c r="A32" s="2" t="s">
        <v>8958</v>
      </c>
      <c r="B32" s="2" t="s">
        <v>7451</v>
      </c>
      <c r="C32" s="13" t="n">
        <v>45302.6666666667</v>
      </c>
      <c r="D32" s="2" t="s">
        <v>8930</v>
      </c>
      <c r="E32" s="2" t="n">
        <v>0.829</v>
      </c>
      <c r="F32" s="2" t="s">
        <v>8922</v>
      </c>
      <c r="G32" s="14" t="b">
        <f aca="false">FALSE()</f>
        <v>0</v>
      </c>
    </row>
    <row r="33" customFormat="false" ht="15" hidden="false" customHeight="false" outlineLevel="0" collapsed="false">
      <c r="A33" s="2" t="s">
        <v>8959</v>
      </c>
      <c r="B33" s="2" t="s">
        <v>6181</v>
      </c>
      <c r="C33" s="13" t="n">
        <v>45503.1666666667</v>
      </c>
      <c r="D33" s="2" t="s">
        <v>8926</v>
      </c>
      <c r="E33" s="2" t="n">
        <v>0.834</v>
      </c>
      <c r="F33" s="2" t="s">
        <v>8924</v>
      </c>
      <c r="G33" s="14" t="b">
        <f aca="false">FALSE()</f>
        <v>0</v>
      </c>
    </row>
    <row r="34" customFormat="false" ht="15" hidden="false" customHeight="false" outlineLevel="0" collapsed="false">
      <c r="A34" s="2" t="s">
        <v>8960</v>
      </c>
      <c r="B34" s="2" t="s">
        <v>4601</v>
      </c>
      <c r="C34" s="13" t="n">
        <v>45729.1666666667</v>
      </c>
      <c r="D34" s="2" t="s">
        <v>8926</v>
      </c>
      <c r="E34" s="2" t="n">
        <v>0.799</v>
      </c>
      <c r="F34" s="2" t="s">
        <v>8933</v>
      </c>
      <c r="G34" s="14" t="b">
        <f aca="false">FALSE()</f>
        <v>0</v>
      </c>
    </row>
    <row r="35" customFormat="false" ht="15" hidden="false" customHeight="false" outlineLevel="0" collapsed="false">
      <c r="A35" s="2" t="s">
        <v>8961</v>
      </c>
      <c r="B35" s="2" t="s">
        <v>2973</v>
      </c>
      <c r="C35" s="13" t="n">
        <v>45769.0416666667</v>
      </c>
      <c r="D35" s="2" t="s">
        <v>8921</v>
      </c>
      <c r="E35" s="2" t="n">
        <v>0.951</v>
      </c>
      <c r="F35" s="2" t="s">
        <v>8924</v>
      </c>
      <c r="G35" s="14" t="b">
        <f aca="false">FALSE()</f>
        <v>0</v>
      </c>
    </row>
    <row r="36" customFormat="false" ht="15" hidden="false" customHeight="false" outlineLevel="0" collapsed="false">
      <c r="A36" s="2" t="s">
        <v>8962</v>
      </c>
      <c r="B36" s="2" t="s">
        <v>7179</v>
      </c>
      <c r="C36" s="13" t="n">
        <v>45829.3333333333</v>
      </c>
      <c r="D36" s="2" t="s">
        <v>8930</v>
      </c>
      <c r="E36" s="2" t="n">
        <v>0.753</v>
      </c>
      <c r="F36" s="2" t="s">
        <v>8933</v>
      </c>
      <c r="G36" s="14" t="b">
        <f aca="false">FALSE()</f>
        <v>0</v>
      </c>
    </row>
    <row r="37" customFormat="false" ht="15" hidden="false" customHeight="false" outlineLevel="0" collapsed="false">
      <c r="A37" s="2" t="s">
        <v>8963</v>
      </c>
      <c r="B37" s="2" t="s">
        <v>5049</v>
      </c>
      <c r="C37" s="13" t="n">
        <v>45700</v>
      </c>
      <c r="D37" s="2" t="s">
        <v>8930</v>
      </c>
      <c r="E37" s="2" t="n">
        <v>0.835</v>
      </c>
      <c r="F37" s="2" t="s">
        <v>8922</v>
      </c>
      <c r="G37" s="14" t="b">
        <f aca="false">FALSE()</f>
        <v>0</v>
      </c>
    </row>
    <row r="38" customFormat="false" ht="15" hidden="false" customHeight="false" outlineLevel="0" collapsed="false">
      <c r="A38" s="2" t="s">
        <v>8964</v>
      </c>
      <c r="B38" s="2" t="s">
        <v>1089</v>
      </c>
      <c r="C38" s="13" t="n">
        <v>45718.1666666667</v>
      </c>
      <c r="D38" s="2" t="s">
        <v>8926</v>
      </c>
      <c r="E38" s="2" t="n">
        <v>0.805</v>
      </c>
      <c r="F38" s="2" t="s">
        <v>8924</v>
      </c>
      <c r="G38" s="14" t="b">
        <f aca="false">FALSE()</f>
        <v>0</v>
      </c>
    </row>
    <row r="39" customFormat="false" ht="15" hidden="false" customHeight="false" outlineLevel="0" collapsed="false">
      <c r="A39" s="2" t="s">
        <v>8965</v>
      </c>
      <c r="B39" s="2" t="s">
        <v>4561</v>
      </c>
      <c r="C39" s="13" t="n">
        <v>45806.7083333333</v>
      </c>
      <c r="D39" s="2" t="s">
        <v>8926</v>
      </c>
      <c r="E39" s="2" t="n">
        <v>0.758</v>
      </c>
      <c r="F39" s="2" t="s">
        <v>8927</v>
      </c>
      <c r="G39" s="14" t="b">
        <f aca="false">FALSE()</f>
        <v>0</v>
      </c>
    </row>
    <row r="40" customFormat="false" ht="15" hidden="false" customHeight="false" outlineLevel="0" collapsed="false">
      <c r="A40" s="2" t="s">
        <v>8966</v>
      </c>
      <c r="B40" s="2" t="s">
        <v>3867</v>
      </c>
      <c r="C40" s="13" t="n">
        <v>45599.5</v>
      </c>
      <c r="D40" s="2" t="s">
        <v>8921</v>
      </c>
      <c r="E40" s="2" t="n">
        <v>0.985</v>
      </c>
      <c r="F40" s="2" t="s">
        <v>8933</v>
      </c>
      <c r="G40" s="14" t="b">
        <f aca="false">TRUE()</f>
        <v>1</v>
      </c>
    </row>
    <row r="41" customFormat="false" ht="15" hidden="false" customHeight="false" outlineLevel="0" collapsed="false">
      <c r="A41" s="2" t="s">
        <v>8967</v>
      </c>
      <c r="B41" s="2" t="s">
        <v>4003</v>
      </c>
      <c r="C41" s="13" t="n">
        <v>45435.875</v>
      </c>
      <c r="D41" s="2" t="s">
        <v>8940</v>
      </c>
      <c r="E41" s="2" t="n">
        <v>0.807</v>
      </c>
      <c r="F41" s="2" t="s">
        <v>8927</v>
      </c>
      <c r="G41" s="14" t="b">
        <f aca="false">FALSE()</f>
        <v>0</v>
      </c>
    </row>
    <row r="42" customFormat="false" ht="15" hidden="false" customHeight="false" outlineLevel="0" collapsed="false">
      <c r="A42" s="2" t="s">
        <v>8968</v>
      </c>
      <c r="B42" s="2" t="s">
        <v>6967</v>
      </c>
      <c r="C42" s="13" t="n">
        <v>45543.875</v>
      </c>
      <c r="D42" s="2" t="s">
        <v>8940</v>
      </c>
      <c r="E42" s="2" t="n">
        <v>0.779</v>
      </c>
      <c r="F42" s="2" t="s">
        <v>8933</v>
      </c>
      <c r="G42" s="14" t="b">
        <f aca="false">FALSE()</f>
        <v>0</v>
      </c>
    </row>
    <row r="43" customFormat="false" ht="15" hidden="false" customHeight="false" outlineLevel="0" collapsed="false">
      <c r="A43" s="2" t="s">
        <v>8969</v>
      </c>
      <c r="B43" s="2" t="s">
        <v>2382</v>
      </c>
      <c r="C43" s="13" t="n">
        <v>45433.0416666667</v>
      </c>
      <c r="D43" s="2" t="s">
        <v>8921</v>
      </c>
      <c r="E43" s="2" t="n">
        <v>0.867</v>
      </c>
      <c r="F43" s="2" t="s">
        <v>8933</v>
      </c>
      <c r="G43" s="14" t="b">
        <f aca="false">FALSE()</f>
        <v>0</v>
      </c>
    </row>
    <row r="44" customFormat="false" ht="15" hidden="false" customHeight="false" outlineLevel="0" collapsed="false">
      <c r="A44" s="2" t="s">
        <v>8970</v>
      </c>
      <c r="B44" s="2" t="s">
        <v>1737</v>
      </c>
      <c r="C44" s="13" t="n">
        <v>45433.8333333333</v>
      </c>
      <c r="D44" s="2" t="s">
        <v>8930</v>
      </c>
      <c r="E44" s="2" t="n">
        <v>0.733</v>
      </c>
      <c r="F44" s="2" t="s">
        <v>8933</v>
      </c>
      <c r="G44" s="14" t="b">
        <f aca="false">FALSE()</f>
        <v>0</v>
      </c>
    </row>
    <row r="45" customFormat="false" ht="15" hidden="false" customHeight="false" outlineLevel="0" collapsed="false">
      <c r="A45" s="2" t="s">
        <v>8971</v>
      </c>
      <c r="B45" s="2" t="s">
        <v>6295</v>
      </c>
      <c r="C45" s="13" t="n">
        <v>45577.0416666667</v>
      </c>
      <c r="D45" s="2" t="s">
        <v>8930</v>
      </c>
      <c r="E45" s="2" t="n">
        <v>0.682</v>
      </c>
      <c r="F45" s="2" t="s">
        <v>8924</v>
      </c>
      <c r="G45" s="14" t="b">
        <f aca="false">FALSE()</f>
        <v>0</v>
      </c>
    </row>
    <row r="46" customFormat="false" ht="15" hidden="false" customHeight="false" outlineLevel="0" collapsed="false">
      <c r="A46" s="2" t="s">
        <v>8972</v>
      </c>
      <c r="B46" s="2" t="s">
        <v>8093</v>
      </c>
      <c r="C46" s="13" t="n">
        <v>45689.875</v>
      </c>
      <c r="D46" s="2" t="s">
        <v>8930</v>
      </c>
      <c r="E46" s="2" t="n">
        <v>0.928</v>
      </c>
      <c r="F46" s="2" t="s">
        <v>8927</v>
      </c>
      <c r="G46" s="14" t="b">
        <f aca="false">FALSE()</f>
        <v>0</v>
      </c>
    </row>
    <row r="47" customFormat="false" ht="15" hidden="false" customHeight="false" outlineLevel="0" collapsed="false">
      <c r="A47" s="2" t="s">
        <v>8973</v>
      </c>
      <c r="B47" s="2" t="s">
        <v>113</v>
      </c>
      <c r="C47" s="13" t="n">
        <v>45842.5833333333</v>
      </c>
      <c r="D47" s="2" t="s">
        <v>8926</v>
      </c>
      <c r="E47" s="2" t="n">
        <v>0.791</v>
      </c>
      <c r="F47" s="2" t="s">
        <v>8922</v>
      </c>
      <c r="G47" s="14" t="b">
        <f aca="false">FALSE()</f>
        <v>0</v>
      </c>
    </row>
    <row r="48" customFormat="false" ht="15" hidden="false" customHeight="false" outlineLevel="0" collapsed="false">
      <c r="A48" s="2" t="s">
        <v>8974</v>
      </c>
      <c r="B48" s="2" t="s">
        <v>7215</v>
      </c>
      <c r="C48" s="13" t="n">
        <v>45347.0416666667</v>
      </c>
      <c r="D48" s="2" t="s">
        <v>8921</v>
      </c>
      <c r="E48" s="2" t="n">
        <v>0.745</v>
      </c>
      <c r="F48" s="2" t="s">
        <v>8927</v>
      </c>
      <c r="G48" s="14" t="b">
        <f aca="false">FALSE()</f>
        <v>0</v>
      </c>
    </row>
    <row r="49" customFormat="false" ht="15" hidden="false" customHeight="false" outlineLevel="0" collapsed="false">
      <c r="A49" s="2" t="s">
        <v>8975</v>
      </c>
      <c r="B49" s="2" t="s">
        <v>8179</v>
      </c>
      <c r="C49" s="13" t="n">
        <v>45733</v>
      </c>
      <c r="D49" s="2" t="s">
        <v>8926</v>
      </c>
      <c r="E49" s="2" t="n">
        <v>0.662</v>
      </c>
      <c r="F49" s="2" t="s">
        <v>8927</v>
      </c>
      <c r="G49" s="14" t="b">
        <f aca="false">FALSE()</f>
        <v>0</v>
      </c>
    </row>
    <row r="50" customFormat="false" ht="15" hidden="false" customHeight="false" outlineLevel="0" collapsed="false">
      <c r="A50" s="2" t="s">
        <v>8976</v>
      </c>
      <c r="B50" s="2" t="s">
        <v>5889</v>
      </c>
      <c r="C50" s="13" t="n">
        <v>45813.9583333333</v>
      </c>
      <c r="D50" s="2" t="s">
        <v>8930</v>
      </c>
      <c r="E50" s="2" t="n">
        <v>0.712</v>
      </c>
      <c r="F50" s="2" t="s">
        <v>8927</v>
      </c>
      <c r="G50" s="14" t="b">
        <f aca="false">FALSE()</f>
        <v>0</v>
      </c>
    </row>
    <row r="51" customFormat="false" ht="15" hidden="false" customHeight="false" outlineLevel="0" collapsed="false">
      <c r="A51" s="2" t="s">
        <v>8977</v>
      </c>
      <c r="B51" s="2" t="s">
        <v>5919</v>
      </c>
      <c r="C51" s="13" t="n">
        <v>45554.7083333333</v>
      </c>
      <c r="D51" s="2" t="s">
        <v>8930</v>
      </c>
      <c r="E51" s="2" t="n">
        <v>0.663</v>
      </c>
      <c r="F51" s="2" t="s">
        <v>8922</v>
      </c>
      <c r="G51" s="14" t="b">
        <f aca="false">FALSE()</f>
        <v>0</v>
      </c>
    </row>
    <row r="52" customFormat="false" ht="15" hidden="false" customHeight="false" outlineLevel="0" collapsed="false">
      <c r="A52" s="2" t="s">
        <v>8978</v>
      </c>
      <c r="B52" s="2" t="s">
        <v>7401</v>
      </c>
      <c r="C52" s="13" t="n">
        <v>45516.0833333333</v>
      </c>
      <c r="D52" s="2" t="s">
        <v>8940</v>
      </c>
      <c r="E52" s="2" t="n">
        <v>0.706</v>
      </c>
      <c r="F52" s="2" t="s">
        <v>8927</v>
      </c>
      <c r="G52" s="14" t="b">
        <f aca="false">FALSE()</f>
        <v>0</v>
      </c>
    </row>
    <row r="53" customFormat="false" ht="15" hidden="false" customHeight="false" outlineLevel="0" collapsed="false">
      <c r="A53" s="2" t="s">
        <v>8979</v>
      </c>
      <c r="B53" s="2" t="s">
        <v>3481</v>
      </c>
      <c r="C53" s="13" t="n">
        <v>45849.875</v>
      </c>
      <c r="D53" s="2" t="s">
        <v>8930</v>
      </c>
      <c r="E53" s="2" t="n">
        <v>0.655</v>
      </c>
      <c r="F53" s="2" t="s">
        <v>8924</v>
      </c>
      <c r="G53" s="14" t="b">
        <f aca="false">FALSE()</f>
        <v>0</v>
      </c>
    </row>
    <row r="54" customFormat="false" ht="15" hidden="false" customHeight="false" outlineLevel="0" collapsed="false">
      <c r="A54" s="2" t="s">
        <v>8980</v>
      </c>
      <c r="B54" s="2" t="s">
        <v>8095</v>
      </c>
      <c r="C54" s="13" t="n">
        <v>45737.625</v>
      </c>
      <c r="D54" s="2" t="s">
        <v>8921</v>
      </c>
      <c r="E54" s="2" t="n">
        <v>0.695</v>
      </c>
      <c r="F54" s="2" t="s">
        <v>8933</v>
      </c>
      <c r="G54" s="14" t="b">
        <f aca="false">FALSE()</f>
        <v>0</v>
      </c>
    </row>
    <row r="55" customFormat="false" ht="15" hidden="false" customHeight="false" outlineLevel="0" collapsed="false">
      <c r="A55" s="2" t="s">
        <v>8981</v>
      </c>
      <c r="B55" s="2" t="s">
        <v>6629</v>
      </c>
      <c r="C55" s="13" t="n">
        <v>45643.7083333333</v>
      </c>
      <c r="D55" s="2" t="s">
        <v>8921</v>
      </c>
      <c r="E55" s="2" t="n">
        <v>0.891</v>
      </c>
      <c r="F55" s="2" t="s">
        <v>8933</v>
      </c>
      <c r="G55" s="14" t="b">
        <f aca="false">FALSE()</f>
        <v>0</v>
      </c>
    </row>
    <row r="56" customFormat="false" ht="15" hidden="false" customHeight="false" outlineLevel="0" collapsed="false">
      <c r="A56" s="2" t="s">
        <v>8982</v>
      </c>
      <c r="B56" s="2" t="s">
        <v>3973</v>
      </c>
      <c r="C56" s="13" t="n">
        <v>45641.7916666667</v>
      </c>
      <c r="D56" s="2" t="s">
        <v>8926</v>
      </c>
      <c r="E56" s="2" t="n">
        <v>0.842</v>
      </c>
      <c r="F56" s="2" t="s">
        <v>8927</v>
      </c>
      <c r="G56" s="14" t="b">
        <f aca="false">FALSE()</f>
        <v>0</v>
      </c>
    </row>
    <row r="57" customFormat="false" ht="15" hidden="false" customHeight="false" outlineLevel="0" collapsed="false">
      <c r="A57" s="2" t="s">
        <v>8983</v>
      </c>
      <c r="B57" s="2" t="s">
        <v>3185</v>
      </c>
      <c r="C57" s="13" t="n">
        <v>45387.1666666667</v>
      </c>
      <c r="D57" s="2" t="s">
        <v>8940</v>
      </c>
      <c r="E57" s="2" t="n">
        <v>0.654</v>
      </c>
      <c r="F57" s="2" t="s">
        <v>8927</v>
      </c>
      <c r="G57" s="14" t="b">
        <f aca="false">FALSE()</f>
        <v>0</v>
      </c>
    </row>
    <row r="58" customFormat="false" ht="15" hidden="false" customHeight="false" outlineLevel="0" collapsed="false">
      <c r="A58" s="2" t="s">
        <v>8984</v>
      </c>
      <c r="B58" s="2" t="s">
        <v>4921</v>
      </c>
      <c r="C58" s="13" t="n">
        <v>45805.6666666667</v>
      </c>
      <c r="D58" s="2" t="s">
        <v>8921</v>
      </c>
      <c r="E58" s="2" t="n">
        <v>0.739</v>
      </c>
      <c r="F58" s="2" t="s">
        <v>8927</v>
      </c>
      <c r="G58" s="14" t="b">
        <f aca="false">FALSE()</f>
        <v>0</v>
      </c>
    </row>
    <row r="59" customFormat="false" ht="15" hidden="false" customHeight="false" outlineLevel="0" collapsed="false">
      <c r="A59" s="2" t="s">
        <v>8985</v>
      </c>
      <c r="B59" s="2" t="s">
        <v>504</v>
      </c>
      <c r="C59" s="13" t="n">
        <v>45780.7083333333</v>
      </c>
      <c r="D59" s="2" t="s">
        <v>8940</v>
      </c>
      <c r="E59" s="2" t="n">
        <v>0.869</v>
      </c>
      <c r="F59" s="2" t="s">
        <v>8924</v>
      </c>
      <c r="G59" s="14" t="b">
        <f aca="false">FALSE()</f>
        <v>0</v>
      </c>
    </row>
    <row r="60" customFormat="false" ht="15" hidden="false" customHeight="false" outlineLevel="0" collapsed="false">
      <c r="A60" s="2" t="s">
        <v>8986</v>
      </c>
      <c r="B60" s="2" t="s">
        <v>4543</v>
      </c>
      <c r="C60" s="13" t="n">
        <v>45770</v>
      </c>
      <c r="D60" s="2" t="s">
        <v>8926</v>
      </c>
      <c r="E60" s="2" t="n">
        <v>0.643</v>
      </c>
      <c r="F60" s="2" t="s">
        <v>8922</v>
      </c>
      <c r="G60" s="14" t="b">
        <f aca="false">FALSE()</f>
        <v>0</v>
      </c>
    </row>
    <row r="61" customFormat="false" ht="15" hidden="false" customHeight="false" outlineLevel="0" collapsed="false">
      <c r="A61" s="2" t="s">
        <v>8987</v>
      </c>
      <c r="B61" s="2" t="s">
        <v>5819</v>
      </c>
      <c r="C61" s="13" t="n">
        <v>45802.7916666667</v>
      </c>
      <c r="D61" s="2" t="s">
        <v>8921</v>
      </c>
      <c r="E61" s="2" t="n">
        <v>0.952</v>
      </c>
      <c r="F61" s="2" t="s">
        <v>8924</v>
      </c>
      <c r="G61" s="14" t="b">
        <f aca="false">TRUE()</f>
        <v>1</v>
      </c>
    </row>
    <row r="62" customFormat="false" ht="15" hidden="false" customHeight="false" outlineLevel="0" collapsed="false">
      <c r="A62" s="2" t="s">
        <v>8988</v>
      </c>
      <c r="B62" s="2" t="s">
        <v>4687</v>
      </c>
      <c r="C62" s="13" t="n">
        <v>45599.9583333333</v>
      </c>
      <c r="D62" s="2" t="s">
        <v>8926</v>
      </c>
      <c r="E62" s="2" t="n">
        <v>0.878</v>
      </c>
      <c r="F62" s="2" t="s">
        <v>8924</v>
      </c>
      <c r="G62" s="14" t="b">
        <f aca="false">FALSE()</f>
        <v>0</v>
      </c>
    </row>
    <row r="63" customFormat="false" ht="15" hidden="false" customHeight="false" outlineLevel="0" collapsed="false">
      <c r="A63" s="2" t="s">
        <v>8989</v>
      </c>
      <c r="B63" s="2" t="s">
        <v>5627</v>
      </c>
      <c r="C63" s="13" t="n">
        <v>45363.125</v>
      </c>
      <c r="D63" s="2" t="s">
        <v>8921</v>
      </c>
      <c r="E63" s="2" t="n">
        <v>0.855</v>
      </c>
      <c r="F63" s="2" t="s">
        <v>8933</v>
      </c>
      <c r="G63" s="14" t="b">
        <f aca="false">FALSE()</f>
        <v>0</v>
      </c>
    </row>
    <row r="64" customFormat="false" ht="15" hidden="false" customHeight="false" outlineLevel="0" collapsed="false">
      <c r="A64" s="2" t="s">
        <v>8990</v>
      </c>
      <c r="B64" s="2" t="s">
        <v>7909</v>
      </c>
      <c r="C64" s="13" t="n">
        <v>45717.6666666667</v>
      </c>
      <c r="D64" s="2" t="s">
        <v>8926</v>
      </c>
      <c r="E64" s="2" t="n">
        <v>0.746</v>
      </c>
      <c r="F64" s="2" t="s">
        <v>8927</v>
      </c>
      <c r="G64" s="14" t="b">
        <f aca="false">FALSE()</f>
        <v>0</v>
      </c>
    </row>
    <row r="65" customFormat="false" ht="15" hidden="false" customHeight="false" outlineLevel="0" collapsed="false">
      <c r="A65" s="2" t="s">
        <v>8991</v>
      </c>
      <c r="B65" s="2" t="s">
        <v>869</v>
      </c>
      <c r="C65" s="13" t="n">
        <v>45425.375</v>
      </c>
      <c r="D65" s="2" t="s">
        <v>8921</v>
      </c>
      <c r="E65" s="2" t="n">
        <v>0.646</v>
      </c>
      <c r="F65" s="2" t="s">
        <v>8922</v>
      </c>
      <c r="G65" s="14" t="b">
        <f aca="false">FALSE()</f>
        <v>0</v>
      </c>
    </row>
    <row r="66" customFormat="false" ht="15" hidden="false" customHeight="false" outlineLevel="0" collapsed="false">
      <c r="A66" s="2" t="s">
        <v>8992</v>
      </c>
      <c r="B66" s="2" t="s">
        <v>4403</v>
      </c>
      <c r="C66" s="13" t="n">
        <v>45907.9583333333</v>
      </c>
      <c r="D66" s="2" t="s">
        <v>8926</v>
      </c>
      <c r="E66" s="2" t="n">
        <v>0.914</v>
      </c>
      <c r="F66" s="2" t="s">
        <v>8927</v>
      </c>
      <c r="G66" s="14" t="b">
        <f aca="false">FALSE()</f>
        <v>0</v>
      </c>
    </row>
    <row r="67" customFormat="false" ht="15" hidden="false" customHeight="false" outlineLevel="0" collapsed="false">
      <c r="A67" s="2" t="s">
        <v>8993</v>
      </c>
      <c r="B67" s="2" t="s">
        <v>3997</v>
      </c>
      <c r="C67" s="13" t="n">
        <v>45729.6666666667</v>
      </c>
      <c r="D67" s="2" t="s">
        <v>8930</v>
      </c>
      <c r="E67" s="2" t="n">
        <v>0.823</v>
      </c>
      <c r="F67" s="2" t="s">
        <v>8924</v>
      </c>
      <c r="G67" s="14" t="b">
        <f aca="false">FALSE()</f>
        <v>0</v>
      </c>
    </row>
    <row r="68" customFormat="false" ht="15" hidden="false" customHeight="false" outlineLevel="0" collapsed="false">
      <c r="A68" s="2" t="s">
        <v>8994</v>
      </c>
      <c r="B68" s="2" t="s">
        <v>8041</v>
      </c>
      <c r="C68" s="13" t="n">
        <v>45393</v>
      </c>
      <c r="D68" s="2" t="s">
        <v>8940</v>
      </c>
      <c r="E68" s="2" t="n">
        <v>0.8</v>
      </c>
      <c r="F68" s="2" t="s">
        <v>8927</v>
      </c>
      <c r="G68" s="14" t="b">
        <f aca="false">FALSE()</f>
        <v>0</v>
      </c>
    </row>
    <row r="69" customFormat="false" ht="15" hidden="false" customHeight="false" outlineLevel="0" collapsed="false">
      <c r="A69" s="2" t="s">
        <v>8995</v>
      </c>
      <c r="B69" s="2" t="s">
        <v>6687</v>
      </c>
      <c r="C69" s="13" t="n">
        <v>45987.4583333333</v>
      </c>
      <c r="D69" s="2" t="s">
        <v>8926</v>
      </c>
      <c r="E69" s="2" t="n">
        <v>0.934</v>
      </c>
      <c r="F69" s="2" t="s">
        <v>8927</v>
      </c>
      <c r="G69" s="14" t="b">
        <f aca="false">FALSE()</f>
        <v>0</v>
      </c>
    </row>
    <row r="70" customFormat="false" ht="15" hidden="false" customHeight="false" outlineLevel="0" collapsed="false">
      <c r="A70" s="2" t="s">
        <v>8996</v>
      </c>
      <c r="B70" s="2" t="s">
        <v>7921</v>
      </c>
      <c r="C70" s="13" t="n">
        <v>45776.4583333333</v>
      </c>
      <c r="D70" s="2" t="s">
        <v>8940</v>
      </c>
      <c r="E70" s="2" t="n">
        <v>0.866</v>
      </c>
      <c r="F70" s="2" t="s">
        <v>8927</v>
      </c>
      <c r="G70" s="14" t="b">
        <f aca="false">FALSE()</f>
        <v>0</v>
      </c>
    </row>
    <row r="71" customFormat="false" ht="15" hidden="false" customHeight="false" outlineLevel="0" collapsed="false">
      <c r="A71" s="2" t="s">
        <v>8997</v>
      </c>
      <c r="B71" s="2" t="s">
        <v>1361</v>
      </c>
      <c r="C71" s="13" t="n">
        <v>45912.1666666667</v>
      </c>
      <c r="D71" s="2" t="s">
        <v>8926</v>
      </c>
      <c r="E71" s="2" t="n">
        <v>0.791</v>
      </c>
      <c r="F71" s="2" t="s">
        <v>8924</v>
      </c>
      <c r="G71" s="14" t="b">
        <f aca="false">FALSE()</f>
        <v>0</v>
      </c>
    </row>
    <row r="72" customFormat="false" ht="15" hidden="false" customHeight="false" outlineLevel="0" collapsed="false">
      <c r="A72" s="2" t="s">
        <v>8998</v>
      </c>
      <c r="B72" s="2" t="s">
        <v>214</v>
      </c>
      <c r="C72" s="13" t="n">
        <v>45469.2916666667</v>
      </c>
      <c r="D72" s="2" t="s">
        <v>8926</v>
      </c>
      <c r="E72" s="2" t="n">
        <v>0.672</v>
      </c>
      <c r="F72" s="2" t="s">
        <v>8927</v>
      </c>
      <c r="G72" s="14" t="b">
        <f aca="false">FALSE()</f>
        <v>0</v>
      </c>
    </row>
    <row r="73" customFormat="false" ht="15" hidden="false" customHeight="false" outlineLevel="0" collapsed="false">
      <c r="A73" s="2" t="s">
        <v>8999</v>
      </c>
      <c r="B73" s="2" t="s">
        <v>6351</v>
      </c>
      <c r="C73" s="13" t="n">
        <v>45852</v>
      </c>
      <c r="D73" s="2" t="s">
        <v>8926</v>
      </c>
      <c r="E73" s="2" t="n">
        <v>0.962</v>
      </c>
      <c r="F73" s="2" t="s">
        <v>8927</v>
      </c>
      <c r="G73" s="14" t="b">
        <f aca="false">FALSE()</f>
        <v>0</v>
      </c>
    </row>
    <row r="74" customFormat="false" ht="15" hidden="false" customHeight="false" outlineLevel="0" collapsed="false">
      <c r="A74" s="2" t="s">
        <v>9000</v>
      </c>
      <c r="B74" s="2" t="s">
        <v>8085</v>
      </c>
      <c r="C74" s="13" t="n">
        <v>45944.375</v>
      </c>
      <c r="D74" s="2" t="s">
        <v>8926</v>
      </c>
      <c r="E74" s="2" t="n">
        <v>0.762</v>
      </c>
      <c r="F74" s="2" t="s">
        <v>8933</v>
      </c>
      <c r="G74" s="14" t="b">
        <f aca="false">FALSE()</f>
        <v>0</v>
      </c>
    </row>
    <row r="75" customFormat="false" ht="15" hidden="false" customHeight="false" outlineLevel="0" collapsed="false">
      <c r="A75" s="2" t="s">
        <v>9001</v>
      </c>
      <c r="B75" s="2" t="s">
        <v>7305</v>
      </c>
      <c r="C75" s="13" t="n">
        <v>45612.75</v>
      </c>
      <c r="D75" s="2" t="s">
        <v>8940</v>
      </c>
      <c r="E75" s="2" t="n">
        <v>0.748</v>
      </c>
      <c r="F75" s="2" t="s">
        <v>8933</v>
      </c>
      <c r="G75" s="14" t="b">
        <f aca="false">FALSE()</f>
        <v>0</v>
      </c>
    </row>
    <row r="76" customFormat="false" ht="15" hidden="false" customHeight="false" outlineLevel="0" collapsed="false">
      <c r="A76" s="2" t="s">
        <v>9002</v>
      </c>
      <c r="B76" s="2" t="s">
        <v>5305</v>
      </c>
      <c r="C76" s="13" t="n">
        <v>45970.8333333333</v>
      </c>
      <c r="D76" s="2" t="s">
        <v>8930</v>
      </c>
      <c r="E76" s="2" t="n">
        <v>0.82</v>
      </c>
      <c r="F76" s="2" t="s">
        <v>8927</v>
      </c>
      <c r="G76" s="14" t="b">
        <f aca="false">FALSE()</f>
        <v>0</v>
      </c>
    </row>
    <row r="77" customFormat="false" ht="15" hidden="false" customHeight="false" outlineLevel="0" collapsed="false">
      <c r="A77" s="2" t="s">
        <v>9003</v>
      </c>
      <c r="B77" s="2" t="s">
        <v>8061</v>
      </c>
      <c r="C77" s="13" t="n">
        <v>45537.4583333333</v>
      </c>
      <c r="D77" s="2" t="s">
        <v>8926</v>
      </c>
      <c r="E77" s="2" t="n">
        <v>0.891</v>
      </c>
      <c r="F77" s="2" t="s">
        <v>8927</v>
      </c>
      <c r="G77" s="14" t="b">
        <f aca="false">FALSE()</f>
        <v>0</v>
      </c>
    </row>
    <row r="78" customFormat="false" ht="15" hidden="false" customHeight="false" outlineLevel="0" collapsed="false">
      <c r="A78" s="2" t="s">
        <v>9004</v>
      </c>
      <c r="B78" s="2" t="s">
        <v>4583</v>
      </c>
      <c r="C78" s="13" t="n">
        <v>45319.2083333333</v>
      </c>
      <c r="D78" s="2" t="s">
        <v>8940</v>
      </c>
      <c r="E78" s="2" t="n">
        <v>0.674</v>
      </c>
      <c r="F78" s="2" t="s">
        <v>8933</v>
      </c>
      <c r="G78" s="14" t="b">
        <f aca="false">FALSE()</f>
        <v>0</v>
      </c>
    </row>
    <row r="79" customFormat="false" ht="15" hidden="false" customHeight="false" outlineLevel="0" collapsed="false">
      <c r="A79" s="2" t="s">
        <v>9005</v>
      </c>
      <c r="B79" s="2" t="s">
        <v>6285</v>
      </c>
      <c r="C79" s="13" t="n">
        <v>45774</v>
      </c>
      <c r="D79" s="2" t="s">
        <v>8940</v>
      </c>
      <c r="E79" s="2" t="n">
        <v>0.936</v>
      </c>
      <c r="F79" s="2" t="s">
        <v>8933</v>
      </c>
      <c r="G79" s="14" t="b">
        <f aca="false">TRUE()</f>
        <v>1</v>
      </c>
    </row>
    <row r="80" customFormat="false" ht="15" hidden="false" customHeight="false" outlineLevel="0" collapsed="false">
      <c r="A80" s="2" t="s">
        <v>9006</v>
      </c>
      <c r="B80" s="2" t="s">
        <v>2848</v>
      </c>
      <c r="C80" s="13" t="n">
        <v>45422.0416666667</v>
      </c>
      <c r="D80" s="2" t="s">
        <v>8930</v>
      </c>
      <c r="E80" s="2" t="n">
        <v>0.94</v>
      </c>
      <c r="F80" s="2" t="s">
        <v>8927</v>
      </c>
      <c r="G80" s="14" t="b">
        <f aca="false">TRUE()</f>
        <v>1</v>
      </c>
    </row>
    <row r="81" customFormat="false" ht="15" hidden="false" customHeight="false" outlineLevel="0" collapsed="false">
      <c r="A81" s="2" t="s">
        <v>9007</v>
      </c>
      <c r="B81" s="2" t="s">
        <v>6577</v>
      </c>
      <c r="C81" s="13" t="n">
        <v>45892.2916666667</v>
      </c>
      <c r="D81" s="2" t="s">
        <v>8930</v>
      </c>
      <c r="E81" s="2" t="n">
        <v>0.665</v>
      </c>
      <c r="F81" s="2" t="s">
        <v>8922</v>
      </c>
      <c r="G81" s="14" t="b">
        <f aca="false">FALSE()</f>
        <v>0</v>
      </c>
    </row>
    <row r="82" customFormat="false" ht="15" hidden="false" customHeight="false" outlineLevel="0" collapsed="false">
      <c r="A82" s="2" t="s">
        <v>9008</v>
      </c>
      <c r="B82" s="2" t="s">
        <v>1003</v>
      </c>
      <c r="C82" s="13" t="n">
        <v>45833.75</v>
      </c>
      <c r="D82" s="2" t="s">
        <v>8940</v>
      </c>
      <c r="E82" s="2" t="n">
        <v>0.984</v>
      </c>
      <c r="F82" s="2" t="s">
        <v>8924</v>
      </c>
      <c r="G82" s="14" t="b">
        <f aca="false">FALSE()</f>
        <v>0</v>
      </c>
    </row>
    <row r="83" customFormat="false" ht="15" hidden="false" customHeight="false" outlineLevel="0" collapsed="false">
      <c r="A83" s="2" t="s">
        <v>9009</v>
      </c>
      <c r="B83" s="2" t="s">
        <v>5713</v>
      </c>
      <c r="C83" s="13" t="n">
        <v>45411</v>
      </c>
      <c r="D83" s="2" t="s">
        <v>8940</v>
      </c>
      <c r="E83" s="2" t="n">
        <v>0.628</v>
      </c>
      <c r="F83" s="2" t="s">
        <v>8924</v>
      </c>
      <c r="G83" s="14" t="b">
        <f aca="false">FALSE()</f>
        <v>0</v>
      </c>
    </row>
    <row r="84" customFormat="false" ht="15" hidden="false" customHeight="false" outlineLevel="0" collapsed="false">
      <c r="A84" s="2" t="s">
        <v>9010</v>
      </c>
      <c r="B84" s="2" t="s">
        <v>6531</v>
      </c>
      <c r="C84" s="13" t="n">
        <v>45477.3333333333</v>
      </c>
      <c r="D84" s="2" t="s">
        <v>8926</v>
      </c>
      <c r="E84" s="2" t="n">
        <v>0.783</v>
      </c>
      <c r="F84" s="2" t="s">
        <v>8924</v>
      </c>
      <c r="G84" s="14" t="b">
        <f aca="false">FALSE()</f>
        <v>0</v>
      </c>
    </row>
    <row r="85" customFormat="false" ht="15" hidden="false" customHeight="false" outlineLevel="0" collapsed="false">
      <c r="A85" s="2" t="s">
        <v>9011</v>
      </c>
      <c r="B85" s="2" t="s">
        <v>7211</v>
      </c>
      <c r="C85" s="13" t="n">
        <v>45394.125</v>
      </c>
      <c r="D85" s="2" t="s">
        <v>8926</v>
      </c>
      <c r="E85" s="2" t="n">
        <v>0.95</v>
      </c>
      <c r="F85" s="2" t="s">
        <v>8927</v>
      </c>
      <c r="G85" s="14" t="b">
        <f aca="false">FALSE()</f>
        <v>0</v>
      </c>
    </row>
    <row r="86" customFormat="false" ht="15" hidden="false" customHeight="false" outlineLevel="0" collapsed="false">
      <c r="A86" s="2" t="s">
        <v>9012</v>
      </c>
      <c r="B86" s="2" t="s">
        <v>5443</v>
      </c>
      <c r="C86" s="13" t="n">
        <v>45623.0416666667</v>
      </c>
      <c r="D86" s="2" t="s">
        <v>8926</v>
      </c>
      <c r="E86" s="2" t="n">
        <v>0.908</v>
      </c>
      <c r="F86" s="2" t="s">
        <v>8924</v>
      </c>
      <c r="G86" s="14" t="b">
        <f aca="false">FALSE()</f>
        <v>0</v>
      </c>
    </row>
    <row r="87" customFormat="false" ht="15" hidden="false" customHeight="false" outlineLevel="0" collapsed="false">
      <c r="A87" s="2" t="s">
        <v>9013</v>
      </c>
      <c r="B87" s="2" t="s">
        <v>5543</v>
      </c>
      <c r="C87" s="13" t="n">
        <v>45331.2083333333</v>
      </c>
      <c r="D87" s="2" t="s">
        <v>8926</v>
      </c>
      <c r="E87" s="2" t="n">
        <v>0.78</v>
      </c>
      <c r="F87" s="2" t="s">
        <v>8927</v>
      </c>
      <c r="G87" s="14" t="b">
        <f aca="false">FALSE()</f>
        <v>0</v>
      </c>
    </row>
    <row r="88" customFormat="false" ht="15" hidden="false" customHeight="false" outlineLevel="0" collapsed="false">
      <c r="A88" s="2" t="s">
        <v>9014</v>
      </c>
      <c r="B88" s="2" t="s">
        <v>484</v>
      </c>
      <c r="C88" s="13" t="n">
        <v>45536.4583333333</v>
      </c>
      <c r="D88" s="2" t="s">
        <v>8940</v>
      </c>
      <c r="E88" s="2" t="n">
        <v>0.647</v>
      </c>
      <c r="F88" s="2" t="s">
        <v>8927</v>
      </c>
      <c r="G88" s="14" t="b">
        <f aca="false">FALSE()</f>
        <v>0</v>
      </c>
    </row>
    <row r="89" customFormat="false" ht="15" hidden="false" customHeight="false" outlineLevel="0" collapsed="false">
      <c r="A89" s="2" t="s">
        <v>9015</v>
      </c>
      <c r="B89" s="2" t="s">
        <v>4653</v>
      </c>
      <c r="C89" s="13" t="n">
        <v>45307.5</v>
      </c>
      <c r="D89" s="2" t="s">
        <v>8921</v>
      </c>
      <c r="E89" s="2" t="n">
        <v>0.869</v>
      </c>
      <c r="F89" s="2" t="s">
        <v>8927</v>
      </c>
      <c r="G89" s="14" t="b">
        <f aca="false">FALSE()</f>
        <v>0</v>
      </c>
    </row>
    <row r="90" customFormat="false" ht="15" hidden="false" customHeight="false" outlineLevel="0" collapsed="false">
      <c r="A90" s="2" t="s">
        <v>9016</v>
      </c>
      <c r="B90" s="2" t="s">
        <v>1191</v>
      </c>
      <c r="C90" s="13" t="n">
        <v>45999.9166666667</v>
      </c>
      <c r="D90" s="2" t="s">
        <v>8930</v>
      </c>
      <c r="E90" s="2" t="n">
        <v>0.889</v>
      </c>
      <c r="F90" s="2" t="s">
        <v>8927</v>
      </c>
      <c r="G90" s="14" t="b">
        <f aca="false">FALSE()</f>
        <v>0</v>
      </c>
    </row>
    <row r="91" customFormat="false" ht="15" hidden="false" customHeight="false" outlineLevel="0" collapsed="false">
      <c r="A91" s="2" t="s">
        <v>9017</v>
      </c>
      <c r="B91" s="2" t="s">
        <v>3945</v>
      </c>
      <c r="C91" s="13" t="n">
        <v>45382.875</v>
      </c>
      <c r="D91" s="2" t="s">
        <v>8926</v>
      </c>
      <c r="E91" s="2" t="n">
        <v>0.929</v>
      </c>
      <c r="F91" s="2" t="s">
        <v>8924</v>
      </c>
      <c r="G91" s="14" t="b">
        <f aca="false">FALSE()</f>
        <v>0</v>
      </c>
    </row>
    <row r="92" customFormat="false" ht="15" hidden="false" customHeight="false" outlineLevel="0" collapsed="false">
      <c r="A92" s="2" t="s">
        <v>9018</v>
      </c>
      <c r="B92" s="2" t="s">
        <v>4365</v>
      </c>
      <c r="C92" s="13" t="n">
        <v>45733.375</v>
      </c>
      <c r="D92" s="2" t="s">
        <v>8926</v>
      </c>
      <c r="E92" s="2" t="n">
        <v>0.848</v>
      </c>
      <c r="F92" s="2" t="s">
        <v>8922</v>
      </c>
      <c r="G92" s="14" t="b">
        <f aca="false">FALSE()</f>
        <v>0</v>
      </c>
    </row>
    <row r="93" customFormat="false" ht="15" hidden="false" customHeight="false" outlineLevel="0" collapsed="false">
      <c r="A93" s="2" t="s">
        <v>9019</v>
      </c>
      <c r="B93" s="2" t="s">
        <v>5223</v>
      </c>
      <c r="C93" s="13" t="n">
        <v>45942.875</v>
      </c>
      <c r="D93" s="2" t="s">
        <v>8930</v>
      </c>
      <c r="E93" s="2" t="n">
        <v>0.748</v>
      </c>
      <c r="F93" s="2" t="s">
        <v>8922</v>
      </c>
      <c r="G93" s="14" t="b">
        <f aca="false">FALSE()</f>
        <v>0</v>
      </c>
    </row>
    <row r="94" customFormat="false" ht="15" hidden="false" customHeight="false" outlineLevel="0" collapsed="false">
      <c r="A94" s="2" t="s">
        <v>9020</v>
      </c>
      <c r="B94" s="2" t="s">
        <v>2079</v>
      </c>
      <c r="C94" s="13" t="n">
        <v>45576.2083333333</v>
      </c>
      <c r="D94" s="2" t="s">
        <v>8930</v>
      </c>
      <c r="E94" s="2" t="n">
        <v>0.839</v>
      </c>
      <c r="F94" s="2" t="s">
        <v>8933</v>
      </c>
      <c r="G94" s="14" t="b">
        <f aca="false">FALSE()</f>
        <v>0</v>
      </c>
    </row>
    <row r="95" customFormat="false" ht="15" hidden="false" customHeight="false" outlineLevel="0" collapsed="false">
      <c r="A95" s="2" t="s">
        <v>9021</v>
      </c>
      <c r="B95" s="2" t="s">
        <v>354</v>
      </c>
      <c r="C95" s="13" t="n">
        <v>46006.125</v>
      </c>
      <c r="D95" s="2" t="s">
        <v>8921</v>
      </c>
      <c r="E95" s="2" t="n">
        <v>0.607</v>
      </c>
      <c r="F95" s="2" t="s">
        <v>8922</v>
      </c>
      <c r="G95" s="14" t="b">
        <f aca="false">FALSE()</f>
        <v>0</v>
      </c>
    </row>
    <row r="96" customFormat="false" ht="15" hidden="false" customHeight="false" outlineLevel="0" collapsed="false">
      <c r="A96" s="2" t="s">
        <v>9022</v>
      </c>
      <c r="B96" s="2" t="s">
        <v>5719</v>
      </c>
      <c r="C96" s="13" t="n">
        <v>45814.3333333333</v>
      </c>
      <c r="D96" s="2" t="s">
        <v>8926</v>
      </c>
      <c r="E96" s="2" t="n">
        <v>0.703</v>
      </c>
      <c r="F96" s="2" t="s">
        <v>8933</v>
      </c>
      <c r="G96" s="14" t="b">
        <f aca="false">FALSE()</f>
        <v>0</v>
      </c>
    </row>
    <row r="97" customFormat="false" ht="15" hidden="false" customHeight="false" outlineLevel="0" collapsed="false">
      <c r="A97" s="2" t="s">
        <v>9023</v>
      </c>
      <c r="B97" s="2" t="s">
        <v>5977</v>
      </c>
      <c r="C97" s="13" t="n">
        <v>45538.6666666667</v>
      </c>
      <c r="D97" s="2" t="s">
        <v>8921</v>
      </c>
      <c r="E97" s="2" t="n">
        <v>0.607</v>
      </c>
      <c r="F97" s="2" t="s">
        <v>8927</v>
      </c>
      <c r="G97" s="14" t="b">
        <f aca="false">FALSE()</f>
        <v>0</v>
      </c>
    </row>
    <row r="98" customFormat="false" ht="15" hidden="false" customHeight="false" outlineLevel="0" collapsed="false">
      <c r="A98" s="2" t="s">
        <v>9024</v>
      </c>
      <c r="B98" s="2" t="s">
        <v>2436</v>
      </c>
      <c r="C98" s="13" t="n">
        <v>45624.9583333333</v>
      </c>
      <c r="D98" s="2" t="s">
        <v>8921</v>
      </c>
      <c r="E98" s="2" t="n">
        <v>0.974</v>
      </c>
      <c r="F98" s="2" t="s">
        <v>8927</v>
      </c>
      <c r="G98" s="14" t="b">
        <f aca="false">FALSE()</f>
        <v>0</v>
      </c>
    </row>
    <row r="99" customFormat="false" ht="15" hidden="false" customHeight="false" outlineLevel="0" collapsed="false">
      <c r="A99" s="2" t="s">
        <v>9025</v>
      </c>
      <c r="B99" s="2" t="s">
        <v>2664</v>
      </c>
      <c r="C99" s="13" t="n">
        <v>45949.9583333333</v>
      </c>
      <c r="D99" s="2" t="s">
        <v>8921</v>
      </c>
      <c r="E99" s="2" t="n">
        <v>0.904</v>
      </c>
      <c r="F99" s="2" t="s">
        <v>8927</v>
      </c>
      <c r="G99" s="14" t="b">
        <f aca="false">FALSE()</f>
        <v>0</v>
      </c>
    </row>
    <row r="100" customFormat="false" ht="15" hidden="false" customHeight="false" outlineLevel="0" collapsed="false">
      <c r="A100" s="2" t="s">
        <v>9026</v>
      </c>
      <c r="B100" s="2" t="s">
        <v>3879</v>
      </c>
      <c r="C100" s="13" t="n">
        <v>45629.0416666667</v>
      </c>
      <c r="D100" s="2" t="s">
        <v>8940</v>
      </c>
      <c r="E100" s="2" t="n">
        <v>0.881</v>
      </c>
      <c r="F100" s="2" t="s">
        <v>8924</v>
      </c>
      <c r="G100" s="14" t="b">
        <f aca="false">FALSE()</f>
        <v>0</v>
      </c>
    </row>
    <row r="101" customFormat="false" ht="15" hidden="false" customHeight="false" outlineLevel="0" collapsed="false">
      <c r="A101" s="2" t="s">
        <v>9027</v>
      </c>
      <c r="B101" s="2" t="s">
        <v>5945</v>
      </c>
      <c r="C101" s="13" t="n">
        <v>45797.5</v>
      </c>
      <c r="D101" s="2" t="s">
        <v>8930</v>
      </c>
      <c r="E101" s="2" t="n">
        <v>0.708</v>
      </c>
      <c r="F101" s="2" t="s">
        <v>8922</v>
      </c>
      <c r="G101" s="14" t="b">
        <f aca="false">FALSE()</f>
        <v>0</v>
      </c>
    </row>
    <row r="102" customFormat="false" ht="15" hidden="false" customHeight="false" outlineLevel="0" collapsed="false">
      <c r="A102" s="2" t="s">
        <v>9028</v>
      </c>
      <c r="B102" s="2" t="s">
        <v>5467</v>
      </c>
      <c r="C102" s="13" t="n">
        <v>45739.0833333333</v>
      </c>
      <c r="D102" s="2" t="s">
        <v>8940</v>
      </c>
      <c r="E102" s="2" t="n">
        <v>0.81</v>
      </c>
      <c r="F102" s="2" t="s">
        <v>8933</v>
      </c>
      <c r="G102" s="14" t="b">
        <f aca="false">FALSE()</f>
        <v>0</v>
      </c>
    </row>
    <row r="103" customFormat="false" ht="15" hidden="false" customHeight="false" outlineLevel="0" collapsed="false">
      <c r="A103" s="2" t="s">
        <v>9029</v>
      </c>
      <c r="B103" s="2" t="s">
        <v>4769</v>
      </c>
      <c r="C103" s="13" t="n">
        <v>45904.0833333333</v>
      </c>
      <c r="D103" s="2" t="s">
        <v>8940</v>
      </c>
      <c r="E103" s="2" t="n">
        <v>0.614</v>
      </c>
      <c r="F103" s="2" t="s">
        <v>8922</v>
      </c>
      <c r="G103" s="14" t="b">
        <f aca="false">FALSE()</f>
        <v>0</v>
      </c>
    </row>
    <row r="104" customFormat="false" ht="15" hidden="false" customHeight="false" outlineLevel="0" collapsed="false">
      <c r="A104" s="2" t="s">
        <v>9030</v>
      </c>
      <c r="B104" s="2" t="s">
        <v>8235</v>
      </c>
      <c r="C104" s="13" t="n">
        <v>45566.625</v>
      </c>
      <c r="D104" s="2" t="s">
        <v>8921</v>
      </c>
      <c r="E104" s="2" t="n">
        <v>0.663</v>
      </c>
      <c r="F104" s="2" t="s">
        <v>8927</v>
      </c>
      <c r="G104" s="14" t="b">
        <f aca="false">FALSE()</f>
        <v>0</v>
      </c>
    </row>
    <row r="105" customFormat="false" ht="15" hidden="false" customHeight="false" outlineLevel="0" collapsed="false">
      <c r="A105" s="2" t="s">
        <v>9031</v>
      </c>
      <c r="B105" s="2" t="s">
        <v>3187</v>
      </c>
      <c r="C105" s="13" t="n">
        <v>45600.6666666667</v>
      </c>
      <c r="D105" s="2" t="s">
        <v>8940</v>
      </c>
      <c r="E105" s="2" t="n">
        <v>0.844</v>
      </c>
      <c r="F105" s="2" t="s">
        <v>8924</v>
      </c>
      <c r="G105" s="14" t="b">
        <f aca="false">FALSE()</f>
        <v>0</v>
      </c>
    </row>
    <row r="106" customFormat="false" ht="15" hidden="false" customHeight="false" outlineLevel="0" collapsed="false">
      <c r="A106" s="2" t="s">
        <v>9032</v>
      </c>
      <c r="B106" s="2" t="s">
        <v>5201</v>
      </c>
      <c r="C106" s="13" t="n">
        <v>45894.8333333333</v>
      </c>
      <c r="D106" s="2" t="s">
        <v>8926</v>
      </c>
      <c r="E106" s="2" t="n">
        <v>0.622</v>
      </c>
      <c r="F106" s="2" t="s">
        <v>8927</v>
      </c>
      <c r="G106" s="14" t="b">
        <f aca="false">FALSE()</f>
        <v>0</v>
      </c>
    </row>
    <row r="107" customFormat="false" ht="15" hidden="false" customHeight="false" outlineLevel="0" collapsed="false">
      <c r="A107" s="2" t="s">
        <v>9033</v>
      </c>
      <c r="B107" s="2" t="s">
        <v>4433</v>
      </c>
      <c r="C107" s="13" t="n">
        <v>46008.4583333333</v>
      </c>
      <c r="D107" s="2" t="s">
        <v>8930</v>
      </c>
      <c r="E107" s="2" t="n">
        <v>0.634</v>
      </c>
      <c r="F107" s="2" t="s">
        <v>8933</v>
      </c>
      <c r="G107" s="14" t="b">
        <f aca="false">FALSE()</f>
        <v>0</v>
      </c>
    </row>
    <row r="108" customFormat="false" ht="15" hidden="false" customHeight="false" outlineLevel="0" collapsed="false">
      <c r="A108" s="2" t="s">
        <v>9034</v>
      </c>
      <c r="B108" s="2" t="s">
        <v>6235</v>
      </c>
      <c r="C108" s="13" t="n">
        <v>45784.4583333333</v>
      </c>
      <c r="D108" s="2" t="s">
        <v>8926</v>
      </c>
      <c r="E108" s="2" t="n">
        <v>0.853</v>
      </c>
      <c r="F108" s="2" t="s">
        <v>8924</v>
      </c>
      <c r="G108" s="14" t="b">
        <f aca="false">FALSE()</f>
        <v>0</v>
      </c>
    </row>
    <row r="109" customFormat="false" ht="15" hidden="false" customHeight="false" outlineLevel="0" collapsed="false">
      <c r="A109" s="2" t="s">
        <v>9035</v>
      </c>
      <c r="B109" s="2" t="s">
        <v>1770</v>
      </c>
      <c r="C109" s="13" t="n">
        <v>45998.25</v>
      </c>
      <c r="D109" s="2" t="s">
        <v>8940</v>
      </c>
      <c r="E109" s="2" t="n">
        <v>0.78</v>
      </c>
      <c r="F109" s="2" t="s">
        <v>8927</v>
      </c>
      <c r="G109" s="14" t="b">
        <f aca="false">FALSE()</f>
        <v>0</v>
      </c>
    </row>
    <row r="110" customFormat="false" ht="15" hidden="false" customHeight="false" outlineLevel="0" collapsed="false">
      <c r="A110" s="2" t="s">
        <v>9036</v>
      </c>
      <c r="B110" s="2" t="s">
        <v>6659</v>
      </c>
      <c r="C110" s="13" t="n">
        <v>45431.25</v>
      </c>
      <c r="D110" s="2" t="s">
        <v>8926</v>
      </c>
      <c r="E110" s="2" t="n">
        <v>0.887</v>
      </c>
      <c r="F110" s="2" t="s">
        <v>8933</v>
      </c>
      <c r="G110" s="14" t="b">
        <f aca="false">FALSE()</f>
        <v>0</v>
      </c>
    </row>
    <row r="111" customFormat="false" ht="15" hidden="false" customHeight="false" outlineLevel="0" collapsed="false">
      <c r="A111" s="2" t="s">
        <v>9037</v>
      </c>
      <c r="B111" s="2" t="s">
        <v>6539</v>
      </c>
      <c r="C111" s="13" t="n">
        <v>45579.3333333333</v>
      </c>
      <c r="D111" s="2" t="s">
        <v>8930</v>
      </c>
      <c r="E111" s="2" t="n">
        <v>0.859</v>
      </c>
      <c r="F111" s="2" t="s">
        <v>8922</v>
      </c>
      <c r="G111" s="14" t="b">
        <f aca="false">FALSE()</f>
        <v>0</v>
      </c>
    </row>
    <row r="112" customFormat="false" ht="15" hidden="false" customHeight="false" outlineLevel="0" collapsed="false">
      <c r="A112" s="2" t="s">
        <v>9038</v>
      </c>
      <c r="B112" s="2" t="s">
        <v>7425</v>
      </c>
      <c r="C112" s="13" t="n">
        <v>45619</v>
      </c>
      <c r="D112" s="2" t="s">
        <v>8940</v>
      </c>
      <c r="E112" s="2" t="n">
        <v>0.809</v>
      </c>
      <c r="F112" s="2" t="s">
        <v>8927</v>
      </c>
      <c r="G112" s="14" t="b">
        <f aca="false">FALSE()</f>
        <v>0</v>
      </c>
    </row>
    <row r="113" customFormat="false" ht="15" hidden="false" customHeight="false" outlineLevel="0" collapsed="false">
      <c r="A113" s="2" t="s">
        <v>9039</v>
      </c>
      <c r="B113" s="2" t="s">
        <v>1607</v>
      </c>
      <c r="C113" s="13" t="n">
        <v>45542.6666666667</v>
      </c>
      <c r="D113" s="2" t="s">
        <v>8930</v>
      </c>
      <c r="E113" s="2" t="n">
        <v>0.846</v>
      </c>
      <c r="F113" s="2" t="s">
        <v>8924</v>
      </c>
      <c r="G113" s="14" t="b">
        <f aca="false">FALSE()</f>
        <v>0</v>
      </c>
    </row>
    <row r="114" customFormat="false" ht="15" hidden="false" customHeight="false" outlineLevel="0" collapsed="false">
      <c r="A114" s="2" t="s">
        <v>9040</v>
      </c>
      <c r="B114" s="2" t="s">
        <v>6639</v>
      </c>
      <c r="C114" s="13" t="n">
        <v>45608.2083333333</v>
      </c>
      <c r="D114" s="2" t="s">
        <v>8921</v>
      </c>
      <c r="E114" s="2" t="n">
        <v>0.933</v>
      </c>
      <c r="F114" s="2" t="s">
        <v>8927</v>
      </c>
      <c r="G114" s="14" t="b">
        <f aca="false">FALSE()</f>
        <v>0</v>
      </c>
    </row>
    <row r="115" customFormat="false" ht="15" hidden="false" customHeight="false" outlineLevel="0" collapsed="false">
      <c r="A115" s="2" t="s">
        <v>9041</v>
      </c>
      <c r="B115" s="2" t="s">
        <v>4471</v>
      </c>
      <c r="C115" s="13" t="n">
        <v>45756.0416666667</v>
      </c>
      <c r="D115" s="2" t="s">
        <v>8940</v>
      </c>
      <c r="E115" s="2" t="n">
        <v>0.889</v>
      </c>
      <c r="F115" s="2" t="s">
        <v>8922</v>
      </c>
      <c r="G115" s="14" t="b">
        <f aca="false">FALSE()</f>
        <v>0</v>
      </c>
    </row>
    <row r="116" customFormat="false" ht="15" hidden="false" customHeight="false" outlineLevel="0" collapsed="false">
      <c r="A116" s="2" t="s">
        <v>9042</v>
      </c>
      <c r="B116" s="2" t="s">
        <v>5735</v>
      </c>
      <c r="C116" s="13" t="n">
        <v>45547.2916666667</v>
      </c>
      <c r="D116" s="2" t="s">
        <v>8926</v>
      </c>
      <c r="E116" s="2" t="n">
        <v>0.936</v>
      </c>
      <c r="F116" s="2" t="s">
        <v>8933</v>
      </c>
      <c r="G116" s="14" t="b">
        <f aca="false">TRUE()</f>
        <v>1</v>
      </c>
    </row>
    <row r="117" customFormat="false" ht="15" hidden="false" customHeight="false" outlineLevel="0" collapsed="false">
      <c r="A117" s="2" t="s">
        <v>9043</v>
      </c>
      <c r="B117" s="2" t="s">
        <v>3005</v>
      </c>
      <c r="C117" s="13" t="n">
        <v>45703.0416666667</v>
      </c>
      <c r="D117" s="2" t="s">
        <v>8930</v>
      </c>
      <c r="E117" s="2" t="n">
        <v>0.765</v>
      </c>
      <c r="F117" s="2" t="s">
        <v>8924</v>
      </c>
      <c r="G117" s="14" t="b">
        <f aca="false">FALSE()</f>
        <v>0</v>
      </c>
    </row>
    <row r="118" customFormat="false" ht="15" hidden="false" customHeight="false" outlineLevel="0" collapsed="false">
      <c r="A118" s="2" t="s">
        <v>9044</v>
      </c>
      <c r="B118" s="2" t="s">
        <v>6787</v>
      </c>
      <c r="C118" s="13" t="n">
        <v>45790.0833333333</v>
      </c>
      <c r="D118" s="2" t="s">
        <v>8921</v>
      </c>
      <c r="E118" s="2" t="n">
        <v>0.908</v>
      </c>
      <c r="F118" s="2" t="s">
        <v>8922</v>
      </c>
      <c r="G118" s="14" t="b">
        <f aca="false">FALSE()</f>
        <v>0</v>
      </c>
    </row>
    <row r="119" customFormat="false" ht="15" hidden="false" customHeight="false" outlineLevel="0" collapsed="false">
      <c r="A119" s="2" t="s">
        <v>9045</v>
      </c>
      <c r="B119" s="2" t="s">
        <v>1478</v>
      </c>
      <c r="C119" s="13" t="n">
        <v>45934.0416666667</v>
      </c>
      <c r="D119" s="2" t="s">
        <v>8921</v>
      </c>
      <c r="E119" s="2" t="n">
        <v>0.825</v>
      </c>
      <c r="F119" s="2" t="s">
        <v>8922</v>
      </c>
      <c r="G119" s="14" t="b">
        <f aca="false">FALSE()</f>
        <v>0</v>
      </c>
    </row>
    <row r="120" customFormat="false" ht="15" hidden="false" customHeight="false" outlineLevel="0" collapsed="false">
      <c r="A120" s="2" t="s">
        <v>9046</v>
      </c>
      <c r="B120" s="2" t="s">
        <v>7511</v>
      </c>
      <c r="C120" s="13" t="n">
        <v>45784.5833333333</v>
      </c>
      <c r="D120" s="2" t="s">
        <v>8930</v>
      </c>
      <c r="E120" s="2" t="n">
        <v>0.664</v>
      </c>
      <c r="F120" s="2" t="s">
        <v>8922</v>
      </c>
      <c r="G120" s="14" t="b">
        <f aca="false">FALSE()</f>
        <v>0</v>
      </c>
    </row>
    <row r="121" customFormat="false" ht="15" hidden="false" customHeight="false" outlineLevel="0" collapsed="false">
      <c r="A121" s="2" t="s">
        <v>9047</v>
      </c>
      <c r="B121" s="2" t="s">
        <v>8195</v>
      </c>
      <c r="C121" s="13" t="n">
        <v>45904.7916666667</v>
      </c>
      <c r="D121" s="2" t="s">
        <v>8940</v>
      </c>
      <c r="E121" s="2" t="n">
        <v>0.931</v>
      </c>
      <c r="F121" s="2" t="s">
        <v>8922</v>
      </c>
      <c r="G121" s="14" t="b">
        <f aca="false">FALSE()</f>
        <v>0</v>
      </c>
    </row>
    <row r="122" customFormat="false" ht="15" hidden="false" customHeight="false" outlineLevel="0" collapsed="false">
      <c r="A122" s="2" t="s">
        <v>9048</v>
      </c>
      <c r="B122" s="2" t="s">
        <v>6255</v>
      </c>
      <c r="C122" s="13" t="n">
        <v>45736.7916666667</v>
      </c>
      <c r="D122" s="2" t="s">
        <v>8926</v>
      </c>
      <c r="E122" s="2" t="n">
        <v>0.717</v>
      </c>
      <c r="F122" s="2" t="s">
        <v>8933</v>
      </c>
      <c r="G122" s="14" t="b">
        <f aca="false">FALSE()</f>
        <v>0</v>
      </c>
    </row>
    <row r="123" customFormat="false" ht="15" hidden="false" customHeight="false" outlineLevel="0" collapsed="false">
      <c r="A123" s="2" t="s">
        <v>9049</v>
      </c>
      <c r="B123" s="2" t="s">
        <v>4853</v>
      </c>
      <c r="C123" s="13" t="n">
        <v>45685.5</v>
      </c>
      <c r="D123" s="2" t="s">
        <v>8940</v>
      </c>
      <c r="E123" s="2" t="n">
        <v>0.838</v>
      </c>
      <c r="F123" s="2" t="s">
        <v>8933</v>
      </c>
      <c r="G123" s="14" t="b">
        <f aca="false">FALSE()</f>
        <v>0</v>
      </c>
    </row>
    <row r="124" customFormat="false" ht="15" hidden="false" customHeight="false" outlineLevel="0" collapsed="false">
      <c r="A124" s="2" t="s">
        <v>9050</v>
      </c>
      <c r="B124" s="2" t="s">
        <v>6697</v>
      </c>
      <c r="C124" s="13" t="n">
        <v>45483.7083333333</v>
      </c>
      <c r="D124" s="2" t="s">
        <v>8921</v>
      </c>
      <c r="E124" s="2" t="n">
        <v>0.92</v>
      </c>
      <c r="F124" s="2" t="s">
        <v>8933</v>
      </c>
      <c r="G124" s="14" t="b">
        <f aca="false">FALSE()</f>
        <v>0</v>
      </c>
    </row>
    <row r="125" customFormat="false" ht="15" hidden="false" customHeight="false" outlineLevel="0" collapsed="false">
      <c r="A125" s="2" t="s">
        <v>9051</v>
      </c>
      <c r="B125" s="2" t="s">
        <v>6037</v>
      </c>
      <c r="C125" s="13" t="n">
        <v>45612.6666666667</v>
      </c>
      <c r="D125" s="2" t="s">
        <v>8926</v>
      </c>
      <c r="E125" s="2" t="n">
        <v>0.875</v>
      </c>
      <c r="F125" s="2" t="s">
        <v>8924</v>
      </c>
      <c r="G125" s="14" t="b">
        <f aca="false">FALSE()</f>
        <v>0</v>
      </c>
    </row>
    <row r="126" customFormat="false" ht="15" hidden="false" customHeight="false" outlineLevel="0" collapsed="false">
      <c r="A126" s="2" t="s">
        <v>9052</v>
      </c>
      <c r="B126" s="2" t="s">
        <v>6759</v>
      </c>
      <c r="C126" s="13" t="n">
        <v>45535</v>
      </c>
      <c r="D126" s="2" t="s">
        <v>8926</v>
      </c>
      <c r="E126" s="2" t="n">
        <v>0.686</v>
      </c>
      <c r="F126" s="2" t="s">
        <v>8924</v>
      </c>
      <c r="G126" s="14" t="b">
        <f aca="false">FALSE()</f>
        <v>0</v>
      </c>
    </row>
    <row r="127" customFormat="false" ht="15" hidden="false" customHeight="false" outlineLevel="0" collapsed="false">
      <c r="A127" s="2" t="s">
        <v>9053</v>
      </c>
      <c r="B127" s="2" t="s">
        <v>3081</v>
      </c>
      <c r="C127" s="13" t="n">
        <v>45999.5</v>
      </c>
      <c r="D127" s="2" t="s">
        <v>8921</v>
      </c>
      <c r="E127" s="2" t="n">
        <v>0.687</v>
      </c>
      <c r="F127" s="2" t="s">
        <v>8933</v>
      </c>
      <c r="G127" s="14" t="b">
        <f aca="false">FALSE()</f>
        <v>0</v>
      </c>
    </row>
    <row r="128" customFormat="false" ht="15" hidden="false" customHeight="false" outlineLevel="0" collapsed="false">
      <c r="A128" s="2" t="s">
        <v>9054</v>
      </c>
      <c r="B128" s="2" t="s">
        <v>6901</v>
      </c>
      <c r="C128" s="13" t="n">
        <v>45429.6666666667</v>
      </c>
      <c r="D128" s="2" t="s">
        <v>8926</v>
      </c>
      <c r="E128" s="2" t="n">
        <v>0.974</v>
      </c>
      <c r="F128" s="2" t="s">
        <v>8933</v>
      </c>
      <c r="G128" s="14" t="b">
        <f aca="false">FALSE()</f>
        <v>0</v>
      </c>
    </row>
    <row r="129" customFormat="false" ht="15" hidden="false" customHeight="false" outlineLevel="0" collapsed="false">
      <c r="A129" s="2" t="s">
        <v>9055</v>
      </c>
      <c r="B129" s="2" t="s">
        <v>7611</v>
      </c>
      <c r="C129" s="13" t="n">
        <v>45778.4166666667</v>
      </c>
      <c r="D129" s="2" t="s">
        <v>8926</v>
      </c>
      <c r="E129" s="2" t="n">
        <v>0.758</v>
      </c>
      <c r="F129" s="2" t="s">
        <v>8922</v>
      </c>
      <c r="G129" s="14" t="b">
        <f aca="false">FALSE()</f>
        <v>0</v>
      </c>
    </row>
    <row r="130" customFormat="false" ht="15" hidden="false" customHeight="false" outlineLevel="0" collapsed="false">
      <c r="A130" s="2" t="s">
        <v>9056</v>
      </c>
      <c r="B130" s="2" t="s">
        <v>4403</v>
      </c>
      <c r="C130" s="13" t="n">
        <v>45967.3333333333</v>
      </c>
      <c r="D130" s="2" t="s">
        <v>8926</v>
      </c>
      <c r="E130" s="2" t="n">
        <v>0.685</v>
      </c>
      <c r="F130" s="2" t="s">
        <v>8924</v>
      </c>
      <c r="G130" s="14" t="b">
        <f aca="false">FALSE()</f>
        <v>0</v>
      </c>
    </row>
    <row r="131" customFormat="false" ht="15" hidden="false" customHeight="false" outlineLevel="0" collapsed="false">
      <c r="A131" s="2" t="s">
        <v>9057</v>
      </c>
      <c r="B131" s="2" t="s">
        <v>2731</v>
      </c>
      <c r="C131" s="13" t="n">
        <v>45468</v>
      </c>
      <c r="D131" s="2" t="s">
        <v>8926</v>
      </c>
      <c r="E131" s="2" t="n">
        <v>0.86</v>
      </c>
      <c r="F131" s="2" t="s">
        <v>8927</v>
      </c>
      <c r="G131" s="14" t="b">
        <f aca="false">FALSE()</f>
        <v>0</v>
      </c>
    </row>
    <row r="132" customFormat="false" ht="15" hidden="false" customHeight="false" outlineLevel="0" collapsed="false">
      <c r="A132" s="2" t="s">
        <v>9058</v>
      </c>
      <c r="B132" s="2" t="s">
        <v>4681</v>
      </c>
      <c r="C132" s="13" t="n">
        <v>45833.2916666667</v>
      </c>
      <c r="D132" s="2" t="s">
        <v>8940</v>
      </c>
      <c r="E132" s="2" t="n">
        <v>0.732</v>
      </c>
      <c r="F132" s="2" t="s">
        <v>8933</v>
      </c>
      <c r="G132" s="14" t="b">
        <f aca="false">FALSE()</f>
        <v>0</v>
      </c>
    </row>
    <row r="133" customFormat="false" ht="15" hidden="false" customHeight="false" outlineLevel="0" collapsed="false">
      <c r="A133" s="2" t="s">
        <v>9059</v>
      </c>
      <c r="B133" s="2" t="s">
        <v>4747</v>
      </c>
      <c r="C133" s="13" t="n">
        <v>45839.0416666667</v>
      </c>
      <c r="D133" s="2" t="s">
        <v>8926</v>
      </c>
      <c r="E133" s="2" t="n">
        <v>0.677</v>
      </c>
      <c r="F133" s="2" t="s">
        <v>8924</v>
      </c>
      <c r="G133" s="14" t="b">
        <f aca="false">FALSE()</f>
        <v>0</v>
      </c>
    </row>
    <row r="134" customFormat="false" ht="15" hidden="false" customHeight="false" outlineLevel="0" collapsed="false">
      <c r="A134" s="2" t="s">
        <v>9060</v>
      </c>
      <c r="B134" s="2" t="s">
        <v>3639</v>
      </c>
      <c r="C134" s="13" t="n">
        <v>45552.9583333333</v>
      </c>
      <c r="D134" s="2" t="s">
        <v>8930</v>
      </c>
      <c r="E134" s="2" t="n">
        <v>0.758</v>
      </c>
      <c r="F134" s="2" t="s">
        <v>8933</v>
      </c>
      <c r="G134" s="14" t="b">
        <f aca="false">FALSE()</f>
        <v>0</v>
      </c>
    </row>
    <row r="135" customFormat="false" ht="15" hidden="false" customHeight="false" outlineLevel="0" collapsed="false">
      <c r="A135" s="2" t="s">
        <v>9061</v>
      </c>
      <c r="B135" s="2" t="s">
        <v>833</v>
      </c>
      <c r="C135" s="13" t="n">
        <v>45811.6666666667</v>
      </c>
      <c r="D135" s="2" t="s">
        <v>8930</v>
      </c>
      <c r="E135" s="2" t="n">
        <v>0.88</v>
      </c>
      <c r="F135" s="2" t="s">
        <v>8927</v>
      </c>
      <c r="G135" s="14" t="b">
        <f aca="false">FALSE()</f>
        <v>0</v>
      </c>
    </row>
    <row r="136" customFormat="false" ht="15" hidden="false" customHeight="false" outlineLevel="0" collapsed="false">
      <c r="A136" s="2" t="s">
        <v>9062</v>
      </c>
      <c r="B136" s="2" t="s">
        <v>6711</v>
      </c>
      <c r="C136" s="13" t="n">
        <v>45851.2916666667</v>
      </c>
      <c r="D136" s="2" t="s">
        <v>8940</v>
      </c>
      <c r="E136" s="2" t="n">
        <v>0.713</v>
      </c>
      <c r="F136" s="2" t="s">
        <v>8927</v>
      </c>
      <c r="G136" s="14" t="b">
        <f aca="false">FALSE()</f>
        <v>0</v>
      </c>
    </row>
    <row r="137" customFormat="false" ht="15" hidden="false" customHeight="false" outlineLevel="0" collapsed="false">
      <c r="A137" s="2" t="s">
        <v>9063</v>
      </c>
      <c r="B137" s="2" t="s">
        <v>2654</v>
      </c>
      <c r="C137" s="13" t="n">
        <v>45755.5833333333</v>
      </c>
      <c r="D137" s="2" t="s">
        <v>8921</v>
      </c>
      <c r="E137" s="2" t="n">
        <v>0.772</v>
      </c>
      <c r="F137" s="2" t="s">
        <v>8924</v>
      </c>
      <c r="G137" s="14" t="b">
        <f aca="false">FALSE()</f>
        <v>0</v>
      </c>
    </row>
    <row r="138" customFormat="false" ht="15" hidden="false" customHeight="false" outlineLevel="0" collapsed="false">
      <c r="A138" s="2" t="s">
        <v>9064</v>
      </c>
      <c r="B138" s="2" t="s">
        <v>6941</v>
      </c>
      <c r="C138" s="13" t="n">
        <v>45994.8333333333</v>
      </c>
      <c r="D138" s="2" t="s">
        <v>8921</v>
      </c>
      <c r="E138" s="2" t="n">
        <v>0.618</v>
      </c>
      <c r="F138" s="2" t="s">
        <v>8927</v>
      </c>
      <c r="G138" s="14" t="b">
        <f aca="false">FALSE()</f>
        <v>0</v>
      </c>
    </row>
    <row r="139" customFormat="false" ht="15" hidden="false" customHeight="false" outlineLevel="0" collapsed="false">
      <c r="A139" s="2" t="s">
        <v>9065</v>
      </c>
      <c r="B139" s="2" t="s">
        <v>6223</v>
      </c>
      <c r="C139" s="13" t="n">
        <v>45372.7083333333</v>
      </c>
      <c r="D139" s="2" t="s">
        <v>8940</v>
      </c>
      <c r="E139" s="2" t="n">
        <v>0.967</v>
      </c>
      <c r="F139" s="2" t="s">
        <v>8922</v>
      </c>
      <c r="G139" s="14" t="b">
        <f aca="false">FALSE()</f>
        <v>0</v>
      </c>
    </row>
    <row r="140" customFormat="false" ht="15" hidden="false" customHeight="false" outlineLevel="0" collapsed="false">
      <c r="A140" s="2" t="s">
        <v>9066</v>
      </c>
      <c r="B140" s="2" t="s">
        <v>6131</v>
      </c>
      <c r="C140" s="13" t="n">
        <v>45754.875</v>
      </c>
      <c r="D140" s="2" t="s">
        <v>8940</v>
      </c>
      <c r="E140" s="2" t="n">
        <v>0.634</v>
      </c>
      <c r="F140" s="2" t="s">
        <v>8933</v>
      </c>
      <c r="G140" s="14" t="b">
        <f aca="false">FALSE()</f>
        <v>0</v>
      </c>
    </row>
    <row r="141" customFormat="false" ht="15" hidden="false" customHeight="false" outlineLevel="0" collapsed="false">
      <c r="A141" s="2" t="s">
        <v>9067</v>
      </c>
      <c r="B141" s="2" t="s">
        <v>4053</v>
      </c>
      <c r="C141" s="13" t="n">
        <v>45336.2083333333</v>
      </c>
      <c r="D141" s="2" t="s">
        <v>8940</v>
      </c>
      <c r="E141" s="2" t="n">
        <v>0.603</v>
      </c>
      <c r="F141" s="2" t="s">
        <v>8922</v>
      </c>
      <c r="G141" s="14" t="b">
        <f aca="false">FALSE()</f>
        <v>0</v>
      </c>
    </row>
    <row r="142" customFormat="false" ht="15" hidden="false" customHeight="false" outlineLevel="0" collapsed="false">
      <c r="A142" s="2" t="s">
        <v>9068</v>
      </c>
      <c r="B142" s="2" t="s">
        <v>5613</v>
      </c>
      <c r="C142" s="13" t="n">
        <v>45359.625</v>
      </c>
      <c r="D142" s="2" t="s">
        <v>8930</v>
      </c>
      <c r="E142" s="2" t="n">
        <v>0.94</v>
      </c>
      <c r="F142" s="2" t="s">
        <v>8924</v>
      </c>
      <c r="G142" s="14" t="b">
        <f aca="false">FALSE()</f>
        <v>0</v>
      </c>
    </row>
    <row r="143" customFormat="false" ht="15" hidden="false" customHeight="false" outlineLevel="0" collapsed="false">
      <c r="A143" s="2" t="s">
        <v>9069</v>
      </c>
      <c r="B143" s="2" t="s">
        <v>1875</v>
      </c>
      <c r="C143" s="13" t="n">
        <v>45777.8333333333</v>
      </c>
      <c r="D143" s="2" t="s">
        <v>8940</v>
      </c>
      <c r="E143" s="2" t="n">
        <v>0.988</v>
      </c>
      <c r="F143" s="2" t="s">
        <v>8924</v>
      </c>
      <c r="G143" s="14" t="b">
        <f aca="false">FALSE()</f>
        <v>0</v>
      </c>
    </row>
    <row r="144" customFormat="false" ht="15" hidden="false" customHeight="false" outlineLevel="0" collapsed="false">
      <c r="A144" s="2" t="s">
        <v>9070</v>
      </c>
      <c r="B144" s="2" t="s">
        <v>1213</v>
      </c>
      <c r="C144" s="13" t="n">
        <v>45320</v>
      </c>
      <c r="D144" s="2" t="s">
        <v>8940</v>
      </c>
      <c r="E144" s="2" t="n">
        <v>0.602</v>
      </c>
      <c r="F144" s="2" t="s">
        <v>8927</v>
      </c>
      <c r="G144" s="14" t="b">
        <f aca="false">FALSE()</f>
        <v>0</v>
      </c>
    </row>
    <row r="145" customFormat="false" ht="15" hidden="false" customHeight="false" outlineLevel="0" collapsed="false">
      <c r="A145" s="2" t="s">
        <v>9071</v>
      </c>
      <c r="B145" s="2" t="s">
        <v>7853</v>
      </c>
      <c r="C145" s="13" t="n">
        <v>45945.2083333333</v>
      </c>
      <c r="D145" s="2" t="s">
        <v>8940</v>
      </c>
      <c r="E145" s="2" t="n">
        <v>0.693</v>
      </c>
      <c r="F145" s="2" t="s">
        <v>8924</v>
      </c>
      <c r="G145" s="14" t="b">
        <f aca="false">FALSE()</f>
        <v>0</v>
      </c>
    </row>
    <row r="146" customFormat="false" ht="15" hidden="false" customHeight="false" outlineLevel="0" collapsed="false">
      <c r="A146" s="2" t="s">
        <v>9072</v>
      </c>
      <c r="B146" s="2" t="s">
        <v>6993</v>
      </c>
      <c r="C146" s="13" t="n">
        <v>45310.3333333333</v>
      </c>
      <c r="D146" s="2" t="s">
        <v>8940</v>
      </c>
      <c r="E146" s="2" t="n">
        <v>0.922</v>
      </c>
      <c r="F146" s="2" t="s">
        <v>8933</v>
      </c>
      <c r="G146" s="14" t="b">
        <f aca="false">TRUE()</f>
        <v>1</v>
      </c>
    </row>
    <row r="147" customFormat="false" ht="15" hidden="false" customHeight="false" outlineLevel="0" collapsed="false">
      <c r="A147" s="2" t="s">
        <v>9073</v>
      </c>
      <c r="B147" s="2" t="s">
        <v>3655</v>
      </c>
      <c r="C147" s="13" t="n">
        <v>45949.75</v>
      </c>
      <c r="D147" s="2" t="s">
        <v>8921</v>
      </c>
      <c r="E147" s="2" t="n">
        <v>0.92</v>
      </c>
      <c r="F147" s="2" t="s">
        <v>8933</v>
      </c>
      <c r="G147" s="14" t="b">
        <f aca="false">FALSE()</f>
        <v>0</v>
      </c>
    </row>
    <row r="148" customFormat="false" ht="15" hidden="false" customHeight="false" outlineLevel="0" collapsed="false">
      <c r="A148" s="2" t="s">
        <v>9074</v>
      </c>
      <c r="B148" s="2" t="s">
        <v>8187</v>
      </c>
      <c r="C148" s="13" t="n">
        <v>45371.75</v>
      </c>
      <c r="D148" s="2" t="s">
        <v>8921</v>
      </c>
      <c r="E148" s="2" t="n">
        <v>0.848</v>
      </c>
      <c r="F148" s="2" t="s">
        <v>8922</v>
      </c>
      <c r="G148" s="14" t="b">
        <f aca="false">FALSE()</f>
        <v>0</v>
      </c>
    </row>
    <row r="149" customFormat="false" ht="15" hidden="false" customHeight="false" outlineLevel="0" collapsed="false">
      <c r="A149" s="2" t="s">
        <v>9075</v>
      </c>
      <c r="B149" s="2" t="s">
        <v>2436</v>
      </c>
      <c r="C149" s="13" t="n">
        <v>45564.375</v>
      </c>
      <c r="D149" s="2" t="s">
        <v>8921</v>
      </c>
      <c r="E149" s="2" t="n">
        <v>0.899</v>
      </c>
      <c r="F149" s="2" t="s">
        <v>8922</v>
      </c>
      <c r="G149" s="14" t="b">
        <f aca="false">FALSE()</f>
        <v>0</v>
      </c>
    </row>
    <row r="150" customFormat="false" ht="15" hidden="false" customHeight="false" outlineLevel="0" collapsed="false">
      <c r="A150" s="2" t="s">
        <v>9076</v>
      </c>
      <c r="B150" s="2" t="s">
        <v>4101</v>
      </c>
      <c r="C150" s="13" t="n">
        <v>45622.5</v>
      </c>
      <c r="D150" s="2" t="s">
        <v>8940</v>
      </c>
      <c r="E150" s="2" t="n">
        <v>0.877</v>
      </c>
      <c r="F150" s="2" t="s">
        <v>8924</v>
      </c>
      <c r="G150" s="14" t="b">
        <f aca="false">FALSE()</f>
        <v>0</v>
      </c>
    </row>
    <row r="151" customFormat="false" ht="15" hidden="false" customHeight="false" outlineLevel="0" collapsed="false">
      <c r="A151" s="2" t="s">
        <v>9077</v>
      </c>
      <c r="B151" s="2" t="s">
        <v>6859</v>
      </c>
      <c r="C151" s="13" t="n">
        <v>45393.4583333333</v>
      </c>
      <c r="D151" s="2" t="s">
        <v>8921</v>
      </c>
      <c r="E151" s="2" t="n">
        <v>0.766</v>
      </c>
      <c r="F151" s="2" t="s">
        <v>8927</v>
      </c>
      <c r="G151" s="1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0" t="s">
        <v>9078</v>
      </c>
      <c r="B1" s="10" t="s">
        <v>72</v>
      </c>
      <c r="C1" s="10" t="s">
        <v>9079</v>
      </c>
      <c r="D1" s="10" t="s">
        <v>9080</v>
      </c>
      <c r="E1" s="10" t="s">
        <v>9081</v>
      </c>
    </row>
    <row r="2" customFormat="false" ht="15" hidden="false" customHeight="false" outlineLevel="0" collapsed="false">
      <c r="A2" s="2" t="s">
        <v>9082</v>
      </c>
      <c r="B2" s="2" t="s">
        <v>85</v>
      </c>
      <c r="C2" s="2" t="s">
        <v>9083</v>
      </c>
      <c r="D2" s="2" t="n">
        <v>25</v>
      </c>
      <c r="E2" s="13" t="n">
        <v>45299</v>
      </c>
    </row>
    <row r="3" customFormat="false" ht="15" hidden="false" customHeight="false" outlineLevel="0" collapsed="false">
      <c r="A3" s="2" t="s">
        <v>9084</v>
      </c>
      <c r="B3" s="2" t="s">
        <v>91</v>
      </c>
      <c r="C3" s="2" t="s">
        <v>9085</v>
      </c>
      <c r="D3" s="2" t="n">
        <v>5.74</v>
      </c>
      <c r="E3" s="13" t="n">
        <v>45306</v>
      </c>
    </row>
    <row r="4" customFormat="false" ht="15" hidden="false" customHeight="false" outlineLevel="0" collapsed="false">
      <c r="A4" s="2" t="s">
        <v>9086</v>
      </c>
      <c r="B4" s="2" t="s">
        <v>97</v>
      </c>
      <c r="C4" s="2" t="s">
        <v>9087</v>
      </c>
      <c r="D4" s="2" t="n">
        <v>6.11</v>
      </c>
      <c r="E4" s="13" t="n">
        <v>45313</v>
      </c>
    </row>
    <row r="5" customFormat="false" ht="15" hidden="false" customHeight="false" outlineLevel="0" collapsed="false">
      <c r="A5" s="2" t="s">
        <v>9088</v>
      </c>
      <c r="B5" s="2" t="s">
        <v>103</v>
      </c>
      <c r="C5" s="2" t="s">
        <v>9087</v>
      </c>
      <c r="D5" s="2" t="n">
        <v>6.48</v>
      </c>
      <c r="E5" s="13" t="n">
        <v>45320</v>
      </c>
    </row>
    <row r="6" customFormat="false" ht="15" hidden="false" customHeight="false" outlineLevel="0" collapsed="false">
      <c r="A6" s="2" t="s">
        <v>9089</v>
      </c>
      <c r="B6" s="2" t="s">
        <v>108</v>
      </c>
      <c r="C6" s="2" t="s">
        <v>9083</v>
      </c>
      <c r="D6" s="2" t="n">
        <v>6.85</v>
      </c>
      <c r="E6" s="13" t="n">
        <v>45327</v>
      </c>
    </row>
    <row r="7" customFormat="false" ht="15" hidden="false" customHeight="false" outlineLevel="0" collapsed="false">
      <c r="A7" s="2" t="s">
        <v>9090</v>
      </c>
      <c r="B7" s="2" t="s">
        <v>113</v>
      </c>
      <c r="C7" s="2" t="s">
        <v>9085</v>
      </c>
      <c r="D7" s="2" t="n">
        <v>7.22</v>
      </c>
      <c r="E7" s="13" t="n">
        <v>45334</v>
      </c>
    </row>
    <row r="8" customFormat="false" ht="15" hidden="false" customHeight="false" outlineLevel="0" collapsed="false">
      <c r="A8" s="2" t="s">
        <v>9091</v>
      </c>
      <c r="B8" s="2" t="s">
        <v>118</v>
      </c>
      <c r="C8" s="2" t="s">
        <v>9092</v>
      </c>
      <c r="D8" s="2" t="n">
        <v>7.59</v>
      </c>
      <c r="E8" s="13" t="n">
        <v>45341</v>
      </c>
    </row>
    <row r="9" customFormat="false" ht="15" hidden="false" customHeight="false" outlineLevel="0" collapsed="false">
      <c r="A9" s="2" t="s">
        <v>9093</v>
      </c>
      <c r="B9" s="2" t="s">
        <v>124</v>
      </c>
      <c r="C9" s="2" t="s">
        <v>9085</v>
      </c>
      <c r="D9" s="2" t="n">
        <v>7.96</v>
      </c>
      <c r="E9" s="13" t="n">
        <v>45348</v>
      </c>
    </row>
    <row r="10" customFormat="false" ht="15" hidden="false" customHeight="false" outlineLevel="0" collapsed="false">
      <c r="A10" s="2" t="s">
        <v>9094</v>
      </c>
      <c r="B10" s="2" t="s">
        <v>129</v>
      </c>
      <c r="C10" s="2" t="s">
        <v>9083</v>
      </c>
      <c r="D10" s="2" t="n">
        <v>8.33</v>
      </c>
      <c r="E10" s="13" t="n">
        <v>45355</v>
      </c>
    </row>
    <row r="11" customFormat="false" ht="15" hidden="false" customHeight="false" outlineLevel="0" collapsed="false">
      <c r="A11" s="2" t="s">
        <v>9095</v>
      </c>
      <c r="B11" s="2" t="s">
        <v>134</v>
      </c>
      <c r="C11" s="2" t="s">
        <v>9083</v>
      </c>
      <c r="D11" s="2" t="n">
        <v>8.7</v>
      </c>
      <c r="E11" s="13" t="n">
        <v>45362</v>
      </c>
    </row>
    <row r="12" customFormat="false" ht="15" hidden="false" customHeight="false" outlineLevel="0" collapsed="false">
      <c r="A12" s="2" t="s">
        <v>9096</v>
      </c>
      <c r="B12" s="2" t="s">
        <v>139</v>
      </c>
      <c r="C12" s="2" t="s">
        <v>9092</v>
      </c>
      <c r="D12" s="2" t="n">
        <v>9.07</v>
      </c>
      <c r="E12" s="13" t="n">
        <v>45369</v>
      </c>
    </row>
    <row r="13" customFormat="false" ht="15" hidden="false" customHeight="false" outlineLevel="0" collapsed="false">
      <c r="A13" s="2" t="s">
        <v>9097</v>
      </c>
      <c r="B13" s="2" t="s">
        <v>142</v>
      </c>
      <c r="C13" s="2" t="s">
        <v>9098</v>
      </c>
      <c r="D13" s="2" t="n">
        <v>9.44</v>
      </c>
      <c r="E13" s="13" t="n">
        <v>45376</v>
      </c>
    </row>
    <row r="14" customFormat="false" ht="15" hidden="false" customHeight="false" outlineLevel="0" collapsed="false">
      <c r="A14" s="2" t="s">
        <v>9099</v>
      </c>
      <c r="B14" s="2" t="s">
        <v>145</v>
      </c>
      <c r="C14" s="2" t="s">
        <v>9083</v>
      </c>
      <c r="D14" s="2" t="n">
        <v>9.81</v>
      </c>
      <c r="E14" s="13" t="n">
        <v>45383</v>
      </c>
    </row>
    <row r="15" customFormat="false" ht="15" hidden="false" customHeight="false" outlineLevel="0" collapsed="false">
      <c r="A15" s="2" t="s">
        <v>9100</v>
      </c>
      <c r="B15" s="2" t="s">
        <v>148</v>
      </c>
      <c r="C15" s="2" t="s">
        <v>9098</v>
      </c>
      <c r="D15" s="2" t="n">
        <v>10.18</v>
      </c>
      <c r="E15" s="13" t="n">
        <v>45390</v>
      </c>
    </row>
    <row r="16" customFormat="false" ht="15" hidden="false" customHeight="false" outlineLevel="0" collapsed="false">
      <c r="A16" s="2" t="s">
        <v>9101</v>
      </c>
      <c r="B16" s="2" t="s">
        <v>151</v>
      </c>
      <c r="C16" s="2" t="s">
        <v>9087</v>
      </c>
      <c r="D16" s="2" t="n">
        <v>10.55</v>
      </c>
      <c r="E16" s="13" t="n">
        <v>45397</v>
      </c>
    </row>
    <row r="17" customFormat="false" ht="15" hidden="false" customHeight="false" outlineLevel="0" collapsed="false">
      <c r="A17" s="2" t="s">
        <v>9102</v>
      </c>
      <c r="B17" s="2" t="s">
        <v>154</v>
      </c>
      <c r="C17" s="2" t="s">
        <v>9083</v>
      </c>
      <c r="D17" s="2" t="n">
        <v>10.92</v>
      </c>
      <c r="E17" s="13" t="n">
        <v>45404</v>
      </c>
    </row>
    <row r="18" customFormat="false" ht="15" hidden="false" customHeight="false" outlineLevel="0" collapsed="false">
      <c r="A18" s="2" t="s">
        <v>9103</v>
      </c>
      <c r="B18" s="2" t="s">
        <v>159</v>
      </c>
      <c r="C18" s="2" t="s">
        <v>9098</v>
      </c>
      <c r="D18" s="2" t="n">
        <v>11.29</v>
      </c>
      <c r="E18" s="13" t="n">
        <v>45411</v>
      </c>
    </row>
    <row r="19" customFormat="false" ht="15" hidden="false" customHeight="false" outlineLevel="0" collapsed="false">
      <c r="A19" s="2" t="s">
        <v>9104</v>
      </c>
      <c r="B19" s="2" t="s">
        <v>164</v>
      </c>
      <c r="C19" s="2" t="s">
        <v>9083</v>
      </c>
      <c r="D19" s="2" t="n">
        <v>11.66</v>
      </c>
      <c r="E19" s="13" t="n">
        <v>45418</v>
      </c>
    </row>
    <row r="20" customFormat="false" ht="15" hidden="false" customHeight="false" outlineLevel="0" collapsed="false">
      <c r="A20" s="2" t="s">
        <v>9105</v>
      </c>
      <c r="B20" s="2" t="s">
        <v>169</v>
      </c>
      <c r="C20" s="2" t="s">
        <v>9085</v>
      </c>
      <c r="D20" s="2" t="n">
        <v>12.03</v>
      </c>
      <c r="E20" s="13" t="n">
        <v>45425</v>
      </c>
    </row>
    <row r="21" customFormat="false" ht="15" hidden="false" customHeight="false" outlineLevel="0" collapsed="false">
      <c r="A21" s="2" t="s">
        <v>9106</v>
      </c>
      <c r="B21" s="2" t="s">
        <v>174</v>
      </c>
      <c r="C21" s="2" t="s">
        <v>9083</v>
      </c>
      <c r="D21" s="2" t="n">
        <v>12.4</v>
      </c>
      <c r="E21" s="13" t="n">
        <v>45432</v>
      </c>
    </row>
    <row r="22" customFormat="false" ht="15" hidden="false" customHeight="false" outlineLevel="0" collapsed="false">
      <c r="A22" s="2" t="s">
        <v>9107</v>
      </c>
      <c r="B22" s="2" t="s">
        <v>179</v>
      </c>
      <c r="C22" s="2" t="s">
        <v>9098</v>
      </c>
      <c r="D22" s="2" t="n">
        <v>12.77</v>
      </c>
      <c r="E22" s="13" t="n">
        <v>45439</v>
      </c>
    </row>
    <row r="23" customFormat="false" ht="15" hidden="false" customHeight="false" outlineLevel="0" collapsed="false">
      <c r="A23" s="2" t="s">
        <v>9108</v>
      </c>
      <c r="B23" s="2" t="s">
        <v>184</v>
      </c>
      <c r="C23" s="2" t="s">
        <v>9092</v>
      </c>
      <c r="D23" s="2" t="n">
        <v>13.14</v>
      </c>
      <c r="E23" s="13" t="n">
        <v>45446</v>
      </c>
    </row>
    <row r="24" customFormat="false" ht="15" hidden="false" customHeight="false" outlineLevel="0" collapsed="false">
      <c r="A24" s="2" t="s">
        <v>9109</v>
      </c>
      <c r="B24" s="2" t="s">
        <v>189</v>
      </c>
      <c r="C24" s="2" t="s">
        <v>9098</v>
      </c>
      <c r="D24" s="2" t="n">
        <v>13.51</v>
      </c>
      <c r="E24" s="13" t="n">
        <v>45453</v>
      </c>
    </row>
    <row r="25" customFormat="false" ht="15" hidden="false" customHeight="false" outlineLevel="0" collapsed="false">
      <c r="A25" s="2" t="s">
        <v>9110</v>
      </c>
      <c r="B25" s="2" t="s">
        <v>194</v>
      </c>
      <c r="C25" s="2" t="s">
        <v>9087</v>
      </c>
      <c r="D25" s="2" t="n">
        <v>13.88</v>
      </c>
      <c r="E25" s="13" t="n">
        <v>45460</v>
      </c>
    </row>
    <row r="26" customFormat="false" ht="15" hidden="false" customHeight="false" outlineLevel="0" collapsed="false">
      <c r="A26" s="2" t="s">
        <v>9111</v>
      </c>
      <c r="B26" s="2" t="s">
        <v>199</v>
      </c>
      <c r="C26" s="2" t="s">
        <v>9092</v>
      </c>
      <c r="D26" s="2" t="n">
        <v>14.25</v>
      </c>
      <c r="E26" s="13" t="n">
        <v>45467</v>
      </c>
    </row>
    <row r="27" customFormat="false" ht="15" hidden="false" customHeight="false" outlineLevel="0" collapsed="false">
      <c r="A27" s="2" t="s">
        <v>9112</v>
      </c>
      <c r="B27" s="2" t="s">
        <v>204</v>
      </c>
      <c r="C27" s="2" t="s">
        <v>9098</v>
      </c>
      <c r="D27" s="2" t="n">
        <v>14.62</v>
      </c>
      <c r="E27" s="13" t="n">
        <v>45474</v>
      </c>
    </row>
    <row r="28" customFormat="false" ht="15" hidden="false" customHeight="false" outlineLevel="0" collapsed="false">
      <c r="A28" s="2" t="s">
        <v>9113</v>
      </c>
      <c r="B28" s="2" t="s">
        <v>209</v>
      </c>
      <c r="C28" s="2" t="s">
        <v>9092</v>
      </c>
      <c r="D28" s="2" t="n">
        <v>14.99</v>
      </c>
      <c r="E28" s="13" t="n">
        <v>45481</v>
      </c>
    </row>
    <row r="29" customFormat="false" ht="15" hidden="false" customHeight="false" outlineLevel="0" collapsed="false">
      <c r="A29" s="2" t="s">
        <v>9114</v>
      </c>
      <c r="B29" s="2" t="s">
        <v>214</v>
      </c>
      <c r="C29" s="2" t="s">
        <v>9083</v>
      </c>
      <c r="D29" s="2" t="n">
        <v>15.36</v>
      </c>
      <c r="E29" s="13" t="n">
        <v>45488</v>
      </c>
    </row>
    <row r="30" customFormat="false" ht="15" hidden="false" customHeight="false" outlineLevel="0" collapsed="false">
      <c r="A30" s="2" t="s">
        <v>9115</v>
      </c>
      <c r="B30" s="2" t="s">
        <v>219</v>
      </c>
      <c r="C30" s="2" t="s">
        <v>9083</v>
      </c>
      <c r="D30" s="2" t="n">
        <v>15.73</v>
      </c>
      <c r="E30" s="13" t="n">
        <v>45495</v>
      </c>
    </row>
    <row r="31" customFormat="false" ht="15" hidden="false" customHeight="false" outlineLevel="0" collapsed="false">
      <c r="A31" s="2" t="s">
        <v>9116</v>
      </c>
      <c r="B31" s="2" t="s">
        <v>224</v>
      </c>
      <c r="C31" s="2" t="s">
        <v>9092</v>
      </c>
      <c r="D31" s="2" t="n">
        <v>16.1</v>
      </c>
      <c r="E31" s="13" t="n">
        <v>45502</v>
      </c>
    </row>
    <row r="32" customFormat="false" ht="15" hidden="false" customHeight="false" outlineLevel="0" collapsed="false">
      <c r="A32" s="2" t="s">
        <v>9117</v>
      </c>
      <c r="B32" s="2" t="s">
        <v>229</v>
      </c>
      <c r="C32" s="2" t="s">
        <v>9092</v>
      </c>
      <c r="D32" s="2" t="n">
        <v>16.47</v>
      </c>
      <c r="E32" s="13" t="n">
        <v>45509</v>
      </c>
    </row>
    <row r="33" customFormat="false" ht="15" hidden="false" customHeight="false" outlineLevel="0" collapsed="false">
      <c r="A33" s="2" t="s">
        <v>9118</v>
      </c>
      <c r="B33" s="2" t="s">
        <v>234</v>
      </c>
      <c r="C33" s="2" t="s">
        <v>9087</v>
      </c>
      <c r="D33" s="2" t="n">
        <v>16.84</v>
      </c>
      <c r="E33" s="13" t="n">
        <v>45516</v>
      </c>
    </row>
    <row r="34" customFormat="false" ht="15" hidden="false" customHeight="false" outlineLevel="0" collapsed="false">
      <c r="A34" s="2" t="s">
        <v>9119</v>
      </c>
      <c r="B34" s="2" t="s">
        <v>239</v>
      </c>
      <c r="C34" s="2" t="s">
        <v>9085</v>
      </c>
      <c r="D34" s="2" t="n">
        <v>17.21</v>
      </c>
      <c r="E34" s="13" t="n">
        <v>45523</v>
      </c>
    </row>
    <row r="35" customFormat="false" ht="15" hidden="false" customHeight="false" outlineLevel="0" collapsed="false">
      <c r="A35" s="2" t="s">
        <v>9120</v>
      </c>
      <c r="B35" s="2" t="s">
        <v>244</v>
      </c>
      <c r="C35" s="2" t="s">
        <v>9083</v>
      </c>
      <c r="D35" s="2" t="n">
        <v>17.58</v>
      </c>
      <c r="E35" s="13" t="n">
        <v>45530</v>
      </c>
    </row>
    <row r="36" customFormat="false" ht="15" hidden="false" customHeight="false" outlineLevel="0" collapsed="false">
      <c r="A36" s="2" t="s">
        <v>9121</v>
      </c>
      <c r="B36" s="2" t="s">
        <v>249</v>
      </c>
      <c r="C36" s="2" t="s">
        <v>9087</v>
      </c>
      <c r="D36" s="2" t="n">
        <v>17.95</v>
      </c>
      <c r="E36" s="13" t="n">
        <v>45537</v>
      </c>
    </row>
    <row r="37" customFormat="false" ht="15" hidden="false" customHeight="false" outlineLevel="0" collapsed="false">
      <c r="A37" s="2" t="s">
        <v>9122</v>
      </c>
      <c r="B37" s="2" t="s">
        <v>254</v>
      </c>
      <c r="C37" s="2" t="s">
        <v>9092</v>
      </c>
      <c r="D37" s="2" t="n">
        <v>18.32</v>
      </c>
      <c r="E37" s="13" t="n">
        <v>45544</v>
      </c>
    </row>
    <row r="38" customFormat="false" ht="15" hidden="false" customHeight="false" outlineLevel="0" collapsed="false">
      <c r="A38" s="2" t="s">
        <v>9123</v>
      </c>
      <c r="B38" s="2" t="s">
        <v>259</v>
      </c>
      <c r="C38" s="2" t="s">
        <v>9083</v>
      </c>
      <c r="D38" s="2" t="n">
        <v>18.69</v>
      </c>
      <c r="E38" s="13" t="n">
        <v>45551</v>
      </c>
    </row>
    <row r="39" customFormat="false" ht="15" hidden="false" customHeight="false" outlineLevel="0" collapsed="false">
      <c r="A39" s="2" t="s">
        <v>9124</v>
      </c>
      <c r="B39" s="2" t="s">
        <v>264</v>
      </c>
      <c r="C39" s="2" t="s">
        <v>9085</v>
      </c>
      <c r="D39" s="2" t="n">
        <v>19.06</v>
      </c>
      <c r="E39" s="13" t="n">
        <v>45558</v>
      </c>
    </row>
    <row r="40" customFormat="false" ht="15" hidden="false" customHeight="false" outlineLevel="0" collapsed="false">
      <c r="A40" s="2" t="s">
        <v>9125</v>
      </c>
      <c r="B40" s="2" t="s">
        <v>269</v>
      </c>
      <c r="C40" s="2" t="s">
        <v>9085</v>
      </c>
      <c r="D40" s="2" t="n">
        <v>19.43</v>
      </c>
      <c r="E40" s="13" t="n">
        <v>45565</v>
      </c>
    </row>
    <row r="41" customFormat="false" ht="15" hidden="false" customHeight="false" outlineLevel="0" collapsed="false">
      <c r="A41" s="2" t="s">
        <v>9126</v>
      </c>
      <c r="B41" s="2" t="s">
        <v>274</v>
      </c>
      <c r="C41" s="2" t="s">
        <v>9087</v>
      </c>
      <c r="D41" s="2" t="n">
        <v>19.8</v>
      </c>
      <c r="E41" s="13" t="n">
        <v>45572</v>
      </c>
    </row>
    <row r="42" customFormat="false" ht="15" hidden="false" customHeight="false" outlineLevel="0" collapsed="false">
      <c r="A42" s="2" t="s">
        <v>9127</v>
      </c>
      <c r="B42" s="2" t="s">
        <v>279</v>
      </c>
      <c r="C42" s="2" t="s">
        <v>9083</v>
      </c>
      <c r="D42" s="2" t="n">
        <v>20.17</v>
      </c>
      <c r="E42" s="13" t="n">
        <v>45579</v>
      </c>
    </row>
    <row r="43" customFormat="false" ht="15" hidden="false" customHeight="false" outlineLevel="0" collapsed="false">
      <c r="A43" s="2" t="s">
        <v>9128</v>
      </c>
      <c r="B43" s="2" t="s">
        <v>284</v>
      </c>
      <c r="C43" s="2" t="s">
        <v>9098</v>
      </c>
      <c r="D43" s="2" t="n">
        <v>20.54</v>
      </c>
      <c r="E43" s="13" t="n">
        <v>45586</v>
      </c>
    </row>
    <row r="44" customFormat="false" ht="15" hidden="false" customHeight="false" outlineLevel="0" collapsed="false">
      <c r="A44" s="2" t="s">
        <v>9129</v>
      </c>
      <c r="B44" s="2" t="s">
        <v>289</v>
      </c>
      <c r="C44" s="2" t="s">
        <v>9098</v>
      </c>
      <c r="D44" s="2" t="n">
        <v>20.91</v>
      </c>
      <c r="E44" s="13" t="n">
        <v>45593</v>
      </c>
    </row>
    <row r="45" customFormat="false" ht="15" hidden="false" customHeight="false" outlineLevel="0" collapsed="false">
      <c r="A45" s="2" t="s">
        <v>9130</v>
      </c>
      <c r="B45" s="2" t="s">
        <v>294</v>
      </c>
      <c r="C45" s="2" t="s">
        <v>9085</v>
      </c>
      <c r="D45" s="2" t="n">
        <v>21.28</v>
      </c>
      <c r="E45" s="13" t="n">
        <v>45600</v>
      </c>
    </row>
    <row r="46" customFormat="false" ht="15" hidden="false" customHeight="false" outlineLevel="0" collapsed="false">
      <c r="A46" s="2" t="s">
        <v>9131</v>
      </c>
      <c r="B46" s="2" t="s">
        <v>299</v>
      </c>
      <c r="C46" s="2" t="s">
        <v>9087</v>
      </c>
      <c r="D46" s="2" t="n">
        <v>21.65</v>
      </c>
      <c r="E46" s="13" t="n">
        <v>45607</v>
      </c>
    </row>
    <row r="47" customFormat="false" ht="15" hidden="false" customHeight="false" outlineLevel="0" collapsed="false">
      <c r="A47" s="2" t="s">
        <v>9132</v>
      </c>
      <c r="B47" s="2" t="s">
        <v>304</v>
      </c>
      <c r="C47" s="2" t="s">
        <v>9087</v>
      </c>
      <c r="D47" s="2" t="n">
        <v>22.02</v>
      </c>
      <c r="E47" s="13" t="n">
        <v>45614</v>
      </c>
    </row>
    <row r="48" customFormat="false" ht="15" hidden="false" customHeight="false" outlineLevel="0" collapsed="false">
      <c r="A48" s="2" t="s">
        <v>9133</v>
      </c>
      <c r="B48" s="2" t="s">
        <v>309</v>
      </c>
      <c r="C48" s="2" t="s">
        <v>9083</v>
      </c>
      <c r="D48" s="2" t="n">
        <v>22.39</v>
      </c>
      <c r="E48" s="13" t="n">
        <v>45621</v>
      </c>
    </row>
    <row r="49" customFormat="false" ht="15" hidden="false" customHeight="false" outlineLevel="0" collapsed="false">
      <c r="A49" s="2" t="s">
        <v>9134</v>
      </c>
      <c r="B49" s="2" t="s">
        <v>314</v>
      </c>
      <c r="C49" s="2" t="s">
        <v>9085</v>
      </c>
      <c r="D49" s="2" t="n">
        <v>22.76</v>
      </c>
      <c r="E49" s="13" t="n">
        <v>45628</v>
      </c>
    </row>
    <row r="50" customFormat="false" ht="15" hidden="false" customHeight="false" outlineLevel="0" collapsed="false">
      <c r="A50" s="2" t="s">
        <v>9135</v>
      </c>
      <c r="B50" s="2" t="s">
        <v>319</v>
      </c>
      <c r="C50" s="2" t="s">
        <v>9085</v>
      </c>
      <c r="D50" s="2" t="n">
        <v>23.13</v>
      </c>
      <c r="E50" s="13" t="n">
        <v>45635</v>
      </c>
    </row>
    <row r="51" customFormat="false" ht="15" hidden="false" customHeight="false" outlineLevel="0" collapsed="false">
      <c r="A51" s="2" t="s">
        <v>9136</v>
      </c>
      <c r="B51" s="2" t="s">
        <v>324</v>
      </c>
      <c r="C51" s="2" t="s">
        <v>9085</v>
      </c>
      <c r="D51" s="2" t="n">
        <v>23.5</v>
      </c>
      <c r="E51" s="13" t="n">
        <v>45642</v>
      </c>
    </row>
    <row r="52" customFormat="false" ht="15" hidden="false" customHeight="false" outlineLevel="0" collapsed="false">
      <c r="A52" s="2" t="s">
        <v>9137</v>
      </c>
      <c r="B52" s="2" t="s">
        <v>329</v>
      </c>
      <c r="C52" s="2" t="s">
        <v>9083</v>
      </c>
      <c r="D52" s="2" t="n">
        <v>23.87</v>
      </c>
      <c r="E52" s="13" t="n">
        <v>45649</v>
      </c>
    </row>
    <row r="53" customFormat="false" ht="15" hidden="false" customHeight="false" outlineLevel="0" collapsed="false">
      <c r="A53" s="2" t="s">
        <v>9138</v>
      </c>
      <c r="B53" s="2" t="s">
        <v>334</v>
      </c>
      <c r="C53" s="2" t="s">
        <v>9085</v>
      </c>
      <c r="D53" s="2" t="n">
        <v>24.24</v>
      </c>
      <c r="E53" s="13" t="n">
        <v>45656</v>
      </c>
    </row>
    <row r="54" customFormat="false" ht="15" hidden="false" customHeight="false" outlineLevel="0" collapsed="false">
      <c r="A54" s="2" t="s">
        <v>9139</v>
      </c>
      <c r="B54" s="2" t="s">
        <v>339</v>
      </c>
      <c r="C54" s="2" t="s">
        <v>9085</v>
      </c>
      <c r="D54" s="2" t="n">
        <v>24.61</v>
      </c>
      <c r="E54" s="13" t="n">
        <v>45663</v>
      </c>
    </row>
    <row r="55" customFormat="false" ht="15" hidden="false" customHeight="false" outlineLevel="0" collapsed="false">
      <c r="A55" s="2" t="s">
        <v>9140</v>
      </c>
      <c r="B55" s="2" t="s">
        <v>344</v>
      </c>
      <c r="C55" s="2" t="s">
        <v>9092</v>
      </c>
      <c r="D55" s="2" t="n">
        <v>24.98</v>
      </c>
      <c r="E55" s="13" t="n">
        <v>45670</v>
      </c>
    </row>
    <row r="56" customFormat="false" ht="15" hidden="false" customHeight="false" outlineLevel="0" collapsed="false">
      <c r="A56" s="2" t="s">
        <v>9141</v>
      </c>
      <c r="B56" s="2" t="s">
        <v>349</v>
      </c>
      <c r="C56" s="2" t="s">
        <v>9092</v>
      </c>
      <c r="D56" s="2" t="n">
        <v>25.35</v>
      </c>
      <c r="E56" s="13" t="n">
        <v>45677</v>
      </c>
    </row>
    <row r="57" customFormat="false" ht="15" hidden="false" customHeight="false" outlineLevel="0" collapsed="false">
      <c r="A57" s="2" t="s">
        <v>9142</v>
      </c>
      <c r="B57" s="2" t="s">
        <v>354</v>
      </c>
      <c r="C57" s="2" t="s">
        <v>9083</v>
      </c>
      <c r="D57" s="2" t="n">
        <v>25.72</v>
      </c>
      <c r="E57" s="13" t="n">
        <v>45684</v>
      </c>
    </row>
    <row r="58" customFormat="false" ht="15" hidden="false" customHeight="false" outlineLevel="0" collapsed="false">
      <c r="A58" s="2" t="s">
        <v>9143</v>
      </c>
      <c r="B58" s="2" t="s">
        <v>359</v>
      </c>
      <c r="C58" s="2" t="s">
        <v>9083</v>
      </c>
      <c r="D58" s="2" t="n">
        <v>26.09</v>
      </c>
      <c r="E58" s="13" t="n">
        <v>45691</v>
      </c>
    </row>
    <row r="59" customFormat="false" ht="15" hidden="false" customHeight="false" outlineLevel="0" collapsed="false">
      <c r="A59" s="2" t="s">
        <v>9144</v>
      </c>
      <c r="B59" s="2" t="s">
        <v>364</v>
      </c>
      <c r="C59" s="2" t="s">
        <v>9098</v>
      </c>
      <c r="D59" s="2" t="n">
        <v>26.46</v>
      </c>
      <c r="E59" s="13" t="n">
        <v>45698</v>
      </c>
    </row>
    <row r="60" customFormat="false" ht="15" hidden="false" customHeight="false" outlineLevel="0" collapsed="false">
      <c r="A60" s="2" t="s">
        <v>9145</v>
      </c>
      <c r="B60" s="2" t="s">
        <v>369</v>
      </c>
      <c r="C60" s="2" t="s">
        <v>9092</v>
      </c>
      <c r="D60" s="2" t="n">
        <v>26.83</v>
      </c>
      <c r="E60" s="13" t="n">
        <v>45705</v>
      </c>
    </row>
    <row r="61" customFormat="false" ht="15" hidden="false" customHeight="false" outlineLevel="0" collapsed="false">
      <c r="A61" s="2" t="s">
        <v>9146</v>
      </c>
      <c r="B61" s="2" t="s">
        <v>374</v>
      </c>
      <c r="C61" s="2" t="s">
        <v>9083</v>
      </c>
      <c r="D61" s="2" t="n">
        <v>27.2</v>
      </c>
      <c r="E61" s="13" t="n">
        <v>45712</v>
      </c>
    </row>
    <row r="62" customFormat="false" ht="15" hidden="false" customHeight="false" outlineLevel="0" collapsed="false">
      <c r="A62" s="2" t="s">
        <v>9147</v>
      </c>
      <c r="B62" s="2" t="s">
        <v>379</v>
      </c>
      <c r="C62" s="2" t="s">
        <v>9092</v>
      </c>
      <c r="D62" s="2" t="n">
        <v>27.57</v>
      </c>
      <c r="E62" s="13" t="n">
        <v>45719</v>
      </c>
    </row>
    <row r="63" customFormat="false" ht="15" hidden="false" customHeight="false" outlineLevel="0" collapsed="false">
      <c r="A63" s="2" t="s">
        <v>9148</v>
      </c>
      <c r="B63" s="2" t="s">
        <v>384</v>
      </c>
      <c r="C63" s="2" t="s">
        <v>9085</v>
      </c>
      <c r="D63" s="2" t="n">
        <v>27.94</v>
      </c>
      <c r="E63" s="13" t="n">
        <v>45726</v>
      </c>
    </row>
    <row r="64" customFormat="false" ht="15" hidden="false" customHeight="false" outlineLevel="0" collapsed="false">
      <c r="A64" s="2" t="s">
        <v>9149</v>
      </c>
      <c r="B64" s="2" t="s">
        <v>389</v>
      </c>
      <c r="C64" s="2" t="s">
        <v>9098</v>
      </c>
      <c r="D64" s="2" t="n">
        <v>28.31</v>
      </c>
      <c r="E64" s="13" t="n">
        <v>45733</v>
      </c>
    </row>
    <row r="65" customFormat="false" ht="15" hidden="false" customHeight="false" outlineLevel="0" collapsed="false">
      <c r="A65" s="2" t="s">
        <v>9150</v>
      </c>
      <c r="B65" s="2" t="s">
        <v>394</v>
      </c>
      <c r="C65" s="2" t="s">
        <v>9083</v>
      </c>
      <c r="D65" s="2" t="n">
        <v>28.68</v>
      </c>
      <c r="E65" s="13" t="n">
        <v>45740</v>
      </c>
    </row>
    <row r="66" customFormat="false" ht="15" hidden="false" customHeight="false" outlineLevel="0" collapsed="false">
      <c r="A66" s="2" t="s">
        <v>9151</v>
      </c>
      <c r="B66" s="2" t="s">
        <v>399</v>
      </c>
      <c r="C66" s="2" t="s">
        <v>9083</v>
      </c>
      <c r="D66" s="2" t="n">
        <v>29.05</v>
      </c>
      <c r="E66" s="13" t="n">
        <v>45747</v>
      </c>
    </row>
    <row r="67" customFormat="false" ht="15" hidden="false" customHeight="false" outlineLevel="0" collapsed="false">
      <c r="A67" s="2" t="s">
        <v>9152</v>
      </c>
      <c r="B67" s="2" t="s">
        <v>404</v>
      </c>
      <c r="C67" s="2" t="s">
        <v>9098</v>
      </c>
      <c r="D67" s="2" t="n">
        <v>29.42</v>
      </c>
      <c r="E67" s="13" t="n">
        <v>45754</v>
      </c>
    </row>
    <row r="68" customFormat="false" ht="15" hidden="false" customHeight="false" outlineLevel="0" collapsed="false">
      <c r="A68" s="2" t="s">
        <v>9153</v>
      </c>
      <c r="B68" s="2" t="s">
        <v>409</v>
      </c>
      <c r="C68" s="2" t="s">
        <v>9092</v>
      </c>
      <c r="D68" s="2" t="n">
        <v>29.79</v>
      </c>
      <c r="E68" s="13" t="n">
        <v>45761</v>
      </c>
    </row>
    <row r="69" customFormat="false" ht="15" hidden="false" customHeight="false" outlineLevel="0" collapsed="false">
      <c r="A69" s="2" t="s">
        <v>9154</v>
      </c>
      <c r="B69" s="2" t="s">
        <v>414</v>
      </c>
      <c r="C69" s="2" t="s">
        <v>9083</v>
      </c>
      <c r="D69" s="2" t="n">
        <v>30.16</v>
      </c>
      <c r="E69" s="13" t="n">
        <v>45768</v>
      </c>
    </row>
    <row r="70" customFormat="false" ht="15" hidden="false" customHeight="false" outlineLevel="0" collapsed="false">
      <c r="A70" s="2" t="s">
        <v>9155</v>
      </c>
      <c r="B70" s="2" t="s">
        <v>419</v>
      </c>
      <c r="C70" s="2" t="s">
        <v>9098</v>
      </c>
      <c r="D70" s="2" t="n">
        <v>30.53</v>
      </c>
      <c r="E70" s="13" t="n">
        <v>45775</v>
      </c>
    </row>
    <row r="71" customFormat="false" ht="15" hidden="false" customHeight="false" outlineLevel="0" collapsed="false">
      <c r="A71" s="2" t="s">
        <v>9156</v>
      </c>
      <c r="B71" s="2" t="s">
        <v>424</v>
      </c>
      <c r="C71" s="2" t="s">
        <v>9085</v>
      </c>
      <c r="D71" s="2" t="n">
        <v>30.9</v>
      </c>
      <c r="E71" s="13" t="n">
        <v>45782</v>
      </c>
    </row>
    <row r="72" customFormat="false" ht="15" hidden="false" customHeight="false" outlineLevel="0" collapsed="false">
      <c r="A72" s="2" t="s">
        <v>9157</v>
      </c>
      <c r="B72" s="2" t="s">
        <v>429</v>
      </c>
      <c r="C72" s="2" t="s">
        <v>9087</v>
      </c>
      <c r="D72" s="2" t="n">
        <v>31.27</v>
      </c>
      <c r="E72" s="13" t="n">
        <v>45789</v>
      </c>
    </row>
    <row r="73" customFormat="false" ht="15" hidden="false" customHeight="false" outlineLevel="0" collapsed="false">
      <c r="A73" s="2" t="s">
        <v>9158</v>
      </c>
      <c r="B73" s="2" t="s">
        <v>434</v>
      </c>
      <c r="C73" s="2" t="s">
        <v>9092</v>
      </c>
      <c r="D73" s="2" t="n">
        <v>31.64</v>
      </c>
      <c r="E73" s="13" t="n">
        <v>45796</v>
      </c>
    </row>
    <row r="74" customFormat="false" ht="15" hidden="false" customHeight="false" outlineLevel="0" collapsed="false">
      <c r="A74" s="2" t="s">
        <v>9159</v>
      </c>
      <c r="B74" s="2" t="s">
        <v>439</v>
      </c>
      <c r="C74" s="2" t="s">
        <v>9085</v>
      </c>
      <c r="D74" s="2" t="n">
        <v>32.01</v>
      </c>
      <c r="E74" s="13" t="n">
        <v>45803</v>
      </c>
    </row>
    <row r="75" customFormat="false" ht="15" hidden="false" customHeight="false" outlineLevel="0" collapsed="false">
      <c r="A75" s="2" t="s">
        <v>9160</v>
      </c>
      <c r="B75" s="2" t="s">
        <v>444</v>
      </c>
      <c r="C75" s="2" t="s">
        <v>9092</v>
      </c>
      <c r="D75" s="2" t="n">
        <v>32.38</v>
      </c>
      <c r="E75" s="13" t="n">
        <v>45810</v>
      </c>
    </row>
    <row r="76" customFormat="false" ht="15" hidden="false" customHeight="false" outlineLevel="0" collapsed="false">
      <c r="A76" s="2" t="s">
        <v>9161</v>
      </c>
      <c r="B76" s="2" t="s">
        <v>449</v>
      </c>
      <c r="C76" s="2" t="s">
        <v>9083</v>
      </c>
      <c r="D76" s="2" t="n">
        <v>32.75</v>
      </c>
      <c r="E76" s="13" t="n">
        <v>45817</v>
      </c>
    </row>
    <row r="77" customFormat="false" ht="15" hidden="false" customHeight="false" outlineLevel="0" collapsed="false">
      <c r="A77" s="2" t="s">
        <v>9162</v>
      </c>
      <c r="B77" s="2" t="s">
        <v>454</v>
      </c>
      <c r="C77" s="2" t="s">
        <v>9083</v>
      </c>
      <c r="D77" s="2" t="n">
        <v>33.12</v>
      </c>
      <c r="E77" s="13" t="n">
        <v>45824</v>
      </c>
    </row>
    <row r="78" customFormat="false" ht="15" hidden="false" customHeight="false" outlineLevel="0" collapsed="false">
      <c r="A78" s="2" t="s">
        <v>9163</v>
      </c>
      <c r="B78" s="2" t="s">
        <v>459</v>
      </c>
      <c r="C78" s="2" t="s">
        <v>9087</v>
      </c>
      <c r="D78" s="2" t="n">
        <v>33.49</v>
      </c>
      <c r="E78" s="13" t="n">
        <v>45831</v>
      </c>
    </row>
    <row r="79" customFormat="false" ht="15" hidden="false" customHeight="false" outlineLevel="0" collapsed="false">
      <c r="A79" s="2" t="s">
        <v>9164</v>
      </c>
      <c r="B79" s="2" t="s">
        <v>464</v>
      </c>
      <c r="C79" s="2" t="s">
        <v>9083</v>
      </c>
      <c r="D79" s="2" t="n">
        <v>33.86</v>
      </c>
      <c r="E79" s="13" t="n">
        <v>45838</v>
      </c>
    </row>
    <row r="80" customFormat="false" ht="15" hidden="false" customHeight="false" outlineLevel="0" collapsed="false">
      <c r="A80" s="2" t="s">
        <v>9165</v>
      </c>
      <c r="B80" s="2" t="s">
        <v>469</v>
      </c>
      <c r="C80" s="2" t="s">
        <v>9085</v>
      </c>
      <c r="D80" s="2" t="n">
        <v>34.23</v>
      </c>
      <c r="E80" s="13" t="n">
        <v>45845</v>
      </c>
    </row>
    <row r="81" customFormat="false" ht="15" hidden="false" customHeight="false" outlineLevel="0" collapsed="false">
      <c r="A81" s="2" t="s">
        <v>9166</v>
      </c>
      <c r="B81" s="2" t="s">
        <v>474</v>
      </c>
      <c r="C81" s="2" t="s">
        <v>9092</v>
      </c>
      <c r="D81" s="2" t="n">
        <v>34.6</v>
      </c>
      <c r="E81" s="13" t="n">
        <v>45852</v>
      </c>
    </row>
    <row r="82" customFormat="false" ht="15" hidden="false" customHeight="false" outlineLevel="0" collapsed="false">
      <c r="A82" s="2" t="s">
        <v>9167</v>
      </c>
      <c r="B82" s="2" t="s">
        <v>479</v>
      </c>
      <c r="C82" s="2" t="s">
        <v>9087</v>
      </c>
      <c r="D82" s="2" t="n">
        <v>34.97</v>
      </c>
      <c r="E82" s="13" t="n">
        <v>45859</v>
      </c>
    </row>
    <row r="83" customFormat="false" ht="15" hidden="false" customHeight="false" outlineLevel="0" collapsed="false">
      <c r="A83" s="2" t="s">
        <v>9168</v>
      </c>
      <c r="B83" s="2" t="s">
        <v>484</v>
      </c>
      <c r="C83" s="2" t="s">
        <v>9085</v>
      </c>
      <c r="D83" s="2" t="n">
        <v>35.34</v>
      </c>
      <c r="E83" s="13" t="n">
        <v>45866</v>
      </c>
    </row>
    <row r="84" customFormat="false" ht="15" hidden="false" customHeight="false" outlineLevel="0" collapsed="false">
      <c r="A84" s="2" t="s">
        <v>9169</v>
      </c>
      <c r="B84" s="2" t="s">
        <v>489</v>
      </c>
      <c r="C84" s="2" t="s">
        <v>9092</v>
      </c>
      <c r="D84" s="2" t="n">
        <v>35.71</v>
      </c>
      <c r="E84" s="13" t="n">
        <v>45873</v>
      </c>
    </row>
    <row r="85" customFormat="false" ht="15" hidden="false" customHeight="false" outlineLevel="0" collapsed="false">
      <c r="A85" s="2" t="s">
        <v>9170</v>
      </c>
      <c r="B85" s="2" t="s">
        <v>494</v>
      </c>
      <c r="C85" s="2" t="s">
        <v>9083</v>
      </c>
      <c r="D85" s="2" t="n">
        <v>36.08</v>
      </c>
      <c r="E85" s="13" t="n">
        <v>45880</v>
      </c>
    </row>
    <row r="86" customFormat="false" ht="15" hidden="false" customHeight="false" outlineLevel="0" collapsed="false">
      <c r="A86" s="2" t="s">
        <v>9171</v>
      </c>
      <c r="B86" s="2" t="s">
        <v>499</v>
      </c>
      <c r="C86" s="2" t="s">
        <v>9087</v>
      </c>
      <c r="D86" s="2" t="n">
        <v>36.45</v>
      </c>
      <c r="E86" s="13" t="n">
        <v>45887</v>
      </c>
    </row>
    <row r="87" customFormat="false" ht="15" hidden="false" customHeight="false" outlineLevel="0" collapsed="false">
      <c r="A87" s="2" t="s">
        <v>9172</v>
      </c>
      <c r="B87" s="2" t="s">
        <v>504</v>
      </c>
      <c r="C87" s="2" t="s">
        <v>9092</v>
      </c>
      <c r="D87" s="2" t="n">
        <v>36.82</v>
      </c>
      <c r="E87" s="13" t="n">
        <v>45894</v>
      </c>
    </row>
    <row r="88" customFormat="false" ht="15" hidden="false" customHeight="false" outlineLevel="0" collapsed="false">
      <c r="A88" s="2" t="s">
        <v>9173</v>
      </c>
      <c r="B88" s="2" t="s">
        <v>509</v>
      </c>
      <c r="C88" s="2" t="s">
        <v>9083</v>
      </c>
      <c r="D88" s="2" t="n">
        <v>37.19</v>
      </c>
      <c r="E88" s="13" t="n">
        <v>45901</v>
      </c>
    </row>
    <row r="89" customFormat="false" ht="15" hidden="false" customHeight="false" outlineLevel="0" collapsed="false">
      <c r="A89" s="2" t="s">
        <v>9174</v>
      </c>
      <c r="B89" s="2" t="s">
        <v>514</v>
      </c>
      <c r="C89" s="2" t="s">
        <v>9098</v>
      </c>
      <c r="D89" s="2" t="n">
        <v>37.56</v>
      </c>
      <c r="E89" s="13" t="n">
        <v>45908</v>
      </c>
    </row>
    <row r="90" customFormat="false" ht="15" hidden="false" customHeight="false" outlineLevel="0" collapsed="false">
      <c r="A90" s="2" t="s">
        <v>9175</v>
      </c>
      <c r="B90" s="2" t="s">
        <v>519</v>
      </c>
      <c r="C90" s="2" t="s">
        <v>9092</v>
      </c>
      <c r="D90" s="2" t="n">
        <v>37.93</v>
      </c>
      <c r="E90" s="13" t="n">
        <v>45915</v>
      </c>
    </row>
    <row r="91" customFormat="false" ht="15" hidden="false" customHeight="false" outlineLevel="0" collapsed="false">
      <c r="A91" s="2" t="s">
        <v>9176</v>
      </c>
      <c r="B91" s="2" t="s">
        <v>524</v>
      </c>
      <c r="C91" s="2" t="s">
        <v>9083</v>
      </c>
      <c r="D91" s="2" t="n">
        <v>38.3</v>
      </c>
      <c r="E91" s="13" t="n">
        <v>45922</v>
      </c>
    </row>
    <row r="92" customFormat="false" ht="15" hidden="false" customHeight="false" outlineLevel="0" collapsed="false">
      <c r="A92" s="2" t="s">
        <v>9177</v>
      </c>
      <c r="B92" s="2" t="s">
        <v>529</v>
      </c>
      <c r="C92" s="2" t="s">
        <v>9092</v>
      </c>
      <c r="D92" s="2" t="n">
        <v>38.67</v>
      </c>
      <c r="E92" s="13" t="n">
        <v>45929</v>
      </c>
    </row>
    <row r="93" customFormat="false" ht="15" hidden="false" customHeight="false" outlineLevel="0" collapsed="false">
      <c r="A93" s="2" t="s">
        <v>9178</v>
      </c>
      <c r="B93" s="2" t="s">
        <v>532</v>
      </c>
      <c r="C93" s="2" t="s">
        <v>9087</v>
      </c>
      <c r="D93" s="2" t="n">
        <v>39.04</v>
      </c>
      <c r="E93" s="13" t="n">
        <v>45936</v>
      </c>
    </row>
    <row r="94" customFormat="false" ht="15" hidden="false" customHeight="false" outlineLevel="0" collapsed="false">
      <c r="A94" s="2" t="s">
        <v>9179</v>
      </c>
      <c r="B94" s="2" t="s">
        <v>537</v>
      </c>
      <c r="C94" s="2" t="s">
        <v>9098</v>
      </c>
      <c r="D94" s="2" t="n">
        <v>39.41</v>
      </c>
      <c r="E94" s="13" t="n">
        <v>45943</v>
      </c>
    </row>
    <row r="95" customFormat="false" ht="15" hidden="false" customHeight="false" outlineLevel="0" collapsed="false">
      <c r="A95" s="2" t="s">
        <v>9180</v>
      </c>
      <c r="B95" s="2" t="s">
        <v>542</v>
      </c>
      <c r="C95" s="2" t="s">
        <v>9085</v>
      </c>
      <c r="D95" s="2" t="n">
        <v>39.78</v>
      </c>
      <c r="E95" s="13" t="n">
        <v>45950</v>
      </c>
    </row>
    <row r="96" customFormat="false" ht="15" hidden="false" customHeight="false" outlineLevel="0" collapsed="false">
      <c r="A96" s="2" t="s">
        <v>9181</v>
      </c>
      <c r="B96" s="2" t="s">
        <v>547</v>
      </c>
      <c r="C96" s="2" t="s">
        <v>9083</v>
      </c>
      <c r="D96" s="2" t="n">
        <v>40.15</v>
      </c>
      <c r="E96" s="13" t="n">
        <v>45957</v>
      </c>
    </row>
    <row r="97" customFormat="false" ht="15" hidden="false" customHeight="false" outlineLevel="0" collapsed="false">
      <c r="A97" s="2" t="s">
        <v>9182</v>
      </c>
      <c r="B97" s="2" t="s">
        <v>552</v>
      </c>
      <c r="C97" s="2" t="s">
        <v>9087</v>
      </c>
      <c r="D97" s="2" t="n">
        <v>40.52</v>
      </c>
      <c r="E97" s="13" t="n">
        <v>45964</v>
      </c>
    </row>
    <row r="98" customFormat="false" ht="15" hidden="false" customHeight="false" outlineLevel="0" collapsed="false">
      <c r="A98" s="2" t="s">
        <v>9183</v>
      </c>
      <c r="B98" s="2" t="s">
        <v>557</v>
      </c>
      <c r="C98" s="2" t="s">
        <v>9085</v>
      </c>
      <c r="D98" s="2" t="n">
        <v>40.89</v>
      </c>
      <c r="E98" s="13" t="n">
        <v>45971</v>
      </c>
    </row>
    <row r="99" customFormat="false" ht="15" hidden="false" customHeight="false" outlineLevel="0" collapsed="false">
      <c r="A99" s="2" t="s">
        <v>9184</v>
      </c>
      <c r="B99" s="2" t="s">
        <v>562</v>
      </c>
      <c r="C99" s="2" t="s">
        <v>9083</v>
      </c>
      <c r="D99" s="2" t="n">
        <v>41.26</v>
      </c>
      <c r="E99" s="13" t="n">
        <v>45978</v>
      </c>
    </row>
    <row r="100" customFormat="false" ht="15" hidden="false" customHeight="false" outlineLevel="0" collapsed="false">
      <c r="A100" s="2" t="s">
        <v>9185</v>
      </c>
      <c r="B100" s="2" t="s">
        <v>567</v>
      </c>
      <c r="C100" s="2" t="s">
        <v>9087</v>
      </c>
      <c r="D100" s="2" t="n">
        <v>41.63</v>
      </c>
      <c r="E100" s="13" t="n">
        <v>45985</v>
      </c>
    </row>
    <row r="101" customFormat="false" ht="15" hidden="false" customHeight="false" outlineLevel="0" collapsed="false">
      <c r="A101" s="2" t="s">
        <v>9186</v>
      </c>
      <c r="B101" s="2" t="s">
        <v>572</v>
      </c>
      <c r="C101" s="2" t="s">
        <v>9092</v>
      </c>
      <c r="D101" s="2" t="n">
        <v>42</v>
      </c>
      <c r="E101" s="13" t="n">
        <v>45992</v>
      </c>
    </row>
    <row r="102" customFormat="false" ht="15" hidden="false" customHeight="false" outlineLevel="0" collapsed="false">
      <c r="A102" s="2" t="s">
        <v>9187</v>
      </c>
      <c r="B102" s="2" t="s">
        <v>577</v>
      </c>
      <c r="C102" s="2" t="s">
        <v>9087</v>
      </c>
      <c r="D102" s="2" t="n">
        <v>42.37</v>
      </c>
      <c r="E102" s="13" t="n">
        <v>45999</v>
      </c>
    </row>
    <row r="103" customFormat="false" ht="15" hidden="false" customHeight="false" outlineLevel="0" collapsed="false">
      <c r="A103" s="2" t="s">
        <v>9188</v>
      </c>
      <c r="B103" s="2" t="s">
        <v>582</v>
      </c>
      <c r="C103" s="2" t="s">
        <v>9092</v>
      </c>
      <c r="D103" s="2" t="n">
        <v>42.74</v>
      </c>
      <c r="E103" s="13" t="n">
        <v>46006</v>
      </c>
    </row>
    <row r="104" customFormat="false" ht="15" hidden="false" customHeight="false" outlineLevel="0" collapsed="false">
      <c r="A104" s="2" t="s">
        <v>9189</v>
      </c>
      <c r="B104" s="2" t="s">
        <v>585</v>
      </c>
      <c r="C104" s="2" t="s">
        <v>9092</v>
      </c>
      <c r="D104" s="2" t="n">
        <v>43.11</v>
      </c>
      <c r="E104" s="13" t="n">
        <v>46013</v>
      </c>
    </row>
    <row r="105" customFormat="false" ht="15" hidden="false" customHeight="false" outlineLevel="0" collapsed="false">
      <c r="A105" s="2" t="s">
        <v>9190</v>
      </c>
      <c r="B105" s="2" t="s">
        <v>590</v>
      </c>
      <c r="C105" s="2" t="s">
        <v>9085</v>
      </c>
      <c r="D105" s="2" t="n">
        <v>43.48</v>
      </c>
      <c r="E105" s="13" t="n">
        <v>46020</v>
      </c>
    </row>
    <row r="106" customFormat="false" ht="15" hidden="false" customHeight="false" outlineLevel="0" collapsed="false">
      <c r="A106" s="2" t="s">
        <v>9191</v>
      </c>
      <c r="B106" s="2" t="s">
        <v>595</v>
      </c>
      <c r="C106" s="2" t="s">
        <v>9087</v>
      </c>
      <c r="D106" s="2" t="n">
        <v>43.85</v>
      </c>
      <c r="E106" s="13" t="n">
        <v>45297</v>
      </c>
    </row>
    <row r="107" customFormat="false" ht="15" hidden="false" customHeight="false" outlineLevel="0" collapsed="false">
      <c r="A107" s="2" t="s">
        <v>9192</v>
      </c>
      <c r="B107" s="2" t="s">
        <v>600</v>
      </c>
      <c r="C107" s="2" t="s">
        <v>9083</v>
      </c>
      <c r="D107" s="2" t="n">
        <v>44.22</v>
      </c>
      <c r="E107" s="13" t="n">
        <v>45304</v>
      </c>
    </row>
    <row r="108" customFormat="false" ht="15" hidden="false" customHeight="false" outlineLevel="0" collapsed="false">
      <c r="A108" s="2" t="s">
        <v>9193</v>
      </c>
      <c r="B108" s="2" t="s">
        <v>605</v>
      </c>
      <c r="C108" s="2" t="s">
        <v>9092</v>
      </c>
      <c r="D108" s="2" t="n">
        <v>44.59</v>
      </c>
      <c r="E108" s="13" t="n">
        <v>45311</v>
      </c>
    </row>
    <row r="109" customFormat="false" ht="15" hidden="false" customHeight="false" outlineLevel="0" collapsed="false">
      <c r="A109" s="2" t="s">
        <v>9194</v>
      </c>
      <c r="B109" s="2" t="s">
        <v>608</v>
      </c>
      <c r="C109" s="2" t="s">
        <v>9087</v>
      </c>
      <c r="D109" s="2" t="n">
        <v>44.96</v>
      </c>
      <c r="E109" s="13" t="n">
        <v>45318</v>
      </c>
    </row>
    <row r="110" customFormat="false" ht="15" hidden="false" customHeight="false" outlineLevel="0" collapsed="false">
      <c r="A110" s="2" t="s">
        <v>9195</v>
      </c>
      <c r="B110" s="2" t="s">
        <v>613</v>
      </c>
      <c r="C110" s="2" t="s">
        <v>9083</v>
      </c>
      <c r="D110" s="2" t="n">
        <v>45.33</v>
      </c>
      <c r="E110" s="13" t="n">
        <v>45325</v>
      </c>
    </row>
    <row r="111" customFormat="false" ht="15" hidden="false" customHeight="false" outlineLevel="0" collapsed="false">
      <c r="A111" s="2" t="s">
        <v>9196</v>
      </c>
      <c r="B111" s="2" t="s">
        <v>618</v>
      </c>
      <c r="C111" s="2" t="s">
        <v>9085</v>
      </c>
      <c r="D111" s="2" t="n">
        <v>45.7</v>
      </c>
      <c r="E111" s="13" t="n">
        <v>45332</v>
      </c>
    </row>
    <row r="112" customFormat="false" ht="15" hidden="false" customHeight="false" outlineLevel="0" collapsed="false">
      <c r="A112" s="2" t="s">
        <v>9197</v>
      </c>
      <c r="B112" s="2" t="s">
        <v>623</v>
      </c>
      <c r="C112" s="2" t="s">
        <v>9085</v>
      </c>
      <c r="D112" s="2" t="n">
        <v>46.07</v>
      </c>
      <c r="E112" s="13" t="n">
        <v>45339</v>
      </c>
    </row>
    <row r="113" customFormat="false" ht="15" hidden="false" customHeight="false" outlineLevel="0" collapsed="false">
      <c r="A113" s="2" t="s">
        <v>9198</v>
      </c>
      <c r="B113" s="2" t="s">
        <v>628</v>
      </c>
      <c r="C113" s="2" t="s">
        <v>9087</v>
      </c>
      <c r="D113" s="2" t="n">
        <v>46.44</v>
      </c>
      <c r="E113" s="13" t="n">
        <v>45346</v>
      </c>
    </row>
    <row r="114" customFormat="false" ht="15" hidden="false" customHeight="false" outlineLevel="0" collapsed="false">
      <c r="A114" s="2" t="s">
        <v>9199</v>
      </c>
      <c r="B114" s="2" t="s">
        <v>633</v>
      </c>
      <c r="C114" s="2" t="s">
        <v>9098</v>
      </c>
      <c r="D114" s="2" t="n">
        <v>46.81</v>
      </c>
      <c r="E114" s="13" t="n">
        <v>45353</v>
      </c>
    </row>
    <row r="115" customFormat="false" ht="15" hidden="false" customHeight="false" outlineLevel="0" collapsed="false">
      <c r="A115" s="2" t="s">
        <v>9200</v>
      </c>
      <c r="B115" s="2" t="s">
        <v>638</v>
      </c>
      <c r="C115" s="2" t="s">
        <v>9087</v>
      </c>
      <c r="D115" s="2" t="n">
        <v>47.18</v>
      </c>
      <c r="E115" s="13" t="n">
        <v>45360</v>
      </c>
    </row>
    <row r="116" customFormat="false" ht="15" hidden="false" customHeight="false" outlineLevel="0" collapsed="false">
      <c r="A116" s="2" t="s">
        <v>9201</v>
      </c>
      <c r="B116" s="2" t="s">
        <v>641</v>
      </c>
      <c r="C116" s="2" t="s">
        <v>9085</v>
      </c>
      <c r="D116" s="2" t="n">
        <v>47.55</v>
      </c>
      <c r="E116" s="13" t="n">
        <v>45367</v>
      </c>
    </row>
    <row r="117" customFormat="false" ht="15" hidden="false" customHeight="false" outlineLevel="0" collapsed="false">
      <c r="A117" s="2" t="s">
        <v>9202</v>
      </c>
      <c r="B117" s="2" t="s">
        <v>646</v>
      </c>
      <c r="C117" s="2" t="s">
        <v>9085</v>
      </c>
      <c r="D117" s="2" t="n">
        <v>47.92</v>
      </c>
      <c r="E117" s="13" t="n">
        <v>45374</v>
      </c>
    </row>
    <row r="118" customFormat="false" ht="15" hidden="false" customHeight="false" outlineLevel="0" collapsed="false">
      <c r="A118" s="2" t="s">
        <v>9203</v>
      </c>
      <c r="B118" s="2" t="s">
        <v>649</v>
      </c>
      <c r="C118" s="2" t="s">
        <v>9087</v>
      </c>
      <c r="D118" s="2" t="n">
        <v>48.29</v>
      </c>
      <c r="E118" s="13" t="n">
        <v>45381</v>
      </c>
    </row>
    <row r="119" customFormat="false" ht="15" hidden="false" customHeight="false" outlineLevel="0" collapsed="false">
      <c r="A119" s="2" t="s">
        <v>9204</v>
      </c>
      <c r="B119" s="2" t="s">
        <v>653</v>
      </c>
      <c r="C119" s="2" t="s">
        <v>9083</v>
      </c>
      <c r="D119" s="2" t="n">
        <v>48.66</v>
      </c>
      <c r="E119" s="13" t="n">
        <v>45388</v>
      </c>
    </row>
    <row r="120" customFormat="false" ht="15" hidden="false" customHeight="false" outlineLevel="0" collapsed="false">
      <c r="A120" s="2" t="s">
        <v>9205</v>
      </c>
      <c r="B120" s="2" t="s">
        <v>658</v>
      </c>
      <c r="C120" s="2" t="s">
        <v>9087</v>
      </c>
      <c r="D120" s="2" t="n">
        <v>49.03</v>
      </c>
      <c r="E120" s="13" t="n">
        <v>45395</v>
      </c>
    </row>
    <row r="121" customFormat="false" ht="15" hidden="false" customHeight="false" outlineLevel="0" collapsed="false">
      <c r="A121" s="2" t="s">
        <v>9206</v>
      </c>
      <c r="B121" s="2" t="s">
        <v>663</v>
      </c>
      <c r="C121" s="2" t="s">
        <v>9098</v>
      </c>
      <c r="D121" s="2" t="n">
        <v>49.4</v>
      </c>
      <c r="E121" s="13" t="n">
        <v>45402</v>
      </c>
    </row>
    <row r="122" customFormat="false" ht="15" hidden="false" customHeight="false" outlineLevel="0" collapsed="false">
      <c r="A122" s="2" t="s">
        <v>9207</v>
      </c>
      <c r="B122" s="2" t="s">
        <v>668</v>
      </c>
      <c r="C122" s="2" t="s">
        <v>9083</v>
      </c>
      <c r="D122" s="2" t="n">
        <v>49.77</v>
      </c>
      <c r="E122" s="13" t="n">
        <v>45409</v>
      </c>
    </row>
    <row r="123" customFormat="false" ht="15" hidden="false" customHeight="false" outlineLevel="0" collapsed="false">
      <c r="A123" s="2" t="s">
        <v>9208</v>
      </c>
      <c r="B123" s="2" t="s">
        <v>672</v>
      </c>
      <c r="C123" s="2" t="s">
        <v>9083</v>
      </c>
      <c r="D123" s="2" t="n">
        <v>50.14</v>
      </c>
      <c r="E123" s="13" t="n">
        <v>45416</v>
      </c>
    </row>
    <row r="124" customFormat="false" ht="15" hidden="false" customHeight="false" outlineLevel="0" collapsed="false">
      <c r="A124" s="2" t="s">
        <v>9209</v>
      </c>
      <c r="B124" s="2" t="s">
        <v>677</v>
      </c>
      <c r="C124" s="2" t="s">
        <v>9085</v>
      </c>
      <c r="D124" s="2" t="n">
        <v>50.51</v>
      </c>
      <c r="E124" s="13" t="n">
        <v>45423</v>
      </c>
    </row>
    <row r="125" customFormat="false" ht="15" hidden="false" customHeight="false" outlineLevel="0" collapsed="false">
      <c r="A125" s="2" t="s">
        <v>9210</v>
      </c>
      <c r="B125" s="2" t="s">
        <v>682</v>
      </c>
      <c r="C125" s="2" t="s">
        <v>9092</v>
      </c>
      <c r="D125" s="2" t="n">
        <v>50.88</v>
      </c>
      <c r="E125" s="13" t="n">
        <v>45430</v>
      </c>
    </row>
    <row r="126" customFormat="false" ht="15" hidden="false" customHeight="false" outlineLevel="0" collapsed="false">
      <c r="A126" s="2" t="s">
        <v>9211</v>
      </c>
      <c r="B126" s="2" t="s">
        <v>686</v>
      </c>
      <c r="C126" s="2" t="s">
        <v>9098</v>
      </c>
      <c r="D126" s="2" t="n">
        <v>51.25</v>
      </c>
      <c r="E126" s="13" t="n">
        <v>45437</v>
      </c>
    </row>
    <row r="127" customFormat="false" ht="15" hidden="false" customHeight="false" outlineLevel="0" collapsed="false">
      <c r="A127" s="2" t="s">
        <v>9212</v>
      </c>
      <c r="B127" s="2" t="s">
        <v>688</v>
      </c>
      <c r="C127" s="2" t="s">
        <v>9098</v>
      </c>
      <c r="D127" s="2" t="n">
        <v>51.62</v>
      </c>
      <c r="E127" s="13" t="n">
        <v>45444</v>
      </c>
    </row>
    <row r="128" customFormat="false" ht="15" hidden="false" customHeight="false" outlineLevel="0" collapsed="false">
      <c r="A128" s="2" t="s">
        <v>9213</v>
      </c>
      <c r="B128" s="2" t="s">
        <v>693</v>
      </c>
      <c r="C128" s="2" t="s">
        <v>9083</v>
      </c>
      <c r="D128" s="2" t="n">
        <v>51.99</v>
      </c>
      <c r="E128" s="13" t="n">
        <v>45451</v>
      </c>
    </row>
    <row r="129" customFormat="false" ht="15" hidden="false" customHeight="false" outlineLevel="0" collapsed="false">
      <c r="A129" s="2" t="s">
        <v>9214</v>
      </c>
      <c r="B129" s="2" t="s">
        <v>698</v>
      </c>
      <c r="C129" s="2" t="s">
        <v>9098</v>
      </c>
      <c r="D129" s="2" t="n">
        <v>52.36</v>
      </c>
      <c r="E129" s="13" t="n">
        <v>45458</v>
      </c>
    </row>
    <row r="130" customFormat="false" ht="15" hidden="false" customHeight="false" outlineLevel="0" collapsed="false">
      <c r="A130" s="2" t="s">
        <v>9215</v>
      </c>
      <c r="B130" s="2" t="s">
        <v>701</v>
      </c>
      <c r="C130" s="2" t="s">
        <v>9083</v>
      </c>
      <c r="D130" s="2" t="n">
        <v>52.73</v>
      </c>
      <c r="E130" s="13" t="n">
        <v>45465</v>
      </c>
    </row>
    <row r="131" customFormat="false" ht="15" hidden="false" customHeight="false" outlineLevel="0" collapsed="false">
      <c r="A131" s="2" t="s">
        <v>9216</v>
      </c>
      <c r="B131" s="2" t="s">
        <v>704</v>
      </c>
      <c r="C131" s="2" t="s">
        <v>9087</v>
      </c>
      <c r="D131" s="2" t="n">
        <v>53.1</v>
      </c>
      <c r="E131" s="13" t="n">
        <v>45472</v>
      </c>
    </row>
    <row r="132" customFormat="false" ht="15" hidden="false" customHeight="false" outlineLevel="0" collapsed="false">
      <c r="A132" s="2" t="s">
        <v>9217</v>
      </c>
      <c r="B132" s="2" t="s">
        <v>708</v>
      </c>
      <c r="C132" s="2" t="s">
        <v>9083</v>
      </c>
      <c r="D132" s="2" t="n">
        <v>53.47</v>
      </c>
      <c r="E132" s="13" t="n">
        <v>45479</v>
      </c>
    </row>
    <row r="133" customFormat="false" ht="15" hidden="false" customHeight="false" outlineLevel="0" collapsed="false">
      <c r="A133" s="2" t="s">
        <v>9218</v>
      </c>
      <c r="B133" s="2" t="s">
        <v>710</v>
      </c>
      <c r="C133" s="2" t="s">
        <v>9083</v>
      </c>
      <c r="D133" s="2" t="n">
        <v>53.84</v>
      </c>
      <c r="E133" s="13" t="n">
        <v>45486</v>
      </c>
    </row>
    <row r="134" customFormat="false" ht="15" hidden="false" customHeight="false" outlineLevel="0" collapsed="false">
      <c r="A134" s="2" t="s">
        <v>9219</v>
      </c>
      <c r="B134" s="2" t="s">
        <v>714</v>
      </c>
      <c r="C134" s="2" t="s">
        <v>9098</v>
      </c>
      <c r="D134" s="2" t="n">
        <v>54.21</v>
      </c>
      <c r="E134" s="13" t="n">
        <v>45493</v>
      </c>
    </row>
    <row r="135" customFormat="false" ht="15" hidden="false" customHeight="false" outlineLevel="0" collapsed="false">
      <c r="A135" s="2" t="s">
        <v>9220</v>
      </c>
      <c r="B135" s="2" t="s">
        <v>719</v>
      </c>
      <c r="C135" s="2" t="s">
        <v>9092</v>
      </c>
      <c r="D135" s="2" t="n">
        <v>54.58</v>
      </c>
      <c r="E135" s="13" t="n">
        <v>45500</v>
      </c>
    </row>
    <row r="136" customFormat="false" ht="15" hidden="false" customHeight="false" outlineLevel="0" collapsed="false">
      <c r="A136" s="2" t="s">
        <v>9221</v>
      </c>
      <c r="B136" s="2" t="s">
        <v>724</v>
      </c>
      <c r="C136" s="2" t="s">
        <v>9087</v>
      </c>
      <c r="D136" s="2" t="n">
        <v>54.95</v>
      </c>
      <c r="E136" s="13" t="n">
        <v>45507</v>
      </c>
    </row>
    <row r="137" customFormat="false" ht="15" hidden="false" customHeight="false" outlineLevel="0" collapsed="false">
      <c r="A137" s="2" t="s">
        <v>9222</v>
      </c>
      <c r="B137" s="2" t="s">
        <v>729</v>
      </c>
      <c r="C137" s="2" t="s">
        <v>9085</v>
      </c>
      <c r="D137" s="2" t="n">
        <v>55.32</v>
      </c>
      <c r="E137" s="13" t="n">
        <v>45514</v>
      </c>
    </row>
    <row r="138" customFormat="false" ht="15" hidden="false" customHeight="false" outlineLevel="0" collapsed="false">
      <c r="A138" s="2" t="s">
        <v>9223</v>
      </c>
      <c r="B138" s="2" t="s">
        <v>732</v>
      </c>
      <c r="C138" s="2" t="s">
        <v>9087</v>
      </c>
      <c r="D138" s="2" t="n">
        <v>55.69</v>
      </c>
      <c r="E138" s="13" t="n">
        <v>45521</v>
      </c>
    </row>
    <row r="139" customFormat="false" ht="15" hidden="false" customHeight="false" outlineLevel="0" collapsed="false">
      <c r="A139" s="2" t="s">
        <v>9224</v>
      </c>
      <c r="B139" s="2" t="s">
        <v>734</v>
      </c>
      <c r="C139" s="2" t="s">
        <v>9085</v>
      </c>
      <c r="D139" s="2" t="n">
        <v>56.06</v>
      </c>
      <c r="E139" s="13" t="n">
        <v>45528</v>
      </c>
    </row>
    <row r="140" customFormat="false" ht="15" hidden="false" customHeight="false" outlineLevel="0" collapsed="false">
      <c r="A140" s="2" t="s">
        <v>9225</v>
      </c>
      <c r="B140" s="2" t="s">
        <v>739</v>
      </c>
      <c r="C140" s="2" t="s">
        <v>9085</v>
      </c>
      <c r="D140" s="2" t="n">
        <v>56.43</v>
      </c>
      <c r="E140" s="13" t="n">
        <v>45535</v>
      </c>
    </row>
    <row r="141" customFormat="false" ht="15" hidden="false" customHeight="false" outlineLevel="0" collapsed="false">
      <c r="A141" s="2" t="s">
        <v>9226</v>
      </c>
      <c r="B141" s="2" t="s">
        <v>744</v>
      </c>
      <c r="C141" s="2" t="s">
        <v>9098</v>
      </c>
      <c r="D141" s="2" t="n">
        <v>56.8</v>
      </c>
      <c r="E141" s="13" t="n">
        <v>45542</v>
      </c>
    </row>
    <row r="142" customFormat="false" ht="15" hidden="false" customHeight="false" outlineLevel="0" collapsed="false">
      <c r="A142" s="2" t="s">
        <v>9227</v>
      </c>
      <c r="B142" s="2" t="s">
        <v>748</v>
      </c>
      <c r="C142" s="2" t="s">
        <v>9092</v>
      </c>
      <c r="D142" s="2" t="n">
        <v>57.17</v>
      </c>
      <c r="E142" s="13" t="n">
        <v>45549</v>
      </c>
    </row>
    <row r="143" customFormat="false" ht="15" hidden="false" customHeight="false" outlineLevel="0" collapsed="false">
      <c r="A143" s="2" t="s">
        <v>9228</v>
      </c>
      <c r="B143" s="2" t="s">
        <v>753</v>
      </c>
      <c r="C143" s="2" t="s">
        <v>9092</v>
      </c>
      <c r="D143" s="2" t="n">
        <v>57.54</v>
      </c>
      <c r="E143" s="13" t="n">
        <v>45556</v>
      </c>
    </row>
    <row r="144" customFormat="false" ht="15" hidden="false" customHeight="false" outlineLevel="0" collapsed="false">
      <c r="A144" s="2" t="s">
        <v>9229</v>
      </c>
      <c r="B144" s="2" t="s">
        <v>758</v>
      </c>
      <c r="C144" s="2" t="s">
        <v>9085</v>
      </c>
      <c r="D144" s="2" t="n">
        <v>57.91</v>
      </c>
      <c r="E144" s="13" t="n">
        <v>45563</v>
      </c>
    </row>
    <row r="145" customFormat="false" ht="15" hidden="false" customHeight="false" outlineLevel="0" collapsed="false">
      <c r="A145" s="2" t="s">
        <v>9230</v>
      </c>
      <c r="B145" s="2" t="s">
        <v>763</v>
      </c>
      <c r="C145" s="2" t="s">
        <v>9098</v>
      </c>
      <c r="D145" s="2" t="n">
        <v>58.28</v>
      </c>
      <c r="E145" s="13" t="n">
        <v>45570</v>
      </c>
    </row>
    <row r="146" customFormat="false" ht="15" hidden="false" customHeight="false" outlineLevel="0" collapsed="false">
      <c r="A146" s="2" t="s">
        <v>9231</v>
      </c>
      <c r="B146" s="2" t="s">
        <v>767</v>
      </c>
      <c r="C146" s="2" t="s">
        <v>9085</v>
      </c>
      <c r="D146" s="2" t="n">
        <v>58.65</v>
      </c>
      <c r="E146" s="13" t="n">
        <v>45577</v>
      </c>
    </row>
    <row r="147" customFormat="false" ht="15" hidden="false" customHeight="false" outlineLevel="0" collapsed="false">
      <c r="A147" s="2" t="s">
        <v>9232</v>
      </c>
      <c r="B147" s="2" t="s">
        <v>770</v>
      </c>
      <c r="C147" s="2" t="s">
        <v>9098</v>
      </c>
      <c r="D147" s="2" t="n">
        <v>59.02</v>
      </c>
      <c r="E147" s="13" t="n">
        <v>45584</v>
      </c>
    </row>
    <row r="148" customFormat="false" ht="15" hidden="false" customHeight="false" outlineLevel="0" collapsed="false">
      <c r="A148" s="2" t="s">
        <v>9233</v>
      </c>
      <c r="B148" s="2" t="s">
        <v>775</v>
      </c>
      <c r="C148" s="2" t="s">
        <v>9087</v>
      </c>
      <c r="D148" s="2" t="n">
        <v>59.39</v>
      </c>
      <c r="E148" s="13" t="n">
        <v>45591</v>
      </c>
    </row>
    <row r="149" customFormat="false" ht="15" hidden="false" customHeight="false" outlineLevel="0" collapsed="false">
      <c r="A149" s="2" t="s">
        <v>9234</v>
      </c>
      <c r="B149" s="2" t="s">
        <v>780</v>
      </c>
      <c r="C149" s="2" t="s">
        <v>9092</v>
      </c>
      <c r="D149" s="2" t="n">
        <v>59.76</v>
      </c>
      <c r="E149" s="13" t="n">
        <v>45598</v>
      </c>
    </row>
    <row r="150" customFormat="false" ht="15" hidden="false" customHeight="false" outlineLevel="0" collapsed="false">
      <c r="A150" s="2" t="s">
        <v>9235</v>
      </c>
      <c r="B150" s="2" t="s">
        <v>785</v>
      </c>
      <c r="C150" s="2" t="s">
        <v>9087</v>
      </c>
      <c r="D150" s="2" t="n">
        <v>60.13</v>
      </c>
      <c r="E150" s="13" t="n">
        <v>45605</v>
      </c>
    </row>
    <row r="151" customFormat="false" ht="15" hidden="false" customHeight="false" outlineLevel="0" collapsed="false">
      <c r="A151" s="2" t="s">
        <v>9236</v>
      </c>
      <c r="B151" s="2" t="s">
        <v>787</v>
      </c>
      <c r="C151" s="2" t="s">
        <v>9085</v>
      </c>
      <c r="D151" s="2" t="n">
        <v>60.5</v>
      </c>
      <c r="E151" s="13" t="n">
        <v>45612</v>
      </c>
    </row>
    <row r="152" customFormat="false" ht="15" hidden="false" customHeight="false" outlineLevel="0" collapsed="false">
      <c r="A152" s="2" t="s">
        <v>9237</v>
      </c>
      <c r="B152" s="2" t="s">
        <v>791</v>
      </c>
      <c r="C152" s="2" t="s">
        <v>9098</v>
      </c>
      <c r="D152" s="2" t="n">
        <v>60.87</v>
      </c>
      <c r="E152" s="13" t="n">
        <v>45619</v>
      </c>
    </row>
    <row r="153" customFormat="false" ht="15" hidden="false" customHeight="false" outlineLevel="0" collapsed="false">
      <c r="A153" s="2" t="s">
        <v>9238</v>
      </c>
      <c r="B153" s="2" t="s">
        <v>796</v>
      </c>
      <c r="C153" s="2" t="s">
        <v>9087</v>
      </c>
      <c r="D153" s="2" t="n">
        <v>61.24</v>
      </c>
      <c r="E153" s="13" t="n">
        <v>45626</v>
      </c>
    </row>
    <row r="154" customFormat="false" ht="15" hidden="false" customHeight="false" outlineLevel="0" collapsed="false">
      <c r="A154" s="2" t="s">
        <v>9239</v>
      </c>
      <c r="B154" s="2" t="s">
        <v>800</v>
      </c>
      <c r="C154" s="2" t="s">
        <v>9087</v>
      </c>
      <c r="D154" s="2" t="n">
        <v>61.61</v>
      </c>
      <c r="E154" s="13" t="n">
        <v>45633</v>
      </c>
    </row>
    <row r="155" customFormat="false" ht="15" hidden="false" customHeight="false" outlineLevel="0" collapsed="false">
      <c r="A155" s="2" t="s">
        <v>9240</v>
      </c>
      <c r="B155" s="2" t="s">
        <v>804</v>
      </c>
      <c r="C155" s="2" t="s">
        <v>9083</v>
      </c>
      <c r="D155" s="2" t="n">
        <v>61.98</v>
      </c>
      <c r="E155" s="13" t="n">
        <v>45640</v>
      </c>
    </row>
    <row r="156" customFormat="false" ht="15" hidden="false" customHeight="false" outlineLevel="0" collapsed="false">
      <c r="A156" s="2" t="s">
        <v>9241</v>
      </c>
      <c r="B156" s="2" t="s">
        <v>808</v>
      </c>
      <c r="C156" s="2" t="s">
        <v>9098</v>
      </c>
      <c r="D156" s="2" t="n">
        <v>62.35</v>
      </c>
      <c r="E156" s="13" t="n">
        <v>45647</v>
      </c>
    </row>
    <row r="157" customFormat="false" ht="15" hidden="false" customHeight="false" outlineLevel="0" collapsed="false">
      <c r="A157" s="2" t="s">
        <v>9242</v>
      </c>
      <c r="B157" s="2" t="s">
        <v>813</v>
      </c>
      <c r="C157" s="2" t="s">
        <v>9083</v>
      </c>
      <c r="D157" s="2" t="n">
        <v>62.72</v>
      </c>
      <c r="E157" s="13" t="n">
        <v>45654</v>
      </c>
    </row>
    <row r="158" customFormat="false" ht="15" hidden="false" customHeight="false" outlineLevel="0" collapsed="false">
      <c r="A158" s="2" t="s">
        <v>9243</v>
      </c>
      <c r="B158" s="2" t="s">
        <v>818</v>
      </c>
      <c r="C158" s="2" t="s">
        <v>9083</v>
      </c>
      <c r="D158" s="2" t="n">
        <v>63.09</v>
      </c>
      <c r="E158" s="13" t="n">
        <v>45661</v>
      </c>
    </row>
    <row r="159" customFormat="false" ht="15" hidden="false" customHeight="false" outlineLevel="0" collapsed="false">
      <c r="A159" s="2" t="s">
        <v>9244</v>
      </c>
      <c r="B159" s="2" t="s">
        <v>822</v>
      </c>
      <c r="C159" s="2" t="s">
        <v>9085</v>
      </c>
      <c r="D159" s="2" t="n">
        <v>63.46</v>
      </c>
      <c r="E159" s="13" t="n">
        <v>45668</v>
      </c>
    </row>
    <row r="160" customFormat="false" ht="15" hidden="false" customHeight="false" outlineLevel="0" collapsed="false">
      <c r="A160" s="2" t="s">
        <v>9245</v>
      </c>
      <c r="B160" s="2" t="s">
        <v>826</v>
      </c>
      <c r="C160" s="2" t="s">
        <v>9083</v>
      </c>
      <c r="D160" s="2" t="n">
        <v>63.83</v>
      </c>
      <c r="E160" s="13" t="n">
        <v>45675</v>
      </c>
    </row>
    <row r="161" customFormat="false" ht="15" hidden="false" customHeight="false" outlineLevel="0" collapsed="false">
      <c r="A161" s="2" t="s">
        <v>9246</v>
      </c>
      <c r="B161" s="2" t="s">
        <v>829</v>
      </c>
      <c r="C161" s="2" t="s">
        <v>9085</v>
      </c>
      <c r="D161" s="2" t="n">
        <v>64.2</v>
      </c>
      <c r="E161" s="13" t="n">
        <v>45682</v>
      </c>
    </row>
    <row r="162" customFormat="false" ht="15" hidden="false" customHeight="false" outlineLevel="0" collapsed="false">
      <c r="A162" s="2" t="s">
        <v>9247</v>
      </c>
      <c r="B162" s="2" t="s">
        <v>833</v>
      </c>
      <c r="C162" s="2" t="s">
        <v>9085</v>
      </c>
      <c r="D162" s="2" t="n">
        <v>64.57</v>
      </c>
      <c r="E162" s="13" t="n">
        <v>45689</v>
      </c>
    </row>
    <row r="163" customFormat="false" ht="15" hidden="false" customHeight="false" outlineLevel="0" collapsed="false">
      <c r="A163" s="2" t="s">
        <v>9248</v>
      </c>
      <c r="B163" s="2" t="s">
        <v>837</v>
      </c>
      <c r="C163" s="2" t="s">
        <v>9098</v>
      </c>
      <c r="D163" s="2" t="n">
        <v>64.94</v>
      </c>
      <c r="E163" s="13" t="n">
        <v>45696</v>
      </c>
    </row>
    <row r="164" customFormat="false" ht="15" hidden="false" customHeight="false" outlineLevel="0" collapsed="false">
      <c r="A164" s="2" t="s">
        <v>9249</v>
      </c>
      <c r="B164" s="2" t="s">
        <v>842</v>
      </c>
      <c r="C164" s="2" t="s">
        <v>9098</v>
      </c>
      <c r="D164" s="2" t="n">
        <v>65.31</v>
      </c>
      <c r="E164" s="13" t="n">
        <v>45703</v>
      </c>
    </row>
    <row r="165" customFormat="false" ht="15" hidden="false" customHeight="false" outlineLevel="0" collapsed="false">
      <c r="A165" s="2" t="s">
        <v>9250</v>
      </c>
      <c r="B165" s="2" t="s">
        <v>844</v>
      </c>
      <c r="C165" s="2" t="s">
        <v>9085</v>
      </c>
      <c r="D165" s="2" t="n">
        <v>65.68</v>
      </c>
      <c r="E165" s="13" t="n">
        <v>45710</v>
      </c>
    </row>
    <row r="166" customFormat="false" ht="15" hidden="false" customHeight="false" outlineLevel="0" collapsed="false">
      <c r="A166" s="2" t="s">
        <v>9251</v>
      </c>
      <c r="B166" s="2" t="s">
        <v>848</v>
      </c>
      <c r="C166" s="2" t="s">
        <v>9085</v>
      </c>
      <c r="D166" s="2" t="n">
        <v>66.05</v>
      </c>
      <c r="E166" s="13" t="n">
        <v>45717</v>
      </c>
    </row>
    <row r="167" customFormat="false" ht="15" hidden="false" customHeight="false" outlineLevel="0" collapsed="false">
      <c r="A167" s="2" t="s">
        <v>9252</v>
      </c>
      <c r="B167" s="2" t="s">
        <v>853</v>
      </c>
      <c r="C167" s="2" t="s">
        <v>9085</v>
      </c>
      <c r="D167" s="2" t="n">
        <v>66.42</v>
      </c>
      <c r="E167" s="13" t="n">
        <v>45724</v>
      </c>
    </row>
    <row r="168" customFormat="false" ht="15" hidden="false" customHeight="false" outlineLevel="0" collapsed="false">
      <c r="A168" s="2" t="s">
        <v>9253</v>
      </c>
      <c r="B168" s="2" t="s">
        <v>858</v>
      </c>
      <c r="C168" s="2" t="s">
        <v>9092</v>
      </c>
      <c r="D168" s="2" t="n">
        <v>66.79</v>
      </c>
      <c r="E168" s="13" t="n">
        <v>45731</v>
      </c>
    </row>
    <row r="169" customFormat="false" ht="15" hidden="false" customHeight="false" outlineLevel="0" collapsed="false">
      <c r="A169" s="2" t="s">
        <v>9254</v>
      </c>
      <c r="B169" s="2" t="s">
        <v>863</v>
      </c>
      <c r="C169" s="2" t="s">
        <v>9092</v>
      </c>
      <c r="D169" s="2" t="n">
        <v>67.16</v>
      </c>
      <c r="E169" s="13" t="n">
        <v>45738</v>
      </c>
    </row>
    <row r="170" customFormat="false" ht="15" hidden="false" customHeight="false" outlineLevel="0" collapsed="false">
      <c r="A170" s="2" t="s">
        <v>9255</v>
      </c>
      <c r="B170" s="2" t="s">
        <v>867</v>
      </c>
      <c r="C170" s="2" t="s">
        <v>9083</v>
      </c>
      <c r="D170" s="2" t="n">
        <v>67.53</v>
      </c>
      <c r="E170" s="13" t="n">
        <v>45745</v>
      </c>
    </row>
    <row r="171" customFormat="false" ht="15" hidden="false" customHeight="false" outlineLevel="0" collapsed="false">
      <c r="A171" s="2" t="s">
        <v>9256</v>
      </c>
      <c r="B171" s="2" t="s">
        <v>869</v>
      </c>
      <c r="C171" s="2" t="s">
        <v>9092</v>
      </c>
      <c r="D171" s="2" t="n">
        <v>67.9</v>
      </c>
      <c r="E171" s="13" t="n">
        <v>45752</v>
      </c>
    </row>
    <row r="172" customFormat="false" ht="15" hidden="false" customHeight="false" outlineLevel="0" collapsed="false">
      <c r="A172" s="2" t="s">
        <v>9257</v>
      </c>
      <c r="B172" s="2" t="s">
        <v>872</v>
      </c>
      <c r="C172" s="2" t="s">
        <v>9092</v>
      </c>
      <c r="D172" s="2" t="n">
        <v>68.27</v>
      </c>
      <c r="E172" s="13" t="n">
        <v>45759</v>
      </c>
    </row>
    <row r="173" customFormat="false" ht="15" hidden="false" customHeight="false" outlineLevel="0" collapsed="false">
      <c r="A173" s="2" t="s">
        <v>9258</v>
      </c>
      <c r="B173" s="2" t="s">
        <v>875</v>
      </c>
      <c r="C173" s="2" t="s">
        <v>9092</v>
      </c>
      <c r="D173" s="2" t="n">
        <v>68.64</v>
      </c>
      <c r="E173" s="13" t="n">
        <v>45766</v>
      </c>
    </row>
    <row r="174" customFormat="false" ht="15" hidden="false" customHeight="false" outlineLevel="0" collapsed="false">
      <c r="A174" s="2" t="s">
        <v>9259</v>
      </c>
      <c r="B174" s="2" t="s">
        <v>879</v>
      </c>
      <c r="C174" s="2" t="s">
        <v>9098</v>
      </c>
      <c r="D174" s="2" t="n">
        <v>69.01</v>
      </c>
      <c r="E174" s="13" t="n">
        <v>45773</v>
      </c>
    </row>
    <row r="175" customFormat="false" ht="15" hidden="false" customHeight="false" outlineLevel="0" collapsed="false">
      <c r="A175" s="2" t="s">
        <v>9260</v>
      </c>
      <c r="B175" s="2" t="s">
        <v>883</v>
      </c>
      <c r="C175" s="2" t="s">
        <v>9087</v>
      </c>
      <c r="D175" s="2" t="n">
        <v>69.38</v>
      </c>
      <c r="E175" s="13" t="n">
        <v>45780</v>
      </c>
    </row>
    <row r="176" customFormat="false" ht="15" hidden="false" customHeight="false" outlineLevel="0" collapsed="false">
      <c r="A176" s="2" t="s">
        <v>9261</v>
      </c>
      <c r="B176" s="2" t="s">
        <v>887</v>
      </c>
      <c r="C176" s="2" t="s">
        <v>9087</v>
      </c>
      <c r="D176" s="2" t="n">
        <v>69.75</v>
      </c>
      <c r="E176" s="13" t="n">
        <v>45787</v>
      </c>
    </row>
    <row r="177" customFormat="false" ht="15" hidden="false" customHeight="false" outlineLevel="0" collapsed="false">
      <c r="A177" s="2" t="s">
        <v>9262</v>
      </c>
      <c r="B177" s="2" t="s">
        <v>892</v>
      </c>
      <c r="C177" s="2" t="s">
        <v>9092</v>
      </c>
      <c r="D177" s="2" t="n">
        <v>70.12</v>
      </c>
      <c r="E177" s="13" t="n">
        <v>45794</v>
      </c>
    </row>
    <row r="178" customFormat="false" ht="15" hidden="false" customHeight="false" outlineLevel="0" collapsed="false">
      <c r="A178" s="2" t="s">
        <v>9263</v>
      </c>
      <c r="B178" s="2" t="s">
        <v>894</v>
      </c>
      <c r="C178" s="2" t="s">
        <v>9083</v>
      </c>
      <c r="D178" s="2" t="n">
        <v>70.49</v>
      </c>
      <c r="E178" s="13" t="n">
        <v>45801</v>
      </c>
    </row>
    <row r="179" customFormat="false" ht="15" hidden="false" customHeight="false" outlineLevel="0" collapsed="false">
      <c r="A179" s="2" t="s">
        <v>9264</v>
      </c>
      <c r="B179" s="2" t="s">
        <v>898</v>
      </c>
      <c r="C179" s="2" t="s">
        <v>9098</v>
      </c>
      <c r="D179" s="2" t="n">
        <v>70.86</v>
      </c>
      <c r="E179" s="13" t="n">
        <v>45808</v>
      </c>
    </row>
    <row r="180" customFormat="false" ht="15" hidden="false" customHeight="false" outlineLevel="0" collapsed="false">
      <c r="A180" s="2" t="s">
        <v>9265</v>
      </c>
      <c r="B180" s="2" t="s">
        <v>902</v>
      </c>
      <c r="C180" s="2" t="s">
        <v>9083</v>
      </c>
      <c r="D180" s="2" t="n">
        <v>71.23</v>
      </c>
      <c r="E180" s="13" t="n">
        <v>45815</v>
      </c>
    </row>
    <row r="181" customFormat="false" ht="15" hidden="false" customHeight="false" outlineLevel="0" collapsed="false">
      <c r="A181" s="2" t="s">
        <v>9266</v>
      </c>
      <c r="B181" s="2" t="s">
        <v>907</v>
      </c>
      <c r="C181" s="2" t="s">
        <v>9098</v>
      </c>
      <c r="D181" s="2" t="n">
        <v>71.6</v>
      </c>
      <c r="E181" s="13" t="n">
        <v>45822</v>
      </c>
    </row>
    <row r="182" customFormat="false" ht="15" hidden="false" customHeight="false" outlineLevel="0" collapsed="false">
      <c r="A182" s="2" t="s">
        <v>9267</v>
      </c>
      <c r="B182" s="2" t="s">
        <v>912</v>
      </c>
      <c r="C182" s="2" t="s">
        <v>9098</v>
      </c>
      <c r="D182" s="2" t="n">
        <v>71.97</v>
      </c>
      <c r="E182" s="13" t="n">
        <v>45829</v>
      </c>
    </row>
    <row r="183" customFormat="false" ht="15" hidden="false" customHeight="false" outlineLevel="0" collapsed="false">
      <c r="A183" s="2" t="s">
        <v>9268</v>
      </c>
      <c r="B183" s="2" t="s">
        <v>917</v>
      </c>
      <c r="C183" s="2" t="s">
        <v>9092</v>
      </c>
      <c r="D183" s="2" t="n">
        <v>72.34</v>
      </c>
      <c r="E183" s="13" t="n">
        <v>45836</v>
      </c>
    </row>
    <row r="184" customFormat="false" ht="15" hidden="false" customHeight="false" outlineLevel="0" collapsed="false">
      <c r="A184" s="2" t="s">
        <v>9269</v>
      </c>
      <c r="B184" s="2" t="s">
        <v>922</v>
      </c>
      <c r="C184" s="2" t="s">
        <v>9092</v>
      </c>
      <c r="D184" s="2" t="n">
        <v>72.71</v>
      </c>
      <c r="E184" s="13" t="n">
        <v>45843</v>
      </c>
    </row>
    <row r="185" customFormat="false" ht="15" hidden="false" customHeight="false" outlineLevel="0" collapsed="false">
      <c r="A185" s="2" t="s">
        <v>9270</v>
      </c>
      <c r="B185" s="2" t="s">
        <v>926</v>
      </c>
      <c r="C185" s="2" t="s">
        <v>9083</v>
      </c>
      <c r="D185" s="2" t="n">
        <v>73.08</v>
      </c>
      <c r="E185" s="13" t="n">
        <v>45850</v>
      </c>
    </row>
    <row r="186" customFormat="false" ht="15" hidden="false" customHeight="false" outlineLevel="0" collapsed="false">
      <c r="A186" s="2" t="s">
        <v>9271</v>
      </c>
      <c r="B186" s="2" t="s">
        <v>928</v>
      </c>
      <c r="C186" s="2" t="s">
        <v>9083</v>
      </c>
      <c r="D186" s="2" t="n">
        <v>73.45</v>
      </c>
      <c r="E186" s="13" t="n">
        <v>45857</v>
      </c>
    </row>
    <row r="187" customFormat="false" ht="15" hidden="false" customHeight="false" outlineLevel="0" collapsed="false">
      <c r="A187" s="2" t="s">
        <v>9272</v>
      </c>
      <c r="B187" s="2" t="s">
        <v>932</v>
      </c>
      <c r="C187" s="2" t="s">
        <v>9092</v>
      </c>
      <c r="D187" s="2" t="n">
        <v>73.82</v>
      </c>
      <c r="E187" s="13" t="n">
        <v>45864</v>
      </c>
    </row>
    <row r="188" customFormat="false" ht="15" hidden="false" customHeight="false" outlineLevel="0" collapsed="false">
      <c r="A188" s="2" t="s">
        <v>9273</v>
      </c>
      <c r="B188" s="2" t="s">
        <v>936</v>
      </c>
      <c r="C188" s="2" t="s">
        <v>9087</v>
      </c>
      <c r="D188" s="2" t="n">
        <v>74.19</v>
      </c>
      <c r="E188" s="13" t="n">
        <v>45871</v>
      </c>
    </row>
    <row r="189" customFormat="false" ht="15" hidden="false" customHeight="false" outlineLevel="0" collapsed="false">
      <c r="A189" s="2" t="s">
        <v>9274</v>
      </c>
      <c r="B189" s="2" t="s">
        <v>941</v>
      </c>
      <c r="C189" s="2" t="s">
        <v>9092</v>
      </c>
      <c r="D189" s="2" t="n">
        <v>74.56</v>
      </c>
      <c r="E189" s="13" t="n">
        <v>45878</v>
      </c>
    </row>
    <row r="190" customFormat="false" ht="15" hidden="false" customHeight="false" outlineLevel="0" collapsed="false">
      <c r="A190" s="2" t="s">
        <v>9275</v>
      </c>
      <c r="B190" s="2" t="s">
        <v>946</v>
      </c>
      <c r="C190" s="2" t="s">
        <v>9085</v>
      </c>
      <c r="D190" s="2" t="n">
        <v>74.93</v>
      </c>
      <c r="E190" s="13" t="n">
        <v>45885</v>
      </c>
    </row>
    <row r="191" customFormat="false" ht="15" hidden="false" customHeight="false" outlineLevel="0" collapsed="false">
      <c r="A191" s="2" t="s">
        <v>9276</v>
      </c>
      <c r="B191" s="2" t="s">
        <v>951</v>
      </c>
      <c r="C191" s="2" t="s">
        <v>9098</v>
      </c>
      <c r="D191" s="2" t="n">
        <v>75.3</v>
      </c>
      <c r="E191" s="13" t="n">
        <v>45892</v>
      </c>
    </row>
    <row r="192" customFormat="false" ht="15" hidden="false" customHeight="false" outlineLevel="0" collapsed="false">
      <c r="A192" s="2" t="s">
        <v>9277</v>
      </c>
      <c r="B192" s="2" t="s">
        <v>955</v>
      </c>
      <c r="C192" s="2" t="s">
        <v>9083</v>
      </c>
      <c r="D192" s="2" t="n">
        <v>75.67</v>
      </c>
      <c r="E192" s="13" t="n">
        <v>45899</v>
      </c>
    </row>
    <row r="193" customFormat="false" ht="15" hidden="false" customHeight="false" outlineLevel="0" collapsed="false">
      <c r="A193" s="2" t="s">
        <v>9278</v>
      </c>
      <c r="B193" s="2" t="s">
        <v>959</v>
      </c>
      <c r="C193" s="2" t="s">
        <v>9083</v>
      </c>
      <c r="D193" s="2" t="n">
        <v>76.04</v>
      </c>
      <c r="E193" s="13" t="n">
        <v>45906</v>
      </c>
    </row>
    <row r="194" customFormat="false" ht="15" hidden="false" customHeight="false" outlineLevel="0" collapsed="false">
      <c r="A194" s="2" t="s">
        <v>9279</v>
      </c>
      <c r="B194" s="2" t="s">
        <v>964</v>
      </c>
      <c r="C194" s="2" t="s">
        <v>9092</v>
      </c>
      <c r="D194" s="2" t="n">
        <v>76.41</v>
      </c>
      <c r="E194" s="13" t="n">
        <v>45913</v>
      </c>
    </row>
    <row r="195" customFormat="false" ht="15" hidden="false" customHeight="false" outlineLevel="0" collapsed="false">
      <c r="A195" s="2" t="s">
        <v>9280</v>
      </c>
      <c r="B195" s="2" t="s">
        <v>968</v>
      </c>
      <c r="C195" s="2" t="s">
        <v>9092</v>
      </c>
      <c r="D195" s="2" t="n">
        <v>76.78</v>
      </c>
      <c r="E195" s="13" t="n">
        <v>45920</v>
      </c>
    </row>
    <row r="196" customFormat="false" ht="15" hidden="false" customHeight="false" outlineLevel="0" collapsed="false">
      <c r="A196" s="2" t="s">
        <v>9281</v>
      </c>
      <c r="B196" s="2" t="s">
        <v>973</v>
      </c>
      <c r="C196" s="2" t="s">
        <v>9087</v>
      </c>
      <c r="D196" s="2" t="n">
        <v>77.15</v>
      </c>
      <c r="E196" s="13" t="n">
        <v>45927</v>
      </c>
    </row>
    <row r="197" customFormat="false" ht="15" hidden="false" customHeight="false" outlineLevel="0" collapsed="false">
      <c r="A197" s="2" t="s">
        <v>9282</v>
      </c>
      <c r="B197" s="2" t="s">
        <v>977</v>
      </c>
      <c r="C197" s="2" t="s">
        <v>9098</v>
      </c>
      <c r="D197" s="2" t="n">
        <v>77.52</v>
      </c>
      <c r="E197" s="13" t="n">
        <v>45934</v>
      </c>
    </row>
    <row r="198" customFormat="false" ht="15" hidden="false" customHeight="false" outlineLevel="0" collapsed="false">
      <c r="A198" s="2" t="s">
        <v>9283</v>
      </c>
      <c r="B198" s="2" t="s">
        <v>982</v>
      </c>
      <c r="C198" s="2" t="s">
        <v>9098</v>
      </c>
      <c r="D198" s="2" t="n">
        <v>77.89</v>
      </c>
      <c r="E198" s="13" t="n">
        <v>45941</v>
      </c>
    </row>
    <row r="199" customFormat="false" ht="15" hidden="false" customHeight="false" outlineLevel="0" collapsed="false">
      <c r="A199" s="2" t="s">
        <v>9284</v>
      </c>
      <c r="B199" s="2" t="s">
        <v>987</v>
      </c>
      <c r="C199" s="2" t="s">
        <v>9087</v>
      </c>
      <c r="D199" s="2" t="n">
        <v>78.26</v>
      </c>
      <c r="E199" s="13" t="n">
        <v>45948</v>
      </c>
    </row>
    <row r="200" customFormat="false" ht="15" hidden="false" customHeight="false" outlineLevel="0" collapsed="false">
      <c r="A200" s="2" t="s">
        <v>9285</v>
      </c>
      <c r="B200" s="2" t="s">
        <v>991</v>
      </c>
      <c r="C200" s="2" t="s">
        <v>9085</v>
      </c>
      <c r="D200" s="2" t="n">
        <v>78.63</v>
      </c>
      <c r="E200" s="13" t="n">
        <v>45955</v>
      </c>
    </row>
    <row r="201" customFormat="false" ht="15" hidden="false" customHeight="false" outlineLevel="0" collapsed="false">
      <c r="A201" s="2" t="s">
        <v>9286</v>
      </c>
      <c r="B201" s="2" t="s">
        <v>996</v>
      </c>
      <c r="C201" s="2" t="s">
        <v>9085</v>
      </c>
      <c r="D201" s="2" t="n">
        <v>79</v>
      </c>
      <c r="E201" s="13" t="n">
        <v>45962</v>
      </c>
    </row>
    <row r="202" customFormat="false" ht="15" hidden="false" customHeight="false" outlineLevel="0" collapsed="false">
      <c r="A202" s="2" t="s">
        <v>9287</v>
      </c>
      <c r="B202" s="2" t="s">
        <v>1001</v>
      </c>
      <c r="C202" s="2" t="s">
        <v>9083</v>
      </c>
      <c r="D202" s="2" t="n">
        <v>79.37</v>
      </c>
      <c r="E202" s="13" t="n">
        <v>45969</v>
      </c>
    </row>
    <row r="203" customFormat="false" ht="15" hidden="false" customHeight="false" outlineLevel="0" collapsed="false">
      <c r="A203" s="2" t="s">
        <v>9288</v>
      </c>
      <c r="B203" s="2" t="s">
        <v>1003</v>
      </c>
      <c r="C203" s="2" t="s">
        <v>9092</v>
      </c>
      <c r="D203" s="2" t="n">
        <v>79.74</v>
      </c>
      <c r="E203" s="13" t="n">
        <v>45976</v>
      </c>
    </row>
    <row r="204" customFormat="false" ht="15" hidden="false" customHeight="false" outlineLevel="0" collapsed="false">
      <c r="A204" s="2" t="s">
        <v>9289</v>
      </c>
      <c r="B204" s="2" t="s">
        <v>1008</v>
      </c>
      <c r="C204" s="2" t="s">
        <v>9098</v>
      </c>
      <c r="D204" s="2" t="n">
        <v>80.11</v>
      </c>
      <c r="E204" s="13" t="n">
        <v>45983</v>
      </c>
    </row>
    <row r="205" customFormat="false" ht="15" hidden="false" customHeight="false" outlineLevel="0" collapsed="false">
      <c r="A205" s="2" t="s">
        <v>9290</v>
      </c>
      <c r="B205" s="2" t="s">
        <v>1010</v>
      </c>
      <c r="C205" s="2" t="s">
        <v>9085</v>
      </c>
      <c r="D205" s="2" t="n">
        <v>80.48</v>
      </c>
      <c r="E205" s="13" t="n">
        <v>45990</v>
      </c>
    </row>
    <row r="206" customFormat="false" ht="15" hidden="false" customHeight="false" outlineLevel="0" collapsed="false">
      <c r="A206" s="2" t="s">
        <v>9291</v>
      </c>
      <c r="B206" s="2" t="s">
        <v>1013</v>
      </c>
      <c r="C206" s="2" t="s">
        <v>9087</v>
      </c>
      <c r="D206" s="2" t="n">
        <v>80.85</v>
      </c>
      <c r="E206" s="13" t="n">
        <v>45997</v>
      </c>
    </row>
    <row r="207" customFormat="false" ht="15" hidden="false" customHeight="false" outlineLevel="0" collapsed="false">
      <c r="A207" s="2" t="s">
        <v>9292</v>
      </c>
      <c r="B207" s="2" t="s">
        <v>1017</v>
      </c>
      <c r="C207" s="2" t="s">
        <v>9098</v>
      </c>
      <c r="D207" s="2" t="n">
        <v>81.22</v>
      </c>
      <c r="E207" s="13" t="n">
        <v>46004</v>
      </c>
    </row>
    <row r="208" customFormat="false" ht="15" hidden="false" customHeight="false" outlineLevel="0" collapsed="false">
      <c r="A208" s="2" t="s">
        <v>9293</v>
      </c>
      <c r="B208" s="2" t="s">
        <v>1021</v>
      </c>
      <c r="C208" s="2" t="s">
        <v>9085</v>
      </c>
      <c r="D208" s="2" t="n">
        <v>81.59</v>
      </c>
      <c r="E208" s="13" t="n">
        <v>46011</v>
      </c>
    </row>
    <row r="209" customFormat="false" ht="15" hidden="false" customHeight="false" outlineLevel="0" collapsed="false">
      <c r="A209" s="2" t="s">
        <v>9294</v>
      </c>
      <c r="B209" s="2" t="s">
        <v>1024</v>
      </c>
      <c r="C209" s="2" t="s">
        <v>9087</v>
      </c>
      <c r="D209" s="2" t="n">
        <v>81.96</v>
      </c>
      <c r="E209" s="13" t="n">
        <v>46018</v>
      </c>
    </row>
    <row r="210" customFormat="false" ht="15" hidden="false" customHeight="false" outlineLevel="0" collapsed="false">
      <c r="A210" s="2" t="s">
        <v>9295</v>
      </c>
      <c r="B210" s="2" t="s">
        <v>1028</v>
      </c>
      <c r="C210" s="2" t="s">
        <v>9098</v>
      </c>
      <c r="D210" s="2" t="n">
        <v>82.33</v>
      </c>
      <c r="E210" s="13" t="n">
        <v>45295</v>
      </c>
    </row>
    <row r="211" customFormat="false" ht="15" hidden="false" customHeight="false" outlineLevel="0" collapsed="false">
      <c r="A211" s="2" t="s">
        <v>9296</v>
      </c>
      <c r="B211" s="2" t="s">
        <v>1030</v>
      </c>
      <c r="C211" s="2" t="s">
        <v>9092</v>
      </c>
      <c r="D211" s="2" t="n">
        <v>82.7</v>
      </c>
      <c r="E211" s="13" t="n">
        <v>45302</v>
      </c>
    </row>
    <row r="212" customFormat="false" ht="15" hidden="false" customHeight="false" outlineLevel="0" collapsed="false">
      <c r="A212" s="2" t="s">
        <v>9297</v>
      </c>
      <c r="B212" s="2" t="s">
        <v>1035</v>
      </c>
      <c r="C212" s="2" t="s">
        <v>9087</v>
      </c>
      <c r="D212" s="2" t="n">
        <v>83.07</v>
      </c>
      <c r="E212" s="13" t="n">
        <v>45309</v>
      </c>
    </row>
    <row r="213" customFormat="false" ht="15" hidden="false" customHeight="false" outlineLevel="0" collapsed="false">
      <c r="A213" s="2" t="s">
        <v>9298</v>
      </c>
      <c r="B213" s="2" t="s">
        <v>1040</v>
      </c>
      <c r="C213" s="2" t="s">
        <v>9087</v>
      </c>
      <c r="D213" s="2" t="n">
        <v>83.44</v>
      </c>
      <c r="E213" s="13" t="n">
        <v>45316</v>
      </c>
    </row>
    <row r="214" customFormat="false" ht="15" hidden="false" customHeight="false" outlineLevel="0" collapsed="false">
      <c r="A214" s="2" t="s">
        <v>9299</v>
      </c>
      <c r="B214" s="2" t="s">
        <v>1045</v>
      </c>
      <c r="C214" s="2" t="s">
        <v>9087</v>
      </c>
      <c r="D214" s="2" t="n">
        <v>83.81</v>
      </c>
      <c r="E214" s="13" t="n">
        <v>45323</v>
      </c>
    </row>
    <row r="215" customFormat="false" ht="15" hidden="false" customHeight="false" outlineLevel="0" collapsed="false">
      <c r="A215" s="2" t="s">
        <v>9300</v>
      </c>
      <c r="B215" s="2" t="s">
        <v>1049</v>
      </c>
      <c r="C215" s="2" t="s">
        <v>9087</v>
      </c>
      <c r="D215" s="2" t="n">
        <v>84.18</v>
      </c>
      <c r="E215" s="13" t="n">
        <v>45330</v>
      </c>
    </row>
    <row r="216" customFormat="false" ht="15" hidden="false" customHeight="false" outlineLevel="0" collapsed="false">
      <c r="A216" s="2" t="s">
        <v>9301</v>
      </c>
      <c r="B216" s="2" t="s">
        <v>1054</v>
      </c>
      <c r="C216" s="2" t="s">
        <v>9085</v>
      </c>
      <c r="D216" s="2" t="n">
        <v>84.55</v>
      </c>
      <c r="E216" s="13" t="n">
        <v>45337</v>
      </c>
    </row>
    <row r="217" customFormat="false" ht="15" hidden="false" customHeight="false" outlineLevel="0" collapsed="false">
      <c r="A217" s="2" t="s">
        <v>9302</v>
      </c>
      <c r="B217" s="2" t="s">
        <v>1058</v>
      </c>
      <c r="C217" s="2" t="s">
        <v>9092</v>
      </c>
      <c r="D217" s="2" t="n">
        <v>84.92</v>
      </c>
      <c r="E217" s="13" t="n">
        <v>45344</v>
      </c>
    </row>
    <row r="218" customFormat="false" ht="15" hidden="false" customHeight="false" outlineLevel="0" collapsed="false">
      <c r="A218" s="2" t="s">
        <v>9303</v>
      </c>
      <c r="B218" s="2" t="s">
        <v>1062</v>
      </c>
      <c r="C218" s="2" t="s">
        <v>9085</v>
      </c>
      <c r="D218" s="2" t="n">
        <v>85.29</v>
      </c>
      <c r="E218" s="13" t="n">
        <v>45351</v>
      </c>
    </row>
    <row r="219" customFormat="false" ht="15" hidden="false" customHeight="false" outlineLevel="0" collapsed="false">
      <c r="A219" s="2" t="s">
        <v>9304</v>
      </c>
      <c r="B219" s="2" t="s">
        <v>1066</v>
      </c>
      <c r="C219" s="2" t="s">
        <v>9087</v>
      </c>
      <c r="D219" s="2" t="n">
        <v>85.66</v>
      </c>
      <c r="E219" s="13" t="n">
        <v>45358</v>
      </c>
    </row>
    <row r="220" customFormat="false" ht="15" hidden="false" customHeight="false" outlineLevel="0" collapsed="false">
      <c r="A220" s="2" t="s">
        <v>9305</v>
      </c>
      <c r="B220" s="2" t="s">
        <v>1070</v>
      </c>
      <c r="C220" s="2" t="s">
        <v>9092</v>
      </c>
      <c r="D220" s="2" t="n">
        <v>86.03</v>
      </c>
      <c r="E220" s="13" t="n">
        <v>45365</v>
      </c>
    </row>
    <row r="221" customFormat="false" ht="15" hidden="false" customHeight="false" outlineLevel="0" collapsed="false">
      <c r="A221" s="2" t="s">
        <v>9306</v>
      </c>
      <c r="B221" s="2" t="s">
        <v>1074</v>
      </c>
      <c r="C221" s="2" t="s">
        <v>9087</v>
      </c>
      <c r="D221" s="2" t="n">
        <v>86.4</v>
      </c>
      <c r="E221" s="13" t="n">
        <v>45372</v>
      </c>
    </row>
    <row r="222" customFormat="false" ht="15" hidden="false" customHeight="false" outlineLevel="0" collapsed="false">
      <c r="A222" s="2" t="s">
        <v>9307</v>
      </c>
      <c r="B222" s="2" t="s">
        <v>1078</v>
      </c>
      <c r="C222" s="2" t="s">
        <v>9098</v>
      </c>
      <c r="D222" s="2" t="n">
        <v>86.77</v>
      </c>
      <c r="E222" s="13" t="n">
        <v>45379</v>
      </c>
    </row>
    <row r="223" customFormat="false" ht="15" hidden="false" customHeight="false" outlineLevel="0" collapsed="false">
      <c r="A223" s="2" t="s">
        <v>9308</v>
      </c>
      <c r="B223" s="2" t="s">
        <v>1080</v>
      </c>
      <c r="C223" s="2" t="s">
        <v>9098</v>
      </c>
      <c r="D223" s="2" t="n">
        <v>87.14</v>
      </c>
      <c r="E223" s="13" t="n">
        <v>45386</v>
      </c>
    </row>
    <row r="224" customFormat="false" ht="15" hidden="false" customHeight="false" outlineLevel="0" collapsed="false">
      <c r="A224" s="2" t="s">
        <v>9309</v>
      </c>
      <c r="B224" s="2" t="s">
        <v>1085</v>
      </c>
      <c r="C224" s="2" t="s">
        <v>9087</v>
      </c>
      <c r="D224" s="2" t="n">
        <v>87.51</v>
      </c>
      <c r="E224" s="13" t="n">
        <v>45393</v>
      </c>
    </row>
    <row r="225" customFormat="false" ht="15" hidden="false" customHeight="false" outlineLevel="0" collapsed="false">
      <c r="A225" s="2" t="s">
        <v>9310</v>
      </c>
      <c r="B225" s="2" t="s">
        <v>1089</v>
      </c>
      <c r="C225" s="2" t="s">
        <v>9085</v>
      </c>
      <c r="D225" s="2" t="n">
        <v>87.88</v>
      </c>
      <c r="E225" s="13" t="n">
        <v>45400</v>
      </c>
    </row>
    <row r="226" customFormat="false" ht="15" hidden="false" customHeight="false" outlineLevel="0" collapsed="false">
      <c r="A226" s="2" t="s">
        <v>9311</v>
      </c>
      <c r="B226" s="2" t="s">
        <v>1093</v>
      </c>
      <c r="C226" s="2" t="s">
        <v>9083</v>
      </c>
      <c r="D226" s="2" t="n">
        <v>88.25</v>
      </c>
      <c r="E226" s="13" t="n">
        <v>45407</v>
      </c>
    </row>
    <row r="227" customFormat="false" ht="15" hidden="false" customHeight="false" outlineLevel="0" collapsed="false">
      <c r="A227" s="2" t="s">
        <v>9312</v>
      </c>
      <c r="B227" s="2" t="s">
        <v>1097</v>
      </c>
      <c r="C227" s="2" t="s">
        <v>9098</v>
      </c>
      <c r="D227" s="2" t="n">
        <v>88.62</v>
      </c>
      <c r="E227" s="13" t="n">
        <v>45414</v>
      </c>
    </row>
    <row r="228" customFormat="false" ht="15" hidden="false" customHeight="false" outlineLevel="0" collapsed="false">
      <c r="A228" s="2" t="s">
        <v>9313</v>
      </c>
      <c r="B228" s="2" t="s">
        <v>1101</v>
      </c>
      <c r="C228" s="2" t="s">
        <v>9083</v>
      </c>
      <c r="D228" s="2" t="n">
        <v>88.99</v>
      </c>
      <c r="E228" s="13" t="n">
        <v>45421</v>
      </c>
    </row>
    <row r="229" customFormat="false" ht="15" hidden="false" customHeight="false" outlineLevel="0" collapsed="false">
      <c r="A229" s="2" t="s">
        <v>9314</v>
      </c>
      <c r="B229" s="2" t="s">
        <v>1106</v>
      </c>
      <c r="C229" s="2" t="s">
        <v>9087</v>
      </c>
      <c r="D229" s="2" t="n">
        <v>89.36</v>
      </c>
      <c r="E229" s="13" t="n">
        <v>45428</v>
      </c>
    </row>
    <row r="230" customFormat="false" ht="15" hidden="false" customHeight="false" outlineLevel="0" collapsed="false">
      <c r="A230" s="2" t="s">
        <v>9315</v>
      </c>
      <c r="B230" s="2" t="s">
        <v>1110</v>
      </c>
      <c r="C230" s="2" t="s">
        <v>9085</v>
      </c>
      <c r="D230" s="2" t="n">
        <v>89.73</v>
      </c>
      <c r="E230" s="13" t="n">
        <v>45435</v>
      </c>
    </row>
    <row r="231" customFormat="false" ht="15" hidden="false" customHeight="false" outlineLevel="0" collapsed="false">
      <c r="A231" s="2" t="s">
        <v>9316</v>
      </c>
      <c r="B231" s="2" t="s">
        <v>1112</v>
      </c>
      <c r="C231" s="2" t="s">
        <v>9085</v>
      </c>
      <c r="D231" s="2" t="n">
        <v>90.1</v>
      </c>
      <c r="E231" s="13" t="n">
        <v>45442</v>
      </c>
    </row>
    <row r="232" customFormat="false" ht="15" hidden="false" customHeight="false" outlineLevel="0" collapsed="false">
      <c r="A232" s="2" t="s">
        <v>9317</v>
      </c>
      <c r="B232" s="2" t="s">
        <v>1114</v>
      </c>
      <c r="C232" s="2" t="s">
        <v>9085</v>
      </c>
      <c r="D232" s="2" t="n">
        <v>90.47</v>
      </c>
      <c r="E232" s="13" t="n">
        <v>45449</v>
      </c>
    </row>
    <row r="233" customFormat="false" ht="15" hidden="false" customHeight="false" outlineLevel="0" collapsed="false">
      <c r="A233" s="2" t="s">
        <v>9318</v>
      </c>
      <c r="B233" s="2" t="s">
        <v>1116</v>
      </c>
      <c r="C233" s="2" t="s">
        <v>9085</v>
      </c>
      <c r="D233" s="2" t="n">
        <v>90.84</v>
      </c>
      <c r="E233" s="13" t="n">
        <v>45456</v>
      </c>
    </row>
    <row r="234" customFormat="false" ht="15" hidden="false" customHeight="false" outlineLevel="0" collapsed="false">
      <c r="A234" s="2" t="s">
        <v>9319</v>
      </c>
      <c r="B234" s="2" t="s">
        <v>1120</v>
      </c>
      <c r="C234" s="2" t="s">
        <v>9092</v>
      </c>
      <c r="D234" s="2" t="n">
        <v>91.21</v>
      </c>
      <c r="E234" s="13" t="n">
        <v>45463</v>
      </c>
    </row>
    <row r="235" customFormat="false" ht="15" hidden="false" customHeight="false" outlineLevel="0" collapsed="false">
      <c r="A235" s="2" t="s">
        <v>9320</v>
      </c>
      <c r="B235" s="2" t="s">
        <v>1123</v>
      </c>
      <c r="C235" s="2" t="s">
        <v>9098</v>
      </c>
      <c r="D235" s="2" t="n">
        <v>91.58</v>
      </c>
      <c r="E235" s="13" t="n">
        <v>45470</v>
      </c>
    </row>
    <row r="236" customFormat="false" ht="15" hidden="false" customHeight="false" outlineLevel="0" collapsed="false">
      <c r="A236" s="2" t="s">
        <v>9321</v>
      </c>
      <c r="B236" s="2" t="s">
        <v>1128</v>
      </c>
      <c r="C236" s="2" t="s">
        <v>9098</v>
      </c>
      <c r="D236" s="2" t="n">
        <v>91.95</v>
      </c>
      <c r="E236" s="13" t="n">
        <v>45477</v>
      </c>
    </row>
    <row r="237" customFormat="false" ht="15" hidden="false" customHeight="false" outlineLevel="0" collapsed="false">
      <c r="A237" s="2" t="s">
        <v>9322</v>
      </c>
      <c r="B237" s="2" t="s">
        <v>1132</v>
      </c>
      <c r="C237" s="2" t="s">
        <v>9083</v>
      </c>
      <c r="D237" s="2" t="n">
        <v>92.32</v>
      </c>
      <c r="E237" s="13" t="n">
        <v>45484</v>
      </c>
    </row>
    <row r="238" customFormat="false" ht="15" hidden="false" customHeight="false" outlineLevel="0" collapsed="false">
      <c r="A238" s="2" t="s">
        <v>9323</v>
      </c>
      <c r="B238" s="2" t="s">
        <v>1135</v>
      </c>
      <c r="C238" s="2" t="s">
        <v>9087</v>
      </c>
      <c r="D238" s="2" t="n">
        <v>92.69</v>
      </c>
      <c r="E238" s="13" t="n">
        <v>45491</v>
      </c>
    </row>
    <row r="239" customFormat="false" ht="15" hidden="false" customHeight="false" outlineLevel="0" collapsed="false">
      <c r="A239" s="2" t="s">
        <v>9324</v>
      </c>
      <c r="B239" s="2" t="s">
        <v>1140</v>
      </c>
      <c r="C239" s="2" t="s">
        <v>9087</v>
      </c>
      <c r="D239" s="2" t="n">
        <v>93.06</v>
      </c>
      <c r="E239" s="13" t="n">
        <v>45498</v>
      </c>
    </row>
    <row r="240" customFormat="false" ht="15" hidden="false" customHeight="false" outlineLevel="0" collapsed="false">
      <c r="A240" s="2" t="s">
        <v>9325</v>
      </c>
      <c r="B240" s="2" t="s">
        <v>1144</v>
      </c>
      <c r="C240" s="2" t="s">
        <v>9098</v>
      </c>
      <c r="D240" s="2" t="n">
        <v>93.43</v>
      </c>
      <c r="E240" s="13" t="n">
        <v>45505</v>
      </c>
    </row>
    <row r="241" customFormat="false" ht="15" hidden="false" customHeight="false" outlineLevel="0" collapsed="false">
      <c r="A241" s="2" t="s">
        <v>9326</v>
      </c>
      <c r="B241" s="2" t="s">
        <v>1148</v>
      </c>
      <c r="C241" s="2" t="s">
        <v>9098</v>
      </c>
      <c r="D241" s="2" t="n">
        <v>93.8</v>
      </c>
      <c r="E241" s="13" t="n">
        <v>45512</v>
      </c>
    </row>
    <row r="242" customFormat="false" ht="15" hidden="false" customHeight="false" outlineLevel="0" collapsed="false">
      <c r="A242" s="2" t="s">
        <v>9327</v>
      </c>
      <c r="B242" s="2" t="s">
        <v>1153</v>
      </c>
      <c r="C242" s="2" t="s">
        <v>9092</v>
      </c>
      <c r="D242" s="2" t="n">
        <v>94.17</v>
      </c>
      <c r="E242" s="13" t="n">
        <v>45519</v>
      </c>
    </row>
    <row r="243" customFormat="false" ht="15" hidden="false" customHeight="false" outlineLevel="0" collapsed="false">
      <c r="A243" s="2" t="s">
        <v>9328</v>
      </c>
      <c r="B243" s="2" t="s">
        <v>1158</v>
      </c>
      <c r="C243" s="2" t="s">
        <v>9092</v>
      </c>
      <c r="D243" s="2" t="n">
        <v>94.54</v>
      </c>
      <c r="E243" s="13" t="n">
        <v>45526</v>
      </c>
    </row>
    <row r="244" customFormat="false" ht="15" hidden="false" customHeight="false" outlineLevel="0" collapsed="false">
      <c r="A244" s="2" t="s">
        <v>9329</v>
      </c>
      <c r="B244" s="2" t="s">
        <v>1161</v>
      </c>
      <c r="C244" s="2" t="s">
        <v>9085</v>
      </c>
      <c r="D244" s="2" t="n">
        <v>94.91</v>
      </c>
      <c r="E244" s="13" t="n">
        <v>45533</v>
      </c>
    </row>
    <row r="245" customFormat="false" ht="15" hidden="false" customHeight="false" outlineLevel="0" collapsed="false">
      <c r="A245" s="2" t="s">
        <v>9330</v>
      </c>
      <c r="B245" s="2" t="s">
        <v>1165</v>
      </c>
      <c r="C245" s="2" t="s">
        <v>9087</v>
      </c>
      <c r="D245" s="2" t="n">
        <v>95.28</v>
      </c>
      <c r="E245" s="13" t="n">
        <v>45540</v>
      </c>
    </row>
    <row r="246" customFormat="false" ht="15" hidden="false" customHeight="false" outlineLevel="0" collapsed="false">
      <c r="A246" s="2" t="s">
        <v>9331</v>
      </c>
      <c r="B246" s="2" t="s">
        <v>1170</v>
      </c>
      <c r="C246" s="2" t="s">
        <v>9085</v>
      </c>
      <c r="D246" s="2" t="n">
        <v>95.65</v>
      </c>
      <c r="E246" s="13" t="n">
        <v>45547</v>
      </c>
    </row>
    <row r="247" customFormat="false" ht="15" hidden="false" customHeight="false" outlineLevel="0" collapsed="false">
      <c r="A247" s="2" t="s">
        <v>9332</v>
      </c>
      <c r="B247" s="2" t="s">
        <v>1175</v>
      </c>
      <c r="C247" s="2" t="s">
        <v>9083</v>
      </c>
      <c r="D247" s="2" t="n">
        <v>96.02</v>
      </c>
      <c r="E247" s="13" t="n">
        <v>45554</v>
      </c>
    </row>
    <row r="248" customFormat="false" ht="15" hidden="false" customHeight="false" outlineLevel="0" collapsed="false">
      <c r="A248" s="2" t="s">
        <v>9333</v>
      </c>
      <c r="B248" s="2" t="s">
        <v>1179</v>
      </c>
      <c r="C248" s="2" t="s">
        <v>9087</v>
      </c>
      <c r="D248" s="2" t="n">
        <v>96.39</v>
      </c>
      <c r="E248" s="13" t="n">
        <v>45561</v>
      </c>
    </row>
    <row r="249" customFormat="false" ht="15" hidden="false" customHeight="false" outlineLevel="0" collapsed="false">
      <c r="A249" s="2" t="s">
        <v>9334</v>
      </c>
      <c r="B249" s="2" t="s">
        <v>1184</v>
      </c>
      <c r="C249" s="2" t="s">
        <v>9092</v>
      </c>
      <c r="D249" s="2" t="n">
        <v>96.76</v>
      </c>
      <c r="E249" s="13" t="n">
        <v>45568</v>
      </c>
    </row>
    <row r="250" customFormat="false" ht="15" hidden="false" customHeight="false" outlineLevel="0" collapsed="false">
      <c r="A250" s="2" t="s">
        <v>9335</v>
      </c>
      <c r="B250" s="2" t="s">
        <v>1186</v>
      </c>
      <c r="C250" s="2" t="s">
        <v>9087</v>
      </c>
      <c r="D250" s="2" t="n">
        <v>97.13</v>
      </c>
      <c r="E250" s="13" t="n">
        <v>45575</v>
      </c>
    </row>
    <row r="251" customFormat="false" ht="15" hidden="false" customHeight="false" outlineLevel="0" collapsed="false">
      <c r="A251" s="2" t="s">
        <v>9336</v>
      </c>
      <c r="B251" s="2" t="s">
        <v>1191</v>
      </c>
      <c r="C251" s="2" t="s">
        <v>9087</v>
      </c>
      <c r="D251" s="2" t="n">
        <v>97.5</v>
      </c>
      <c r="E251" s="13" t="n">
        <v>45582</v>
      </c>
    </row>
    <row r="252" customFormat="false" ht="15" hidden="false" customHeight="false" outlineLevel="0" collapsed="false">
      <c r="A252" s="2" t="s">
        <v>9337</v>
      </c>
      <c r="B252" s="2" t="s">
        <v>1195</v>
      </c>
      <c r="C252" s="2" t="s">
        <v>9092</v>
      </c>
      <c r="D252" s="2" t="n">
        <v>97.87</v>
      </c>
      <c r="E252" s="13" t="n">
        <v>45589</v>
      </c>
    </row>
    <row r="253" customFormat="false" ht="15" hidden="false" customHeight="false" outlineLevel="0" collapsed="false">
      <c r="A253" s="2" t="s">
        <v>9338</v>
      </c>
      <c r="B253" s="2" t="s">
        <v>1200</v>
      </c>
      <c r="C253" s="2" t="s">
        <v>9083</v>
      </c>
      <c r="D253" s="2" t="n">
        <v>98.24</v>
      </c>
      <c r="E253" s="13" t="n">
        <v>45596</v>
      </c>
    </row>
    <row r="254" customFormat="false" ht="15" hidden="false" customHeight="false" outlineLevel="0" collapsed="false">
      <c r="A254" s="2" t="s">
        <v>9339</v>
      </c>
      <c r="B254" s="2" t="s">
        <v>1204</v>
      </c>
      <c r="C254" s="2" t="s">
        <v>9098</v>
      </c>
      <c r="D254" s="2" t="n">
        <v>98.61</v>
      </c>
      <c r="E254" s="13" t="n">
        <v>45603</v>
      </c>
    </row>
    <row r="255" customFormat="false" ht="15" hidden="false" customHeight="false" outlineLevel="0" collapsed="false">
      <c r="A255" s="2" t="s">
        <v>9340</v>
      </c>
      <c r="B255" s="2" t="s">
        <v>1208</v>
      </c>
      <c r="C255" s="2" t="s">
        <v>9087</v>
      </c>
      <c r="D255" s="2" t="n">
        <v>98.98</v>
      </c>
      <c r="E255" s="13" t="n">
        <v>45610</v>
      </c>
    </row>
    <row r="256" customFormat="false" ht="15" hidden="false" customHeight="false" outlineLevel="0" collapsed="false">
      <c r="A256" s="2" t="s">
        <v>9341</v>
      </c>
      <c r="B256" s="2" t="s">
        <v>1213</v>
      </c>
      <c r="C256" s="2" t="s">
        <v>9087</v>
      </c>
      <c r="D256" s="2" t="n">
        <v>99.35</v>
      </c>
      <c r="E256" s="13" t="n">
        <v>45617</v>
      </c>
    </row>
    <row r="257" customFormat="false" ht="15" hidden="false" customHeight="false" outlineLevel="0" collapsed="false">
      <c r="A257" s="2" t="s">
        <v>9342</v>
      </c>
      <c r="B257" s="2" t="s">
        <v>1218</v>
      </c>
      <c r="C257" s="2" t="s">
        <v>9098</v>
      </c>
      <c r="D257" s="2" t="n">
        <v>99.72</v>
      </c>
      <c r="E257" s="13" t="n">
        <v>45624</v>
      </c>
    </row>
    <row r="258" customFormat="false" ht="15" hidden="false" customHeight="false" outlineLevel="0" collapsed="false">
      <c r="A258" s="2" t="s">
        <v>9343</v>
      </c>
      <c r="B258" s="2" t="s">
        <v>1222</v>
      </c>
      <c r="C258" s="2" t="s">
        <v>9092</v>
      </c>
      <c r="D258" s="2" t="n">
        <v>100.09</v>
      </c>
      <c r="E258" s="13" t="n">
        <v>45631</v>
      </c>
    </row>
    <row r="259" customFormat="false" ht="15" hidden="false" customHeight="false" outlineLevel="0" collapsed="false">
      <c r="A259" s="2" t="s">
        <v>9344</v>
      </c>
      <c r="B259" s="2" t="s">
        <v>1226</v>
      </c>
      <c r="C259" s="2" t="s">
        <v>9098</v>
      </c>
      <c r="D259" s="2" t="n">
        <v>100.46</v>
      </c>
      <c r="E259" s="13" t="n">
        <v>45638</v>
      </c>
    </row>
    <row r="260" customFormat="false" ht="15" hidden="false" customHeight="false" outlineLevel="0" collapsed="false">
      <c r="A260" s="2" t="s">
        <v>9345</v>
      </c>
      <c r="B260" s="2" t="s">
        <v>1230</v>
      </c>
      <c r="C260" s="2" t="s">
        <v>9083</v>
      </c>
      <c r="D260" s="2" t="n">
        <v>100.83</v>
      </c>
      <c r="E260" s="13" t="n">
        <v>45645</v>
      </c>
    </row>
    <row r="261" customFormat="false" ht="15" hidden="false" customHeight="false" outlineLevel="0" collapsed="false">
      <c r="A261" s="2" t="s">
        <v>9346</v>
      </c>
      <c r="B261" s="2" t="s">
        <v>1233</v>
      </c>
      <c r="C261" s="2" t="s">
        <v>9098</v>
      </c>
      <c r="D261" s="2" t="n">
        <v>101.2</v>
      </c>
      <c r="E261" s="13" t="n">
        <v>45652</v>
      </c>
    </row>
    <row r="262" customFormat="false" ht="15" hidden="false" customHeight="false" outlineLevel="0" collapsed="false">
      <c r="A262" s="2" t="s">
        <v>9347</v>
      </c>
      <c r="B262" s="2" t="s">
        <v>1237</v>
      </c>
      <c r="C262" s="2" t="s">
        <v>9098</v>
      </c>
      <c r="D262" s="2" t="n">
        <v>101.57</v>
      </c>
      <c r="E262" s="13" t="n">
        <v>45659</v>
      </c>
    </row>
    <row r="263" customFormat="false" ht="15" hidden="false" customHeight="false" outlineLevel="0" collapsed="false">
      <c r="A263" s="2" t="s">
        <v>9348</v>
      </c>
      <c r="B263" s="2" t="s">
        <v>1242</v>
      </c>
      <c r="C263" s="2" t="s">
        <v>9098</v>
      </c>
      <c r="D263" s="2" t="n">
        <v>101.94</v>
      </c>
      <c r="E263" s="13" t="n">
        <v>45666</v>
      </c>
    </row>
    <row r="264" customFormat="false" ht="15" hidden="false" customHeight="false" outlineLevel="0" collapsed="false">
      <c r="A264" s="2" t="s">
        <v>9349</v>
      </c>
      <c r="B264" s="2" t="s">
        <v>1246</v>
      </c>
      <c r="C264" s="2" t="s">
        <v>9098</v>
      </c>
      <c r="D264" s="2" t="n">
        <v>102.31</v>
      </c>
      <c r="E264" s="13" t="n">
        <v>45673</v>
      </c>
    </row>
    <row r="265" customFormat="false" ht="15" hidden="false" customHeight="false" outlineLevel="0" collapsed="false">
      <c r="A265" s="2" t="s">
        <v>9350</v>
      </c>
      <c r="B265" s="2" t="s">
        <v>1250</v>
      </c>
      <c r="C265" s="2" t="s">
        <v>9083</v>
      </c>
      <c r="D265" s="2" t="n">
        <v>102.68</v>
      </c>
      <c r="E265" s="13" t="n">
        <v>45680</v>
      </c>
    </row>
    <row r="266" customFormat="false" ht="15" hidden="false" customHeight="false" outlineLevel="0" collapsed="false">
      <c r="A266" s="2" t="s">
        <v>9351</v>
      </c>
      <c r="B266" s="2" t="s">
        <v>1254</v>
      </c>
      <c r="C266" s="2" t="s">
        <v>9092</v>
      </c>
      <c r="D266" s="2" t="n">
        <v>103.05</v>
      </c>
      <c r="E266" s="13" t="n">
        <v>45687</v>
      </c>
    </row>
    <row r="267" customFormat="false" ht="15" hidden="false" customHeight="false" outlineLevel="0" collapsed="false">
      <c r="A267" s="2" t="s">
        <v>9352</v>
      </c>
      <c r="B267" s="2" t="s">
        <v>1256</v>
      </c>
      <c r="C267" s="2" t="s">
        <v>9098</v>
      </c>
      <c r="D267" s="2" t="n">
        <v>103.42</v>
      </c>
      <c r="E267" s="13" t="n">
        <v>45694</v>
      </c>
    </row>
    <row r="268" customFormat="false" ht="15" hidden="false" customHeight="false" outlineLevel="0" collapsed="false">
      <c r="A268" s="2" t="s">
        <v>9353</v>
      </c>
      <c r="B268" s="2" t="s">
        <v>1260</v>
      </c>
      <c r="C268" s="2" t="s">
        <v>9098</v>
      </c>
      <c r="D268" s="2" t="n">
        <v>103.79</v>
      </c>
      <c r="E268" s="13" t="n">
        <v>45701</v>
      </c>
    </row>
    <row r="269" customFormat="false" ht="15" hidden="false" customHeight="false" outlineLevel="0" collapsed="false">
      <c r="A269" s="2" t="s">
        <v>9354</v>
      </c>
      <c r="B269" s="2" t="s">
        <v>1263</v>
      </c>
      <c r="C269" s="2" t="s">
        <v>9085</v>
      </c>
      <c r="D269" s="2" t="n">
        <v>104.16</v>
      </c>
      <c r="E269" s="13" t="n">
        <v>45708</v>
      </c>
    </row>
    <row r="270" customFormat="false" ht="15" hidden="false" customHeight="false" outlineLevel="0" collapsed="false">
      <c r="A270" s="2" t="s">
        <v>9355</v>
      </c>
      <c r="B270" s="2" t="s">
        <v>1268</v>
      </c>
      <c r="C270" s="2" t="s">
        <v>9083</v>
      </c>
      <c r="D270" s="2" t="n">
        <v>104.53</v>
      </c>
      <c r="E270" s="13" t="n">
        <v>45715</v>
      </c>
    </row>
    <row r="271" customFormat="false" ht="15" hidden="false" customHeight="false" outlineLevel="0" collapsed="false">
      <c r="A271" s="2" t="s">
        <v>9356</v>
      </c>
      <c r="B271" s="2" t="s">
        <v>1273</v>
      </c>
      <c r="C271" s="2" t="s">
        <v>9098</v>
      </c>
      <c r="D271" s="2" t="n">
        <v>104.9</v>
      </c>
      <c r="E271" s="13" t="n">
        <v>45722</v>
      </c>
    </row>
    <row r="272" customFormat="false" ht="15" hidden="false" customHeight="false" outlineLevel="0" collapsed="false">
      <c r="A272" s="2" t="s">
        <v>9357</v>
      </c>
      <c r="B272" s="2" t="s">
        <v>1278</v>
      </c>
      <c r="C272" s="2" t="s">
        <v>9087</v>
      </c>
      <c r="D272" s="2" t="n">
        <v>105.27</v>
      </c>
      <c r="E272" s="13" t="n">
        <v>45729</v>
      </c>
    </row>
    <row r="273" customFormat="false" ht="15" hidden="false" customHeight="false" outlineLevel="0" collapsed="false">
      <c r="A273" s="2" t="s">
        <v>9358</v>
      </c>
      <c r="B273" s="2" t="s">
        <v>1283</v>
      </c>
      <c r="C273" s="2" t="s">
        <v>9098</v>
      </c>
      <c r="D273" s="2" t="n">
        <v>105.64</v>
      </c>
      <c r="E273" s="13" t="n">
        <v>45736</v>
      </c>
    </row>
    <row r="274" customFormat="false" ht="15" hidden="false" customHeight="false" outlineLevel="0" collapsed="false">
      <c r="A274" s="2" t="s">
        <v>9359</v>
      </c>
      <c r="B274" s="2" t="s">
        <v>1288</v>
      </c>
      <c r="C274" s="2" t="s">
        <v>9087</v>
      </c>
      <c r="D274" s="2" t="n">
        <v>106.01</v>
      </c>
      <c r="E274" s="13" t="n">
        <v>45743</v>
      </c>
    </row>
    <row r="275" customFormat="false" ht="15" hidden="false" customHeight="false" outlineLevel="0" collapsed="false">
      <c r="A275" s="2" t="s">
        <v>9360</v>
      </c>
      <c r="B275" s="2" t="s">
        <v>1290</v>
      </c>
      <c r="C275" s="2" t="s">
        <v>9098</v>
      </c>
      <c r="D275" s="2" t="n">
        <v>106.38</v>
      </c>
      <c r="E275" s="13" t="n">
        <v>45750</v>
      </c>
    </row>
    <row r="276" customFormat="false" ht="15" hidden="false" customHeight="false" outlineLevel="0" collapsed="false">
      <c r="A276" s="2" t="s">
        <v>9361</v>
      </c>
      <c r="B276" s="2" t="s">
        <v>1295</v>
      </c>
      <c r="C276" s="2" t="s">
        <v>9087</v>
      </c>
      <c r="D276" s="2" t="n">
        <v>106.75</v>
      </c>
      <c r="E276" s="13" t="n">
        <v>45757</v>
      </c>
    </row>
    <row r="277" customFormat="false" ht="15" hidden="false" customHeight="false" outlineLevel="0" collapsed="false">
      <c r="A277" s="2" t="s">
        <v>9362</v>
      </c>
      <c r="B277" s="2" t="s">
        <v>1300</v>
      </c>
      <c r="C277" s="2" t="s">
        <v>9098</v>
      </c>
      <c r="D277" s="2" t="n">
        <v>107.12</v>
      </c>
      <c r="E277" s="13" t="n">
        <v>45764</v>
      </c>
    </row>
    <row r="278" customFormat="false" ht="15" hidden="false" customHeight="false" outlineLevel="0" collapsed="false">
      <c r="A278" s="2" t="s">
        <v>9363</v>
      </c>
      <c r="B278" s="2" t="s">
        <v>1305</v>
      </c>
      <c r="C278" s="2" t="s">
        <v>9087</v>
      </c>
      <c r="D278" s="2" t="n">
        <v>107.49</v>
      </c>
      <c r="E278" s="13" t="n">
        <v>45771</v>
      </c>
    </row>
    <row r="279" customFormat="false" ht="15" hidden="false" customHeight="false" outlineLevel="0" collapsed="false">
      <c r="A279" s="2" t="s">
        <v>9364</v>
      </c>
      <c r="B279" s="2" t="s">
        <v>1307</v>
      </c>
      <c r="C279" s="2" t="s">
        <v>9087</v>
      </c>
      <c r="D279" s="2" t="n">
        <v>107.86</v>
      </c>
      <c r="E279" s="13" t="n">
        <v>45778</v>
      </c>
    </row>
    <row r="280" customFormat="false" ht="15" hidden="false" customHeight="false" outlineLevel="0" collapsed="false">
      <c r="A280" s="2" t="s">
        <v>9365</v>
      </c>
      <c r="B280" s="2" t="s">
        <v>1312</v>
      </c>
      <c r="C280" s="2" t="s">
        <v>9098</v>
      </c>
      <c r="D280" s="2" t="n">
        <v>108.23</v>
      </c>
      <c r="E280" s="13" t="n">
        <v>45785</v>
      </c>
    </row>
    <row r="281" customFormat="false" ht="15" hidden="false" customHeight="false" outlineLevel="0" collapsed="false">
      <c r="A281" s="2" t="s">
        <v>9366</v>
      </c>
      <c r="B281" s="2" t="s">
        <v>1316</v>
      </c>
      <c r="C281" s="2" t="s">
        <v>9083</v>
      </c>
      <c r="D281" s="2" t="n">
        <v>108.6</v>
      </c>
      <c r="E281" s="13" t="n">
        <v>45792</v>
      </c>
    </row>
    <row r="282" customFormat="false" ht="15" hidden="false" customHeight="false" outlineLevel="0" collapsed="false">
      <c r="A282" s="2" t="s">
        <v>9367</v>
      </c>
      <c r="B282" s="2" t="s">
        <v>1321</v>
      </c>
      <c r="C282" s="2" t="s">
        <v>9098</v>
      </c>
      <c r="D282" s="2" t="n">
        <v>108.97</v>
      </c>
      <c r="E282" s="13" t="n">
        <v>45799</v>
      </c>
    </row>
    <row r="283" customFormat="false" ht="15" hidden="false" customHeight="false" outlineLevel="0" collapsed="false">
      <c r="A283" s="2" t="s">
        <v>9368</v>
      </c>
      <c r="B283" s="2" t="s">
        <v>1326</v>
      </c>
      <c r="C283" s="2" t="s">
        <v>9098</v>
      </c>
      <c r="D283" s="2" t="n">
        <v>109.34</v>
      </c>
      <c r="E283" s="13" t="n">
        <v>45806</v>
      </c>
    </row>
    <row r="284" customFormat="false" ht="15" hidden="false" customHeight="false" outlineLevel="0" collapsed="false">
      <c r="A284" s="2" t="s">
        <v>9369</v>
      </c>
      <c r="B284" s="2" t="s">
        <v>1331</v>
      </c>
      <c r="C284" s="2" t="s">
        <v>9083</v>
      </c>
      <c r="D284" s="2" t="n">
        <v>109.71</v>
      </c>
      <c r="E284" s="13" t="n">
        <v>45813</v>
      </c>
    </row>
    <row r="285" customFormat="false" ht="15" hidden="false" customHeight="false" outlineLevel="0" collapsed="false">
      <c r="A285" s="2" t="s">
        <v>9370</v>
      </c>
      <c r="B285" s="2" t="s">
        <v>1335</v>
      </c>
      <c r="C285" s="2" t="s">
        <v>9098</v>
      </c>
      <c r="D285" s="2" t="n">
        <v>110.08</v>
      </c>
      <c r="E285" s="13" t="n">
        <v>45820</v>
      </c>
    </row>
    <row r="286" customFormat="false" ht="15" hidden="false" customHeight="false" outlineLevel="0" collapsed="false">
      <c r="A286" s="2" t="s">
        <v>9371</v>
      </c>
      <c r="B286" s="2" t="s">
        <v>1340</v>
      </c>
      <c r="C286" s="2" t="s">
        <v>9085</v>
      </c>
      <c r="D286" s="2" t="n">
        <v>110.45</v>
      </c>
      <c r="E286" s="13" t="n">
        <v>45827</v>
      </c>
    </row>
    <row r="287" customFormat="false" ht="15" hidden="false" customHeight="false" outlineLevel="0" collapsed="false">
      <c r="A287" s="2" t="s">
        <v>9372</v>
      </c>
      <c r="B287" s="2" t="s">
        <v>1345</v>
      </c>
      <c r="C287" s="2" t="s">
        <v>9098</v>
      </c>
      <c r="D287" s="2" t="n">
        <v>110.82</v>
      </c>
      <c r="E287" s="13" t="n">
        <v>45834</v>
      </c>
    </row>
    <row r="288" customFormat="false" ht="15" hidden="false" customHeight="false" outlineLevel="0" collapsed="false">
      <c r="A288" s="2" t="s">
        <v>9373</v>
      </c>
      <c r="B288" s="2" t="s">
        <v>1347</v>
      </c>
      <c r="C288" s="2" t="s">
        <v>9085</v>
      </c>
      <c r="D288" s="2" t="n">
        <v>111.19</v>
      </c>
      <c r="E288" s="13" t="n">
        <v>45841</v>
      </c>
    </row>
    <row r="289" customFormat="false" ht="15" hidden="false" customHeight="false" outlineLevel="0" collapsed="false">
      <c r="A289" s="2" t="s">
        <v>9374</v>
      </c>
      <c r="B289" s="2" t="s">
        <v>1351</v>
      </c>
      <c r="C289" s="2" t="s">
        <v>9098</v>
      </c>
      <c r="D289" s="2" t="n">
        <v>111.56</v>
      </c>
      <c r="E289" s="13" t="n">
        <v>45848</v>
      </c>
    </row>
    <row r="290" customFormat="false" ht="15" hidden="false" customHeight="false" outlineLevel="0" collapsed="false">
      <c r="A290" s="2" t="s">
        <v>9375</v>
      </c>
      <c r="B290" s="2" t="s">
        <v>1353</v>
      </c>
      <c r="C290" s="2" t="s">
        <v>9087</v>
      </c>
      <c r="D290" s="2" t="n">
        <v>111.93</v>
      </c>
      <c r="E290" s="13" t="n">
        <v>45855</v>
      </c>
    </row>
    <row r="291" customFormat="false" ht="15" hidden="false" customHeight="false" outlineLevel="0" collapsed="false">
      <c r="A291" s="2" t="s">
        <v>9376</v>
      </c>
      <c r="B291" s="2" t="s">
        <v>1357</v>
      </c>
      <c r="C291" s="2" t="s">
        <v>9083</v>
      </c>
      <c r="D291" s="2" t="n">
        <v>112.3</v>
      </c>
      <c r="E291" s="13" t="n">
        <v>45862</v>
      </c>
    </row>
    <row r="292" customFormat="false" ht="15" hidden="false" customHeight="false" outlineLevel="0" collapsed="false">
      <c r="A292" s="2" t="s">
        <v>9377</v>
      </c>
      <c r="B292" s="2" t="s">
        <v>1361</v>
      </c>
      <c r="C292" s="2" t="s">
        <v>9083</v>
      </c>
      <c r="D292" s="2" t="n">
        <v>112.67</v>
      </c>
      <c r="E292" s="13" t="n">
        <v>45869</v>
      </c>
    </row>
    <row r="293" customFormat="false" ht="15" hidden="false" customHeight="false" outlineLevel="0" collapsed="false">
      <c r="A293" s="2" t="s">
        <v>9378</v>
      </c>
      <c r="B293" s="2" t="s">
        <v>1363</v>
      </c>
      <c r="C293" s="2" t="s">
        <v>9092</v>
      </c>
      <c r="D293" s="2" t="n">
        <v>113.04</v>
      </c>
      <c r="E293" s="13" t="n">
        <v>45876</v>
      </c>
    </row>
    <row r="294" customFormat="false" ht="15" hidden="false" customHeight="false" outlineLevel="0" collapsed="false">
      <c r="A294" s="2" t="s">
        <v>9379</v>
      </c>
      <c r="B294" s="2" t="s">
        <v>1367</v>
      </c>
      <c r="C294" s="2" t="s">
        <v>9083</v>
      </c>
      <c r="D294" s="2" t="n">
        <v>113.41</v>
      </c>
      <c r="E294" s="13" t="n">
        <v>45883</v>
      </c>
    </row>
    <row r="295" customFormat="false" ht="15" hidden="false" customHeight="false" outlineLevel="0" collapsed="false">
      <c r="A295" s="2" t="s">
        <v>9380</v>
      </c>
      <c r="B295" s="2" t="s">
        <v>1372</v>
      </c>
      <c r="C295" s="2" t="s">
        <v>9092</v>
      </c>
      <c r="D295" s="2" t="n">
        <v>113.78</v>
      </c>
      <c r="E295" s="13" t="n">
        <v>45890</v>
      </c>
    </row>
    <row r="296" customFormat="false" ht="15" hidden="false" customHeight="false" outlineLevel="0" collapsed="false">
      <c r="A296" s="2" t="s">
        <v>9381</v>
      </c>
      <c r="B296" s="2" t="s">
        <v>1375</v>
      </c>
      <c r="C296" s="2" t="s">
        <v>9083</v>
      </c>
      <c r="D296" s="2" t="n">
        <v>114.15</v>
      </c>
      <c r="E296" s="13" t="n">
        <v>45897</v>
      </c>
    </row>
    <row r="297" customFormat="false" ht="15" hidden="false" customHeight="false" outlineLevel="0" collapsed="false">
      <c r="A297" s="2" t="s">
        <v>9382</v>
      </c>
      <c r="B297" s="2" t="s">
        <v>1379</v>
      </c>
      <c r="C297" s="2" t="s">
        <v>9087</v>
      </c>
      <c r="D297" s="2" t="n">
        <v>114.52</v>
      </c>
      <c r="E297" s="13" t="n">
        <v>45904</v>
      </c>
    </row>
    <row r="298" customFormat="false" ht="15" hidden="false" customHeight="false" outlineLevel="0" collapsed="false">
      <c r="A298" s="2" t="s">
        <v>9383</v>
      </c>
      <c r="B298" s="2" t="s">
        <v>1383</v>
      </c>
      <c r="C298" s="2" t="s">
        <v>9083</v>
      </c>
      <c r="D298" s="2" t="n">
        <v>114.89</v>
      </c>
      <c r="E298" s="13" t="n">
        <v>45911</v>
      </c>
    </row>
    <row r="299" customFormat="false" ht="15" hidden="false" customHeight="false" outlineLevel="0" collapsed="false">
      <c r="A299" s="2" t="s">
        <v>9384</v>
      </c>
      <c r="B299" s="2" t="s">
        <v>1385</v>
      </c>
      <c r="C299" s="2" t="s">
        <v>9098</v>
      </c>
      <c r="D299" s="2" t="n">
        <v>115.26</v>
      </c>
      <c r="E299" s="13" t="n">
        <v>45918</v>
      </c>
    </row>
    <row r="300" customFormat="false" ht="15" hidden="false" customHeight="false" outlineLevel="0" collapsed="false">
      <c r="A300" s="2" t="s">
        <v>9385</v>
      </c>
      <c r="B300" s="2" t="s">
        <v>1390</v>
      </c>
      <c r="C300" s="2" t="s">
        <v>9083</v>
      </c>
      <c r="D300" s="2" t="n">
        <v>115.63</v>
      </c>
      <c r="E300" s="13" t="n">
        <v>45925</v>
      </c>
    </row>
    <row r="301" customFormat="false" ht="15" hidden="false" customHeight="false" outlineLevel="0" collapsed="false">
      <c r="A301" s="2" t="s">
        <v>9386</v>
      </c>
      <c r="B301" s="2" t="s">
        <v>1394</v>
      </c>
      <c r="C301" s="2" t="s">
        <v>9087</v>
      </c>
      <c r="D301" s="2" t="n">
        <v>116</v>
      </c>
      <c r="E301" s="13" t="n">
        <v>45932</v>
      </c>
    </row>
    <row r="302" customFormat="false" ht="15" hidden="false" customHeight="false" outlineLevel="0" collapsed="false">
      <c r="A302" s="2" t="s">
        <v>9387</v>
      </c>
      <c r="B302" s="2" t="s">
        <v>1397</v>
      </c>
      <c r="C302" s="2" t="s">
        <v>9092</v>
      </c>
      <c r="D302" s="2" t="n">
        <v>116.37</v>
      </c>
      <c r="E302" s="13" t="n">
        <v>45939</v>
      </c>
    </row>
    <row r="303" customFormat="false" ht="15" hidden="false" customHeight="false" outlineLevel="0" collapsed="false">
      <c r="A303" s="2" t="s">
        <v>9388</v>
      </c>
      <c r="B303" s="2" t="s">
        <v>1401</v>
      </c>
      <c r="C303" s="2" t="s">
        <v>9087</v>
      </c>
      <c r="D303" s="2" t="n">
        <v>116.74</v>
      </c>
      <c r="E303" s="13" t="n">
        <v>45946</v>
      </c>
    </row>
    <row r="304" customFormat="false" ht="15" hidden="false" customHeight="false" outlineLevel="0" collapsed="false">
      <c r="A304" s="2" t="s">
        <v>9389</v>
      </c>
      <c r="B304" s="2" t="s">
        <v>1405</v>
      </c>
      <c r="C304" s="2" t="s">
        <v>9087</v>
      </c>
      <c r="D304" s="2" t="n">
        <v>117.11</v>
      </c>
      <c r="E304" s="13" t="n">
        <v>45953</v>
      </c>
    </row>
    <row r="305" customFormat="false" ht="15" hidden="false" customHeight="false" outlineLevel="0" collapsed="false">
      <c r="A305" s="2" t="s">
        <v>9390</v>
      </c>
      <c r="B305" s="2" t="s">
        <v>1409</v>
      </c>
      <c r="C305" s="2" t="s">
        <v>9087</v>
      </c>
      <c r="D305" s="2" t="n">
        <v>117.48</v>
      </c>
      <c r="E305" s="13" t="n">
        <v>45960</v>
      </c>
    </row>
    <row r="306" customFormat="false" ht="15" hidden="false" customHeight="false" outlineLevel="0" collapsed="false">
      <c r="A306" s="2" t="s">
        <v>9391</v>
      </c>
      <c r="B306" s="2" t="s">
        <v>1413</v>
      </c>
      <c r="C306" s="2" t="s">
        <v>9087</v>
      </c>
      <c r="D306" s="2" t="n">
        <v>117.85</v>
      </c>
      <c r="E306" s="13" t="n">
        <v>45967</v>
      </c>
    </row>
    <row r="307" customFormat="false" ht="15" hidden="false" customHeight="false" outlineLevel="0" collapsed="false">
      <c r="A307" s="2" t="s">
        <v>9392</v>
      </c>
      <c r="B307" s="2" t="s">
        <v>1415</v>
      </c>
      <c r="C307" s="2" t="s">
        <v>9098</v>
      </c>
      <c r="D307" s="2" t="n">
        <v>118.22</v>
      </c>
      <c r="E307" s="13" t="n">
        <v>45974</v>
      </c>
    </row>
    <row r="308" customFormat="false" ht="15" hidden="false" customHeight="false" outlineLevel="0" collapsed="false">
      <c r="A308" s="2" t="s">
        <v>9393</v>
      </c>
      <c r="B308" s="2" t="s">
        <v>1417</v>
      </c>
      <c r="C308" s="2" t="s">
        <v>9083</v>
      </c>
      <c r="D308" s="2" t="n">
        <v>118.59</v>
      </c>
      <c r="E308" s="13" t="n">
        <v>45981</v>
      </c>
    </row>
    <row r="309" customFormat="false" ht="15" hidden="false" customHeight="false" outlineLevel="0" collapsed="false">
      <c r="A309" s="2" t="s">
        <v>9394</v>
      </c>
      <c r="B309" s="2" t="s">
        <v>1421</v>
      </c>
      <c r="C309" s="2" t="s">
        <v>9098</v>
      </c>
      <c r="D309" s="2" t="n">
        <v>118.96</v>
      </c>
      <c r="E309" s="13" t="n">
        <v>45988</v>
      </c>
    </row>
    <row r="310" customFormat="false" ht="15" hidden="false" customHeight="false" outlineLevel="0" collapsed="false">
      <c r="A310" s="2" t="s">
        <v>9395</v>
      </c>
      <c r="B310" s="2" t="s">
        <v>1426</v>
      </c>
      <c r="C310" s="2" t="s">
        <v>9087</v>
      </c>
      <c r="D310" s="2" t="n">
        <v>119.33</v>
      </c>
      <c r="E310" s="13" t="n">
        <v>45995</v>
      </c>
    </row>
    <row r="311" customFormat="false" ht="15" hidden="false" customHeight="false" outlineLevel="0" collapsed="false">
      <c r="A311" s="2" t="s">
        <v>9396</v>
      </c>
      <c r="B311" s="2" t="s">
        <v>1428</v>
      </c>
      <c r="C311" s="2" t="s">
        <v>9085</v>
      </c>
      <c r="D311" s="2" t="n">
        <v>119.7</v>
      </c>
      <c r="E311" s="13" t="n">
        <v>46002</v>
      </c>
    </row>
    <row r="312" customFormat="false" ht="15" hidden="false" customHeight="false" outlineLevel="0" collapsed="false">
      <c r="A312" s="2" t="s">
        <v>9397</v>
      </c>
      <c r="B312" s="2" t="s">
        <v>1432</v>
      </c>
      <c r="C312" s="2" t="s">
        <v>9092</v>
      </c>
      <c r="D312" s="2" t="n">
        <v>120.07</v>
      </c>
      <c r="E312" s="13" t="n">
        <v>46009</v>
      </c>
    </row>
    <row r="313" customFormat="false" ht="15" hidden="false" customHeight="false" outlineLevel="0" collapsed="false">
      <c r="A313" s="2" t="s">
        <v>9398</v>
      </c>
      <c r="B313" s="2" t="s">
        <v>1436</v>
      </c>
      <c r="C313" s="2" t="s">
        <v>9083</v>
      </c>
      <c r="D313" s="2" t="n">
        <v>120.44</v>
      </c>
      <c r="E313" s="13" t="n">
        <v>46016</v>
      </c>
    </row>
    <row r="314" customFormat="false" ht="15" hidden="false" customHeight="false" outlineLevel="0" collapsed="false">
      <c r="A314" s="2" t="s">
        <v>9399</v>
      </c>
      <c r="B314" s="2" t="s">
        <v>1440</v>
      </c>
      <c r="C314" s="2" t="s">
        <v>9085</v>
      </c>
      <c r="D314" s="2" t="n">
        <v>120.81</v>
      </c>
      <c r="E314" s="13" t="n">
        <v>45293</v>
      </c>
    </row>
    <row r="315" customFormat="false" ht="15" hidden="false" customHeight="false" outlineLevel="0" collapsed="false">
      <c r="A315" s="2" t="s">
        <v>9400</v>
      </c>
      <c r="B315" s="2" t="s">
        <v>1444</v>
      </c>
      <c r="C315" s="2" t="s">
        <v>9098</v>
      </c>
      <c r="D315" s="2" t="n">
        <v>121.18</v>
      </c>
      <c r="E315" s="13" t="n">
        <v>45300</v>
      </c>
    </row>
    <row r="316" customFormat="false" ht="15" hidden="false" customHeight="false" outlineLevel="0" collapsed="false">
      <c r="A316" s="2" t="s">
        <v>9401</v>
      </c>
      <c r="B316" s="2" t="s">
        <v>1446</v>
      </c>
      <c r="C316" s="2" t="s">
        <v>9087</v>
      </c>
      <c r="D316" s="2" t="n">
        <v>121.55</v>
      </c>
      <c r="E316" s="13" t="n">
        <v>45307</v>
      </c>
    </row>
    <row r="317" customFormat="false" ht="15" hidden="false" customHeight="false" outlineLevel="0" collapsed="false">
      <c r="A317" s="2" t="s">
        <v>9402</v>
      </c>
      <c r="B317" s="2" t="s">
        <v>1449</v>
      </c>
      <c r="C317" s="2" t="s">
        <v>9092</v>
      </c>
      <c r="D317" s="2" t="n">
        <v>121.92</v>
      </c>
      <c r="E317" s="13" t="n">
        <v>45314</v>
      </c>
    </row>
    <row r="318" customFormat="false" ht="15" hidden="false" customHeight="false" outlineLevel="0" collapsed="false">
      <c r="A318" s="2" t="s">
        <v>9403</v>
      </c>
      <c r="B318" s="2" t="s">
        <v>1454</v>
      </c>
      <c r="C318" s="2" t="s">
        <v>9098</v>
      </c>
      <c r="D318" s="2" t="n">
        <v>122.29</v>
      </c>
      <c r="E318" s="13" t="n">
        <v>45321</v>
      </c>
    </row>
    <row r="319" customFormat="false" ht="15" hidden="false" customHeight="false" outlineLevel="0" collapsed="false">
      <c r="A319" s="2" t="s">
        <v>9404</v>
      </c>
      <c r="B319" s="2" t="s">
        <v>1457</v>
      </c>
      <c r="C319" s="2" t="s">
        <v>9083</v>
      </c>
      <c r="D319" s="2" t="n">
        <v>122.66</v>
      </c>
      <c r="E319" s="13" t="n">
        <v>45328</v>
      </c>
    </row>
    <row r="320" customFormat="false" ht="15" hidden="false" customHeight="false" outlineLevel="0" collapsed="false">
      <c r="A320" s="2" t="s">
        <v>9405</v>
      </c>
      <c r="B320" s="2" t="s">
        <v>1461</v>
      </c>
      <c r="C320" s="2" t="s">
        <v>9087</v>
      </c>
      <c r="D320" s="2" t="n">
        <v>123.03</v>
      </c>
      <c r="E320" s="13" t="n">
        <v>45335</v>
      </c>
    </row>
    <row r="321" customFormat="false" ht="15" hidden="false" customHeight="false" outlineLevel="0" collapsed="false">
      <c r="A321" s="2" t="s">
        <v>9406</v>
      </c>
      <c r="B321" s="2" t="s">
        <v>1465</v>
      </c>
      <c r="C321" s="2" t="s">
        <v>9085</v>
      </c>
      <c r="D321" s="2" t="n">
        <v>123.4</v>
      </c>
      <c r="E321" s="13" t="n">
        <v>45342</v>
      </c>
    </row>
    <row r="322" customFormat="false" ht="15" hidden="false" customHeight="false" outlineLevel="0" collapsed="false">
      <c r="A322" s="2" t="s">
        <v>9407</v>
      </c>
      <c r="B322" s="2" t="s">
        <v>1469</v>
      </c>
      <c r="C322" s="2" t="s">
        <v>9083</v>
      </c>
      <c r="D322" s="2" t="n">
        <v>123.77</v>
      </c>
      <c r="E322" s="13" t="n">
        <v>45349</v>
      </c>
    </row>
    <row r="323" customFormat="false" ht="15" hidden="false" customHeight="false" outlineLevel="0" collapsed="false">
      <c r="A323" s="2" t="s">
        <v>9408</v>
      </c>
      <c r="B323" s="2" t="s">
        <v>1473</v>
      </c>
      <c r="C323" s="2" t="s">
        <v>9085</v>
      </c>
      <c r="D323" s="2" t="n">
        <v>124.14</v>
      </c>
      <c r="E323" s="13" t="n">
        <v>45356</v>
      </c>
    </row>
    <row r="324" customFormat="false" ht="15" hidden="false" customHeight="false" outlineLevel="0" collapsed="false">
      <c r="A324" s="2" t="s">
        <v>9409</v>
      </c>
      <c r="B324" s="2" t="s">
        <v>1475</v>
      </c>
      <c r="C324" s="2" t="s">
        <v>9083</v>
      </c>
      <c r="D324" s="2" t="n">
        <v>124.51</v>
      </c>
      <c r="E324" s="13" t="n">
        <v>45363</v>
      </c>
    </row>
    <row r="325" customFormat="false" ht="15" hidden="false" customHeight="false" outlineLevel="0" collapsed="false">
      <c r="A325" s="2" t="s">
        <v>9410</v>
      </c>
      <c r="B325" s="2" t="s">
        <v>1478</v>
      </c>
      <c r="C325" s="2" t="s">
        <v>9085</v>
      </c>
      <c r="D325" s="2" t="n">
        <v>124.88</v>
      </c>
      <c r="E325" s="13" t="n">
        <v>45370</v>
      </c>
    </row>
    <row r="326" customFormat="false" ht="15" hidden="false" customHeight="false" outlineLevel="0" collapsed="false">
      <c r="A326" s="2" t="s">
        <v>9411</v>
      </c>
      <c r="B326" s="2" t="s">
        <v>1483</v>
      </c>
      <c r="C326" s="2" t="s">
        <v>9087</v>
      </c>
      <c r="D326" s="2" t="n">
        <v>125.25</v>
      </c>
      <c r="E326" s="13" t="n">
        <v>45377</v>
      </c>
    </row>
    <row r="327" customFormat="false" ht="15" hidden="false" customHeight="false" outlineLevel="0" collapsed="false">
      <c r="A327" s="2" t="s">
        <v>9412</v>
      </c>
      <c r="B327" s="2" t="s">
        <v>1487</v>
      </c>
      <c r="C327" s="2" t="s">
        <v>9083</v>
      </c>
      <c r="D327" s="2" t="n">
        <v>125.62</v>
      </c>
      <c r="E327" s="13" t="n">
        <v>45384</v>
      </c>
    </row>
    <row r="328" customFormat="false" ht="15" hidden="false" customHeight="false" outlineLevel="0" collapsed="false">
      <c r="A328" s="2" t="s">
        <v>9413</v>
      </c>
      <c r="B328" s="2" t="s">
        <v>1491</v>
      </c>
      <c r="C328" s="2" t="s">
        <v>9092</v>
      </c>
      <c r="D328" s="2" t="n">
        <v>125.99</v>
      </c>
      <c r="E328" s="13" t="n">
        <v>45391</v>
      </c>
    </row>
    <row r="329" customFormat="false" ht="15" hidden="false" customHeight="false" outlineLevel="0" collapsed="false">
      <c r="A329" s="2" t="s">
        <v>9414</v>
      </c>
      <c r="B329" s="2" t="s">
        <v>1496</v>
      </c>
      <c r="C329" s="2" t="s">
        <v>9092</v>
      </c>
      <c r="D329" s="2" t="n">
        <v>126.36</v>
      </c>
      <c r="E329" s="13" t="n">
        <v>45398</v>
      </c>
    </row>
    <row r="330" customFormat="false" ht="15" hidden="false" customHeight="false" outlineLevel="0" collapsed="false">
      <c r="A330" s="2" t="s">
        <v>9415</v>
      </c>
      <c r="B330" s="2" t="s">
        <v>1500</v>
      </c>
      <c r="C330" s="2" t="s">
        <v>9083</v>
      </c>
      <c r="D330" s="2" t="n">
        <v>126.73</v>
      </c>
      <c r="E330" s="13" t="n">
        <v>45405</v>
      </c>
    </row>
    <row r="331" customFormat="false" ht="15" hidden="false" customHeight="false" outlineLevel="0" collapsed="false">
      <c r="A331" s="2" t="s">
        <v>9416</v>
      </c>
      <c r="B331" s="2" t="s">
        <v>1505</v>
      </c>
      <c r="C331" s="2" t="s">
        <v>9098</v>
      </c>
      <c r="D331" s="2" t="n">
        <v>127.1</v>
      </c>
      <c r="E331" s="13" t="n">
        <v>45412</v>
      </c>
    </row>
    <row r="332" customFormat="false" ht="15" hidden="false" customHeight="false" outlineLevel="0" collapsed="false">
      <c r="A332" s="2" t="s">
        <v>9417</v>
      </c>
      <c r="B332" s="2" t="s">
        <v>1507</v>
      </c>
      <c r="C332" s="2" t="s">
        <v>9087</v>
      </c>
      <c r="D332" s="2" t="n">
        <v>127.47</v>
      </c>
      <c r="E332" s="13" t="n">
        <v>45419</v>
      </c>
    </row>
    <row r="333" customFormat="false" ht="15" hidden="false" customHeight="false" outlineLevel="0" collapsed="false">
      <c r="A333" s="2" t="s">
        <v>9418</v>
      </c>
      <c r="B333" s="2" t="s">
        <v>1509</v>
      </c>
      <c r="C333" s="2" t="s">
        <v>9092</v>
      </c>
      <c r="D333" s="2" t="n">
        <v>127.84</v>
      </c>
      <c r="E333" s="13" t="n">
        <v>45426</v>
      </c>
    </row>
    <row r="334" customFormat="false" ht="15" hidden="false" customHeight="false" outlineLevel="0" collapsed="false">
      <c r="A334" s="2" t="s">
        <v>9419</v>
      </c>
      <c r="B334" s="2" t="s">
        <v>1514</v>
      </c>
      <c r="C334" s="2" t="s">
        <v>9087</v>
      </c>
      <c r="D334" s="2" t="n">
        <v>128.21</v>
      </c>
      <c r="E334" s="13" t="n">
        <v>45433</v>
      </c>
    </row>
    <row r="335" customFormat="false" ht="15" hidden="false" customHeight="false" outlineLevel="0" collapsed="false">
      <c r="A335" s="2" t="s">
        <v>9420</v>
      </c>
      <c r="B335" s="2" t="s">
        <v>1518</v>
      </c>
      <c r="C335" s="2" t="s">
        <v>9087</v>
      </c>
      <c r="D335" s="2" t="n">
        <v>128.58</v>
      </c>
      <c r="E335" s="13" t="n">
        <v>45440</v>
      </c>
    </row>
    <row r="336" customFormat="false" ht="15" hidden="false" customHeight="false" outlineLevel="0" collapsed="false">
      <c r="A336" s="2" t="s">
        <v>9421</v>
      </c>
      <c r="B336" s="2" t="s">
        <v>1520</v>
      </c>
      <c r="C336" s="2" t="s">
        <v>9085</v>
      </c>
      <c r="D336" s="2" t="n">
        <v>128.95</v>
      </c>
      <c r="E336" s="13" t="n">
        <v>45447</v>
      </c>
    </row>
    <row r="337" customFormat="false" ht="15" hidden="false" customHeight="false" outlineLevel="0" collapsed="false">
      <c r="A337" s="2" t="s">
        <v>9422</v>
      </c>
      <c r="B337" s="2" t="s">
        <v>1524</v>
      </c>
      <c r="C337" s="2" t="s">
        <v>9098</v>
      </c>
      <c r="D337" s="2" t="n">
        <v>129.32</v>
      </c>
      <c r="E337" s="13" t="n">
        <v>45454</v>
      </c>
    </row>
    <row r="338" customFormat="false" ht="15" hidden="false" customHeight="false" outlineLevel="0" collapsed="false">
      <c r="A338" s="2" t="s">
        <v>9423</v>
      </c>
      <c r="B338" s="2" t="s">
        <v>1526</v>
      </c>
      <c r="C338" s="2" t="s">
        <v>9083</v>
      </c>
      <c r="D338" s="2" t="n">
        <v>129.69</v>
      </c>
      <c r="E338" s="13" t="n">
        <v>45461</v>
      </c>
    </row>
    <row r="339" customFormat="false" ht="15" hidden="false" customHeight="false" outlineLevel="0" collapsed="false">
      <c r="A339" s="2" t="s">
        <v>9424</v>
      </c>
      <c r="B339" s="2" t="s">
        <v>1530</v>
      </c>
      <c r="C339" s="2" t="s">
        <v>9083</v>
      </c>
      <c r="D339" s="2" t="n">
        <v>130.06</v>
      </c>
      <c r="E339" s="13" t="n">
        <v>45468</v>
      </c>
    </row>
    <row r="340" customFormat="false" ht="15" hidden="false" customHeight="false" outlineLevel="0" collapsed="false">
      <c r="A340" s="2" t="s">
        <v>9425</v>
      </c>
      <c r="B340" s="2" t="s">
        <v>1534</v>
      </c>
      <c r="C340" s="2" t="s">
        <v>9083</v>
      </c>
      <c r="D340" s="2" t="n">
        <v>130.43</v>
      </c>
      <c r="E340" s="13" t="n">
        <v>45475</v>
      </c>
    </row>
    <row r="341" customFormat="false" ht="15" hidden="false" customHeight="false" outlineLevel="0" collapsed="false">
      <c r="A341" s="2" t="s">
        <v>9426</v>
      </c>
      <c r="B341" s="2" t="s">
        <v>1539</v>
      </c>
      <c r="C341" s="2" t="s">
        <v>9092</v>
      </c>
      <c r="D341" s="2" t="n">
        <v>130.8</v>
      </c>
      <c r="E341" s="13" t="n">
        <v>45482</v>
      </c>
    </row>
    <row r="342" customFormat="false" ht="15" hidden="false" customHeight="false" outlineLevel="0" collapsed="false">
      <c r="A342" s="2" t="s">
        <v>9427</v>
      </c>
      <c r="B342" s="2" t="s">
        <v>1544</v>
      </c>
      <c r="C342" s="2" t="s">
        <v>9087</v>
      </c>
      <c r="D342" s="2" t="n">
        <v>131.17</v>
      </c>
      <c r="E342" s="13" t="n">
        <v>45489</v>
      </c>
    </row>
    <row r="343" customFormat="false" ht="15" hidden="false" customHeight="false" outlineLevel="0" collapsed="false">
      <c r="A343" s="2" t="s">
        <v>9428</v>
      </c>
      <c r="B343" s="2" t="s">
        <v>1546</v>
      </c>
      <c r="C343" s="2" t="s">
        <v>9087</v>
      </c>
      <c r="D343" s="2" t="n">
        <v>131.54</v>
      </c>
      <c r="E343" s="13" t="n">
        <v>45496</v>
      </c>
    </row>
    <row r="344" customFormat="false" ht="15" hidden="false" customHeight="false" outlineLevel="0" collapsed="false">
      <c r="A344" s="2" t="s">
        <v>9429</v>
      </c>
      <c r="B344" s="2" t="s">
        <v>1550</v>
      </c>
      <c r="C344" s="2" t="s">
        <v>9085</v>
      </c>
      <c r="D344" s="2" t="n">
        <v>131.91</v>
      </c>
      <c r="E344" s="13" t="n">
        <v>45503</v>
      </c>
    </row>
    <row r="345" customFormat="false" ht="15" hidden="false" customHeight="false" outlineLevel="0" collapsed="false">
      <c r="A345" s="2" t="s">
        <v>9430</v>
      </c>
      <c r="B345" s="2" t="s">
        <v>1554</v>
      </c>
      <c r="C345" s="2" t="s">
        <v>9083</v>
      </c>
      <c r="D345" s="2" t="n">
        <v>132.28</v>
      </c>
      <c r="E345" s="13" t="n">
        <v>45510</v>
      </c>
    </row>
    <row r="346" customFormat="false" ht="15" hidden="false" customHeight="false" outlineLevel="0" collapsed="false">
      <c r="A346" s="2" t="s">
        <v>9431</v>
      </c>
      <c r="B346" s="2" t="s">
        <v>1558</v>
      </c>
      <c r="C346" s="2" t="s">
        <v>9098</v>
      </c>
      <c r="D346" s="2" t="n">
        <v>132.65</v>
      </c>
      <c r="E346" s="13" t="n">
        <v>45517</v>
      </c>
    </row>
    <row r="347" customFormat="false" ht="15" hidden="false" customHeight="false" outlineLevel="0" collapsed="false">
      <c r="A347" s="2" t="s">
        <v>9432</v>
      </c>
      <c r="B347" s="2" t="s">
        <v>1562</v>
      </c>
      <c r="C347" s="2" t="s">
        <v>9087</v>
      </c>
      <c r="D347" s="2" t="n">
        <v>133.02</v>
      </c>
      <c r="E347" s="13" t="n">
        <v>45524</v>
      </c>
    </row>
    <row r="348" customFormat="false" ht="15" hidden="false" customHeight="false" outlineLevel="0" collapsed="false">
      <c r="A348" s="2" t="s">
        <v>9433</v>
      </c>
      <c r="B348" s="2" t="s">
        <v>1566</v>
      </c>
      <c r="C348" s="2" t="s">
        <v>9085</v>
      </c>
      <c r="D348" s="2" t="n">
        <v>133.39</v>
      </c>
      <c r="E348" s="13" t="n">
        <v>45531</v>
      </c>
    </row>
    <row r="349" customFormat="false" ht="15" hidden="false" customHeight="false" outlineLevel="0" collapsed="false">
      <c r="A349" s="2" t="s">
        <v>9434</v>
      </c>
      <c r="B349" s="2" t="s">
        <v>1568</v>
      </c>
      <c r="C349" s="2" t="s">
        <v>9092</v>
      </c>
      <c r="D349" s="2" t="n">
        <v>133.76</v>
      </c>
      <c r="E349" s="13" t="n">
        <v>45538</v>
      </c>
    </row>
    <row r="350" customFormat="false" ht="15" hidden="false" customHeight="false" outlineLevel="0" collapsed="false">
      <c r="A350" s="2" t="s">
        <v>9435</v>
      </c>
      <c r="B350" s="2" t="s">
        <v>1572</v>
      </c>
      <c r="C350" s="2" t="s">
        <v>9085</v>
      </c>
      <c r="D350" s="2" t="n">
        <v>134.13</v>
      </c>
      <c r="E350" s="13" t="n">
        <v>45545</v>
      </c>
    </row>
    <row r="351" customFormat="false" ht="15" hidden="false" customHeight="false" outlineLevel="0" collapsed="false">
      <c r="A351" s="2" t="s">
        <v>9436</v>
      </c>
      <c r="B351" s="2" t="s">
        <v>1576</v>
      </c>
      <c r="C351" s="2" t="s">
        <v>9087</v>
      </c>
      <c r="D351" s="2" t="n">
        <v>134.5</v>
      </c>
      <c r="E351" s="13" t="n">
        <v>45552</v>
      </c>
    </row>
    <row r="352" customFormat="false" ht="15" hidden="false" customHeight="false" outlineLevel="0" collapsed="false">
      <c r="A352" s="2" t="s">
        <v>9437</v>
      </c>
      <c r="B352" s="2" t="s">
        <v>1580</v>
      </c>
      <c r="C352" s="2" t="s">
        <v>9083</v>
      </c>
      <c r="D352" s="2" t="n">
        <v>134.87</v>
      </c>
      <c r="E352" s="13" t="n">
        <v>45559</v>
      </c>
    </row>
    <row r="353" customFormat="false" ht="15" hidden="false" customHeight="false" outlineLevel="0" collapsed="false">
      <c r="A353" s="2" t="s">
        <v>9438</v>
      </c>
      <c r="B353" s="2" t="s">
        <v>1582</v>
      </c>
      <c r="C353" s="2" t="s">
        <v>9092</v>
      </c>
      <c r="D353" s="2" t="n">
        <v>135.24</v>
      </c>
      <c r="E353" s="13" t="n">
        <v>45566</v>
      </c>
    </row>
    <row r="354" customFormat="false" ht="15" hidden="false" customHeight="false" outlineLevel="0" collapsed="false">
      <c r="A354" s="2" t="s">
        <v>9439</v>
      </c>
      <c r="B354" s="2" t="s">
        <v>1586</v>
      </c>
      <c r="C354" s="2" t="s">
        <v>9087</v>
      </c>
      <c r="D354" s="2" t="n">
        <v>135.61</v>
      </c>
      <c r="E354" s="13" t="n">
        <v>45573</v>
      </c>
    </row>
    <row r="355" customFormat="false" ht="15" hidden="false" customHeight="false" outlineLevel="0" collapsed="false">
      <c r="A355" s="2" t="s">
        <v>9440</v>
      </c>
      <c r="B355" s="2" t="s">
        <v>1589</v>
      </c>
      <c r="C355" s="2" t="s">
        <v>9098</v>
      </c>
      <c r="D355" s="2" t="n">
        <v>135.98</v>
      </c>
      <c r="E355" s="13" t="n">
        <v>45580</v>
      </c>
    </row>
    <row r="356" customFormat="false" ht="15" hidden="false" customHeight="false" outlineLevel="0" collapsed="false">
      <c r="A356" s="2" t="s">
        <v>9441</v>
      </c>
      <c r="B356" s="2" t="s">
        <v>1591</v>
      </c>
      <c r="C356" s="2" t="s">
        <v>9092</v>
      </c>
      <c r="D356" s="2" t="n">
        <v>136.35</v>
      </c>
      <c r="E356" s="13" t="n">
        <v>45587</v>
      </c>
    </row>
    <row r="357" customFormat="false" ht="15" hidden="false" customHeight="false" outlineLevel="0" collapsed="false">
      <c r="A357" s="2" t="s">
        <v>9442</v>
      </c>
      <c r="B357" s="2" t="s">
        <v>1595</v>
      </c>
      <c r="C357" s="2" t="s">
        <v>9092</v>
      </c>
      <c r="D357" s="2" t="n">
        <v>136.72</v>
      </c>
      <c r="E357" s="13" t="n">
        <v>45594</v>
      </c>
    </row>
    <row r="358" customFormat="false" ht="15" hidden="false" customHeight="false" outlineLevel="0" collapsed="false">
      <c r="A358" s="2" t="s">
        <v>9443</v>
      </c>
      <c r="B358" s="2" t="s">
        <v>1599</v>
      </c>
      <c r="C358" s="2" t="s">
        <v>9092</v>
      </c>
      <c r="D358" s="2" t="n">
        <v>137.09</v>
      </c>
      <c r="E358" s="13" t="n">
        <v>45601</v>
      </c>
    </row>
    <row r="359" customFormat="false" ht="15" hidden="false" customHeight="false" outlineLevel="0" collapsed="false">
      <c r="A359" s="2" t="s">
        <v>9444</v>
      </c>
      <c r="B359" s="2" t="s">
        <v>1602</v>
      </c>
      <c r="C359" s="2" t="s">
        <v>9098</v>
      </c>
      <c r="D359" s="2" t="n">
        <v>137.46</v>
      </c>
      <c r="E359" s="13" t="n">
        <v>45608</v>
      </c>
    </row>
    <row r="360" customFormat="false" ht="15" hidden="false" customHeight="false" outlineLevel="0" collapsed="false">
      <c r="A360" s="2" t="s">
        <v>9445</v>
      </c>
      <c r="B360" s="2" t="s">
        <v>1607</v>
      </c>
      <c r="C360" s="2" t="s">
        <v>9085</v>
      </c>
      <c r="D360" s="2" t="n">
        <v>137.83</v>
      </c>
      <c r="E360" s="13" t="n">
        <v>45615</v>
      </c>
    </row>
    <row r="361" customFormat="false" ht="15" hidden="false" customHeight="false" outlineLevel="0" collapsed="false">
      <c r="A361" s="2" t="s">
        <v>9446</v>
      </c>
      <c r="B361" s="2" t="s">
        <v>1609</v>
      </c>
      <c r="C361" s="2" t="s">
        <v>9083</v>
      </c>
      <c r="D361" s="2" t="n">
        <v>138.2</v>
      </c>
      <c r="E361" s="13" t="n">
        <v>45622</v>
      </c>
    </row>
    <row r="362" customFormat="false" ht="15" hidden="false" customHeight="false" outlineLevel="0" collapsed="false">
      <c r="A362" s="2" t="s">
        <v>9447</v>
      </c>
      <c r="B362" s="2" t="s">
        <v>1611</v>
      </c>
      <c r="C362" s="2" t="s">
        <v>9085</v>
      </c>
      <c r="D362" s="2" t="n">
        <v>138.57</v>
      </c>
      <c r="E362" s="13" t="n">
        <v>45629</v>
      </c>
    </row>
    <row r="363" customFormat="false" ht="15" hidden="false" customHeight="false" outlineLevel="0" collapsed="false">
      <c r="A363" s="2" t="s">
        <v>9448</v>
      </c>
      <c r="B363" s="2" t="s">
        <v>1615</v>
      </c>
      <c r="C363" s="2" t="s">
        <v>9083</v>
      </c>
      <c r="D363" s="2" t="n">
        <v>138.94</v>
      </c>
      <c r="E363" s="13" t="n">
        <v>45636</v>
      </c>
    </row>
    <row r="364" customFormat="false" ht="15" hidden="false" customHeight="false" outlineLevel="0" collapsed="false">
      <c r="A364" s="2" t="s">
        <v>9449</v>
      </c>
      <c r="B364" s="2" t="s">
        <v>1619</v>
      </c>
      <c r="C364" s="2" t="s">
        <v>9098</v>
      </c>
      <c r="D364" s="2" t="n">
        <v>139.31</v>
      </c>
      <c r="E364" s="13" t="n">
        <v>45643</v>
      </c>
    </row>
    <row r="365" customFormat="false" ht="15" hidden="false" customHeight="false" outlineLevel="0" collapsed="false">
      <c r="A365" s="2" t="s">
        <v>9450</v>
      </c>
      <c r="B365" s="2" t="s">
        <v>1624</v>
      </c>
      <c r="C365" s="2" t="s">
        <v>9085</v>
      </c>
      <c r="D365" s="2" t="n">
        <v>139.68</v>
      </c>
      <c r="E365" s="13" t="n">
        <v>45650</v>
      </c>
    </row>
    <row r="366" customFormat="false" ht="15" hidden="false" customHeight="false" outlineLevel="0" collapsed="false">
      <c r="A366" s="2" t="s">
        <v>9451</v>
      </c>
      <c r="B366" s="2" t="s">
        <v>1629</v>
      </c>
      <c r="C366" s="2" t="s">
        <v>9083</v>
      </c>
      <c r="D366" s="2" t="n">
        <v>140.05</v>
      </c>
      <c r="E366" s="13" t="n">
        <v>45657</v>
      </c>
    </row>
    <row r="367" customFormat="false" ht="15" hidden="false" customHeight="false" outlineLevel="0" collapsed="false">
      <c r="A367" s="2" t="s">
        <v>9452</v>
      </c>
      <c r="B367" s="2" t="s">
        <v>1631</v>
      </c>
      <c r="C367" s="2" t="s">
        <v>9092</v>
      </c>
      <c r="D367" s="2" t="n">
        <v>140.42</v>
      </c>
      <c r="E367" s="13" t="n">
        <v>45664</v>
      </c>
    </row>
    <row r="368" customFormat="false" ht="15" hidden="false" customHeight="false" outlineLevel="0" collapsed="false">
      <c r="A368" s="2" t="s">
        <v>9453</v>
      </c>
      <c r="B368" s="2" t="s">
        <v>1635</v>
      </c>
      <c r="C368" s="2" t="s">
        <v>9083</v>
      </c>
      <c r="D368" s="2" t="n">
        <v>140.79</v>
      </c>
      <c r="E368" s="13" t="n">
        <v>45671</v>
      </c>
    </row>
    <row r="369" customFormat="false" ht="15" hidden="false" customHeight="false" outlineLevel="0" collapsed="false">
      <c r="A369" s="2" t="s">
        <v>9454</v>
      </c>
      <c r="B369" s="2" t="s">
        <v>1639</v>
      </c>
      <c r="C369" s="2" t="s">
        <v>9098</v>
      </c>
      <c r="D369" s="2" t="n">
        <v>141.16</v>
      </c>
      <c r="E369" s="13" t="n">
        <v>45678</v>
      </c>
    </row>
    <row r="370" customFormat="false" ht="15" hidden="false" customHeight="false" outlineLevel="0" collapsed="false">
      <c r="A370" s="2" t="s">
        <v>9455</v>
      </c>
      <c r="B370" s="2" t="s">
        <v>1641</v>
      </c>
      <c r="C370" s="2" t="s">
        <v>9098</v>
      </c>
      <c r="D370" s="2" t="n">
        <v>141.53</v>
      </c>
      <c r="E370" s="13" t="n">
        <v>45685</v>
      </c>
    </row>
    <row r="371" customFormat="false" ht="15" hidden="false" customHeight="false" outlineLevel="0" collapsed="false">
      <c r="A371" s="2" t="s">
        <v>9456</v>
      </c>
      <c r="B371" s="2" t="s">
        <v>1646</v>
      </c>
      <c r="C371" s="2" t="s">
        <v>9085</v>
      </c>
      <c r="D371" s="2" t="n">
        <v>141.9</v>
      </c>
      <c r="E371" s="13" t="n">
        <v>45692</v>
      </c>
    </row>
    <row r="372" customFormat="false" ht="15" hidden="false" customHeight="false" outlineLevel="0" collapsed="false">
      <c r="A372" s="2" t="s">
        <v>9457</v>
      </c>
      <c r="B372" s="2" t="s">
        <v>1648</v>
      </c>
      <c r="C372" s="2" t="s">
        <v>9087</v>
      </c>
      <c r="D372" s="2" t="n">
        <v>142.27</v>
      </c>
      <c r="E372" s="13" t="n">
        <v>45699</v>
      </c>
    </row>
    <row r="373" customFormat="false" ht="15" hidden="false" customHeight="false" outlineLevel="0" collapsed="false">
      <c r="A373" s="2" t="s">
        <v>9458</v>
      </c>
      <c r="B373" s="2" t="s">
        <v>1652</v>
      </c>
      <c r="C373" s="2" t="s">
        <v>9092</v>
      </c>
      <c r="D373" s="2" t="n">
        <v>142.64</v>
      </c>
      <c r="E373" s="13" t="n">
        <v>45706</v>
      </c>
    </row>
    <row r="374" customFormat="false" ht="15" hidden="false" customHeight="false" outlineLevel="0" collapsed="false">
      <c r="A374" s="2" t="s">
        <v>9459</v>
      </c>
      <c r="B374" s="2" t="s">
        <v>1656</v>
      </c>
      <c r="C374" s="2" t="s">
        <v>9085</v>
      </c>
      <c r="D374" s="2" t="n">
        <v>143.01</v>
      </c>
      <c r="E374" s="13" t="n">
        <v>45713</v>
      </c>
    </row>
    <row r="375" customFormat="false" ht="15" hidden="false" customHeight="false" outlineLevel="0" collapsed="false">
      <c r="A375" s="2" t="s">
        <v>9460</v>
      </c>
      <c r="B375" s="2" t="s">
        <v>1659</v>
      </c>
      <c r="C375" s="2" t="s">
        <v>9098</v>
      </c>
      <c r="D375" s="2" t="n">
        <v>143.38</v>
      </c>
      <c r="E375" s="13" t="n">
        <v>45720</v>
      </c>
    </row>
    <row r="376" customFormat="false" ht="15" hidden="false" customHeight="false" outlineLevel="0" collapsed="false">
      <c r="A376" s="2" t="s">
        <v>9461</v>
      </c>
      <c r="B376" s="2" t="s">
        <v>1663</v>
      </c>
      <c r="C376" s="2" t="s">
        <v>9098</v>
      </c>
      <c r="D376" s="2" t="n">
        <v>143.75</v>
      </c>
      <c r="E376" s="13" t="n">
        <v>45727</v>
      </c>
    </row>
    <row r="377" customFormat="false" ht="15" hidden="false" customHeight="false" outlineLevel="0" collapsed="false">
      <c r="A377" s="2" t="s">
        <v>9462</v>
      </c>
      <c r="B377" s="2" t="s">
        <v>1667</v>
      </c>
      <c r="C377" s="2" t="s">
        <v>9092</v>
      </c>
      <c r="D377" s="2" t="n">
        <v>144.12</v>
      </c>
      <c r="E377" s="13" t="n">
        <v>45734</v>
      </c>
    </row>
    <row r="378" customFormat="false" ht="15" hidden="false" customHeight="false" outlineLevel="0" collapsed="false">
      <c r="A378" s="2" t="s">
        <v>9463</v>
      </c>
      <c r="B378" s="2" t="s">
        <v>1671</v>
      </c>
      <c r="C378" s="2" t="s">
        <v>9085</v>
      </c>
      <c r="D378" s="2" t="n">
        <v>144.49</v>
      </c>
      <c r="E378" s="13" t="n">
        <v>45741</v>
      </c>
    </row>
    <row r="379" customFormat="false" ht="15" hidden="false" customHeight="false" outlineLevel="0" collapsed="false">
      <c r="A379" s="2" t="s">
        <v>9464</v>
      </c>
      <c r="B379" s="2" t="s">
        <v>1673</v>
      </c>
      <c r="C379" s="2" t="s">
        <v>9085</v>
      </c>
      <c r="D379" s="2" t="n">
        <v>144.86</v>
      </c>
      <c r="E379" s="13" t="n">
        <v>45748</v>
      </c>
    </row>
    <row r="380" customFormat="false" ht="15" hidden="false" customHeight="false" outlineLevel="0" collapsed="false">
      <c r="A380" s="2" t="s">
        <v>9465</v>
      </c>
      <c r="B380" s="2" t="s">
        <v>1678</v>
      </c>
      <c r="C380" s="2" t="s">
        <v>9098</v>
      </c>
      <c r="D380" s="2" t="n">
        <v>145.23</v>
      </c>
      <c r="E380" s="13" t="n">
        <v>45755</v>
      </c>
    </row>
    <row r="381" customFormat="false" ht="15" hidden="false" customHeight="false" outlineLevel="0" collapsed="false">
      <c r="A381" s="2" t="s">
        <v>9466</v>
      </c>
      <c r="B381" s="2" t="s">
        <v>1682</v>
      </c>
      <c r="C381" s="2" t="s">
        <v>9083</v>
      </c>
      <c r="D381" s="2" t="n">
        <v>145.6</v>
      </c>
      <c r="E381" s="13" t="n">
        <v>45762</v>
      </c>
    </row>
    <row r="382" customFormat="false" ht="15" hidden="false" customHeight="false" outlineLevel="0" collapsed="false">
      <c r="A382" s="2" t="s">
        <v>9467</v>
      </c>
      <c r="B382" s="2" t="s">
        <v>1687</v>
      </c>
      <c r="C382" s="2" t="s">
        <v>9098</v>
      </c>
      <c r="D382" s="2" t="n">
        <v>145.97</v>
      </c>
      <c r="E382" s="13" t="n">
        <v>45769</v>
      </c>
    </row>
    <row r="383" customFormat="false" ht="15" hidden="false" customHeight="false" outlineLevel="0" collapsed="false">
      <c r="A383" s="2" t="s">
        <v>9468</v>
      </c>
      <c r="B383" s="2" t="s">
        <v>1691</v>
      </c>
      <c r="C383" s="2" t="s">
        <v>9092</v>
      </c>
      <c r="D383" s="2" t="n">
        <v>146.34</v>
      </c>
      <c r="E383" s="13" t="n">
        <v>45776</v>
      </c>
    </row>
    <row r="384" customFormat="false" ht="15" hidden="false" customHeight="false" outlineLevel="0" collapsed="false">
      <c r="A384" s="2" t="s">
        <v>9469</v>
      </c>
      <c r="B384" s="2" t="s">
        <v>1695</v>
      </c>
      <c r="C384" s="2" t="s">
        <v>9083</v>
      </c>
      <c r="D384" s="2" t="n">
        <v>146.71</v>
      </c>
      <c r="E384" s="13" t="n">
        <v>45783</v>
      </c>
    </row>
    <row r="385" customFormat="false" ht="15" hidden="false" customHeight="false" outlineLevel="0" collapsed="false">
      <c r="A385" s="2" t="s">
        <v>9470</v>
      </c>
      <c r="B385" s="2" t="s">
        <v>1697</v>
      </c>
      <c r="C385" s="2" t="s">
        <v>9098</v>
      </c>
      <c r="D385" s="2" t="n">
        <v>147.08</v>
      </c>
      <c r="E385" s="13" t="n">
        <v>45790</v>
      </c>
    </row>
    <row r="386" customFormat="false" ht="15" hidden="false" customHeight="false" outlineLevel="0" collapsed="false">
      <c r="A386" s="2" t="s">
        <v>9471</v>
      </c>
      <c r="B386" s="2" t="s">
        <v>1701</v>
      </c>
      <c r="C386" s="2" t="s">
        <v>9083</v>
      </c>
      <c r="D386" s="2" t="n">
        <v>147.45</v>
      </c>
      <c r="E386" s="13" t="n">
        <v>45797</v>
      </c>
    </row>
    <row r="387" customFormat="false" ht="15" hidden="false" customHeight="false" outlineLevel="0" collapsed="false">
      <c r="A387" s="2" t="s">
        <v>9472</v>
      </c>
      <c r="B387" s="2" t="s">
        <v>1704</v>
      </c>
      <c r="C387" s="2" t="s">
        <v>9092</v>
      </c>
      <c r="D387" s="2" t="n">
        <v>147.82</v>
      </c>
      <c r="E387" s="13" t="n">
        <v>45804</v>
      </c>
    </row>
    <row r="388" customFormat="false" ht="15" hidden="false" customHeight="false" outlineLevel="0" collapsed="false">
      <c r="A388" s="2" t="s">
        <v>9473</v>
      </c>
      <c r="B388" s="2" t="s">
        <v>1708</v>
      </c>
      <c r="C388" s="2" t="s">
        <v>9083</v>
      </c>
      <c r="D388" s="2" t="n">
        <v>148.19</v>
      </c>
      <c r="E388" s="13" t="n">
        <v>45811</v>
      </c>
    </row>
    <row r="389" customFormat="false" ht="15" hidden="false" customHeight="false" outlineLevel="0" collapsed="false">
      <c r="A389" s="2" t="s">
        <v>9474</v>
      </c>
      <c r="B389" s="2" t="s">
        <v>1712</v>
      </c>
      <c r="C389" s="2" t="s">
        <v>9092</v>
      </c>
      <c r="D389" s="2" t="n">
        <v>148.56</v>
      </c>
      <c r="E389" s="13" t="n">
        <v>45818</v>
      </c>
    </row>
    <row r="390" customFormat="false" ht="15" hidden="false" customHeight="false" outlineLevel="0" collapsed="false">
      <c r="A390" s="2" t="s">
        <v>9475</v>
      </c>
      <c r="B390" s="2" t="s">
        <v>1716</v>
      </c>
      <c r="C390" s="2" t="s">
        <v>9092</v>
      </c>
      <c r="D390" s="2" t="n">
        <v>148.93</v>
      </c>
      <c r="E390" s="13" t="n">
        <v>45825</v>
      </c>
    </row>
    <row r="391" customFormat="false" ht="15" hidden="false" customHeight="false" outlineLevel="0" collapsed="false">
      <c r="A391" s="2" t="s">
        <v>9476</v>
      </c>
      <c r="B391" s="2" t="s">
        <v>1718</v>
      </c>
      <c r="C391" s="2" t="s">
        <v>9092</v>
      </c>
      <c r="D391" s="2" t="n">
        <v>149.3</v>
      </c>
      <c r="E391" s="13" t="n">
        <v>45832</v>
      </c>
    </row>
    <row r="392" customFormat="false" ht="15" hidden="false" customHeight="false" outlineLevel="0" collapsed="false">
      <c r="A392" s="2" t="s">
        <v>9477</v>
      </c>
      <c r="B392" s="2" t="s">
        <v>1722</v>
      </c>
      <c r="C392" s="2" t="s">
        <v>9092</v>
      </c>
      <c r="D392" s="2" t="n">
        <v>149.67</v>
      </c>
      <c r="E392" s="13" t="n">
        <v>45839</v>
      </c>
    </row>
    <row r="393" customFormat="false" ht="15" hidden="false" customHeight="false" outlineLevel="0" collapsed="false">
      <c r="A393" s="2" t="s">
        <v>9478</v>
      </c>
      <c r="B393" s="2" t="s">
        <v>1727</v>
      </c>
      <c r="C393" s="2" t="s">
        <v>9087</v>
      </c>
      <c r="D393" s="2" t="n">
        <v>150.04</v>
      </c>
      <c r="E393" s="13" t="n">
        <v>45846</v>
      </c>
    </row>
    <row r="394" customFormat="false" ht="15" hidden="false" customHeight="false" outlineLevel="0" collapsed="false">
      <c r="A394" s="2" t="s">
        <v>9479</v>
      </c>
      <c r="B394" s="2" t="s">
        <v>1729</v>
      </c>
      <c r="C394" s="2" t="s">
        <v>9087</v>
      </c>
      <c r="D394" s="2" t="n">
        <v>150.41</v>
      </c>
      <c r="E394" s="13" t="n">
        <v>45853</v>
      </c>
    </row>
    <row r="395" customFormat="false" ht="15" hidden="false" customHeight="false" outlineLevel="0" collapsed="false">
      <c r="A395" s="2" t="s">
        <v>9480</v>
      </c>
      <c r="B395" s="2" t="s">
        <v>1733</v>
      </c>
      <c r="C395" s="2" t="s">
        <v>9092</v>
      </c>
      <c r="D395" s="2" t="n">
        <v>150.78</v>
      </c>
      <c r="E395" s="13" t="n">
        <v>45860</v>
      </c>
    </row>
    <row r="396" customFormat="false" ht="15" hidden="false" customHeight="false" outlineLevel="0" collapsed="false">
      <c r="A396" s="2" t="s">
        <v>9481</v>
      </c>
      <c r="B396" s="2" t="s">
        <v>1737</v>
      </c>
      <c r="C396" s="2" t="s">
        <v>9092</v>
      </c>
      <c r="D396" s="2" t="n">
        <v>151.15</v>
      </c>
      <c r="E396" s="13" t="n">
        <v>45867</v>
      </c>
    </row>
    <row r="397" customFormat="false" ht="15" hidden="false" customHeight="false" outlineLevel="0" collapsed="false">
      <c r="A397" s="2" t="s">
        <v>9482</v>
      </c>
      <c r="B397" s="2" t="s">
        <v>1741</v>
      </c>
      <c r="C397" s="2" t="s">
        <v>9087</v>
      </c>
      <c r="D397" s="2" t="n">
        <v>151.52</v>
      </c>
      <c r="E397" s="13" t="n">
        <v>45874</v>
      </c>
    </row>
    <row r="398" customFormat="false" ht="15" hidden="false" customHeight="false" outlineLevel="0" collapsed="false">
      <c r="A398" s="2" t="s">
        <v>9483</v>
      </c>
      <c r="B398" s="2" t="s">
        <v>1745</v>
      </c>
      <c r="C398" s="2" t="s">
        <v>9087</v>
      </c>
      <c r="D398" s="2" t="n">
        <v>151.89</v>
      </c>
      <c r="E398" s="13" t="n">
        <v>45881</v>
      </c>
    </row>
    <row r="399" customFormat="false" ht="15" hidden="false" customHeight="false" outlineLevel="0" collapsed="false">
      <c r="A399" s="2" t="s">
        <v>9484</v>
      </c>
      <c r="B399" s="2" t="s">
        <v>1749</v>
      </c>
      <c r="C399" s="2" t="s">
        <v>9085</v>
      </c>
      <c r="D399" s="2" t="n">
        <v>152.26</v>
      </c>
      <c r="E399" s="13" t="n">
        <v>45888</v>
      </c>
    </row>
    <row r="400" customFormat="false" ht="15" hidden="false" customHeight="false" outlineLevel="0" collapsed="false">
      <c r="A400" s="2" t="s">
        <v>9485</v>
      </c>
      <c r="B400" s="2" t="s">
        <v>1751</v>
      </c>
      <c r="C400" s="2" t="s">
        <v>9098</v>
      </c>
      <c r="D400" s="2" t="n">
        <v>152.63</v>
      </c>
      <c r="E400" s="13" t="n">
        <v>45895</v>
      </c>
    </row>
    <row r="401" customFormat="false" ht="15" hidden="false" customHeight="false" outlineLevel="0" collapsed="false">
      <c r="A401" s="2" t="s">
        <v>9486</v>
      </c>
      <c r="B401" s="2" t="s">
        <v>1755</v>
      </c>
      <c r="C401" s="2" t="s">
        <v>9087</v>
      </c>
      <c r="D401" s="2" t="n">
        <v>153</v>
      </c>
      <c r="E401" s="13" t="n">
        <v>45902</v>
      </c>
    </row>
    <row r="402" customFormat="false" ht="15" hidden="false" customHeight="false" outlineLevel="0" collapsed="false">
      <c r="A402" s="2" t="s">
        <v>9487</v>
      </c>
      <c r="B402" s="2" t="s">
        <v>1760</v>
      </c>
      <c r="C402" s="2" t="s">
        <v>9098</v>
      </c>
      <c r="D402" s="2" t="n">
        <v>153.37</v>
      </c>
      <c r="E402" s="13" t="n">
        <v>45909</v>
      </c>
    </row>
    <row r="403" customFormat="false" ht="15" hidden="false" customHeight="false" outlineLevel="0" collapsed="false">
      <c r="A403" s="2" t="s">
        <v>9488</v>
      </c>
      <c r="B403" s="2" t="s">
        <v>1762</v>
      </c>
      <c r="C403" s="2" t="s">
        <v>9083</v>
      </c>
      <c r="D403" s="2" t="n">
        <v>153.74</v>
      </c>
      <c r="E403" s="13" t="n">
        <v>45916</v>
      </c>
    </row>
    <row r="404" customFormat="false" ht="15" hidden="false" customHeight="false" outlineLevel="0" collapsed="false">
      <c r="A404" s="2" t="s">
        <v>9489</v>
      </c>
      <c r="B404" s="2" t="s">
        <v>1766</v>
      </c>
      <c r="C404" s="2" t="s">
        <v>9087</v>
      </c>
      <c r="D404" s="2" t="n">
        <v>154.11</v>
      </c>
      <c r="E404" s="13" t="n">
        <v>45923</v>
      </c>
    </row>
    <row r="405" customFormat="false" ht="15" hidden="false" customHeight="false" outlineLevel="0" collapsed="false">
      <c r="A405" s="2" t="s">
        <v>9490</v>
      </c>
      <c r="B405" s="2" t="s">
        <v>1770</v>
      </c>
      <c r="C405" s="2" t="s">
        <v>9092</v>
      </c>
      <c r="D405" s="2" t="n">
        <v>154.48</v>
      </c>
      <c r="E405" s="13" t="n">
        <v>45930</v>
      </c>
    </row>
    <row r="406" customFormat="false" ht="15" hidden="false" customHeight="false" outlineLevel="0" collapsed="false">
      <c r="A406" s="2" t="s">
        <v>9491</v>
      </c>
      <c r="B406" s="2" t="s">
        <v>1772</v>
      </c>
      <c r="C406" s="2" t="s">
        <v>9083</v>
      </c>
      <c r="D406" s="2" t="n">
        <v>154.85</v>
      </c>
      <c r="E406" s="13" t="n">
        <v>45937</v>
      </c>
    </row>
    <row r="407" customFormat="false" ht="15" hidden="false" customHeight="false" outlineLevel="0" collapsed="false">
      <c r="A407" s="2" t="s">
        <v>9492</v>
      </c>
      <c r="B407" s="2" t="s">
        <v>1776</v>
      </c>
      <c r="C407" s="2" t="s">
        <v>9085</v>
      </c>
      <c r="D407" s="2" t="n">
        <v>155.22</v>
      </c>
      <c r="E407" s="13" t="n">
        <v>45944</v>
      </c>
    </row>
    <row r="408" customFormat="false" ht="15" hidden="false" customHeight="false" outlineLevel="0" collapsed="false">
      <c r="A408" s="2" t="s">
        <v>9493</v>
      </c>
      <c r="B408" s="2" t="s">
        <v>1779</v>
      </c>
      <c r="C408" s="2" t="s">
        <v>9098</v>
      </c>
      <c r="D408" s="2" t="n">
        <v>155.59</v>
      </c>
      <c r="E408" s="13" t="n">
        <v>45951</v>
      </c>
    </row>
    <row r="409" customFormat="false" ht="15" hidden="false" customHeight="false" outlineLevel="0" collapsed="false">
      <c r="A409" s="2" t="s">
        <v>9494</v>
      </c>
      <c r="B409" s="2" t="s">
        <v>1783</v>
      </c>
      <c r="C409" s="2" t="s">
        <v>9083</v>
      </c>
      <c r="D409" s="2" t="n">
        <v>155.96</v>
      </c>
      <c r="E409" s="13" t="n">
        <v>45958</v>
      </c>
    </row>
    <row r="410" customFormat="false" ht="15" hidden="false" customHeight="false" outlineLevel="0" collapsed="false">
      <c r="A410" s="2" t="s">
        <v>9495</v>
      </c>
      <c r="B410" s="2" t="s">
        <v>1787</v>
      </c>
      <c r="C410" s="2" t="s">
        <v>9083</v>
      </c>
      <c r="D410" s="2" t="n">
        <v>156.33</v>
      </c>
      <c r="E410" s="13" t="n">
        <v>45965</v>
      </c>
    </row>
    <row r="411" customFormat="false" ht="15" hidden="false" customHeight="false" outlineLevel="0" collapsed="false">
      <c r="A411" s="2" t="s">
        <v>9496</v>
      </c>
      <c r="B411" s="2" t="s">
        <v>1791</v>
      </c>
      <c r="C411" s="2" t="s">
        <v>9098</v>
      </c>
      <c r="D411" s="2" t="n">
        <v>156.7</v>
      </c>
      <c r="E411" s="13" t="n">
        <v>45972</v>
      </c>
    </row>
    <row r="412" customFormat="false" ht="15" hidden="false" customHeight="false" outlineLevel="0" collapsed="false">
      <c r="A412" s="2" t="s">
        <v>9497</v>
      </c>
      <c r="B412" s="2" t="s">
        <v>1796</v>
      </c>
      <c r="C412" s="2" t="s">
        <v>9083</v>
      </c>
      <c r="D412" s="2" t="n">
        <v>157.07</v>
      </c>
      <c r="E412" s="13" t="n">
        <v>45979</v>
      </c>
    </row>
    <row r="413" customFormat="false" ht="15" hidden="false" customHeight="false" outlineLevel="0" collapsed="false">
      <c r="A413" s="2" t="s">
        <v>9498</v>
      </c>
      <c r="B413" s="2" t="s">
        <v>1800</v>
      </c>
      <c r="C413" s="2" t="s">
        <v>9083</v>
      </c>
      <c r="D413" s="2" t="n">
        <v>157.44</v>
      </c>
      <c r="E413" s="13" t="n">
        <v>45986</v>
      </c>
    </row>
    <row r="414" customFormat="false" ht="15" hidden="false" customHeight="false" outlineLevel="0" collapsed="false">
      <c r="A414" s="2" t="s">
        <v>9499</v>
      </c>
      <c r="B414" s="2" t="s">
        <v>1802</v>
      </c>
      <c r="C414" s="2" t="s">
        <v>9083</v>
      </c>
      <c r="D414" s="2" t="n">
        <v>157.81</v>
      </c>
      <c r="E414" s="13" t="n">
        <v>45993</v>
      </c>
    </row>
    <row r="415" customFormat="false" ht="15" hidden="false" customHeight="false" outlineLevel="0" collapsed="false">
      <c r="A415" s="2" t="s">
        <v>9500</v>
      </c>
      <c r="B415" s="2" t="s">
        <v>1807</v>
      </c>
      <c r="C415" s="2" t="s">
        <v>9083</v>
      </c>
      <c r="D415" s="2" t="n">
        <v>158.18</v>
      </c>
      <c r="E415" s="13" t="n">
        <v>46000</v>
      </c>
    </row>
    <row r="416" customFormat="false" ht="15" hidden="false" customHeight="false" outlineLevel="0" collapsed="false">
      <c r="A416" s="2" t="s">
        <v>9501</v>
      </c>
      <c r="B416" s="2" t="s">
        <v>1811</v>
      </c>
      <c r="C416" s="2" t="s">
        <v>9085</v>
      </c>
      <c r="D416" s="2" t="n">
        <v>158.55</v>
      </c>
      <c r="E416" s="13" t="n">
        <v>46007</v>
      </c>
    </row>
    <row r="417" customFormat="false" ht="15" hidden="false" customHeight="false" outlineLevel="0" collapsed="false">
      <c r="A417" s="2" t="s">
        <v>9502</v>
      </c>
      <c r="B417" s="2" t="s">
        <v>1815</v>
      </c>
      <c r="C417" s="2" t="s">
        <v>9092</v>
      </c>
      <c r="D417" s="2" t="n">
        <v>158.92</v>
      </c>
      <c r="E417" s="13" t="n">
        <v>46014</v>
      </c>
    </row>
    <row r="418" customFormat="false" ht="15" hidden="false" customHeight="false" outlineLevel="0" collapsed="false">
      <c r="A418" s="2" t="s">
        <v>9503</v>
      </c>
      <c r="B418" s="2" t="s">
        <v>1819</v>
      </c>
      <c r="C418" s="2" t="s">
        <v>9098</v>
      </c>
      <c r="D418" s="2" t="n">
        <v>159.29</v>
      </c>
      <c r="E418" s="13" t="n">
        <v>46021</v>
      </c>
    </row>
    <row r="419" customFormat="false" ht="15" hidden="false" customHeight="false" outlineLevel="0" collapsed="false">
      <c r="A419" s="2" t="s">
        <v>9504</v>
      </c>
      <c r="B419" s="2" t="s">
        <v>1823</v>
      </c>
      <c r="C419" s="2" t="s">
        <v>9098</v>
      </c>
      <c r="D419" s="2" t="n">
        <v>159.66</v>
      </c>
      <c r="E419" s="13" t="n">
        <v>45298</v>
      </c>
    </row>
    <row r="420" customFormat="false" ht="15" hidden="false" customHeight="false" outlineLevel="0" collapsed="false">
      <c r="A420" s="2" t="s">
        <v>9505</v>
      </c>
      <c r="B420" s="2" t="s">
        <v>1827</v>
      </c>
      <c r="C420" s="2" t="s">
        <v>9083</v>
      </c>
      <c r="D420" s="2" t="n">
        <v>160.03</v>
      </c>
      <c r="E420" s="13" t="n">
        <v>45305</v>
      </c>
    </row>
    <row r="421" customFormat="false" ht="15" hidden="false" customHeight="false" outlineLevel="0" collapsed="false">
      <c r="A421" s="2" t="s">
        <v>9506</v>
      </c>
      <c r="B421" s="2" t="s">
        <v>1831</v>
      </c>
      <c r="C421" s="2" t="s">
        <v>9085</v>
      </c>
      <c r="D421" s="2" t="n">
        <v>160.4</v>
      </c>
      <c r="E421" s="13" t="n">
        <v>45312</v>
      </c>
    </row>
    <row r="422" customFormat="false" ht="15" hidden="false" customHeight="false" outlineLevel="0" collapsed="false">
      <c r="A422" s="2" t="s">
        <v>9507</v>
      </c>
      <c r="B422" s="2" t="s">
        <v>1833</v>
      </c>
      <c r="C422" s="2" t="s">
        <v>9085</v>
      </c>
      <c r="D422" s="2" t="n">
        <v>160.77</v>
      </c>
      <c r="E422" s="13" t="n">
        <v>45319</v>
      </c>
    </row>
    <row r="423" customFormat="false" ht="15" hidden="false" customHeight="false" outlineLevel="0" collapsed="false">
      <c r="A423" s="2" t="s">
        <v>9508</v>
      </c>
      <c r="B423" s="2" t="s">
        <v>1838</v>
      </c>
      <c r="C423" s="2" t="s">
        <v>9098</v>
      </c>
      <c r="D423" s="2" t="n">
        <v>161.14</v>
      </c>
      <c r="E423" s="13" t="n">
        <v>45326</v>
      </c>
    </row>
    <row r="424" customFormat="false" ht="15" hidden="false" customHeight="false" outlineLevel="0" collapsed="false">
      <c r="A424" s="2" t="s">
        <v>9509</v>
      </c>
      <c r="B424" s="2" t="s">
        <v>1840</v>
      </c>
      <c r="C424" s="2" t="s">
        <v>9087</v>
      </c>
      <c r="D424" s="2" t="n">
        <v>161.51</v>
      </c>
      <c r="E424" s="13" t="n">
        <v>45333</v>
      </c>
    </row>
    <row r="425" customFormat="false" ht="15" hidden="false" customHeight="false" outlineLevel="0" collapsed="false">
      <c r="A425" s="2" t="s">
        <v>9510</v>
      </c>
      <c r="B425" s="2" t="s">
        <v>1844</v>
      </c>
      <c r="C425" s="2" t="s">
        <v>9092</v>
      </c>
      <c r="D425" s="2" t="n">
        <v>161.88</v>
      </c>
      <c r="E425" s="13" t="n">
        <v>45340</v>
      </c>
    </row>
    <row r="426" customFormat="false" ht="15" hidden="false" customHeight="false" outlineLevel="0" collapsed="false">
      <c r="A426" s="2" t="s">
        <v>9511</v>
      </c>
      <c r="B426" s="2" t="s">
        <v>1848</v>
      </c>
      <c r="C426" s="2" t="s">
        <v>9098</v>
      </c>
      <c r="D426" s="2" t="n">
        <v>162.25</v>
      </c>
      <c r="E426" s="13" t="n">
        <v>45347</v>
      </c>
    </row>
    <row r="427" customFormat="false" ht="15" hidden="false" customHeight="false" outlineLevel="0" collapsed="false">
      <c r="A427" s="2" t="s">
        <v>9512</v>
      </c>
      <c r="B427" s="2" t="s">
        <v>1852</v>
      </c>
      <c r="C427" s="2" t="s">
        <v>9098</v>
      </c>
      <c r="D427" s="2" t="n">
        <v>162.62</v>
      </c>
      <c r="E427" s="13" t="n">
        <v>45354</v>
      </c>
    </row>
    <row r="428" customFormat="false" ht="15" hidden="false" customHeight="false" outlineLevel="0" collapsed="false">
      <c r="A428" s="2" t="s">
        <v>9513</v>
      </c>
      <c r="B428" s="2" t="s">
        <v>1855</v>
      </c>
      <c r="C428" s="2" t="s">
        <v>9087</v>
      </c>
      <c r="D428" s="2" t="n">
        <v>162.99</v>
      </c>
      <c r="E428" s="13" t="n">
        <v>45361</v>
      </c>
    </row>
    <row r="429" customFormat="false" ht="15" hidden="false" customHeight="false" outlineLevel="0" collapsed="false">
      <c r="A429" s="2" t="s">
        <v>9514</v>
      </c>
      <c r="B429" s="2" t="s">
        <v>1859</v>
      </c>
      <c r="C429" s="2" t="s">
        <v>9087</v>
      </c>
      <c r="D429" s="2" t="n">
        <v>163.36</v>
      </c>
      <c r="E429" s="13" t="n">
        <v>45368</v>
      </c>
    </row>
    <row r="430" customFormat="false" ht="15" hidden="false" customHeight="false" outlineLevel="0" collapsed="false">
      <c r="A430" s="2" t="s">
        <v>9515</v>
      </c>
      <c r="B430" s="2" t="s">
        <v>1863</v>
      </c>
      <c r="C430" s="2" t="s">
        <v>9098</v>
      </c>
      <c r="D430" s="2" t="n">
        <v>163.73</v>
      </c>
      <c r="E430" s="13" t="n">
        <v>45375</v>
      </c>
    </row>
    <row r="431" customFormat="false" ht="15" hidden="false" customHeight="false" outlineLevel="0" collapsed="false">
      <c r="A431" s="2" t="s">
        <v>9516</v>
      </c>
      <c r="B431" s="2" t="s">
        <v>1865</v>
      </c>
      <c r="C431" s="2" t="s">
        <v>9098</v>
      </c>
      <c r="D431" s="2" t="n">
        <v>164.1</v>
      </c>
      <c r="E431" s="13" t="n">
        <v>45382</v>
      </c>
    </row>
    <row r="432" customFormat="false" ht="15" hidden="false" customHeight="false" outlineLevel="0" collapsed="false">
      <c r="A432" s="2" t="s">
        <v>9517</v>
      </c>
      <c r="B432" s="2" t="s">
        <v>1869</v>
      </c>
      <c r="C432" s="2" t="s">
        <v>9083</v>
      </c>
      <c r="D432" s="2" t="n">
        <v>164.47</v>
      </c>
      <c r="E432" s="13" t="n">
        <v>45389</v>
      </c>
    </row>
    <row r="433" customFormat="false" ht="15" hidden="false" customHeight="false" outlineLevel="0" collapsed="false">
      <c r="A433" s="2" t="s">
        <v>9518</v>
      </c>
      <c r="B433" s="2" t="s">
        <v>1871</v>
      </c>
      <c r="C433" s="2" t="s">
        <v>9087</v>
      </c>
      <c r="D433" s="2" t="n">
        <v>164.84</v>
      </c>
      <c r="E433" s="13" t="n">
        <v>45396</v>
      </c>
    </row>
    <row r="434" customFormat="false" ht="15" hidden="false" customHeight="false" outlineLevel="0" collapsed="false">
      <c r="A434" s="2" t="s">
        <v>9519</v>
      </c>
      <c r="B434" s="2" t="s">
        <v>1875</v>
      </c>
      <c r="C434" s="2" t="s">
        <v>9098</v>
      </c>
      <c r="D434" s="2" t="n">
        <v>165.21</v>
      </c>
      <c r="E434" s="13" t="n">
        <v>45403</v>
      </c>
    </row>
    <row r="435" customFormat="false" ht="15" hidden="false" customHeight="false" outlineLevel="0" collapsed="false">
      <c r="A435" s="2" t="s">
        <v>9520</v>
      </c>
      <c r="B435" s="2" t="s">
        <v>1878</v>
      </c>
      <c r="C435" s="2" t="s">
        <v>9092</v>
      </c>
      <c r="D435" s="2" t="n">
        <v>165.58</v>
      </c>
      <c r="E435" s="13" t="n">
        <v>45410</v>
      </c>
    </row>
    <row r="436" customFormat="false" ht="15" hidden="false" customHeight="false" outlineLevel="0" collapsed="false">
      <c r="A436" s="2" t="s">
        <v>9521</v>
      </c>
      <c r="B436" s="2" t="s">
        <v>1880</v>
      </c>
      <c r="C436" s="2" t="s">
        <v>9098</v>
      </c>
      <c r="D436" s="2" t="n">
        <v>165.95</v>
      </c>
      <c r="E436" s="13" t="n">
        <v>45417</v>
      </c>
    </row>
    <row r="437" customFormat="false" ht="15" hidden="false" customHeight="false" outlineLevel="0" collapsed="false">
      <c r="A437" s="2" t="s">
        <v>9522</v>
      </c>
      <c r="B437" s="2" t="s">
        <v>1882</v>
      </c>
      <c r="C437" s="2" t="s">
        <v>9087</v>
      </c>
      <c r="D437" s="2" t="n">
        <v>166.32</v>
      </c>
      <c r="E437" s="13" t="n">
        <v>45424</v>
      </c>
    </row>
    <row r="438" customFormat="false" ht="15" hidden="false" customHeight="false" outlineLevel="0" collapsed="false">
      <c r="A438" s="2" t="s">
        <v>9523</v>
      </c>
      <c r="B438" s="2" t="s">
        <v>1884</v>
      </c>
      <c r="C438" s="2" t="s">
        <v>9083</v>
      </c>
      <c r="D438" s="2" t="n">
        <v>166.69</v>
      </c>
      <c r="E438" s="13" t="n">
        <v>45431</v>
      </c>
    </row>
    <row r="439" customFormat="false" ht="15" hidden="false" customHeight="false" outlineLevel="0" collapsed="false">
      <c r="A439" s="2" t="s">
        <v>9524</v>
      </c>
      <c r="B439" s="2" t="s">
        <v>1889</v>
      </c>
      <c r="C439" s="2" t="s">
        <v>9083</v>
      </c>
      <c r="D439" s="2" t="n">
        <v>167.06</v>
      </c>
      <c r="E439" s="13" t="n">
        <v>45438</v>
      </c>
    </row>
    <row r="440" customFormat="false" ht="15" hidden="false" customHeight="false" outlineLevel="0" collapsed="false">
      <c r="A440" s="2" t="s">
        <v>9525</v>
      </c>
      <c r="B440" s="2" t="s">
        <v>1893</v>
      </c>
      <c r="C440" s="2" t="s">
        <v>9085</v>
      </c>
      <c r="D440" s="2" t="n">
        <v>167.43</v>
      </c>
      <c r="E440" s="13" t="n">
        <v>45445</v>
      </c>
    </row>
    <row r="441" customFormat="false" ht="15" hidden="false" customHeight="false" outlineLevel="0" collapsed="false">
      <c r="A441" s="2" t="s">
        <v>9526</v>
      </c>
      <c r="B441" s="2" t="s">
        <v>1897</v>
      </c>
      <c r="C441" s="2" t="s">
        <v>9092</v>
      </c>
      <c r="D441" s="2" t="n">
        <v>167.8</v>
      </c>
      <c r="E441" s="13" t="n">
        <v>45452</v>
      </c>
    </row>
    <row r="442" customFormat="false" ht="15" hidden="false" customHeight="false" outlineLevel="0" collapsed="false">
      <c r="A442" s="2" t="s">
        <v>9527</v>
      </c>
      <c r="B442" s="2" t="s">
        <v>1902</v>
      </c>
      <c r="C442" s="2" t="s">
        <v>9085</v>
      </c>
      <c r="D442" s="2" t="n">
        <v>168.17</v>
      </c>
      <c r="E442" s="13" t="n">
        <v>45459</v>
      </c>
    </row>
    <row r="443" customFormat="false" ht="15" hidden="false" customHeight="false" outlineLevel="0" collapsed="false">
      <c r="A443" s="2" t="s">
        <v>9528</v>
      </c>
      <c r="B443" s="2" t="s">
        <v>1904</v>
      </c>
      <c r="C443" s="2" t="s">
        <v>9083</v>
      </c>
      <c r="D443" s="2" t="n">
        <v>168.54</v>
      </c>
      <c r="E443" s="13" t="n">
        <v>45466</v>
      </c>
    </row>
    <row r="444" customFormat="false" ht="15" hidden="false" customHeight="false" outlineLevel="0" collapsed="false">
      <c r="A444" s="2" t="s">
        <v>9529</v>
      </c>
      <c r="B444" s="2" t="s">
        <v>1908</v>
      </c>
      <c r="C444" s="2" t="s">
        <v>9098</v>
      </c>
      <c r="D444" s="2" t="n">
        <v>168.91</v>
      </c>
      <c r="E444" s="13" t="n">
        <v>45473</v>
      </c>
    </row>
    <row r="445" customFormat="false" ht="15" hidden="false" customHeight="false" outlineLevel="0" collapsed="false">
      <c r="A445" s="2" t="s">
        <v>9530</v>
      </c>
      <c r="B445" s="2" t="s">
        <v>1913</v>
      </c>
      <c r="C445" s="2" t="s">
        <v>9092</v>
      </c>
      <c r="D445" s="2" t="n">
        <v>169.28</v>
      </c>
      <c r="E445" s="13" t="n">
        <v>45480</v>
      </c>
    </row>
    <row r="446" customFormat="false" ht="15" hidden="false" customHeight="false" outlineLevel="0" collapsed="false">
      <c r="A446" s="2" t="s">
        <v>9531</v>
      </c>
      <c r="B446" s="2" t="s">
        <v>1917</v>
      </c>
      <c r="C446" s="2" t="s">
        <v>9085</v>
      </c>
      <c r="D446" s="2" t="n">
        <v>169.65</v>
      </c>
      <c r="E446" s="13" t="n">
        <v>45487</v>
      </c>
    </row>
    <row r="447" customFormat="false" ht="15" hidden="false" customHeight="false" outlineLevel="0" collapsed="false">
      <c r="A447" s="2" t="s">
        <v>9532</v>
      </c>
      <c r="B447" s="2" t="s">
        <v>1921</v>
      </c>
      <c r="C447" s="2" t="s">
        <v>9092</v>
      </c>
      <c r="D447" s="2" t="n">
        <v>170.02</v>
      </c>
      <c r="E447" s="13" t="n">
        <v>45494</v>
      </c>
    </row>
    <row r="448" customFormat="false" ht="15" hidden="false" customHeight="false" outlineLevel="0" collapsed="false">
      <c r="A448" s="2" t="s">
        <v>9533</v>
      </c>
      <c r="B448" s="2" t="s">
        <v>1925</v>
      </c>
      <c r="C448" s="2" t="s">
        <v>9092</v>
      </c>
      <c r="D448" s="2" t="n">
        <v>170.39</v>
      </c>
      <c r="E448" s="13" t="n">
        <v>45501</v>
      </c>
    </row>
    <row r="449" customFormat="false" ht="15" hidden="false" customHeight="false" outlineLevel="0" collapsed="false">
      <c r="A449" s="2" t="s">
        <v>9534</v>
      </c>
      <c r="B449" s="2" t="s">
        <v>1929</v>
      </c>
      <c r="C449" s="2" t="s">
        <v>9083</v>
      </c>
      <c r="D449" s="2" t="n">
        <v>170.76</v>
      </c>
      <c r="E449" s="13" t="n">
        <v>45508</v>
      </c>
    </row>
    <row r="450" customFormat="false" ht="15" hidden="false" customHeight="false" outlineLevel="0" collapsed="false">
      <c r="A450" s="2" t="s">
        <v>9535</v>
      </c>
      <c r="B450" s="2" t="s">
        <v>1933</v>
      </c>
      <c r="C450" s="2" t="s">
        <v>9083</v>
      </c>
      <c r="D450" s="2" t="n">
        <v>171.13</v>
      </c>
      <c r="E450" s="13" t="n">
        <v>45515</v>
      </c>
    </row>
    <row r="451" customFormat="false" ht="15" hidden="false" customHeight="false" outlineLevel="0" collapsed="false">
      <c r="A451" s="2" t="s">
        <v>9536</v>
      </c>
      <c r="B451" s="2" t="s">
        <v>1936</v>
      </c>
      <c r="C451" s="2" t="s">
        <v>9085</v>
      </c>
      <c r="D451" s="2" t="n">
        <v>171.5</v>
      </c>
      <c r="E451" s="13" t="n">
        <v>45522</v>
      </c>
    </row>
    <row r="452" customFormat="false" ht="15" hidden="false" customHeight="false" outlineLevel="0" collapsed="false">
      <c r="A452" s="2" t="s">
        <v>9537</v>
      </c>
      <c r="B452" s="2" t="s">
        <v>1938</v>
      </c>
      <c r="C452" s="2" t="s">
        <v>9087</v>
      </c>
      <c r="D452" s="2" t="n">
        <v>171.87</v>
      </c>
      <c r="E452" s="13" t="n">
        <v>45529</v>
      </c>
    </row>
    <row r="453" customFormat="false" ht="15" hidden="false" customHeight="false" outlineLevel="0" collapsed="false">
      <c r="A453" s="2" t="s">
        <v>9538</v>
      </c>
      <c r="B453" s="2" t="s">
        <v>1942</v>
      </c>
      <c r="C453" s="2" t="s">
        <v>9087</v>
      </c>
      <c r="D453" s="2" t="n">
        <v>172.24</v>
      </c>
      <c r="E453" s="13" t="n">
        <v>45536</v>
      </c>
    </row>
    <row r="454" customFormat="false" ht="15" hidden="false" customHeight="false" outlineLevel="0" collapsed="false">
      <c r="A454" s="2" t="s">
        <v>9539</v>
      </c>
      <c r="B454" s="2" t="s">
        <v>1946</v>
      </c>
      <c r="C454" s="2" t="s">
        <v>9085</v>
      </c>
      <c r="D454" s="2" t="n">
        <v>172.61</v>
      </c>
      <c r="E454" s="13" t="n">
        <v>45543</v>
      </c>
    </row>
    <row r="455" customFormat="false" ht="15" hidden="false" customHeight="false" outlineLevel="0" collapsed="false">
      <c r="A455" s="2" t="s">
        <v>9540</v>
      </c>
      <c r="B455" s="2" t="s">
        <v>1950</v>
      </c>
      <c r="C455" s="2" t="s">
        <v>9083</v>
      </c>
      <c r="D455" s="2" t="n">
        <v>172.98</v>
      </c>
      <c r="E455" s="13" t="n">
        <v>45550</v>
      </c>
    </row>
    <row r="456" customFormat="false" ht="15" hidden="false" customHeight="false" outlineLevel="0" collapsed="false">
      <c r="A456" s="2" t="s">
        <v>9541</v>
      </c>
      <c r="B456" s="2" t="s">
        <v>1952</v>
      </c>
      <c r="C456" s="2" t="s">
        <v>9092</v>
      </c>
      <c r="D456" s="2" t="n">
        <v>173.35</v>
      </c>
      <c r="E456" s="13" t="n">
        <v>45557</v>
      </c>
    </row>
    <row r="457" customFormat="false" ht="15" hidden="false" customHeight="false" outlineLevel="0" collapsed="false">
      <c r="A457" s="2" t="s">
        <v>9542</v>
      </c>
      <c r="B457" s="2" t="s">
        <v>1956</v>
      </c>
      <c r="C457" s="2" t="s">
        <v>9098</v>
      </c>
      <c r="D457" s="2" t="n">
        <v>173.72</v>
      </c>
      <c r="E457" s="13" t="n">
        <v>45564</v>
      </c>
    </row>
    <row r="458" customFormat="false" ht="15" hidden="false" customHeight="false" outlineLevel="0" collapsed="false">
      <c r="A458" s="2" t="s">
        <v>9543</v>
      </c>
      <c r="B458" s="2" t="s">
        <v>1960</v>
      </c>
      <c r="C458" s="2" t="s">
        <v>9087</v>
      </c>
      <c r="D458" s="2" t="n">
        <v>174.09</v>
      </c>
      <c r="E458" s="13" t="n">
        <v>45571</v>
      </c>
    </row>
    <row r="459" customFormat="false" ht="15" hidden="false" customHeight="false" outlineLevel="0" collapsed="false">
      <c r="A459" s="2" t="s">
        <v>9544</v>
      </c>
      <c r="B459" s="2" t="s">
        <v>1964</v>
      </c>
      <c r="C459" s="2" t="s">
        <v>9092</v>
      </c>
      <c r="D459" s="2" t="n">
        <v>174.46</v>
      </c>
      <c r="E459" s="13" t="n">
        <v>45578</v>
      </c>
    </row>
    <row r="460" customFormat="false" ht="15" hidden="false" customHeight="false" outlineLevel="0" collapsed="false">
      <c r="A460" s="2" t="s">
        <v>9545</v>
      </c>
      <c r="B460" s="2" t="s">
        <v>1966</v>
      </c>
      <c r="C460" s="2" t="s">
        <v>9085</v>
      </c>
      <c r="D460" s="2" t="n">
        <v>174.83</v>
      </c>
      <c r="E460" s="13" t="n">
        <v>45585</v>
      </c>
    </row>
    <row r="461" customFormat="false" ht="15" hidden="false" customHeight="false" outlineLevel="0" collapsed="false">
      <c r="A461" s="2" t="s">
        <v>9546</v>
      </c>
      <c r="B461" s="2" t="s">
        <v>1970</v>
      </c>
      <c r="C461" s="2" t="s">
        <v>9083</v>
      </c>
      <c r="D461" s="2" t="n">
        <v>175.2</v>
      </c>
      <c r="E461" s="13" t="n">
        <v>45592</v>
      </c>
    </row>
    <row r="462" customFormat="false" ht="15" hidden="false" customHeight="false" outlineLevel="0" collapsed="false">
      <c r="A462" s="2" t="s">
        <v>9547</v>
      </c>
      <c r="B462" s="2" t="s">
        <v>1974</v>
      </c>
      <c r="C462" s="2" t="s">
        <v>9087</v>
      </c>
      <c r="D462" s="2" t="n">
        <v>175.57</v>
      </c>
      <c r="E462" s="13" t="n">
        <v>45599</v>
      </c>
    </row>
    <row r="463" customFormat="false" ht="15" hidden="false" customHeight="false" outlineLevel="0" collapsed="false">
      <c r="A463" s="2" t="s">
        <v>9548</v>
      </c>
      <c r="B463" s="2" t="s">
        <v>1976</v>
      </c>
      <c r="C463" s="2" t="s">
        <v>9087</v>
      </c>
      <c r="D463" s="2" t="n">
        <v>175.94</v>
      </c>
      <c r="E463" s="13" t="n">
        <v>45606</v>
      </c>
    </row>
    <row r="464" customFormat="false" ht="15" hidden="false" customHeight="false" outlineLevel="0" collapsed="false">
      <c r="A464" s="2" t="s">
        <v>9549</v>
      </c>
      <c r="B464" s="2" t="s">
        <v>1978</v>
      </c>
      <c r="C464" s="2" t="s">
        <v>9085</v>
      </c>
      <c r="D464" s="2" t="n">
        <v>176.31</v>
      </c>
      <c r="E464" s="13" t="n">
        <v>45613</v>
      </c>
    </row>
    <row r="465" customFormat="false" ht="15" hidden="false" customHeight="false" outlineLevel="0" collapsed="false">
      <c r="A465" s="2" t="s">
        <v>9550</v>
      </c>
      <c r="B465" s="2" t="s">
        <v>1982</v>
      </c>
      <c r="C465" s="2" t="s">
        <v>9087</v>
      </c>
      <c r="D465" s="2" t="n">
        <v>176.68</v>
      </c>
      <c r="E465" s="13" t="n">
        <v>45620</v>
      </c>
    </row>
    <row r="466" customFormat="false" ht="15" hidden="false" customHeight="false" outlineLevel="0" collapsed="false">
      <c r="A466" s="2" t="s">
        <v>9551</v>
      </c>
      <c r="B466" s="2" t="s">
        <v>1984</v>
      </c>
      <c r="C466" s="2" t="s">
        <v>9087</v>
      </c>
      <c r="D466" s="2" t="n">
        <v>177.05</v>
      </c>
      <c r="E466" s="13" t="n">
        <v>45627</v>
      </c>
    </row>
    <row r="467" customFormat="false" ht="15" hidden="false" customHeight="false" outlineLevel="0" collapsed="false">
      <c r="A467" s="2" t="s">
        <v>9552</v>
      </c>
      <c r="B467" s="2" t="s">
        <v>1988</v>
      </c>
      <c r="C467" s="2" t="s">
        <v>9083</v>
      </c>
      <c r="D467" s="2" t="n">
        <v>177.42</v>
      </c>
      <c r="E467" s="13" t="n">
        <v>45634</v>
      </c>
    </row>
    <row r="468" customFormat="false" ht="15" hidden="false" customHeight="false" outlineLevel="0" collapsed="false">
      <c r="A468" s="2" t="s">
        <v>9553</v>
      </c>
      <c r="B468" s="2" t="s">
        <v>1992</v>
      </c>
      <c r="C468" s="2" t="s">
        <v>9087</v>
      </c>
      <c r="D468" s="2" t="n">
        <v>177.79</v>
      </c>
      <c r="E468" s="13" t="n">
        <v>45641</v>
      </c>
    </row>
    <row r="469" customFormat="false" ht="15" hidden="false" customHeight="false" outlineLevel="0" collapsed="false">
      <c r="A469" s="2" t="s">
        <v>9554</v>
      </c>
      <c r="B469" s="2" t="s">
        <v>1996</v>
      </c>
      <c r="C469" s="2" t="s">
        <v>9092</v>
      </c>
      <c r="D469" s="2" t="n">
        <v>178.16</v>
      </c>
      <c r="E469" s="13" t="n">
        <v>45648</v>
      </c>
    </row>
    <row r="470" customFormat="false" ht="15" hidden="false" customHeight="false" outlineLevel="0" collapsed="false">
      <c r="A470" s="2" t="s">
        <v>9555</v>
      </c>
      <c r="B470" s="2" t="s">
        <v>1998</v>
      </c>
      <c r="C470" s="2" t="s">
        <v>9083</v>
      </c>
      <c r="D470" s="2" t="n">
        <v>178.53</v>
      </c>
      <c r="E470" s="13" t="n">
        <v>45655</v>
      </c>
    </row>
    <row r="471" customFormat="false" ht="15" hidden="false" customHeight="false" outlineLevel="0" collapsed="false">
      <c r="A471" s="2" t="s">
        <v>9556</v>
      </c>
      <c r="B471" s="2" t="s">
        <v>2002</v>
      </c>
      <c r="C471" s="2" t="s">
        <v>9098</v>
      </c>
      <c r="D471" s="2" t="n">
        <v>178.9</v>
      </c>
      <c r="E471" s="13" t="n">
        <v>45662</v>
      </c>
    </row>
    <row r="472" customFormat="false" ht="15" hidden="false" customHeight="false" outlineLevel="0" collapsed="false">
      <c r="A472" s="2" t="s">
        <v>9557</v>
      </c>
      <c r="B472" s="2" t="s">
        <v>2006</v>
      </c>
      <c r="C472" s="2" t="s">
        <v>9087</v>
      </c>
      <c r="D472" s="2" t="n">
        <v>179.27</v>
      </c>
      <c r="E472" s="13" t="n">
        <v>45669</v>
      </c>
    </row>
    <row r="473" customFormat="false" ht="15" hidden="false" customHeight="false" outlineLevel="0" collapsed="false">
      <c r="A473" s="2" t="s">
        <v>9558</v>
      </c>
      <c r="B473" s="2" t="s">
        <v>2010</v>
      </c>
      <c r="C473" s="2" t="s">
        <v>9083</v>
      </c>
      <c r="D473" s="2" t="n">
        <v>179.64</v>
      </c>
      <c r="E473" s="13" t="n">
        <v>45676</v>
      </c>
    </row>
    <row r="474" customFormat="false" ht="15" hidden="false" customHeight="false" outlineLevel="0" collapsed="false">
      <c r="A474" s="2" t="s">
        <v>9559</v>
      </c>
      <c r="B474" s="2" t="s">
        <v>2014</v>
      </c>
      <c r="C474" s="2" t="s">
        <v>9085</v>
      </c>
      <c r="D474" s="2" t="n">
        <v>180.01</v>
      </c>
      <c r="E474" s="13" t="n">
        <v>45683</v>
      </c>
    </row>
    <row r="475" customFormat="false" ht="15" hidden="false" customHeight="false" outlineLevel="0" collapsed="false">
      <c r="A475" s="2" t="s">
        <v>9560</v>
      </c>
      <c r="B475" s="2" t="s">
        <v>2018</v>
      </c>
      <c r="C475" s="2" t="s">
        <v>9098</v>
      </c>
      <c r="D475" s="2" t="n">
        <v>180.38</v>
      </c>
      <c r="E475" s="13" t="n">
        <v>45690</v>
      </c>
    </row>
    <row r="476" customFormat="false" ht="15" hidden="false" customHeight="false" outlineLevel="0" collapsed="false">
      <c r="A476" s="2" t="s">
        <v>9561</v>
      </c>
      <c r="B476" s="2" t="s">
        <v>2022</v>
      </c>
      <c r="C476" s="2" t="s">
        <v>9087</v>
      </c>
      <c r="D476" s="2" t="n">
        <v>180.75</v>
      </c>
      <c r="E476" s="13" t="n">
        <v>45697</v>
      </c>
    </row>
    <row r="477" customFormat="false" ht="15" hidden="false" customHeight="false" outlineLevel="0" collapsed="false">
      <c r="A477" s="2" t="s">
        <v>9562</v>
      </c>
      <c r="B477" s="2" t="s">
        <v>2024</v>
      </c>
      <c r="C477" s="2" t="s">
        <v>9087</v>
      </c>
      <c r="D477" s="2" t="n">
        <v>181.12</v>
      </c>
      <c r="E477" s="13" t="n">
        <v>45704</v>
      </c>
    </row>
    <row r="478" customFormat="false" ht="15" hidden="false" customHeight="false" outlineLevel="0" collapsed="false">
      <c r="A478" s="2" t="s">
        <v>9563</v>
      </c>
      <c r="B478" s="2" t="s">
        <v>2026</v>
      </c>
      <c r="C478" s="2" t="s">
        <v>9083</v>
      </c>
      <c r="D478" s="2" t="n">
        <v>181.49</v>
      </c>
      <c r="E478" s="13" t="n">
        <v>45711</v>
      </c>
    </row>
    <row r="479" customFormat="false" ht="15" hidden="false" customHeight="false" outlineLevel="0" collapsed="false">
      <c r="A479" s="2" t="s">
        <v>9564</v>
      </c>
      <c r="B479" s="2" t="s">
        <v>2030</v>
      </c>
      <c r="C479" s="2" t="s">
        <v>9098</v>
      </c>
      <c r="D479" s="2" t="n">
        <v>181.86</v>
      </c>
      <c r="E479" s="13" t="n">
        <v>45718</v>
      </c>
    </row>
    <row r="480" customFormat="false" ht="15" hidden="false" customHeight="false" outlineLevel="0" collapsed="false">
      <c r="A480" s="2" t="s">
        <v>9565</v>
      </c>
      <c r="B480" s="2" t="s">
        <v>2034</v>
      </c>
      <c r="C480" s="2" t="s">
        <v>9098</v>
      </c>
      <c r="D480" s="2" t="n">
        <v>182.23</v>
      </c>
      <c r="E480" s="13" t="n">
        <v>45725</v>
      </c>
    </row>
    <row r="481" customFormat="false" ht="15" hidden="false" customHeight="false" outlineLevel="0" collapsed="false">
      <c r="A481" s="2" t="s">
        <v>9566</v>
      </c>
      <c r="B481" s="2" t="s">
        <v>2038</v>
      </c>
      <c r="C481" s="2" t="s">
        <v>9092</v>
      </c>
      <c r="D481" s="2" t="n">
        <v>182.6</v>
      </c>
      <c r="E481" s="13" t="n">
        <v>45732</v>
      </c>
    </row>
    <row r="482" customFormat="false" ht="15" hidden="false" customHeight="false" outlineLevel="0" collapsed="false">
      <c r="A482" s="2" t="s">
        <v>9567</v>
      </c>
      <c r="B482" s="2" t="s">
        <v>2042</v>
      </c>
      <c r="C482" s="2" t="s">
        <v>9083</v>
      </c>
      <c r="D482" s="2" t="n">
        <v>182.97</v>
      </c>
      <c r="E482" s="13" t="n">
        <v>45739</v>
      </c>
    </row>
    <row r="483" customFormat="false" ht="15" hidden="false" customHeight="false" outlineLevel="0" collapsed="false">
      <c r="A483" s="2" t="s">
        <v>9568</v>
      </c>
      <c r="B483" s="2" t="s">
        <v>2045</v>
      </c>
      <c r="C483" s="2" t="s">
        <v>9085</v>
      </c>
      <c r="D483" s="2" t="n">
        <v>183.34</v>
      </c>
      <c r="E483" s="13" t="n">
        <v>45746</v>
      </c>
    </row>
    <row r="484" customFormat="false" ht="15" hidden="false" customHeight="false" outlineLevel="0" collapsed="false">
      <c r="A484" s="2" t="s">
        <v>9569</v>
      </c>
      <c r="B484" s="2" t="s">
        <v>2049</v>
      </c>
      <c r="C484" s="2" t="s">
        <v>9083</v>
      </c>
      <c r="D484" s="2" t="n">
        <v>183.71</v>
      </c>
      <c r="E484" s="13" t="n">
        <v>45753</v>
      </c>
    </row>
    <row r="485" customFormat="false" ht="15" hidden="false" customHeight="false" outlineLevel="0" collapsed="false">
      <c r="A485" s="2" t="s">
        <v>9570</v>
      </c>
      <c r="B485" s="2" t="s">
        <v>2053</v>
      </c>
      <c r="C485" s="2" t="s">
        <v>9092</v>
      </c>
      <c r="D485" s="2" t="n">
        <v>184.08</v>
      </c>
      <c r="E485" s="13" t="n">
        <v>45760</v>
      </c>
    </row>
    <row r="486" customFormat="false" ht="15" hidden="false" customHeight="false" outlineLevel="0" collapsed="false">
      <c r="A486" s="2" t="s">
        <v>9571</v>
      </c>
      <c r="B486" s="2" t="s">
        <v>2055</v>
      </c>
      <c r="C486" s="2" t="s">
        <v>9083</v>
      </c>
      <c r="D486" s="2" t="n">
        <v>184.45</v>
      </c>
      <c r="E486" s="13" t="n">
        <v>45767</v>
      </c>
    </row>
    <row r="487" customFormat="false" ht="15" hidden="false" customHeight="false" outlineLevel="0" collapsed="false">
      <c r="A487" s="2" t="s">
        <v>9572</v>
      </c>
      <c r="B487" s="2" t="s">
        <v>2059</v>
      </c>
      <c r="C487" s="2" t="s">
        <v>9092</v>
      </c>
      <c r="D487" s="2" t="n">
        <v>184.82</v>
      </c>
      <c r="E487" s="13" t="n">
        <v>45774</v>
      </c>
    </row>
    <row r="488" customFormat="false" ht="15" hidden="false" customHeight="false" outlineLevel="0" collapsed="false">
      <c r="A488" s="2" t="s">
        <v>9573</v>
      </c>
      <c r="B488" s="2" t="s">
        <v>2063</v>
      </c>
      <c r="C488" s="2" t="s">
        <v>9083</v>
      </c>
      <c r="D488" s="2" t="n">
        <v>185.19</v>
      </c>
      <c r="E488" s="13" t="n">
        <v>45781</v>
      </c>
    </row>
    <row r="489" customFormat="false" ht="15" hidden="false" customHeight="false" outlineLevel="0" collapsed="false">
      <c r="A489" s="2" t="s">
        <v>9574</v>
      </c>
      <c r="B489" s="2" t="s">
        <v>2065</v>
      </c>
      <c r="C489" s="2" t="s">
        <v>9083</v>
      </c>
      <c r="D489" s="2" t="n">
        <v>185.56</v>
      </c>
      <c r="E489" s="13" t="n">
        <v>45788</v>
      </c>
    </row>
    <row r="490" customFormat="false" ht="15" hidden="false" customHeight="false" outlineLevel="0" collapsed="false">
      <c r="A490" s="2" t="s">
        <v>9575</v>
      </c>
      <c r="B490" s="2" t="s">
        <v>2069</v>
      </c>
      <c r="C490" s="2" t="s">
        <v>9083</v>
      </c>
      <c r="D490" s="2" t="n">
        <v>185.93</v>
      </c>
      <c r="E490" s="13" t="n">
        <v>45795</v>
      </c>
    </row>
    <row r="491" customFormat="false" ht="15" hidden="false" customHeight="false" outlineLevel="0" collapsed="false">
      <c r="A491" s="2" t="s">
        <v>9576</v>
      </c>
      <c r="B491" s="2" t="s">
        <v>2071</v>
      </c>
      <c r="C491" s="2" t="s">
        <v>9092</v>
      </c>
      <c r="D491" s="2" t="n">
        <v>186.3</v>
      </c>
      <c r="E491" s="13" t="n">
        <v>45802</v>
      </c>
    </row>
    <row r="492" customFormat="false" ht="15" hidden="false" customHeight="false" outlineLevel="0" collapsed="false">
      <c r="A492" s="2" t="s">
        <v>9577</v>
      </c>
      <c r="B492" s="2" t="s">
        <v>2075</v>
      </c>
      <c r="C492" s="2" t="s">
        <v>9087</v>
      </c>
      <c r="D492" s="2" t="n">
        <v>186.67</v>
      </c>
      <c r="E492" s="13" t="n">
        <v>45809</v>
      </c>
    </row>
    <row r="493" customFormat="false" ht="15" hidden="false" customHeight="false" outlineLevel="0" collapsed="false">
      <c r="A493" s="2" t="s">
        <v>9578</v>
      </c>
      <c r="B493" s="2" t="s">
        <v>2079</v>
      </c>
      <c r="C493" s="2" t="s">
        <v>9092</v>
      </c>
      <c r="D493" s="2" t="n">
        <v>187.04</v>
      </c>
      <c r="E493" s="13" t="n">
        <v>45816</v>
      </c>
    </row>
    <row r="494" customFormat="false" ht="15" hidden="false" customHeight="false" outlineLevel="0" collapsed="false">
      <c r="A494" s="2" t="s">
        <v>9579</v>
      </c>
      <c r="B494" s="2" t="s">
        <v>2081</v>
      </c>
      <c r="C494" s="2" t="s">
        <v>9098</v>
      </c>
      <c r="D494" s="2" t="n">
        <v>187.41</v>
      </c>
      <c r="E494" s="13" t="n">
        <v>45823</v>
      </c>
    </row>
    <row r="495" customFormat="false" ht="15" hidden="false" customHeight="false" outlineLevel="0" collapsed="false">
      <c r="A495" s="2" t="s">
        <v>9580</v>
      </c>
      <c r="B495" s="2" t="s">
        <v>2085</v>
      </c>
      <c r="C495" s="2" t="s">
        <v>9087</v>
      </c>
      <c r="D495" s="2" t="n">
        <v>187.78</v>
      </c>
      <c r="E495" s="13" t="n">
        <v>45830</v>
      </c>
    </row>
    <row r="496" customFormat="false" ht="15" hidden="false" customHeight="false" outlineLevel="0" collapsed="false">
      <c r="A496" s="2" t="s">
        <v>9581</v>
      </c>
      <c r="B496" s="2" t="s">
        <v>2089</v>
      </c>
      <c r="C496" s="2" t="s">
        <v>9098</v>
      </c>
      <c r="D496" s="2" t="n">
        <v>188.15</v>
      </c>
      <c r="E496" s="13" t="n">
        <v>45837</v>
      </c>
    </row>
    <row r="497" customFormat="false" ht="15" hidden="false" customHeight="false" outlineLevel="0" collapsed="false">
      <c r="A497" s="2" t="s">
        <v>9582</v>
      </c>
      <c r="B497" s="2" t="s">
        <v>2091</v>
      </c>
      <c r="C497" s="2" t="s">
        <v>9092</v>
      </c>
      <c r="D497" s="2" t="n">
        <v>188.52</v>
      </c>
      <c r="E497" s="13" t="n">
        <v>45844</v>
      </c>
    </row>
    <row r="498" customFormat="false" ht="15" hidden="false" customHeight="false" outlineLevel="0" collapsed="false">
      <c r="A498" s="2" t="s">
        <v>9583</v>
      </c>
      <c r="B498" s="2" t="s">
        <v>2093</v>
      </c>
      <c r="C498" s="2" t="s">
        <v>9087</v>
      </c>
      <c r="D498" s="2" t="n">
        <v>188.89</v>
      </c>
      <c r="E498" s="13" t="n">
        <v>45851</v>
      </c>
    </row>
    <row r="499" customFormat="false" ht="15" hidden="false" customHeight="false" outlineLevel="0" collapsed="false">
      <c r="A499" s="2" t="s">
        <v>9584</v>
      </c>
      <c r="B499" s="2" t="s">
        <v>2095</v>
      </c>
      <c r="C499" s="2" t="s">
        <v>9085</v>
      </c>
      <c r="D499" s="2" t="n">
        <v>189.26</v>
      </c>
      <c r="E499" s="13" t="n">
        <v>45858</v>
      </c>
    </row>
    <row r="500" customFormat="false" ht="15" hidden="false" customHeight="false" outlineLevel="0" collapsed="false">
      <c r="A500" s="2" t="s">
        <v>9585</v>
      </c>
      <c r="B500" s="2" t="s">
        <v>2098</v>
      </c>
      <c r="C500" s="2" t="s">
        <v>9083</v>
      </c>
      <c r="D500" s="2" t="n">
        <v>189.63</v>
      </c>
      <c r="E500" s="13" t="n">
        <v>45865</v>
      </c>
    </row>
    <row r="501" customFormat="false" ht="15" hidden="false" customHeight="false" outlineLevel="0" collapsed="false">
      <c r="A501" s="2" t="s">
        <v>9586</v>
      </c>
      <c r="B501" s="2" t="s">
        <v>2102</v>
      </c>
      <c r="C501" s="2" t="s">
        <v>9098</v>
      </c>
      <c r="D501" s="2" t="n">
        <v>190</v>
      </c>
      <c r="E501" s="13" t="n">
        <v>45872</v>
      </c>
    </row>
    <row r="502" customFormat="false" ht="15" hidden="false" customHeight="false" outlineLevel="0" collapsed="false">
      <c r="A502" s="2" t="s">
        <v>9587</v>
      </c>
      <c r="B502" s="2" t="s">
        <v>2106</v>
      </c>
      <c r="C502" s="2" t="s">
        <v>9092</v>
      </c>
      <c r="D502" s="2" t="n">
        <v>190.37</v>
      </c>
      <c r="E502" s="13" t="n">
        <v>45879</v>
      </c>
    </row>
    <row r="503" customFormat="false" ht="15" hidden="false" customHeight="false" outlineLevel="0" collapsed="false">
      <c r="A503" s="2" t="s">
        <v>9588</v>
      </c>
      <c r="B503" s="2" t="s">
        <v>2108</v>
      </c>
      <c r="C503" s="2" t="s">
        <v>9085</v>
      </c>
      <c r="D503" s="2" t="n">
        <v>190.74</v>
      </c>
      <c r="E503" s="13" t="n">
        <v>45886</v>
      </c>
    </row>
    <row r="504" customFormat="false" ht="15" hidden="false" customHeight="false" outlineLevel="0" collapsed="false">
      <c r="A504" s="2" t="s">
        <v>9589</v>
      </c>
      <c r="B504" s="2" t="s">
        <v>2112</v>
      </c>
      <c r="C504" s="2" t="s">
        <v>9085</v>
      </c>
      <c r="D504" s="2" t="n">
        <v>191.11</v>
      </c>
      <c r="E504" s="13" t="n">
        <v>45893</v>
      </c>
    </row>
    <row r="505" customFormat="false" ht="15" hidden="false" customHeight="false" outlineLevel="0" collapsed="false">
      <c r="A505" s="2" t="s">
        <v>9590</v>
      </c>
      <c r="B505" s="2" t="s">
        <v>2116</v>
      </c>
      <c r="C505" s="2" t="s">
        <v>9098</v>
      </c>
      <c r="D505" s="2" t="n">
        <v>191.48</v>
      </c>
      <c r="E505" s="13" t="n">
        <v>45900</v>
      </c>
    </row>
    <row r="506" customFormat="false" ht="15" hidden="false" customHeight="false" outlineLevel="0" collapsed="false">
      <c r="A506" s="2" t="s">
        <v>9591</v>
      </c>
      <c r="B506" s="2" t="s">
        <v>2120</v>
      </c>
      <c r="C506" s="2" t="s">
        <v>9098</v>
      </c>
      <c r="D506" s="2" t="n">
        <v>191.85</v>
      </c>
      <c r="E506" s="13" t="n">
        <v>45907</v>
      </c>
    </row>
    <row r="507" customFormat="false" ht="15" hidden="false" customHeight="false" outlineLevel="0" collapsed="false">
      <c r="A507" s="2" t="s">
        <v>9592</v>
      </c>
      <c r="B507" s="2" t="s">
        <v>2124</v>
      </c>
      <c r="C507" s="2" t="s">
        <v>9098</v>
      </c>
      <c r="D507" s="2" t="n">
        <v>192.22</v>
      </c>
      <c r="E507" s="13" t="n">
        <v>45914</v>
      </c>
    </row>
    <row r="508" customFormat="false" ht="15" hidden="false" customHeight="false" outlineLevel="0" collapsed="false">
      <c r="A508" s="2" t="s">
        <v>9593</v>
      </c>
      <c r="B508" s="2" t="s">
        <v>2126</v>
      </c>
      <c r="C508" s="2" t="s">
        <v>9085</v>
      </c>
      <c r="D508" s="2" t="n">
        <v>192.59</v>
      </c>
      <c r="E508" s="13" t="n">
        <v>45921</v>
      </c>
    </row>
    <row r="509" customFormat="false" ht="15" hidden="false" customHeight="false" outlineLevel="0" collapsed="false">
      <c r="A509" s="2" t="s">
        <v>9594</v>
      </c>
      <c r="B509" s="2" t="s">
        <v>2130</v>
      </c>
      <c r="C509" s="2" t="s">
        <v>9092</v>
      </c>
      <c r="D509" s="2" t="n">
        <v>192.96</v>
      </c>
      <c r="E509" s="13" t="n">
        <v>45928</v>
      </c>
    </row>
    <row r="510" customFormat="false" ht="15" hidden="false" customHeight="false" outlineLevel="0" collapsed="false">
      <c r="A510" s="2" t="s">
        <v>9595</v>
      </c>
      <c r="B510" s="2" t="s">
        <v>2132</v>
      </c>
      <c r="C510" s="2" t="s">
        <v>9087</v>
      </c>
      <c r="D510" s="2" t="n">
        <v>193.33</v>
      </c>
      <c r="E510" s="13" t="n">
        <v>45935</v>
      </c>
    </row>
    <row r="511" customFormat="false" ht="15" hidden="false" customHeight="false" outlineLevel="0" collapsed="false">
      <c r="A511" s="2" t="s">
        <v>9596</v>
      </c>
      <c r="B511" s="2" t="s">
        <v>2134</v>
      </c>
      <c r="C511" s="2" t="s">
        <v>9087</v>
      </c>
      <c r="D511" s="2" t="n">
        <v>193.7</v>
      </c>
      <c r="E511" s="13" t="n">
        <v>45942</v>
      </c>
    </row>
    <row r="512" customFormat="false" ht="15" hidden="false" customHeight="false" outlineLevel="0" collapsed="false">
      <c r="A512" s="2" t="s">
        <v>9597</v>
      </c>
      <c r="B512" s="2" t="s">
        <v>2138</v>
      </c>
      <c r="C512" s="2" t="s">
        <v>9087</v>
      </c>
      <c r="D512" s="2" t="n">
        <v>194.07</v>
      </c>
      <c r="E512" s="13" t="n">
        <v>45949</v>
      </c>
    </row>
    <row r="513" customFormat="false" ht="15" hidden="false" customHeight="false" outlineLevel="0" collapsed="false">
      <c r="A513" s="2" t="s">
        <v>9598</v>
      </c>
      <c r="B513" s="2" t="s">
        <v>2142</v>
      </c>
      <c r="C513" s="2" t="s">
        <v>9083</v>
      </c>
      <c r="D513" s="2" t="n">
        <v>194.44</v>
      </c>
      <c r="E513" s="13" t="n">
        <v>45956</v>
      </c>
    </row>
    <row r="514" customFormat="false" ht="15" hidden="false" customHeight="false" outlineLevel="0" collapsed="false">
      <c r="A514" s="2" t="s">
        <v>9599</v>
      </c>
      <c r="B514" s="2" t="s">
        <v>2146</v>
      </c>
      <c r="C514" s="2" t="s">
        <v>9092</v>
      </c>
      <c r="D514" s="2" t="n">
        <v>194.81</v>
      </c>
      <c r="E514" s="13" t="n">
        <v>45963</v>
      </c>
    </row>
    <row r="515" customFormat="false" ht="15" hidden="false" customHeight="false" outlineLevel="0" collapsed="false">
      <c r="A515" s="2" t="s">
        <v>9600</v>
      </c>
      <c r="B515" s="2" t="s">
        <v>2150</v>
      </c>
      <c r="C515" s="2" t="s">
        <v>9092</v>
      </c>
      <c r="D515" s="2" t="n">
        <v>195.18</v>
      </c>
      <c r="E515" s="13" t="n">
        <v>45970</v>
      </c>
    </row>
    <row r="516" customFormat="false" ht="15" hidden="false" customHeight="false" outlineLevel="0" collapsed="false">
      <c r="A516" s="2" t="s">
        <v>9601</v>
      </c>
      <c r="B516" s="2" t="s">
        <v>2154</v>
      </c>
      <c r="C516" s="2" t="s">
        <v>9083</v>
      </c>
      <c r="D516" s="2" t="n">
        <v>195.55</v>
      </c>
      <c r="E516" s="13" t="n">
        <v>45977</v>
      </c>
    </row>
    <row r="517" customFormat="false" ht="15" hidden="false" customHeight="false" outlineLevel="0" collapsed="false">
      <c r="A517" s="2" t="s">
        <v>9602</v>
      </c>
      <c r="B517" s="2" t="s">
        <v>2158</v>
      </c>
      <c r="C517" s="2" t="s">
        <v>9083</v>
      </c>
      <c r="D517" s="2" t="n">
        <v>195.92</v>
      </c>
      <c r="E517" s="13" t="n">
        <v>45984</v>
      </c>
    </row>
    <row r="518" customFormat="false" ht="15" hidden="false" customHeight="false" outlineLevel="0" collapsed="false">
      <c r="A518" s="2" t="s">
        <v>9603</v>
      </c>
      <c r="B518" s="2" t="s">
        <v>2162</v>
      </c>
      <c r="C518" s="2" t="s">
        <v>9085</v>
      </c>
      <c r="D518" s="2" t="n">
        <v>196.29</v>
      </c>
      <c r="E518" s="13" t="n">
        <v>45991</v>
      </c>
    </row>
    <row r="519" customFormat="false" ht="15" hidden="false" customHeight="false" outlineLevel="0" collapsed="false">
      <c r="A519" s="2" t="s">
        <v>9604</v>
      </c>
      <c r="B519" s="2" t="s">
        <v>2164</v>
      </c>
      <c r="C519" s="2" t="s">
        <v>9092</v>
      </c>
      <c r="D519" s="2" t="n">
        <v>196.66</v>
      </c>
      <c r="E519" s="13" t="n">
        <v>45998</v>
      </c>
    </row>
    <row r="520" customFormat="false" ht="15" hidden="false" customHeight="false" outlineLevel="0" collapsed="false">
      <c r="A520" s="2" t="s">
        <v>9605</v>
      </c>
      <c r="B520" s="2" t="s">
        <v>2166</v>
      </c>
      <c r="C520" s="2" t="s">
        <v>9085</v>
      </c>
      <c r="D520" s="2" t="n">
        <v>197.03</v>
      </c>
      <c r="E520" s="13" t="n">
        <v>46005</v>
      </c>
    </row>
    <row r="521" customFormat="false" ht="15" hidden="false" customHeight="false" outlineLevel="0" collapsed="false">
      <c r="A521" s="2" t="s">
        <v>9606</v>
      </c>
      <c r="B521" s="2" t="s">
        <v>2168</v>
      </c>
      <c r="C521" s="2" t="s">
        <v>9092</v>
      </c>
      <c r="D521" s="2" t="n">
        <v>197.4</v>
      </c>
      <c r="E521" s="13" t="n">
        <v>46012</v>
      </c>
    </row>
    <row r="522" customFormat="false" ht="15" hidden="false" customHeight="false" outlineLevel="0" collapsed="false">
      <c r="A522" s="2" t="s">
        <v>9607</v>
      </c>
      <c r="B522" s="2" t="s">
        <v>2170</v>
      </c>
      <c r="C522" s="2" t="s">
        <v>9087</v>
      </c>
      <c r="D522" s="2" t="n">
        <v>197.77</v>
      </c>
      <c r="E522" s="13" t="n">
        <v>46019</v>
      </c>
    </row>
    <row r="523" customFormat="false" ht="15" hidden="false" customHeight="false" outlineLevel="0" collapsed="false">
      <c r="A523" s="2" t="s">
        <v>9608</v>
      </c>
      <c r="B523" s="2" t="s">
        <v>2174</v>
      </c>
      <c r="C523" s="2" t="s">
        <v>9085</v>
      </c>
      <c r="D523" s="2" t="n">
        <v>198.14</v>
      </c>
      <c r="E523" s="13" t="n">
        <v>45296</v>
      </c>
    </row>
    <row r="524" customFormat="false" ht="15" hidden="false" customHeight="false" outlineLevel="0" collapsed="false">
      <c r="A524" s="2" t="s">
        <v>9609</v>
      </c>
      <c r="B524" s="2" t="s">
        <v>2178</v>
      </c>
      <c r="C524" s="2" t="s">
        <v>9098</v>
      </c>
      <c r="D524" s="2" t="n">
        <v>198.51</v>
      </c>
      <c r="E524" s="13" t="n">
        <v>45303</v>
      </c>
    </row>
    <row r="525" customFormat="false" ht="15" hidden="false" customHeight="false" outlineLevel="0" collapsed="false">
      <c r="A525" s="2" t="s">
        <v>9610</v>
      </c>
      <c r="B525" s="2" t="s">
        <v>2182</v>
      </c>
      <c r="C525" s="2" t="s">
        <v>9083</v>
      </c>
      <c r="D525" s="2" t="n">
        <v>198.88</v>
      </c>
      <c r="E525" s="13" t="n">
        <v>45310</v>
      </c>
    </row>
    <row r="526" customFormat="false" ht="15" hidden="false" customHeight="false" outlineLevel="0" collapsed="false">
      <c r="A526" s="2" t="s">
        <v>9611</v>
      </c>
      <c r="B526" s="2" t="s">
        <v>2187</v>
      </c>
      <c r="C526" s="2" t="s">
        <v>9083</v>
      </c>
      <c r="D526" s="2" t="n">
        <v>199.25</v>
      </c>
      <c r="E526" s="13" t="n">
        <v>45317</v>
      </c>
    </row>
    <row r="527" customFormat="false" ht="15" hidden="false" customHeight="false" outlineLevel="0" collapsed="false">
      <c r="A527" s="2" t="s">
        <v>9612</v>
      </c>
      <c r="B527" s="2" t="s">
        <v>2189</v>
      </c>
      <c r="C527" s="2" t="s">
        <v>9092</v>
      </c>
      <c r="D527" s="2" t="n">
        <v>199.62</v>
      </c>
      <c r="E527" s="13" t="n">
        <v>45324</v>
      </c>
    </row>
    <row r="528" customFormat="false" ht="15" hidden="false" customHeight="false" outlineLevel="0" collapsed="false">
      <c r="A528" s="2" t="s">
        <v>9613</v>
      </c>
      <c r="B528" s="2" t="s">
        <v>2193</v>
      </c>
      <c r="C528" s="2" t="s">
        <v>9085</v>
      </c>
      <c r="D528" s="2" t="n">
        <v>199.99</v>
      </c>
      <c r="E528" s="13" t="n">
        <v>45331</v>
      </c>
    </row>
    <row r="529" customFormat="false" ht="15" hidden="false" customHeight="false" outlineLevel="0" collapsed="false">
      <c r="A529" s="2" t="s">
        <v>9614</v>
      </c>
      <c r="B529" s="2" t="s">
        <v>2197</v>
      </c>
      <c r="C529" s="2" t="s">
        <v>9083</v>
      </c>
      <c r="D529" s="2" t="n">
        <v>200.36</v>
      </c>
      <c r="E529" s="13" t="n">
        <v>45338</v>
      </c>
    </row>
    <row r="530" customFormat="false" ht="15" hidden="false" customHeight="false" outlineLevel="0" collapsed="false">
      <c r="A530" s="2" t="s">
        <v>9615</v>
      </c>
      <c r="B530" s="2" t="s">
        <v>2199</v>
      </c>
      <c r="C530" s="2" t="s">
        <v>9087</v>
      </c>
      <c r="D530" s="2" t="n">
        <v>200.73</v>
      </c>
      <c r="E530" s="13" t="n">
        <v>45345</v>
      </c>
    </row>
    <row r="531" customFormat="false" ht="15" hidden="false" customHeight="false" outlineLevel="0" collapsed="false">
      <c r="A531" s="2" t="s">
        <v>9616</v>
      </c>
      <c r="B531" s="2" t="s">
        <v>2203</v>
      </c>
      <c r="C531" s="2" t="s">
        <v>9092</v>
      </c>
      <c r="D531" s="2" t="n">
        <v>201.1</v>
      </c>
      <c r="E531" s="13" t="n">
        <v>45352</v>
      </c>
    </row>
    <row r="532" customFormat="false" ht="15" hidden="false" customHeight="false" outlineLevel="0" collapsed="false">
      <c r="A532" s="2" t="s">
        <v>9617</v>
      </c>
      <c r="B532" s="2" t="s">
        <v>2205</v>
      </c>
      <c r="C532" s="2" t="s">
        <v>9098</v>
      </c>
      <c r="D532" s="2" t="n">
        <v>201.47</v>
      </c>
      <c r="E532" s="13" t="n">
        <v>45359</v>
      </c>
    </row>
    <row r="533" customFormat="false" ht="15" hidden="false" customHeight="false" outlineLevel="0" collapsed="false">
      <c r="A533" s="2" t="s">
        <v>9618</v>
      </c>
      <c r="B533" s="2" t="s">
        <v>2207</v>
      </c>
      <c r="C533" s="2" t="s">
        <v>9083</v>
      </c>
      <c r="D533" s="2" t="n">
        <v>201.84</v>
      </c>
      <c r="E533" s="13" t="n">
        <v>45366</v>
      </c>
    </row>
    <row r="534" customFormat="false" ht="15" hidden="false" customHeight="false" outlineLevel="0" collapsed="false">
      <c r="A534" s="2" t="s">
        <v>9619</v>
      </c>
      <c r="B534" s="2" t="s">
        <v>2211</v>
      </c>
      <c r="C534" s="2" t="s">
        <v>9083</v>
      </c>
      <c r="D534" s="2" t="n">
        <v>202.21</v>
      </c>
      <c r="E534" s="13" t="n">
        <v>45373</v>
      </c>
    </row>
    <row r="535" customFormat="false" ht="15" hidden="false" customHeight="false" outlineLevel="0" collapsed="false">
      <c r="A535" s="2" t="s">
        <v>9620</v>
      </c>
      <c r="B535" s="2" t="s">
        <v>2213</v>
      </c>
      <c r="C535" s="2" t="s">
        <v>9098</v>
      </c>
      <c r="D535" s="2" t="n">
        <v>202.58</v>
      </c>
      <c r="E535" s="13" t="n">
        <v>45380</v>
      </c>
    </row>
    <row r="536" customFormat="false" ht="15" hidden="false" customHeight="false" outlineLevel="0" collapsed="false">
      <c r="A536" s="2" t="s">
        <v>9621</v>
      </c>
      <c r="B536" s="2" t="s">
        <v>2217</v>
      </c>
      <c r="C536" s="2" t="s">
        <v>9083</v>
      </c>
      <c r="D536" s="2" t="n">
        <v>202.95</v>
      </c>
      <c r="E536" s="13" t="n">
        <v>45387</v>
      </c>
    </row>
    <row r="537" customFormat="false" ht="15" hidden="false" customHeight="false" outlineLevel="0" collapsed="false">
      <c r="A537" s="2" t="s">
        <v>9622</v>
      </c>
      <c r="B537" s="2" t="s">
        <v>2219</v>
      </c>
      <c r="C537" s="2" t="s">
        <v>9092</v>
      </c>
      <c r="D537" s="2" t="n">
        <v>203.32</v>
      </c>
      <c r="E537" s="13" t="n">
        <v>45394</v>
      </c>
    </row>
    <row r="538" customFormat="false" ht="15" hidden="false" customHeight="false" outlineLevel="0" collapsed="false">
      <c r="A538" s="2" t="s">
        <v>9623</v>
      </c>
      <c r="B538" s="2" t="s">
        <v>2221</v>
      </c>
      <c r="C538" s="2" t="s">
        <v>9098</v>
      </c>
      <c r="D538" s="2" t="n">
        <v>203.69</v>
      </c>
      <c r="E538" s="13" t="n">
        <v>45401</v>
      </c>
    </row>
    <row r="539" customFormat="false" ht="15" hidden="false" customHeight="false" outlineLevel="0" collapsed="false">
      <c r="A539" s="2" t="s">
        <v>9624</v>
      </c>
      <c r="B539" s="2" t="s">
        <v>2225</v>
      </c>
      <c r="C539" s="2" t="s">
        <v>9083</v>
      </c>
      <c r="D539" s="2" t="n">
        <v>204.06</v>
      </c>
      <c r="E539" s="13" t="n">
        <v>45408</v>
      </c>
    </row>
    <row r="540" customFormat="false" ht="15" hidden="false" customHeight="false" outlineLevel="0" collapsed="false">
      <c r="A540" s="2" t="s">
        <v>9625</v>
      </c>
      <c r="B540" s="2" t="s">
        <v>2229</v>
      </c>
      <c r="C540" s="2" t="s">
        <v>9085</v>
      </c>
      <c r="D540" s="2" t="n">
        <v>204.43</v>
      </c>
      <c r="E540" s="13" t="n">
        <v>45415</v>
      </c>
    </row>
    <row r="541" customFormat="false" ht="15" hidden="false" customHeight="false" outlineLevel="0" collapsed="false">
      <c r="A541" s="2" t="s">
        <v>9626</v>
      </c>
      <c r="B541" s="2" t="s">
        <v>2233</v>
      </c>
      <c r="C541" s="2" t="s">
        <v>9098</v>
      </c>
      <c r="D541" s="2" t="n">
        <v>204.8</v>
      </c>
      <c r="E541" s="13" t="n">
        <v>45422</v>
      </c>
    </row>
    <row r="542" customFormat="false" ht="15" hidden="false" customHeight="false" outlineLevel="0" collapsed="false">
      <c r="A542" s="2" t="s">
        <v>9627</v>
      </c>
      <c r="B542" s="2" t="s">
        <v>2235</v>
      </c>
      <c r="C542" s="2" t="s">
        <v>9087</v>
      </c>
      <c r="D542" s="2" t="n">
        <v>205.17</v>
      </c>
      <c r="E542" s="13" t="n">
        <v>45429</v>
      </c>
    </row>
    <row r="543" customFormat="false" ht="15" hidden="false" customHeight="false" outlineLevel="0" collapsed="false">
      <c r="A543" s="2" t="s">
        <v>9628</v>
      </c>
      <c r="B543" s="2" t="s">
        <v>2239</v>
      </c>
      <c r="C543" s="2" t="s">
        <v>9098</v>
      </c>
      <c r="D543" s="2" t="n">
        <v>205.54</v>
      </c>
      <c r="E543" s="13" t="n">
        <v>45436</v>
      </c>
    </row>
    <row r="544" customFormat="false" ht="15" hidden="false" customHeight="false" outlineLevel="0" collapsed="false">
      <c r="A544" s="2" t="s">
        <v>9629</v>
      </c>
      <c r="B544" s="2" t="s">
        <v>2241</v>
      </c>
      <c r="C544" s="2" t="s">
        <v>9085</v>
      </c>
      <c r="D544" s="2" t="n">
        <v>205.91</v>
      </c>
      <c r="E544" s="13" t="n">
        <v>45443</v>
      </c>
    </row>
    <row r="545" customFormat="false" ht="15" hidden="false" customHeight="false" outlineLevel="0" collapsed="false">
      <c r="A545" s="2" t="s">
        <v>9630</v>
      </c>
      <c r="B545" s="2" t="s">
        <v>2243</v>
      </c>
      <c r="C545" s="2" t="s">
        <v>9085</v>
      </c>
      <c r="D545" s="2" t="n">
        <v>206.28</v>
      </c>
      <c r="E545" s="13" t="n">
        <v>45450</v>
      </c>
    </row>
    <row r="546" customFormat="false" ht="15" hidden="false" customHeight="false" outlineLevel="0" collapsed="false">
      <c r="A546" s="2" t="s">
        <v>9631</v>
      </c>
      <c r="B546" s="2" t="s">
        <v>2245</v>
      </c>
      <c r="C546" s="2" t="s">
        <v>9083</v>
      </c>
      <c r="D546" s="2" t="n">
        <v>206.65</v>
      </c>
      <c r="E546" s="13" t="n">
        <v>45457</v>
      </c>
    </row>
    <row r="547" customFormat="false" ht="15" hidden="false" customHeight="false" outlineLevel="0" collapsed="false">
      <c r="A547" s="2" t="s">
        <v>9632</v>
      </c>
      <c r="B547" s="2" t="s">
        <v>2249</v>
      </c>
      <c r="C547" s="2" t="s">
        <v>9087</v>
      </c>
      <c r="D547" s="2" t="n">
        <v>207.02</v>
      </c>
      <c r="E547" s="13" t="n">
        <v>45464</v>
      </c>
    </row>
    <row r="548" customFormat="false" ht="15" hidden="false" customHeight="false" outlineLevel="0" collapsed="false">
      <c r="A548" s="2" t="s">
        <v>9633</v>
      </c>
      <c r="B548" s="2" t="s">
        <v>2253</v>
      </c>
      <c r="C548" s="2" t="s">
        <v>9085</v>
      </c>
      <c r="D548" s="2" t="n">
        <v>207.39</v>
      </c>
      <c r="E548" s="13" t="n">
        <v>45471</v>
      </c>
    </row>
    <row r="549" customFormat="false" ht="15" hidden="false" customHeight="false" outlineLevel="0" collapsed="false">
      <c r="A549" s="2" t="s">
        <v>9634</v>
      </c>
      <c r="B549" s="2" t="s">
        <v>2257</v>
      </c>
      <c r="C549" s="2" t="s">
        <v>9092</v>
      </c>
      <c r="D549" s="2" t="n">
        <v>207.76</v>
      </c>
      <c r="E549" s="13" t="n">
        <v>45478</v>
      </c>
    </row>
    <row r="550" customFormat="false" ht="15" hidden="false" customHeight="false" outlineLevel="0" collapsed="false">
      <c r="A550" s="2" t="s">
        <v>9635</v>
      </c>
      <c r="B550" s="2" t="s">
        <v>2259</v>
      </c>
      <c r="C550" s="2" t="s">
        <v>9092</v>
      </c>
      <c r="D550" s="2" t="n">
        <v>208.13</v>
      </c>
      <c r="E550" s="13" t="n">
        <v>45485</v>
      </c>
    </row>
    <row r="551" customFormat="false" ht="15" hidden="false" customHeight="false" outlineLevel="0" collapsed="false">
      <c r="A551" s="2" t="s">
        <v>9636</v>
      </c>
      <c r="B551" s="2" t="s">
        <v>2263</v>
      </c>
      <c r="C551" s="2" t="s">
        <v>9092</v>
      </c>
      <c r="D551" s="2" t="n">
        <v>208.5</v>
      </c>
      <c r="E551" s="13" t="n">
        <v>45492</v>
      </c>
    </row>
    <row r="552" customFormat="false" ht="15" hidden="false" customHeight="false" outlineLevel="0" collapsed="false">
      <c r="A552" s="2" t="s">
        <v>9637</v>
      </c>
      <c r="B552" s="2" t="s">
        <v>2265</v>
      </c>
      <c r="C552" s="2" t="s">
        <v>9098</v>
      </c>
      <c r="D552" s="2" t="n">
        <v>208.87</v>
      </c>
      <c r="E552" s="13" t="n">
        <v>45499</v>
      </c>
    </row>
    <row r="553" customFormat="false" ht="15" hidden="false" customHeight="false" outlineLevel="0" collapsed="false">
      <c r="A553" s="2" t="s">
        <v>9638</v>
      </c>
      <c r="B553" s="2" t="s">
        <v>2267</v>
      </c>
      <c r="C553" s="2" t="s">
        <v>9087</v>
      </c>
      <c r="D553" s="2" t="n">
        <v>209.24</v>
      </c>
      <c r="E553" s="13" t="n">
        <v>45506</v>
      </c>
    </row>
    <row r="554" customFormat="false" ht="15" hidden="false" customHeight="false" outlineLevel="0" collapsed="false">
      <c r="A554" s="2" t="s">
        <v>9639</v>
      </c>
      <c r="B554" s="2" t="s">
        <v>2271</v>
      </c>
      <c r="C554" s="2" t="s">
        <v>9098</v>
      </c>
      <c r="D554" s="2" t="n">
        <v>209.61</v>
      </c>
      <c r="E554" s="13" t="n">
        <v>45513</v>
      </c>
    </row>
    <row r="555" customFormat="false" ht="15" hidden="false" customHeight="false" outlineLevel="0" collapsed="false">
      <c r="A555" s="2" t="s">
        <v>9640</v>
      </c>
      <c r="B555" s="2" t="s">
        <v>2273</v>
      </c>
      <c r="C555" s="2" t="s">
        <v>9083</v>
      </c>
      <c r="D555" s="2" t="n">
        <v>209.98</v>
      </c>
      <c r="E555" s="13" t="n">
        <v>45520</v>
      </c>
    </row>
    <row r="556" customFormat="false" ht="15" hidden="false" customHeight="false" outlineLevel="0" collapsed="false">
      <c r="A556" s="2" t="s">
        <v>9641</v>
      </c>
      <c r="B556" s="2" t="s">
        <v>2275</v>
      </c>
      <c r="C556" s="2" t="s">
        <v>9087</v>
      </c>
      <c r="D556" s="2" t="n">
        <v>210.35</v>
      </c>
      <c r="E556" s="13" t="n">
        <v>45527</v>
      </c>
    </row>
    <row r="557" customFormat="false" ht="15" hidden="false" customHeight="false" outlineLevel="0" collapsed="false">
      <c r="A557" s="2" t="s">
        <v>9642</v>
      </c>
      <c r="B557" s="2" t="s">
        <v>2277</v>
      </c>
      <c r="C557" s="2" t="s">
        <v>9087</v>
      </c>
      <c r="D557" s="2" t="n">
        <v>210.72</v>
      </c>
      <c r="E557" s="13" t="n">
        <v>45534</v>
      </c>
    </row>
    <row r="558" customFormat="false" ht="15" hidden="false" customHeight="false" outlineLevel="0" collapsed="false">
      <c r="A558" s="2" t="s">
        <v>9643</v>
      </c>
      <c r="B558" s="2" t="s">
        <v>2281</v>
      </c>
      <c r="C558" s="2" t="s">
        <v>9083</v>
      </c>
      <c r="D558" s="2" t="n">
        <v>211.09</v>
      </c>
      <c r="E558" s="13" t="n">
        <v>45541</v>
      </c>
    </row>
    <row r="559" customFormat="false" ht="15" hidden="false" customHeight="false" outlineLevel="0" collapsed="false">
      <c r="A559" s="2" t="s">
        <v>9644</v>
      </c>
      <c r="B559" s="2" t="s">
        <v>2285</v>
      </c>
      <c r="C559" s="2" t="s">
        <v>9098</v>
      </c>
      <c r="D559" s="2" t="n">
        <v>211.46</v>
      </c>
      <c r="E559" s="13" t="n">
        <v>45548</v>
      </c>
    </row>
    <row r="560" customFormat="false" ht="15" hidden="false" customHeight="false" outlineLevel="0" collapsed="false">
      <c r="A560" s="2" t="s">
        <v>9645</v>
      </c>
      <c r="B560" s="2" t="s">
        <v>2289</v>
      </c>
      <c r="C560" s="2" t="s">
        <v>9092</v>
      </c>
      <c r="D560" s="2" t="n">
        <v>211.83</v>
      </c>
      <c r="E560" s="13" t="n">
        <v>45555</v>
      </c>
    </row>
    <row r="561" customFormat="false" ht="15" hidden="false" customHeight="false" outlineLevel="0" collapsed="false">
      <c r="A561" s="2" t="s">
        <v>9646</v>
      </c>
      <c r="B561" s="2" t="s">
        <v>2293</v>
      </c>
      <c r="C561" s="2" t="s">
        <v>9085</v>
      </c>
      <c r="D561" s="2" t="n">
        <v>212.2</v>
      </c>
      <c r="E561" s="13" t="n">
        <v>45562</v>
      </c>
    </row>
    <row r="562" customFormat="false" ht="15" hidden="false" customHeight="false" outlineLevel="0" collapsed="false">
      <c r="A562" s="2" t="s">
        <v>9647</v>
      </c>
      <c r="B562" s="2" t="s">
        <v>2297</v>
      </c>
      <c r="C562" s="2" t="s">
        <v>9092</v>
      </c>
      <c r="D562" s="2" t="n">
        <v>212.57</v>
      </c>
      <c r="E562" s="13" t="n">
        <v>45569</v>
      </c>
    </row>
    <row r="563" customFormat="false" ht="15" hidden="false" customHeight="false" outlineLevel="0" collapsed="false">
      <c r="A563" s="2" t="s">
        <v>9648</v>
      </c>
      <c r="B563" s="2" t="s">
        <v>2301</v>
      </c>
      <c r="C563" s="2" t="s">
        <v>9083</v>
      </c>
      <c r="D563" s="2" t="n">
        <v>212.94</v>
      </c>
      <c r="E563" s="13" t="n">
        <v>45576</v>
      </c>
    </row>
    <row r="564" customFormat="false" ht="15" hidden="false" customHeight="false" outlineLevel="0" collapsed="false">
      <c r="A564" s="2" t="s">
        <v>9649</v>
      </c>
      <c r="B564" s="2" t="s">
        <v>2305</v>
      </c>
      <c r="C564" s="2" t="s">
        <v>9083</v>
      </c>
      <c r="D564" s="2" t="n">
        <v>213.31</v>
      </c>
      <c r="E564" s="13" t="n">
        <v>45583</v>
      </c>
    </row>
    <row r="565" customFormat="false" ht="15" hidden="false" customHeight="false" outlineLevel="0" collapsed="false">
      <c r="A565" s="2" t="s">
        <v>9650</v>
      </c>
      <c r="B565" s="2" t="s">
        <v>2309</v>
      </c>
      <c r="C565" s="2" t="s">
        <v>9098</v>
      </c>
      <c r="D565" s="2" t="n">
        <v>213.68</v>
      </c>
      <c r="E565" s="13" t="n">
        <v>45590</v>
      </c>
    </row>
    <row r="566" customFormat="false" ht="15" hidden="false" customHeight="false" outlineLevel="0" collapsed="false">
      <c r="A566" s="2" t="s">
        <v>9651</v>
      </c>
      <c r="B566" s="2" t="s">
        <v>2311</v>
      </c>
      <c r="C566" s="2" t="s">
        <v>9085</v>
      </c>
      <c r="D566" s="2" t="n">
        <v>214.05</v>
      </c>
      <c r="E566" s="13" t="n">
        <v>45597</v>
      </c>
    </row>
    <row r="567" customFormat="false" ht="15" hidden="false" customHeight="false" outlineLevel="0" collapsed="false">
      <c r="A567" s="2" t="s">
        <v>9652</v>
      </c>
      <c r="B567" s="2" t="s">
        <v>2313</v>
      </c>
      <c r="C567" s="2" t="s">
        <v>9083</v>
      </c>
      <c r="D567" s="2" t="n">
        <v>214.42</v>
      </c>
      <c r="E567" s="13" t="n">
        <v>45604</v>
      </c>
    </row>
    <row r="568" customFormat="false" ht="15" hidden="false" customHeight="false" outlineLevel="0" collapsed="false">
      <c r="A568" s="2" t="s">
        <v>9653</v>
      </c>
      <c r="B568" s="2" t="s">
        <v>2317</v>
      </c>
      <c r="C568" s="2" t="s">
        <v>9087</v>
      </c>
      <c r="D568" s="2" t="n">
        <v>214.79</v>
      </c>
      <c r="E568" s="13" t="n">
        <v>45611</v>
      </c>
    </row>
    <row r="569" customFormat="false" ht="15" hidden="false" customHeight="false" outlineLevel="0" collapsed="false">
      <c r="A569" s="2" t="s">
        <v>9654</v>
      </c>
      <c r="B569" s="2" t="s">
        <v>2321</v>
      </c>
      <c r="C569" s="2" t="s">
        <v>9087</v>
      </c>
      <c r="D569" s="2" t="n">
        <v>215.16</v>
      </c>
      <c r="E569" s="13" t="n">
        <v>45618</v>
      </c>
    </row>
    <row r="570" customFormat="false" ht="15" hidden="false" customHeight="false" outlineLevel="0" collapsed="false">
      <c r="A570" s="2" t="s">
        <v>9655</v>
      </c>
      <c r="B570" s="2" t="s">
        <v>2326</v>
      </c>
      <c r="C570" s="2" t="s">
        <v>9083</v>
      </c>
      <c r="D570" s="2" t="n">
        <v>215.53</v>
      </c>
      <c r="E570" s="13" t="n">
        <v>45625</v>
      </c>
    </row>
    <row r="571" customFormat="false" ht="15" hidden="false" customHeight="false" outlineLevel="0" collapsed="false">
      <c r="A571" s="2" t="s">
        <v>9656</v>
      </c>
      <c r="B571" s="2" t="s">
        <v>2328</v>
      </c>
      <c r="C571" s="2" t="s">
        <v>9083</v>
      </c>
      <c r="D571" s="2" t="n">
        <v>215.9</v>
      </c>
      <c r="E571" s="13" t="n">
        <v>45632</v>
      </c>
    </row>
    <row r="572" customFormat="false" ht="15" hidden="false" customHeight="false" outlineLevel="0" collapsed="false">
      <c r="A572" s="2" t="s">
        <v>9657</v>
      </c>
      <c r="B572" s="2" t="s">
        <v>2330</v>
      </c>
      <c r="C572" s="2" t="s">
        <v>9087</v>
      </c>
      <c r="D572" s="2" t="n">
        <v>216.27</v>
      </c>
      <c r="E572" s="13" t="n">
        <v>45639</v>
      </c>
    </row>
    <row r="573" customFormat="false" ht="15" hidden="false" customHeight="false" outlineLevel="0" collapsed="false">
      <c r="A573" s="2" t="s">
        <v>9658</v>
      </c>
      <c r="B573" s="2" t="s">
        <v>2332</v>
      </c>
      <c r="C573" s="2" t="s">
        <v>9098</v>
      </c>
      <c r="D573" s="2" t="n">
        <v>216.64</v>
      </c>
      <c r="E573" s="13" t="n">
        <v>45646</v>
      </c>
    </row>
    <row r="574" customFormat="false" ht="15" hidden="false" customHeight="false" outlineLevel="0" collapsed="false">
      <c r="A574" s="2" t="s">
        <v>9659</v>
      </c>
      <c r="B574" s="2" t="s">
        <v>2336</v>
      </c>
      <c r="C574" s="2" t="s">
        <v>9098</v>
      </c>
      <c r="D574" s="2" t="n">
        <v>217.01</v>
      </c>
      <c r="E574" s="13" t="n">
        <v>45653</v>
      </c>
    </row>
    <row r="575" customFormat="false" ht="15" hidden="false" customHeight="false" outlineLevel="0" collapsed="false">
      <c r="A575" s="2" t="s">
        <v>9660</v>
      </c>
      <c r="B575" s="2" t="s">
        <v>2340</v>
      </c>
      <c r="C575" s="2" t="s">
        <v>9087</v>
      </c>
      <c r="D575" s="2" t="n">
        <v>217.38</v>
      </c>
      <c r="E575" s="13" t="n">
        <v>45660</v>
      </c>
    </row>
    <row r="576" customFormat="false" ht="15" hidden="false" customHeight="false" outlineLevel="0" collapsed="false">
      <c r="A576" s="2" t="s">
        <v>9661</v>
      </c>
      <c r="B576" s="2" t="s">
        <v>2344</v>
      </c>
      <c r="C576" s="2" t="s">
        <v>9092</v>
      </c>
      <c r="D576" s="2" t="n">
        <v>217.75</v>
      </c>
      <c r="E576" s="13" t="n">
        <v>45667</v>
      </c>
    </row>
    <row r="577" customFormat="false" ht="15" hidden="false" customHeight="false" outlineLevel="0" collapsed="false">
      <c r="A577" s="2" t="s">
        <v>9662</v>
      </c>
      <c r="B577" s="2" t="s">
        <v>2348</v>
      </c>
      <c r="C577" s="2" t="s">
        <v>9085</v>
      </c>
      <c r="D577" s="2" t="n">
        <v>218.12</v>
      </c>
      <c r="E577" s="13" t="n">
        <v>45674</v>
      </c>
    </row>
    <row r="578" customFormat="false" ht="15" hidden="false" customHeight="false" outlineLevel="0" collapsed="false">
      <c r="A578" s="2" t="s">
        <v>9663</v>
      </c>
      <c r="B578" s="2" t="s">
        <v>2352</v>
      </c>
      <c r="C578" s="2" t="s">
        <v>9092</v>
      </c>
      <c r="D578" s="2" t="n">
        <v>218.49</v>
      </c>
      <c r="E578" s="13" t="n">
        <v>45681</v>
      </c>
    </row>
    <row r="579" customFormat="false" ht="15" hidden="false" customHeight="false" outlineLevel="0" collapsed="false">
      <c r="A579" s="2" t="s">
        <v>9664</v>
      </c>
      <c r="B579" s="2" t="s">
        <v>2356</v>
      </c>
      <c r="C579" s="2" t="s">
        <v>9087</v>
      </c>
      <c r="D579" s="2" t="n">
        <v>218.86</v>
      </c>
      <c r="E579" s="13" t="n">
        <v>45688</v>
      </c>
    </row>
    <row r="580" customFormat="false" ht="15" hidden="false" customHeight="false" outlineLevel="0" collapsed="false">
      <c r="A580" s="2" t="s">
        <v>9665</v>
      </c>
      <c r="B580" s="2" t="s">
        <v>2360</v>
      </c>
      <c r="C580" s="2" t="s">
        <v>9092</v>
      </c>
      <c r="D580" s="2" t="n">
        <v>219.23</v>
      </c>
      <c r="E580" s="13" t="n">
        <v>45695</v>
      </c>
    </row>
    <row r="581" customFormat="false" ht="15" hidden="false" customHeight="false" outlineLevel="0" collapsed="false">
      <c r="A581" s="2" t="s">
        <v>9666</v>
      </c>
      <c r="B581" s="2" t="s">
        <v>2362</v>
      </c>
      <c r="C581" s="2" t="s">
        <v>9085</v>
      </c>
      <c r="D581" s="2" t="n">
        <v>219.6</v>
      </c>
      <c r="E581" s="13" t="n">
        <v>45702</v>
      </c>
    </row>
    <row r="582" customFormat="false" ht="15" hidden="false" customHeight="false" outlineLevel="0" collapsed="false">
      <c r="A582" s="2" t="s">
        <v>9667</v>
      </c>
      <c r="B582" s="2" t="s">
        <v>2364</v>
      </c>
      <c r="C582" s="2" t="s">
        <v>9083</v>
      </c>
      <c r="D582" s="2" t="n">
        <v>219.97</v>
      </c>
      <c r="E582" s="13" t="n">
        <v>45709</v>
      </c>
    </row>
    <row r="583" customFormat="false" ht="15" hidden="false" customHeight="false" outlineLevel="0" collapsed="false">
      <c r="A583" s="2" t="s">
        <v>9668</v>
      </c>
      <c r="B583" s="2" t="s">
        <v>2368</v>
      </c>
      <c r="C583" s="2" t="s">
        <v>9083</v>
      </c>
      <c r="D583" s="2" t="n">
        <v>220.34</v>
      </c>
      <c r="E583" s="13" t="n">
        <v>45716</v>
      </c>
    </row>
    <row r="584" customFormat="false" ht="15" hidden="false" customHeight="false" outlineLevel="0" collapsed="false">
      <c r="A584" s="2" t="s">
        <v>9669</v>
      </c>
      <c r="B584" s="2" t="s">
        <v>2370</v>
      </c>
      <c r="C584" s="2" t="s">
        <v>9085</v>
      </c>
      <c r="D584" s="2" t="n">
        <v>220.71</v>
      </c>
      <c r="E584" s="13" t="n">
        <v>45723</v>
      </c>
    </row>
    <row r="585" customFormat="false" ht="15" hidden="false" customHeight="false" outlineLevel="0" collapsed="false">
      <c r="A585" s="2" t="s">
        <v>9670</v>
      </c>
      <c r="B585" s="2" t="s">
        <v>2374</v>
      </c>
      <c r="C585" s="2" t="s">
        <v>9085</v>
      </c>
      <c r="D585" s="2" t="n">
        <v>221.08</v>
      </c>
      <c r="E585" s="13" t="n">
        <v>45730</v>
      </c>
    </row>
    <row r="586" customFormat="false" ht="15" hidden="false" customHeight="false" outlineLevel="0" collapsed="false">
      <c r="A586" s="2" t="s">
        <v>9671</v>
      </c>
      <c r="B586" s="2" t="s">
        <v>2378</v>
      </c>
      <c r="C586" s="2" t="s">
        <v>9098</v>
      </c>
      <c r="D586" s="2" t="n">
        <v>221.45</v>
      </c>
      <c r="E586" s="13" t="n">
        <v>45737</v>
      </c>
    </row>
    <row r="587" customFormat="false" ht="15" hidden="false" customHeight="false" outlineLevel="0" collapsed="false">
      <c r="A587" s="2" t="s">
        <v>9672</v>
      </c>
      <c r="B587" s="2" t="s">
        <v>2380</v>
      </c>
      <c r="C587" s="2" t="s">
        <v>9085</v>
      </c>
      <c r="D587" s="2" t="n">
        <v>221.82</v>
      </c>
      <c r="E587" s="13" t="n">
        <v>45744</v>
      </c>
    </row>
    <row r="588" customFormat="false" ht="15" hidden="false" customHeight="false" outlineLevel="0" collapsed="false">
      <c r="A588" s="2" t="s">
        <v>9673</v>
      </c>
      <c r="B588" s="2" t="s">
        <v>2382</v>
      </c>
      <c r="C588" s="2" t="s">
        <v>9092</v>
      </c>
      <c r="D588" s="2" t="n">
        <v>222.19</v>
      </c>
      <c r="E588" s="13" t="n">
        <v>45751</v>
      </c>
    </row>
    <row r="589" customFormat="false" ht="15" hidden="false" customHeight="false" outlineLevel="0" collapsed="false">
      <c r="A589" s="2" t="s">
        <v>9674</v>
      </c>
      <c r="B589" s="2" t="s">
        <v>2386</v>
      </c>
      <c r="C589" s="2" t="s">
        <v>9085</v>
      </c>
      <c r="D589" s="2" t="n">
        <v>222.56</v>
      </c>
      <c r="E589" s="13" t="n">
        <v>45758</v>
      </c>
    </row>
    <row r="590" customFormat="false" ht="15" hidden="false" customHeight="false" outlineLevel="0" collapsed="false">
      <c r="A590" s="2" t="s">
        <v>9675</v>
      </c>
      <c r="B590" s="2" t="s">
        <v>2391</v>
      </c>
      <c r="C590" s="2" t="s">
        <v>9087</v>
      </c>
      <c r="D590" s="2" t="n">
        <v>222.93</v>
      </c>
      <c r="E590" s="13" t="n">
        <v>45765</v>
      </c>
    </row>
    <row r="591" customFormat="false" ht="15" hidden="false" customHeight="false" outlineLevel="0" collapsed="false">
      <c r="A591" s="2" t="s">
        <v>9676</v>
      </c>
      <c r="B591" s="2" t="s">
        <v>2395</v>
      </c>
      <c r="C591" s="2" t="s">
        <v>9092</v>
      </c>
      <c r="D591" s="2" t="n">
        <v>223.3</v>
      </c>
      <c r="E591" s="13" t="n">
        <v>45772</v>
      </c>
    </row>
    <row r="592" customFormat="false" ht="15" hidden="false" customHeight="false" outlineLevel="0" collapsed="false">
      <c r="A592" s="2" t="s">
        <v>9677</v>
      </c>
      <c r="B592" s="2" t="s">
        <v>2399</v>
      </c>
      <c r="C592" s="2" t="s">
        <v>9098</v>
      </c>
      <c r="D592" s="2" t="n">
        <v>223.67</v>
      </c>
      <c r="E592" s="13" t="n">
        <v>45779</v>
      </c>
    </row>
    <row r="593" customFormat="false" ht="15" hidden="false" customHeight="false" outlineLevel="0" collapsed="false">
      <c r="A593" s="2" t="s">
        <v>9678</v>
      </c>
      <c r="B593" s="2" t="s">
        <v>2401</v>
      </c>
      <c r="C593" s="2" t="s">
        <v>9083</v>
      </c>
      <c r="D593" s="2" t="n">
        <v>224.04</v>
      </c>
      <c r="E593" s="13" t="n">
        <v>45786</v>
      </c>
    </row>
    <row r="594" customFormat="false" ht="15" hidden="false" customHeight="false" outlineLevel="0" collapsed="false">
      <c r="A594" s="2" t="s">
        <v>9679</v>
      </c>
      <c r="B594" s="2" t="s">
        <v>2403</v>
      </c>
      <c r="C594" s="2" t="s">
        <v>9087</v>
      </c>
      <c r="D594" s="2" t="n">
        <v>224.41</v>
      </c>
      <c r="E594" s="13" t="n">
        <v>45793</v>
      </c>
    </row>
    <row r="595" customFormat="false" ht="15" hidden="false" customHeight="false" outlineLevel="0" collapsed="false">
      <c r="A595" s="2" t="s">
        <v>9680</v>
      </c>
      <c r="B595" s="2" t="s">
        <v>2405</v>
      </c>
      <c r="C595" s="2" t="s">
        <v>9083</v>
      </c>
      <c r="D595" s="2" t="n">
        <v>224.78</v>
      </c>
      <c r="E595" s="13" t="n">
        <v>45800</v>
      </c>
    </row>
    <row r="596" customFormat="false" ht="15" hidden="false" customHeight="false" outlineLevel="0" collapsed="false">
      <c r="A596" s="2" t="s">
        <v>9681</v>
      </c>
      <c r="B596" s="2" t="s">
        <v>2409</v>
      </c>
      <c r="C596" s="2" t="s">
        <v>9087</v>
      </c>
      <c r="D596" s="2" t="n">
        <v>225.15</v>
      </c>
      <c r="E596" s="13" t="n">
        <v>45807</v>
      </c>
    </row>
    <row r="597" customFormat="false" ht="15" hidden="false" customHeight="false" outlineLevel="0" collapsed="false">
      <c r="A597" s="2" t="s">
        <v>9682</v>
      </c>
      <c r="B597" s="2" t="s">
        <v>2413</v>
      </c>
      <c r="C597" s="2" t="s">
        <v>9092</v>
      </c>
      <c r="D597" s="2" t="n">
        <v>225.52</v>
      </c>
      <c r="E597" s="13" t="n">
        <v>45814</v>
      </c>
    </row>
    <row r="598" customFormat="false" ht="15" hidden="false" customHeight="false" outlineLevel="0" collapsed="false">
      <c r="A598" s="2" t="s">
        <v>9683</v>
      </c>
      <c r="B598" s="2" t="s">
        <v>2417</v>
      </c>
      <c r="C598" s="2" t="s">
        <v>9085</v>
      </c>
      <c r="D598" s="2" t="n">
        <v>225.89</v>
      </c>
      <c r="E598" s="13" t="n">
        <v>45821</v>
      </c>
    </row>
    <row r="599" customFormat="false" ht="15" hidden="false" customHeight="false" outlineLevel="0" collapsed="false">
      <c r="A599" s="2" t="s">
        <v>9684</v>
      </c>
      <c r="B599" s="2" t="s">
        <v>2419</v>
      </c>
      <c r="C599" s="2" t="s">
        <v>9087</v>
      </c>
      <c r="D599" s="2" t="n">
        <v>226.26</v>
      </c>
      <c r="E599" s="13" t="n">
        <v>45828</v>
      </c>
    </row>
    <row r="600" customFormat="false" ht="15" hidden="false" customHeight="false" outlineLevel="0" collapsed="false">
      <c r="A600" s="2" t="s">
        <v>9685</v>
      </c>
      <c r="B600" s="2" t="s">
        <v>2421</v>
      </c>
      <c r="C600" s="2" t="s">
        <v>9092</v>
      </c>
      <c r="D600" s="2" t="n">
        <v>226.63</v>
      </c>
      <c r="E600" s="13" t="n">
        <v>45835</v>
      </c>
    </row>
    <row r="601" customFormat="false" ht="15" hidden="false" customHeight="false" outlineLevel="0" collapsed="false">
      <c r="A601" s="2" t="s">
        <v>9686</v>
      </c>
      <c r="B601" s="2" t="s">
        <v>2425</v>
      </c>
      <c r="C601" s="2" t="s">
        <v>9085</v>
      </c>
      <c r="D601" s="2" t="n">
        <v>227</v>
      </c>
      <c r="E601" s="13" t="n">
        <v>45842</v>
      </c>
    </row>
    <row r="602" customFormat="false" ht="15" hidden="false" customHeight="false" outlineLevel="0" collapsed="false">
      <c r="A602" s="2" t="s">
        <v>9687</v>
      </c>
      <c r="B602" s="2" t="s">
        <v>2427</v>
      </c>
      <c r="C602" s="2" t="s">
        <v>9083</v>
      </c>
      <c r="D602" s="2" t="n">
        <v>227.37</v>
      </c>
      <c r="E602" s="13" t="n">
        <v>45849</v>
      </c>
    </row>
    <row r="603" customFormat="false" ht="15" hidden="false" customHeight="false" outlineLevel="0" collapsed="false">
      <c r="A603" s="2" t="s">
        <v>9688</v>
      </c>
      <c r="B603" s="2" t="s">
        <v>2429</v>
      </c>
      <c r="C603" s="2" t="s">
        <v>9098</v>
      </c>
      <c r="D603" s="2" t="n">
        <v>227.74</v>
      </c>
      <c r="E603" s="13" t="n">
        <v>45856</v>
      </c>
    </row>
    <row r="604" customFormat="false" ht="15" hidden="false" customHeight="false" outlineLevel="0" collapsed="false">
      <c r="A604" s="2" t="s">
        <v>9689</v>
      </c>
      <c r="B604" s="2" t="s">
        <v>2431</v>
      </c>
      <c r="C604" s="2" t="s">
        <v>9098</v>
      </c>
      <c r="D604" s="2" t="n">
        <v>228.11</v>
      </c>
      <c r="E604" s="13" t="n">
        <v>45863</v>
      </c>
    </row>
    <row r="605" customFormat="false" ht="15" hidden="false" customHeight="false" outlineLevel="0" collapsed="false">
      <c r="A605" s="2" t="s">
        <v>9690</v>
      </c>
      <c r="B605" s="2" t="s">
        <v>2436</v>
      </c>
      <c r="C605" s="2" t="s">
        <v>9083</v>
      </c>
      <c r="D605" s="2" t="n">
        <v>228.48</v>
      </c>
      <c r="E605" s="13" t="n">
        <v>45870</v>
      </c>
    </row>
    <row r="606" customFormat="false" ht="15" hidden="false" customHeight="false" outlineLevel="0" collapsed="false">
      <c r="A606" s="2" t="s">
        <v>9691</v>
      </c>
      <c r="B606" s="2" t="s">
        <v>2440</v>
      </c>
      <c r="C606" s="2" t="s">
        <v>9085</v>
      </c>
      <c r="D606" s="2" t="n">
        <v>228.85</v>
      </c>
      <c r="E606" s="13" t="n">
        <v>45877</v>
      </c>
    </row>
    <row r="607" customFormat="false" ht="15" hidden="false" customHeight="false" outlineLevel="0" collapsed="false">
      <c r="A607" s="2" t="s">
        <v>9692</v>
      </c>
      <c r="B607" s="2" t="s">
        <v>2442</v>
      </c>
      <c r="C607" s="2" t="s">
        <v>9087</v>
      </c>
      <c r="D607" s="2" t="n">
        <v>229.22</v>
      </c>
      <c r="E607" s="13" t="n">
        <v>45884</v>
      </c>
    </row>
    <row r="608" customFormat="false" ht="15" hidden="false" customHeight="false" outlineLevel="0" collapsed="false">
      <c r="A608" s="2" t="s">
        <v>9693</v>
      </c>
      <c r="B608" s="2" t="s">
        <v>2446</v>
      </c>
      <c r="C608" s="2" t="s">
        <v>9098</v>
      </c>
      <c r="D608" s="2" t="n">
        <v>229.59</v>
      </c>
      <c r="E608" s="13" t="n">
        <v>45891</v>
      </c>
    </row>
    <row r="609" customFormat="false" ht="15" hidden="false" customHeight="false" outlineLevel="0" collapsed="false">
      <c r="A609" s="2" t="s">
        <v>9694</v>
      </c>
      <c r="B609" s="2" t="s">
        <v>2448</v>
      </c>
      <c r="C609" s="2" t="s">
        <v>9087</v>
      </c>
      <c r="D609" s="2" t="n">
        <v>229.96</v>
      </c>
      <c r="E609" s="13" t="n">
        <v>45898</v>
      </c>
    </row>
    <row r="610" customFormat="false" ht="15" hidden="false" customHeight="false" outlineLevel="0" collapsed="false">
      <c r="A610" s="2" t="s">
        <v>9695</v>
      </c>
      <c r="B610" s="2" t="s">
        <v>2452</v>
      </c>
      <c r="C610" s="2" t="s">
        <v>9092</v>
      </c>
      <c r="D610" s="2" t="n">
        <v>230.33</v>
      </c>
      <c r="E610" s="13" t="n">
        <v>45905</v>
      </c>
    </row>
    <row r="611" customFormat="false" ht="15" hidden="false" customHeight="false" outlineLevel="0" collapsed="false">
      <c r="A611" s="2" t="s">
        <v>9696</v>
      </c>
      <c r="B611" s="2" t="s">
        <v>2454</v>
      </c>
      <c r="C611" s="2" t="s">
        <v>9083</v>
      </c>
      <c r="D611" s="2" t="n">
        <v>230.7</v>
      </c>
      <c r="E611" s="13" t="n">
        <v>45912</v>
      </c>
    </row>
    <row r="612" customFormat="false" ht="15" hidden="false" customHeight="false" outlineLevel="0" collapsed="false">
      <c r="A612" s="2" t="s">
        <v>9697</v>
      </c>
      <c r="B612" s="2" t="s">
        <v>2456</v>
      </c>
      <c r="C612" s="2" t="s">
        <v>9098</v>
      </c>
      <c r="D612" s="2" t="n">
        <v>231.07</v>
      </c>
      <c r="E612" s="13" t="n">
        <v>45919</v>
      </c>
    </row>
    <row r="613" customFormat="false" ht="15" hidden="false" customHeight="false" outlineLevel="0" collapsed="false">
      <c r="A613" s="2" t="s">
        <v>9698</v>
      </c>
      <c r="B613" s="2" t="s">
        <v>2458</v>
      </c>
      <c r="C613" s="2" t="s">
        <v>9087</v>
      </c>
      <c r="D613" s="2" t="n">
        <v>231.44</v>
      </c>
      <c r="E613" s="13" t="n">
        <v>45926</v>
      </c>
    </row>
    <row r="614" customFormat="false" ht="15" hidden="false" customHeight="false" outlineLevel="0" collapsed="false">
      <c r="A614" s="2" t="s">
        <v>9699</v>
      </c>
      <c r="B614" s="2" t="s">
        <v>2460</v>
      </c>
      <c r="C614" s="2" t="s">
        <v>9087</v>
      </c>
      <c r="D614" s="2" t="n">
        <v>231.81</v>
      </c>
      <c r="E614" s="13" t="n">
        <v>45933</v>
      </c>
    </row>
    <row r="615" customFormat="false" ht="15" hidden="false" customHeight="false" outlineLevel="0" collapsed="false">
      <c r="A615" s="2" t="s">
        <v>9700</v>
      </c>
      <c r="B615" s="2" t="s">
        <v>2464</v>
      </c>
      <c r="C615" s="2" t="s">
        <v>9083</v>
      </c>
      <c r="D615" s="2" t="n">
        <v>232.18</v>
      </c>
      <c r="E615" s="13" t="n">
        <v>45940</v>
      </c>
    </row>
    <row r="616" customFormat="false" ht="15" hidden="false" customHeight="false" outlineLevel="0" collapsed="false">
      <c r="A616" s="2" t="s">
        <v>9701</v>
      </c>
      <c r="B616" s="2" t="s">
        <v>2468</v>
      </c>
      <c r="C616" s="2" t="s">
        <v>9092</v>
      </c>
      <c r="D616" s="2" t="n">
        <v>232.55</v>
      </c>
      <c r="E616" s="13" t="n">
        <v>45947</v>
      </c>
    </row>
    <row r="617" customFormat="false" ht="15" hidden="false" customHeight="false" outlineLevel="0" collapsed="false">
      <c r="A617" s="2" t="s">
        <v>9702</v>
      </c>
      <c r="B617" s="2" t="s">
        <v>2472</v>
      </c>
      <c r="C617" s="2" t="s">
        <v>9085</v>
      </c>
      <c r="D617" s="2" t="n">
        <v>232.92</v>
      </c>
      <c r="E617" s="13" t="n">
        <v>45954</v>
      </c>
    </row>
    <row r="618" customFormat="false" ht="15" hidden="false" customHeight="false" outlineLevel="0" collapsed="false">
      <c r="A618" s="2" t="s">
        <v>9703</v>
      </c>
      <c r="B618" s="2" t="s">
        <v>2474</v>
      </c>
      <c r="C618" s="2" t="s">
        <v>9083</v>
      </c>
      <c r="D618" s="2" t="n">
        <v>233.29</v>
      </c>
      <c r="E618" s="13" t="n">
        <v>45961</v>
      </c>
    </row>
    <row r="619" customFormat="false" ht="15" hidden="false" customHeight="false" outlineLevel="0" collapsed="false">
      <c r="A619" s="2" t="s">
        <v>9704</v>
      </c>
      <c r="B619" s="2" t="s">
        <v>2478</v>
      </c>
      <c r="C619" s="2" t="s">
        <v>9098</v>
      </c>
      <c r="D619" s="2" t="n">
        <v>233.66</v>
      </c>
      <c r="E619" s="13" t="n">
        <v>45968</v>
      </c>
    </row>
    <row r="620" customFormat="false" ht="15" hidden="false" customHeight="false" outlineLevel="0" collapsed="false">
      <c r="A620" s="2" t="s">
        <v>9705</v>
      </c>
      <c r="B620" s="2" t="s">
        <v>2480</v>
      </c>
      <c r="C620" s="2" t="s">
        <v>9085</v>
      </c>
      <c r="D620" s="2" t="n">
        <v>234.03</v>
      </c>
      <c r="E620" s="13" t="n">
        <v>45975</v>
      </c>
    </row>
    <row r="621" customFormat="false" ht="15" hidden="false" customHeight="false" outlineLevel="0" collapsed="false">
      <c r="A621" s="2" t="s">
        <v>9706</v>
      </c>
      <c r="B621" s="2" t="s">
        <v>2482</v>
      </c>
      <c r="C621" s="2" t="s">
        <v>9085</v>
      </c>
      <c r="D621" s="2" t="n">
        <v>234.4</v>
      </c>
      <c r="E621" s="13" t="n">
        <v>45982</v>
      </c>
    </row>
    <row r="622" customFormat="false" ht="15" hidden="false" customHeight="false" outlineLevel="0" collapsed="false">
      <c r="A622" s="2" t="s">
        <v>9707</v>
      </c>
      <c r="B622" s="2" t="s">
        <v>2486</v>
      </c>
      <c r="C622" s="2" t="s">
        <v>9087</v>
      </c>
      <c r="D622" s="2" t="n">
        <v>234.77</v>
      </c>
      <c r="E622" s="13" t="n">
        <v>45989</v>
      </c>
    </row>
    <row r="623" customFormat="false" ht="15" hidden="false" customHeight="false" outlineLevel="0" collapsed="false">
      <c r="A623" s="2" t="s">
        <v>9708</v>
      </c>
      <c r="B623" s="2" t="s">
        <v>2488</v>
      </c>
      <c r="C623" s="2" t="s">
        <v>9085</v>
      </c>
      <c r="D623" s="2" t="n">
        <v>235.14</v>
      </c>
      <c r="E623" s="13" t="n">
        <v>45996</v>
      </c>
    </row>
    <row r="624" customFormat="false" ht="15" hidden="false" customHeight="false" outlineLevel="0" collapsed="false">
      <c r="A624" s="2" t="s">
        <v>9709</v>
      </c>
      <c r="B624" s="2" t="s">
        <v>2490</v>
      </c>
      <c r="C624" s="2" t="s">
        <v>9085</v>
      </c>
      <c r="D624" s="2" t="n">
        <v>235.51</v>
      </c>
      <c r="E624" s="13" t="n">
        <v>46003</v>
      </c>
    </row>
    <row r="625" customFormat="false" ht="15" hidden="false" customHeight="false" outlineLevel="0" collapsed="false">
      <c r="A625" s="2" t="s">
        <v>9710</v>
      </c>
      <c r="B625" s="2" t="s">
        <v>2494</v>
      </c>
      <c r="C625" s="2" t="s">
        <v>9085</v>
      </c>
      <c r="D625" s="2" t="n">
        <v>235.88</v>
      </c>
      <c r="E625" s="13" t="n">
        <v>46010</v>
      </c>
    </row>
    <row r="626" customFormat="false" ht="15" hidden="false" customHeight="false" outlineLevel="0" collapsed="false">
      <c r="A626" s="2" t="s">
        <v>9711</v>
      </c>
      <c r="B626" s="2" t="s">
        <v>2496</v>
      </c>
      <c r="C626" s="2" t="s">
        <v>9087</v>
      </c>
      <c r="D626" s="2" t="n">
        <v>236.25</v>
      </c>
      <c r="E626" s="13" t="n">
        <v>46017</v>
      </c>
    </row>
    <row r="627" customFormat="false" ht="15" hidden="false" customHeight="false" outlineLevel="0" collapsed="false">
      <c r="A627" s="2" t="s">
        <v>9712</v>
      </c>
      <c r="B627" s="2" t="s">
        <v>2498</v>
      </c>
      <c r="C627" s="2" t="s">
        <v>9085</v>
      </c>
      <c r="D627" s="2" t="n">
        <v>236.62</v>
      </c>
      <c r="E627" s="13" t="n">
        <v>45294</v>
      </c>
    </row>
    <row r="628" customFormat="false" ht="15" hidden="false" customHeight="false" outlineLevel="0" collapsed="false">
      <c r="A628" s="2" t="s">
        <v>9713</v>
      </c>
      <c r="B628" s="2" t="s">
        <v>2502</v>
      </c>
      <c r="C628" s="2" t="s">
        <v>9085</v>
      </c>
      <c r="D628" s="2" t="n">
        <v>236.99</v>
      </c>
      <c r="E628" s="13" t="n">
        <v>45301</v>
      </c>
    </row>
    <row r="629" customFormat="false" ht="15" hidden="false" customHeight="false" outlineLevel="0" collapsed="false">
      <c r="A629" s="2" t="s">
        <v>9714</v>
      </c>
      <c r="B629" s="2" t="s">
        <v>2506</v>
      </c>
      <c r="C629" s="2" t="s">
        <v>9092</v>
      </c>
      <c r="D629" s="2" t="n">
        <v>237.36</v>
      </c>
      <c r="E629" s="13" t="n">
        <v>45308</v>
      </c>
    </row>
    <row r="630" customFormat="false" ht="15" hidden="false" customHeight="false" outlineLevel="0" collapsed="false">
      <c r="A630" s="2" t="s">
        <v>9715</v>
      </c>
      <c r="B630" s="2" t="s">
        <v>2510</v>
      </c>
      <c r="C630" s="2" t="s">
        <v>9085</v>
      </c>
      <c r="D630" s="2" t="n">
        <v>237.73</v>
      </c>
      <c r="E630" s="13" t="n">
        <v>45315</v>
      </c>
    </row>
    <row r="631" customFormat="false" ht="15" hidden="false" customHeight="false" outlineLevel="0" collapsed="false">
      <c r="A631" s="2" t="s">
        <v>9716</v>
      </c>
      <c r="B631" s="2" t="s">
        <v>2514</v>
      </c>
      <c r="C631" s="2" t="s">
        <v>9087</v>
      </c>
      <c r="D631" s="2" t="n">
        <v>238.1</v>
      </c>
      <c r="E631" s="13" t="n">
        <v>45322</v>
      </c>
    </row>
    <row r="632" customFormat="false" ht="15" hidden="false" customHeight="false" outlineLevel="0" collapsed="false">
      <c r="A632" s="2" t="s">
        <v>9717</v>
      </c>
      <c r="B632" s="2" t="s">
        <v>2518</v>
      </c>
      <c r="C632" s="2" t="s">
        <v>9083</v>
      </c>
      <c r="D632" s="2" t="n">
        <v>238.47</v>
      </c>
      <c r="E632" s="13" t="n">
        <v>45329</v>
      </c>
    </row>
    <row r="633" customFormat="false" ht="15" hidden="false" customHeight="false" outlineLevel="0" collapsed="false">
      <c r="A633" s="2" t="s">
        <v>9718</v>
      </c>
      <c r="B633" s="2" t="s">
        <v>2520</v>
      </c>
      <c r="C633" s="2" t="s">
        <v>9098</v>
      </c>
      <c r="D633" s="2" t="n">
        <v>238.84</v>
      </c>
      <c r="E633" s="13" t="n">
        <v>45336</v>
      </c>
    </row>
    <row r="634" customFormat="false" ht="15" hidden="false" customHeight="false" outlineLevel="0" collapsed="false">
      <c r="A634" s="2" t="s">
        <v>9719</v>
      </c>
      <c r="B634" s="2" t="s">
        <v>2524</v>
      </c>
      <c r="C634" s="2" t="s">
        <v>9092</v>
      </c>
      <c r="D634" s="2" t="n">
        <v>239.21</v>
      </c>
      <c r="E634" s="13" t="n">
        <v>45343</v>
      </c>
    </row>
    <row r="635" customFormat="false" ht="15" hidden="false" customHeight="false" outlineLevel="0" collapsed="false">
      <c r="A635" s="2" t="s">
        <v>9720</v>
      </c>
      <c r="B635" s="2" t="s">
        <v>2528</v>
      </c>
      <c r="C635" s="2" t="s">
        <v>9087</v>
      </c>
      <c r="D635" s="2" t="n">
        <v>239.58</v>
      </c>
      <c r="E635" s="13" t="n">
        <v>45350</v>
      </c>
    </row>
    <row r="636" customFormat="false" ht="15" hidden="false" customHeight="false" outlineLevel="0" collapsed="false">
      <c r="A636" s="2" t="s">
        <v>9721</v>
      </c>
      <c r="B636" s="2" t="s">
        <v>2532</v>
      </c>
      <c r="C636" s="2" t="s">
        <v>9087</v>
      </c>
      <c r="D636" s="2" t="n">
        <v>239.95</v>
      </c>
      <c r="E636" s="13" t="n">
        <v>45357</v>
      </c>
    </row>
    <row r="637" customFormat="false" ht="15" hidden="false" customHeight="false" outlineLevel="0" collapsed="false">
      <c r="A637" s="2" t="s">
        <v>9722</v>
      </c>
      <c r="B637" s="2" t="s">
        <v>2534</v>
      </c>
      <c r="C637" s="2" t="s">
        <v>9098</v>
      </c>
      <c r="D637" s="2" t="n">
        <v>240.32</v>
      </c>
      <c r="E637" s="13" t="n">
        <v>45364</v>
      </c>
    </row>
    <row r="638" customFormat="false" ht="15" hidden="false" customHeight="false" outlineLevel="0" collapsed="false">
      <c r="A638" s="2" t="s">
        <v>9723</v>
      </c>
      <c r="B638" s="2" t="s">
        <v>2538</v>
      </c>
      <c r="C638" s="2" t="s">
        <v>9085</v>
      </c>
      <c r="D638" s="2" t="n">
        <v>240.69</v>
      </c>
      <c r="E638" s="13" t="n">
        <v>45371</v>
      </c>
    </row>
    <row r="639" customFormat="false" ht="15" hidden="false" customHeight="false" outlineLevel="0" collapsed="false">
      <c r="A639" s="2" t="s">
        <v>9724</v>
      </c>
      <c r="B639" s="2" t="s">
        <v>2542</v>
      </c>
      <c r="C639" s="2" t="s">
        <v>9092</v>
      </c>
      <c r="D639" s="2" t="n">
        <v>241.06</v>
      </c>
      <c r="E639" s="13" t="n">
        <v>45378</v>
      </c>
    </row>
    <row r="640" customFormat="false" ht="15" hidden="false" customHeight="false" outlineLevel="0" collapsed="false">
      <c r="A640" s="2" t="s">
        <v>9725</v>
      </c>
      <c r="B640" s="2" t="s">
        <v>2544</v>
      </c>
      <c r="C640" s="2" t="s">
        <v>9092</v>
      </c>
      <c r="D640" s="2" t="n">
        <v>241.43</v>
      </c>
      <c r="E640" s="13" t="n">
        <v>45385</v>
      </c>
    </row>
    <row r="641" customFormat="false" ht="15" hidden="false" customHeight="false" outlineLevel="0" collapsed="false">
      <c r="A641" s="2" t="s">
        <v>9726</v>
      </c>
      <c r="B641" s="2" t="s">
        <v>2546</v>
      </c>
      <c r="C641" s="2" t="s">
        <v>9085</v>
      </c>
      <c r="D641" s="2" t="n">
        <v>241.8</v>
      </c>
      <c r="E641" s="13" t="n">
        <v>45392</v>
      </c>
    </row>
    <row r="642" customFormat="false" ht="15" hidden="false" customHeight="false" outlineLevel="0" collapsed="false">
      <c r="A642" s="2" t="s">
        <v>9727</v>
      </c>
      <c r="B642" s="2" t="s">
        <v>2550</v>
      </c>
      <c r="C642" s="2" t="s">
        <v>9085</v>
      </c>
      <c r="D642" s="2" t="n">
        <v>242.17</v>
      </c>
      <c r="E642" s="13" t="n">
        <v>45399</v>
      </c>
    </row>
    <row r="643" customFormat="false" ht="15" hidden="false" customHeight="false" outlineLevel="0" collapsed="false">
      <c r="A643" s="2" t="s">
        <v>9728</v>
      </c>
      <c r="B643" s="2" t="s">
        <v>2554</v>
      </c>
      <c r="C643" s="2" t="s">
        <v>9087</v>
      </c>
      <c r="D643" s="2" t="n">
        <v>242.54</v>
      </c>
      <c r="E643" s="13" t="n">
        <v>45406</v>
      </c>
    </row>
    <row r="644" customFormat="false" ht="15" hidden="false" customHeight="false" outlineLevel="0" collapsed="false">
      <c r="A644" s="2" t="s">
        <v>9729</v>
      </c>
      <c r="B644" s="2" t="s">
        <v>2558</v>
      </c>
      <c r="C644" s="2" t="s">
        <v>9092</v>
      </c>
      <c r="D644" s="2" t="n">
        <v>242.91</v>
      </c>
      <c r="E644" s="13" t="n">
        <v>45413</v>
      </c>
    </row>
    <row r="645" customFormat="false" ht="15" hidden="false" customHeight="false" outlineLevel="0" collapsed="false">
      <c r="A645" s="2" t="s">
        <v>9730</v>
      </c>
      <c r="B645" s="2" t="s">
        <v>2562</v>
      </c>
      <c r="C645" s="2" t="s">
        <v>9087</v>
      </c>
      <c r="D645" s="2" t="n">
        <v>243.28</v>
      </c>
      <c r="E645" s="13" t="n">
        <v>45420</v>
      </c>
    </row>
    <row r="646" customFormat="false" ht="15" hidden="false" customHeight="false" outlineLevel="0" collapsed="false">
      <c r="A646" s="2" t="s">
        <v>9731</v>
      </c>
      <c r="B646" s="2" t="s">
        <v>2566</v>
      </c>
      <c r="C646" s="2" t="s">
        <v>9085</v>
      </c>
      <c r="D646" s="2" t="n">
        <v>243.65</v>
      </c>
      <c r="E646" s="13" t="n">
        <v>45427</v>
      </c>
    </row>
    <row r="647" customFormat="false" ht="15" hidden="false" customHeight="false" outlineLevel="0" collapsed="false">
      <c r="A647" s="2" t="s">
        <v>9732</v>
      </c>
      <c r="B647" s="2" t="s">
        <v>2568</v>
      </c>
      <c r="C647" s="2" t="s">
        <v>9083</v>
      </c>
      <c r="D647" s="2" t="n">
        <v>244.02</v>
      </c>
      <c r="E647" s="13" t="n">
        <v>45434</v>
      </c>
    </row>
    <row r="648" customFormat="false" ht="15" hidden="false" customHeight="false" outlineLevel="0" collapsed="false">
      <c r="A648" s="2" t="s">
        <v>9733</v>
      </c>
      <c r="B648" s="2" t="s">
        <v>2572</v>
      </c>
      <c r="C648" s="2" t="s">
        <v>9087</v>
      </c>
      <c r="D648" s="2" t="n">
        <v>244.39</v>
      </c>
      <c r="E648" s="13" t="n">
        <v>45441</v>
      </c>
    </row>
    <row r="649" customFormat="false" ht="15" hidden="false" customHeight="false" outlineLevel="0" collapsed="false">
      <c r="A649" s="2" t="s">
        <v>9734</v>
      </c>
      <c r="B649" s="2" t="s">
        <v>2576</v>
      </c>
      <c r="C649" s="2" t="s">
        <v>9085</v>
      </c>
      <c r="D649" s="2" t="n">
        <v>244.76</v>
      </c>
      <c r="E649" s="13" t="n">
        <v>45448</v>
      </c>
    </row>
    <row r="650" customFormat="false" ht="15" hidden="false" customHeight="false" outlineLevel="0" collapsed="false">
      <c r="A650" s="2" t="s">
        <v>9735</v>
      </c>
      <c r="B650" s="2" t="s">
        <v>2578</v>
      </c>
      <c r="C650" s="2" t="s">
        <v>9098</v>
      </c>
      <c r="D650" s="2" t="n">
        <v>245.13</v>
      </c>
      <c r="E650" s="13" t="n">
        <v>45455</v>
      </c>
    </row>
    <row r="651" customFormat="false" ht="15" hidden="false" customHeight="false" outlineLevel="0" collapsed="false">
      <c r="A651" s="2" t="s">
        <v>9736</v>
      </c>
      <c r="B651" s="2" t="s">
        <v>2582</v>
      </c>
      <c r="C651" s="2" t="s">
        <v>9083</v>
      </c>
      <c r="D651" s="2" t="n">
        <v>245.5</v>
      </c>
      <c r="E651" s="13" t="n">
        <v>45462</v>
      </c>
    </row>
    <row r="652" customFormat="false" ht="15" hidden="false" customHeight="false" outlineLevel="0" collapsed="false">
      <c r="A652" s="2" t="s">
        <v>9737</v>
      </c>
      <c r="B652" s="2" t="s">
        <v>2586</v>
      </c>
      <c r="C652" s="2" t="s">
        <v>9085</v>
      </c>
      <c r="D652" s="2" t="n">
        <v>245.87</v>
      </c>
      <c r="E652" s="13" t="n">
        <v>45469</v>
      </c>
    </row>
    <row r="653" customFormat="false" ht="15" hidden="false" customHeight="false" outlineLevel="0" collapsed="false">
      <c r="A653" s="2" t="s">
        <v>9738</v>
      </c>
      <c r="B653" s="2" t="s">
        <v>2590</v>
      </c>
      <c r="C653" s="2" t="s">
        <v>9092</v>
      </c>
      <c r="D653" s="2" t="n">
        <v>246.24</v>
      </c>
      <c r="E653" s="13" t="n">
        <v>45476</v>
      </c>
    </row>
    <row r="654" customFormat="false" ht="15" hidden="false" customHeight="false" outlineLevel="0" collapsed="false">
      <c r="A654" s="2" t="s">
        <v>9739</v>
      </c>
      <c r="B654" s="2" t="s">
        <v>2594</v>
      </c>
      <c r="C654" s="2" t="s">
        <v>9083</v>
      </c>
      <c r="D654" s="2" t="n">
        <v>246.61</v>
      </c>
      <c r="E654" s="13" t="n">
        <v>45483</v>
      </c>
    </row>
    <row r="655" customFormat="false" ht="15" hidden="false" customHeight="false" outlineLevel="0" collapsed="false">
      <c r="A655" s="2" t="s">
        <v>9740</v>
      </c>
      <c r="B655" s="2" t="s">
        <v>2598</v>
      </c>
      <c r="C655" s="2" t="s">
        <v>9098</v>
      </c>
      <c r="D655" s="2" t="n">
        <v>246.98</v>
      </c>
      <c r="E655" s="13" t="n">
        <v>45490</v>
      </c>
    </row>
    <row r="656" customFormat="false" ht="15" hidden="false" customHeight="false" outlineLevel="0" collapsed="false">
      <c r="A656" s="2" t="s">
        <v>9741</v>
      </c>
      <c r="B656" s="2" t="s">
        <v>2602</v>
      </c>
      <c r="C656" s="2" t="s">
        <v>9085</v>
      </c>
      <c r="D656" s="2" t="n">
        <v>247.35</v>
      </c>
      <c r="E656" s="13" t="n">
        <v>45497</v>
      </c>
    </row>
    <row r="657" customFormat="false" ht="15" hidden="false" customHeight="false" outlineLevel="0" collapsed="false">
      <c r="A657" s="2" t="s">
        <v>9742</v>
      </c>
      <c r="B657" s="2" t="s">
        <v>2606</v>
      </c>
      <c r="C657" s="2" t="s">
        <v>9092</v>
      </c>
      <c r="D657" s="2" t="n">
        <v>247.72</v>
      </c>
      <c r="E657" s="13" t="n">
        <v>45504</v>
      </c>
    </row>
    <row r="658" customFormat="false" ht="15" hidden="false" customHeight="false" outlineLevel="0" collapsed="false">
      <c r="A658" s="2" t="s">
        <v>9743</v>
      </c>
      <c r="B658" s="2" t="s">
        <v>2608</v>
      </c>
      <c r="C658" s="2" t="s">
        <v>9085</v>
      </c>
      <c r="D658" s="2" t="n">
        <v>248.09</v>
      </c>
      <c r="E658" s="13" t="n">
        <v>45511</v>
      </c>
    </row>
    <row r="659" customFormat="false" ht="15" hidden="false" customHeight="false" outlineLevel="0" collapsed="false">
      <c r="A659" s="2" t="s">
        <v>9744</v>
      </c>
      <c r="B659" s="2" t="s">
        <v>2610</v>
      </c>
      <c r="C659" s="2" t="s">
        <v>9092</v>
      </c>
      <c r="D659" s="2" t="n">
        <v>248.46</v>
      </c>
      <c r="E659" s="13" t="n">
        <v>45518</v>
      </c>
    </row>
    <row r="660" customFormat="false" ht="15" hidden="false" customHeight="false" outlineLevel="0" collapsed="false">
      <c r="A660" s="2" t="s">
        <v>9745</v>
      </c>
      <c r="B660" s="2" t="s">
        <v>2614</v>
      </c>
      <c r="C660" s="2" t="s">
        <v>9092</v>
      </c>
      <c r="D660" s="2" t="n">
        <v>248.83</v>
      </c>
      <c r="E660" s="13" t="n">
        <v>45525</v>
      </c>
    </row>
    <row r="661" customFormat="false" ht="15" hidden="false" customHeight="false" outlineLevel="0" collapsed="false">
      <c r="A661" s="2" t="s">
        <v>9746</v>
      </c>
      <c r="B661" s="2" t="s">
        <v>2616</v>
      </c>
      <c r="C661" s="2" t="s">
        <v>9092</v>
      </c>
      <c r="D661" s="2" t="n">
        <v>249.2</v>
      </c>
      <c r="E661" s="13" t="n">
        <v>45532</v>
      </c>
    </row>
    <row r="662" customFormat="false" ht="15" hidden="false" customHeight="false" outlineLevel="0" collapsed="false">
      <c r="A662" s="2" t="s">
        <v>9747</v>
      </c>
      <c r="B662" s="2" t="s">
        <v>2620</v>
      </c>
      <c r="C662" s="2" t="s">
        <v>9087</v>
      </c>
      <c r="D662" s="2" t="n">
        <v>249.57</v>
      </c>
      <c r="E662" s="13" t="n">
        <v>45539</v>
      </c>
    </row>
    <row r="663" customFormat="false" ht="15" hidden="false" customHeight="false" outlineLevel="0" collapsed="false">
      <c r="A663" s="2" t="s">
        <v>9748</v>
      </c>
      <c r="B663" s="2" t="s">
        <v>2624</v>
      </c>
      <c r="C663" s="2" t="s">
        <v>9092</v>
      </c>
      <c r="D663" s="2" t="n">
        <v>249.94</v>
      </c>
      <c r="E663" s="13" t="n">
        <v>45546</v>
      </c>
    </row>
    <row r="664" customFormat="false" ht="15" hidden="false" customHeight="false" outlineLevel="0" collapsed="false">
      <c r="A664" s="2" t="s">
        <v>9749</v>
      </c>
      <c r="B664" s="2" t="s">
        <v>2628</v>
      </c>
      <c r="C664" s="2" t="s">
        <v>9098</v>
      </c>
      <c r="D664" s="2" t="n">
        <v>250.31</v>
      </c>
      <c r="E664" s="13" t="n">
        <v>45553</v>
      </c>
    </row>
    <row r="665" customFormat="false" ht="15" hidden="false" customHeight="false" outlineLevel="0" collapsed="false">
      <c r="A665" s="2" t="s">
        <v>9750</v>
      </c>
      <c r="B665" s="2" t="s">
        <v>2632</v>
      </c>
      <c r="C665" s="2" t="s">
        <v>9098</v>
      </c>
      <c r="D665" s="2" t="n">
        <v>250.68</v>
      </c>
      <c r="E665" s="13" t="n">
        <v>45560</v>
      </c>
    </row>
    <row r="666" customFormat="false" ht="15" hidden="false" customHeight="false" outlineLevel="0" collapsed="false">
      <c r="A666" s="2" t="s">
        <v>9751</v>
      </c>
      <c r="B666" s="2" t="s">
        <v>2636</v>
      </c>
      <c r="C666" s="2" t="s">
        <v>9083</v>
      </c>
      <c r="D666" s="2" t="n">
        <v>251.05</v>
      </c>
      <c r="E666" s="13" t="n">
        <v>45567</v>
      </c>
    </row>
    <row r="667" customFormat="false" ht="15" hidden="false" customHeight="false" outlineLevel="0" collapsed="false">
      <c r="A667" s="2" t="s">
        <v>9752</v>
      </c>
      <c r="B667" s="2" t="s">
        <v>2638</v>
      </c>
      <c r="C667" s="2" t="s">
        <v>9087</v>
      </c>
      <c r="D667" s="2" t="n">
        <v>251.42</v>
      </c>
      <c r="E667" s="13" t="n">
        <v>45574</v>
      </c>
    </row>
    <row r="668" customFormat="false" ht="15" hidden="false" customHeight="false" outlineLevel="0" collapsed="false">
      <c r="A668" s="2" t="s">
        <v>9753</v>
      </c>
      <c r="B668" s="2" t="s">
        <v>2640</v>
      </c>
      <c r="C668" s="2" t="s">
        <v>9098</v>
      </c>
      <c r="D668" s="2" t="n">
        <v>251.79</v>
      </c>
      <c r="E668" s="13" t="n">
        <v>45581</v>
      </c>
    </row>
    <row r="669" customFormat="false" ht="15" hidden="false" customHeight="false" outlineLevel="0" collapsed="false">
      <c r="A669" s="2" t="s">
        <v>9754</v>
      </c>
      <c r="B669" s="2" t="s">
        <v>2644</v>
      </c>
      <c r="C669" s="2" t="s">
        <v>9083</v>
      </c>
      <c r="D669" s="2" t="n">
        <v>252.16</v>
      </c>
      <c r="E669" s="13" t="n">
        <v>45588</v>
      </c>
    </row>
    <row r="670" customFormat="false" ht="15" hidden="false" customHeight="false" outlineLevel="0" collapsed="false">
      <c r="A670" s="2" t="s">
        <v>9755</v>
      </c>
      <c r="B670" s="2" t="s">
        <v>2648</v>
      </c>
      <c r="C670" s="2" t="s">
        <v>9098</v>
      </c>
      <c r="D670" s="2" t="n">
        <v>252.53</v>
      </c>
      <c r="E670" s="13" t="n">
        <v>45595</v>
      </c>
    </row>
    <row r="671" customFormat="false" ht="15" hidden="false" customHeight="false" outlineLevel="0" collapsed="false">
      <c r="A671" s="2" t="s">
        <v>9756</v>
      </c>
      <c r="B671" s="2" t="s">
        <v>2650</v>
      </c>
      <c r="C671" s="2" t="s">
        <v>9092</v>
      </c>
      <c r="D671" s="2" t="n">
        <v>252.9</v>
      </c>
      <c r="E671" s="13" t="n">
        <v>45602</v>
      </c>
    </row>
    <row r="672" customFormat="false" ht="15" hidden="false" customHeight="false" outlineLevel="0" collapsed="false">
      <c r="A672" s="2" t="s">
        <v>9757</v>
      </c>
      <c r="B672" s="2" t="s">
        <v>2654</v>
      </c>
      <c r="C672" s="2" t="s">
        <v>9085</v>
      </c>
      <c r="D672" s="2" t="n">
        <v>253.27</v>
      </c>
      <c r="E672" s="13" t="n">
        <v>45609</v>
      </c>
    </row>
    <row r="673" customFormat="false" ht="15" hidden="false" customHeight="false" outlineLevel="0" collapsed="false">
      <c r="A673" s="2" t="s">
        <v>9758</v>
      </c>
      <c r="B673" s="2" t="s">
        <v>2658</v>
      </c>
      <c r="C673" s="2" t="s">
        <v>9083</v>
      </c>
      <c r="D673" s="2" t="n">
        <v>253.64</v>
      </c>
      <c r="E673" s="13" t="n">
        <v>45616</v>
      </c>
    </row>
    <row r="674" customFormat="false" ht="15" hidden="false" customHeight="false" outlineLevel="0" collapsed="false">
      <c r="A674" s="2" t="s">
        <v>9759</v>
      </c>
      <c r="B674" s="2" t="s">
        <v>2662</v>
      </c>
      <c r="C674" s="2" t="s">
        <v>9092</v>
      </c>
      <c r="D674" s="2" t="n">
        <v>254.01</v>
      </c>
      <c r="E674" s="13" t="n">
        <v>45623</v>
      </c>
    </row>
    <row r="675" customFormat="false" ht="15" hidden="false" customHeight="false" outlineLevel="0" collapsed="false">
      <c r="A675" s="2" t="s">
        <v>9760</v>
      </c>
      <c r="B675" s="2" t="s">
        <v>2664</v>
      </c>
      <c r="C675" s="2" t="s">
        <v>9083</v>
      </c>
      <c r="D675" s="2" t="n">
        <v>254.38</v>
      </c>
      <c r="E675" s="13" t="n">
        <v>45630</v>
      </c>
    </row>
    <row r="676" customFormat="false" ht="15" hidden="false" customHeight="false" outlineLevel="0" collapsed="false">
      <c r="A676" s="2" t="s">
        <v>9761</v>
      </c>
      <c r="B676" s="2" t="s">
        <v>2668</v>
      </c>
      <c r="C676" s="2" t="s">
        <v>9087</v>
      </c>
      <c r="D676" s="2" t="n">
        <v>254.75</v>
      </c>
      <c r="E676" s="13" t="n">
        <v>45637</v>
      </c>
    </row>
    <row r="677" customFormat="false" ht="15" hidden="false" customHeight="false" outlineLevel="0" collapsed="false">
      <c r="A677" s="2" t="s">
        <v>9762</v>
      </c>
      <c r="B677" s="2" t="s">
        <v>2672</v>
      </c>
      <c r="C677" s="2" t="s">
        <v>9085</v>
      </c>
      <c r="D677" s="2" t="n">
        <v>5.12</v>
      </c>
      <c r="E677" s="13" t="n">
        <v>45644</v>
      </c>
    </row>
    <row r="678" customFormat="false" ht="15" hidden="false" customHeight="false" outlineLevel="0" collapsed="false">
      <c r="A678" s="2" t="s">
        <v>9763</v>
      </c>
      <c r="B678" s="2" t="s">
        <v>2676</v>
      </c>
      <c r="C678" s="2" t="s">
        <v>9085</v>
      </c>
      <c r="D678" s="2" t="n">
        <v>5.49</v>
      </c>
      <c r="E678" s="13" t="n">
        <v>45651</v>
      </c>
    </row>
    <row r="679" customFormat="false" ht="15" hidden="false" customHeight="false" outlineLevel="0" collapsed="false">
      <c r="A679" s="2" t="s">
        <v>9764</v>
      </c>
      <c r="B679" s="2" t="s">
        <v>2678</v>
      </c>
      <c r="C679" s="2" t="s">
        <v>9087</v>
      </c>
      <c r="D679" s="2" t="n">
        <v>5.86</v>
      </c>
      <c r="E679" s="13" t="n">
        <v>45658</v>
      </c>
    </row>
    <row r="680" customFormat="false" ht="15" hidden="false" customHeight="false" outlineLevel="0" collapsed="false">
      <c r="A680" s="2" t="s">
        <v>9765</v>
      </c>
      <c r="B680" s="2" t="s">
        <v>2682</v>
      </c>
      <c r="C680" s="2" t="s">
        <v>9098</v>
      </c>
      <c r="D680" s="2" t="n">
        <v>6.23</v>
      </c>
      <c r="E680" s="13" t="n">
        <v>45665</v>
      </c>
    </row>
    <row r="681" customFormat="false" ht="15" hidden="false" customHeight="false" outlineLevel="0" collapsed="false">
      <c r="A681" s="2" t="s">
        <v>9766</v>
      </c>
      <c r="B681" s="2" t="s">
        <v>2686</v>
      </c>
      <c r="C681" s="2" t="s">
        <v>9083</v>
      </c>
      <c r="D681" s="2" t="n">
        <v>6.6</v>
      </c>
      <c r="E681" s="13" t="n">
        <v>45672</v>
      </c>
    </row>
    <row r="682" customFormat="false" ht="15" hidden="false" customHeight="false" outlineLevel="0" collapsed="false">
      <c r="A682" s="2" t="s">
        <v>9767</v>
      </c>
      <c r="B682" s="2" t="s">
        <v>2688</v>
      </c>
      <c r="C682" s="2" t="s">
        <v>9092</v>
      </c>
      <c r="D682" s="2" t="n">
        <v>6.97</v>
      </c>
      <c r="E682" s="13" t="n">
        <v>45679</v>
      </c>
    </row>
    <row r="683" customFormat="false" ht="15" hidden="false" customHeight="false" outlineLevel="0" collapsed="false">
      <c r="A683" s="2" t="s">
        <v>9768</v>
      </c>
      <c r="B683" s="2" t="s">
        <v>2692</v>
      </c>
      <c r="C683" s="2" t="s">
        <v>9092</v>
      </c>
      <c r="D683" s="2" t="n">
        <v>7.34</v>
      </c>
      <c r="E683" s="13" t="n">
        <v>45686</v>
      </c>
    </row>
    <row r="684" customFormat="false" ht="15" hidden="false" customHeight="false" outlineLevel="0" collapsed="false">
      <c r="A684" s="2" t="s">
        <v>9769</v>
      </c>
      <c r="B684" s="2" t="s">
        <v>2696</v>
      </c>
      <c r="C684" s="2" t="s">
        <v>9092</v>
      </c>
      <c r="D684" s="2" t="n">
        <v>7.71</v>
      </c>
      <c r="E684" s="13" t="n">
        <v>45693</v>
      </c>
    </row>
    <row r="685" customFormat="false" ht="15" hidden="false" customHeight="false" outlineLevel="0" collapsed="false">
      <c r="A685" s="2" t="s">
        <v>9770</v>
      </c>
      <c r="B685" s="2" t="s">
        <v>2700</v>
      </c>
      <c r="C685" s="2" t="s">
        <v>9092</v>
      </c>
      <c r="D685" s="2" t="n">
        <v>8.08</v>
      </c>
      <c r="E685" s="13" t="n">
        <v>45700</v>
      </c>
    </row>
    <row r="686" customFormat="false" ht="15" hidden="false" customHeight="false" outlineLevel="0" collapsed="false">
      <c r="A686" s="2" t="s">
        <v>9771</v>
      </c>
      <c r="B686" s="2" t="s">
        <v>2702</v>
      </c>
      <c r="C686" s="2" t="s">
        <v>9087</v>
      </c>
      <c r="D686" s="2" t="n">
        <v>8.45</v>
      </c>
      <c r="E686" s="13" t="n">
        <v>45707</v>
      </c>
    </row>
    <row r="687" customFormat="false" ht="15" hidden="false" customHeight="false" outlineLevel="0" collapsed="false">
      <c r="A687" s="2" t="s">
        <v>9772</v>
      </c>
      <c r="B687" s="2" t="s">
        <v>2704</v>
      </c>
      <c r="C687" s="2" t="s">
        <v>9085</v>
      </c>
      <c r="D687" s="2" t="n">
        <v>8.82</v>
      </c>
      <c r="E687" s="13" t="n">
        <v>45714</v>
      </c>
    </row>
    <row r="688" customFormat="false" ht="15" hidden="false" customHeight="false" outlineLevel="0" collapsed="false">
      <c r="A688" s="2" t="s">
        <v>9773</v>
      </c>
      <c r="B688" s="2" t="s">
        <v>2707</v>
      </c>
      <c r="C688" s="2" t="s">
        <v>9098</v>
      </c>
      <c r="D688" s="2" t="n">
        <v>9.19</v>
      </c>
      <c r="E688" s="13" t="n">
        <v>45721</v>
      </c>
    </row>
    <row r="689" customFormat="false" ht="15" hidden="false" customHeight="false" outlineLevel="0" collapsed="false">
      <c r="A689" s="2" t="s">
        <v>9774</v>
      </c>
      <c r="B689" s="2" t="s">
        <v>2711</v>
      </c>
      <c r="C689" s="2" t="s">
        <v>9085</v>
      </c>
      <c r="D689" s="2" t="n">
        <v>9.56</v>
      </c>
      <c r="E689" s="13" t="n">
        <v>45728</v>
      </c>
    </row>
    <row r="690" customFormat="false" ht="15" hidden="false" customHeight="false" outlineLevel="0" collapsed="false">
      <c r="A690" s="2" t="s">
        <v>9775</v>
      </c>
      <c r="B690" s="2" t="s">
        <v>2713</v>
      </c>
      <c r="C690" s="2" t="s">
        <v>9083</v>
      </c>
      <c r="D690" s="2" t="n">
        <v>9.93</v>
      </c>
      <c r="E690" s="13" t="n">
        <v>45735</v>
      </c>
    </row>
    <row r="691" customFormat="false" ht="15" hidden="false" customHeight="false" outlineLevel="0" collapsed="false">
      <c r="A691" s="2" t="s">
        <v>9776</v>
      </c>
      <c r="B691" s="2" t="s">
        <v>2715</v>
      </c>
      <c r="C691" s="2" t="s">
        <v>9087</v>
      </c>
      <c r="D691" s="2" t="n">
        <v>10.3</v>
      </c>
      <c r="E691" s="13" t="n">
        <v>45742</v>
      </c>
    </row>
    <row r="692" customFormat="false" ht="15" hidden="false" customHeight="false" outlineLevel="0" collapsed="false">
      <c r="A692" s="2" t="s">
        <v>9777</v>
      </c>
      <c r="B692" s="2" t="s">
        <v>2719</v>
      </c>
      <c r="C692" s="2" t="s">
        <v>9092</v>
      </c>
      <c r="D692" s="2" t="n">
        <v>10.67</v>
      </c>
      <c r="E692" s="13" t="n">
        <v>45749</v>
      </c>
    </row>
    <row r="693" customFormat="false" ht="15" hidden="false" customHeight="false" outlineLevel="0" collapsed="false">
      <c r="A693" s="2" t="s">
        <v>9778</v>
      </c>
      <c r="B693" s="2" t="s">
        <v>2721</v>
      </c>
      <c r="C693" s="2" t="s">
        <v>9087</v>
      </c>
      <c r="D693" s="2" t="n">
        <v>11.04</v>
      </c>
      <c r="E693" s="13" t="n">
        <v>45756</v>
      </c>
    </row>
    <row r="694" customFormat="false" ht="15" hidden="false" customHeight="false" outlineLevel="0" collapsed="false">
      <c r="A694" s="2" t="s">
        <v>9779</v>
      </c>
      <c r="B694" s="2" t="s">
        <v>2725</v>
      </c>
      <c r="C694" s="2" t="s">
        <v>9085</v>
      </c>
      <c r="D694" s="2" t="n">
        <v>11.41</v>
      </c>
      <c r="E694" s="13" t="n">
        <v>45763</v>
      </c>
    </row>
    <row r="695" customFormat="false" ht="15" hidden="false" customHeight="false" outlineLevel="0" collapsed="false">
      <c r="A695" s="2" t="s">
        <v>9780</v>
      </c>
      <c r="B695" s="2" t="s">
        <v>2729</v>
      </c>
      <c r="C695" s="2" t="s">
        <v>9085</v>
      </c>
      <c r="D695" s="2" t="n">
        <v>11.78</v>
      </c>
      <c r="E695" s="13" t="n">
        <v>45770</v>
      </c>
    </row>
    <row r="696" customFormat="false" ht="15" hidden="false" customHeight="false" outlineLevel="0" collapsed="false">
      <c r="A696" s="2" t="s">
        <v>9781</v>
      </c>
      <c r="B696" s="2" t="s">
        <v>2731</v>
      </c>
      <c r="C696" s="2" t="s">
        <v>9083</v>
      </c>
      <c r="D696" s="2" t="n">
        <v>12.15</v>
      </c>
      <c r="E696" s="13" t="n">
        <v>45777</v>
      </c>
    </row>
    <row r="697" customFormat="false" ht="15" hidden="false" customHeight="false" outlineLevel="0" collapsed="false">
      <c r="A697" s="2" t="s">
        <v>9782</v>
      </c>
      <c r="B697" s="2" t="s">
        <v>2736</v>
      </c>
      <c r="C697" s="2" t="s">
        <v>9098</v>
      </c>
      <c r="D697" s="2" t="n">
        <v>12.52</v>
      </c>
      <c r="E697" s="13" t="n">
        <v>45784</v>
      </c>
    </row>
    <row r="698" customFormat="false" ht="15" hidden="false" customHeight="false" outlineLevel="0" collapsed="false">
      <c r="A698" s="2" t="s">
        <v>9783</v>
      </c>
      <c r="B698" s="2" t="s">
        <v>2740</v>
      </c>
      <c r="C698" s="2" t="s">
        <v>9083</v>
      </c>
      <c r="D698" s="2" t="n">
        <v>12.89</v>
      </c>
      <c r="E698" s="13" t="n">
        <v>45791</v>
      </c>
    </row>
    <row r="699" customFormat="false" ht="15" hidden="false" customHeight="false" outlineLevel="0" collapsed="false">
      <c r="A699" s="2" t="s">
        <v>9784</v>
      </c>
      <c r="B699" s="2" t="s">
        <v>2744</v>
      </c>
      <c r="C699" s="2" t="s">
        <v>9085</v>
      </c>
      <c r="D699" s="2" t="n">
        <v>13.26</v>
      </c>
      <c r="E699" s="13" t="n">
        <v>45798</v>
      </c>
    </row>
    <row r="700" customFormat="false" ht="15" hidden="false" customHeight="false" outlineLevel="0" collapsed="false">
      <c r="A700" s="2" t="s">
        <v>9785</v>
      </c>
      <c r="B700" s="2" t="s">
        <v>2746</v>
      </c>
      <c r="C700" s="2" t="s">
        <v>9085</v>
      </c>
      <c r="D700" s="2" t="n">
        <v>13.63</v>
      </c>
      <c r="E700" s="13" t="n">
        <v>45805</v>
      </c>
    </row>
    <row r="701" customFormat="false" ht="15" hidden="false" customHeight="false" outlineLevel="0" collapsed="false">
      <c r="A701" s="2" t="s">
        <v>9786</v>
      </c>
      <c r="B701" s="2" t="s">
        <v>2750</v>
      </c>
      <c r="C701" s="2" t="s">
        <v>9092</v>
      </c>
      <c r="D701" s="2" t="n">
        <v>14</v>
      </c>
      <c r="E701" s="13" t="n">
        <v>45812</v>
      </c>
    </row>
    <row r="702" customFormat="false" ht="15" hidden="false" customHeight="false" outlineLevel="0" collapsed="false">
      <c r="A702" s="2" t="s">
        <v>9787</v>
      </c>
      <c r="B702" s="2" t="s">
        <v>2754</v>
      </c>
      <c r="C702" s="2" t="s">
        <v>9085</v>
      </c>
      <c r="D702" s="2" t="n">
        <v>14.37</v>
      </c>
      <c r="E702" s="13" t="n">
        <v>45819</v>
      </c>
    </row>
    <row r="703" customFormat="false" ht="15" hidden="false" customHeight="false" outlineLevel="0" collapsed="false">
      <c r="A703" s="2" t="s">
        <v>9788</v>
      </c>
      <c r="B703" s="2" t="s">
        <v>2756</v>
      </c>
      <c r="C703" s="2" t="s">
        <v>9083</v>
      </c>
      <c r="D703" s="2" t="n">
        <v>14.74</v>
      </c>
      <c r="E703" s="13" t="n">
        <v>45826</v>
      </c>
    </row>
    <row r="704" customFormat="false" ht="15" hidden="false" customHeight="false" outlineLevel="0" collapsed="false">
      <c r="A704" s="2" t="s">
        <v>9789</v>
      </c>
      <c r="B704" s="2" t="s">
        <v>2758</v>
      </c>
      <c r="C704" s="2" t="s">
        <v>9092</v>
      </c>
      <c r="D704" s="2" t="n">
        <v>15.11</v>
      </c>
      <c r="E704" s="13" t="n">
        <v>45833</v>
      </c>
    </row>
    <row r="705" customFormat="false" ht="15" hidden="false" customHeight="false" outlineLevel="0" collapsed="false">
      <c r="A705" s="2" t="s">
        <v>9790</v>
      </c>
      <c r="B705" s="2" t="s">
        <v>2760</v>
      </c>
      <c r="C705" s="2" t="s">
        <v>9092</v>
      </c>
      <c r="D705" s="2" t="n">
        <v>15.48</v>
      </c>
      <c r="E705" s="13" t="n">
        <v>45840</v>
      </c>
    </row>
    <row r="706" customFormat="false" ht="15" hidden="false" customHeight="false" outlineLevel="0" collapsed="false">
      <c r="A706" s="2" t="s">
        <v>9791</v>
      </c>
      <c r="B706" s="2" t="s">
        <v>2764</v>
      </c>
      <c r="C706" s="2" t="s">
        <v>9098</v>
      </c>
      <c r="D706" s="2" t="n">
        <v>15.85</v>
      </c>
      <c r="E706" s="13" t="n">
        <v>45847</v>
      </c>
    </row>
    <row r="707" customFormat="false" ht="15" hidden="false" customHeight="false" outlineLevel="0" collapsed="false">
      <c r="A707" s="2" t="s">
        <v>9792</v>
      </c>
      <c r="B707" s="2" t="s">
        <v>2766</v>
      </c>
      <c r="C707" s="2" t="s">
        <v>9092</v>
      </c>
      <c r="D707" s="2" t="n">
        <v>16.22</v>
      </c>
      <c r="E707" s="13" t="n">
        <v>45854</v>
      </c>
    </row>
    <row r="708" customFormat="false" ht="15" hidden="false" customHeight="false" outlineLevel="0" collapsed="false">
      <c r="A708" s="2" t="s">
        <v>9793</v>
      </c>
      <c r="B708" s="2" t="s">
        <v>2770</v>
      </c>
      <c r="C708" s="2" t="s">
        <v>9098</v>
      </c>
      <c r="D708" s="2" t="n">
        <v>16.59</v>
      </c>
      <c r="E708" s="13" t="n">
        <v>45861</v>
      </c>
    </row>
    <row r="709" customFormat="false" ht="15" hidden="false" customHeight="false" outlineLevel="0" collapsed="false">
      <c r="A709" s="2" t="s">
        <v>9794</v>
      </c>
      <c r="B709" s="2" t="s">
        <v>2774</v>
      </c>
      <c r="C709" s="2" t="s">
        <v>9083</v>
      </c>
      <c r="D709" s="2" t="n">
        <v>16.96</v>
      </c>
      <c r="E709" s="13" t="n">
        <v>45868</v>
      </c>
    </row>
    <row r="710" customFormat="false" ht="15" hidden="false" customHeight="false" outlineLevel="0" collapsed="false">
      <c r="A710" s="2" t="s">
        <v>9795</v>
      </c>
      <c r="B710" s="2" t="s">
        <v>2776</v>
      </c>
      <c r="C710" s="2" t="s">
        <v>9083</v>
      </c>
      <c r="D710" s="2" t="n">
        <v>17.33</v>
      </c>
      <c r="E710" s="13" t="n">
        <v>45875</v>
      </c>
    </row>
    <row r="711" customFormat="false" ht="15" hidden="false" customHeight="false" outlineLevel="0" collapsed="false">
      <c r="A711" s="2" t="s">
        <v>9796</v>
      </c>
      <c r="B711" s="2" t="s">
        <v>2780</v>
      </c>
      <c r="C711" s="2" t="s">
        <v>9092</v>
      </c>
      <c r="D711" s="2" t="n">
        <v>17.7</v>
      </c>
      <c r="E711" s="13" t="n">
        <v>45882</v>
      </c>
    </row>
    <row r="712" customFormat="false" ht="15" hidden="false" customHeight="false" outlineLevel="0" collapsed="false">
      <c r="A712" s="2" t="s">
        <v>9797</v>
      </c>
      <c r="B712" s="2" t="s">
        <v>2782</v>
      </c>
      <c r="C712" s="2" t="s">
        <v>9083</v>
      </c>
      <c r="D712" s="2" t="n">
        <v>18.07</v>
      </c>
      <c r="E712" s="13" t="n">
        <v>45889</v>
      </c>
    </row>
    <row r="713" customFormat="false" ht="15" hidden="false" customHeight="false" outlineLevel="0" collapsed="false">
      <c r="A713" s="2" t="s">
        <v>9798</v>
      </c>
      <c r="B713" s="2" t="s">
        <v>2786</v>
      </c>
      <c r="C713" s="2" t="s">
        <v>9085</v>
      </c>
      <c r="D713" s="2" t="n">
        <v>18.44</v>
      </c>
      <c r="E713" s="13" t="n">
        <v>45896</v>
      </c>
    </row>
    <row r="714" customFormat="false" ht="15" hidden="false" customHeight="false" outlineLevel="0" collapsed="false">
      <c r="A714" s="2" t="s">
        <v>9799</v>
      </c>
      <c r="B714" s="2" t="s">
        <v>2788</v>
      </c>
      <c r="C714" s="2" t="s">
        <v>9085</v>
      </c>
      <c r="D714" s="2" t="n">
        <v>18.81</v>
      </c>
      <c r="E714" s="13" t="n">
        <v>45903</v>
      </c>
    </row>
    <row r="715" customFormat="false" ht="15" hidden="false" customHeight="false" outlineLevel="0" collapsed="false">
      <c r="A715" s="2" t="s">
        <v>9800</v>
      </c>
      <c r="B715" s="2" t="s">
        <v>2792</v>
      </c>
      <c r="C715" s="2" t="s">
        <v>9085</v>
      </c>
      <c r="D715" s="2" t="n">
        <v>19.18</v>
      </c>
      <c r="E715" s="13" t="n">
        <v>45910</v>
      </c>
    </row>
    <row r="716" customFormat="false" ht="15" hidden="false" customHeight="false" outlineLevel="0" collapsed="false">
      <c r="A716" s="2" t="s">
        <v>9801</v>
      </c>
      <c r="B716" s="2" t="s">
        <v>2796</v>
      </c>
      <c r="C716" s="2" t="s">
        <v>9087</v>
      </c>
      <c r="D716" s="2" t="n">
        <v>19.55</v>
      </c>
      <c r="E716" s="13" t="n">
        <v>45917</v>
      </c>
    </row>
    <row r="717" customFormat="false" ht="15" hidden="false" customHeight="false" outlineLevel="0" collapsed="false">
      <c r="A717" s="2" t="s">
        <v>9802</v>
      </c>
      <c r="B717" s="2" t="s">
        <v>2798</v>
      </c>
      <c r="C717" s="2" t="s">
        <v>9092</v>
      </c>
      <c r="D717" s="2" t="n">
        <v>19.92</v>
      </c>
      <c r="E717" s="13" t="n">
        <v>45924</v>
      </c>
    </row>
    <row r="718" customFormat="false" ht="15" hidden="false" customHeight="false" outlineLevel="0" collapsed="false">
      <c r="A718" s="2" t="s">
        <v>9803</v>
      </c>
      <c r="B718" s="2" t="s">
        <v>2802</v>
      </c>
      <c r="C718" s="2" t="s">
        <v>9085</v>
      </c>
      <c r="D718" s="2" t="n">
        <v>20.29</v>
      </c>
      <c r="E718" s="13" t="n">
        <v>45931</v>
      </c>
    </row>
    <row r="719" customFormat="false" ht="15" hidden="false" customHeight="false" outlineLevel="0" collapsed="false">
      <c r="A719" s="2" t="s">
        <v>9804</v>
      </c>
      <c r="B719" s="2" t="s">
        <v>2804</v>
      </c>
      <c r="C719" s="2" t="s">
        <v>9083</v>
      </c>
      <c r="D719" s="2" t="n">
        <v>20.66</v>
      </c>
      <c r="E719" s="13" t="n">
        <v>45938</v>
      </c>
    </row>
    <row r="720" customFormat="false" ht="15" hidden="false" customHeight="false" outlineLevel="0" collapsed="false">
      <c r="A720" s="2" t="s">
        <v>9805</v>
      </c>
      <c r="B720" s="2" t="s">
        <v>2808</v>
      </c>
      <c r="C720" s="2" t="s">
        <v>9083</v>
      </c>
      <c r="D720" s="2" t="n">
        <v>21.03</v>
      </c>
      <c r="E720" s="13" t="n">
        <v>45945</v>
      </c>
    </row>
    <row r="721" customFormat="false" ht="15" hidden="false" customHeight="false" outlineLevel="0" collapsed="false">
      <c r="A721" s="2" t="s">
        <v>9806</v>
      </c>
      <c r="B721" s="2" t="s">
        <v>2812</v>
      </c>
      <c r="C721" s="2" t="s">
        <v>9083</v>
      </c>
      <c r="D721" s="2" t="n">
        <v>21.4</v>
      </c>
      <c r="E721" s="13" t="n">
        <v>45952</v>
      </c>
    </row>
    <row r="722" customFormat="false" ht="15" hidden="false" customHeight="false" outlineLevel="0" collapsed="false">
      <c r="A722" s="2" t="s">
        <v>9807</v>
      </c>
      <c r="B722" s="2" t="s">
        <v>2814</v>
      </c>
      <c r="C722" s="2" t="s">
        <v>9092</v>
      </c>
      <c r="D722" s="2" t="n">
        <v>21.77</v>
      </c>
      <c r="E722" s="13" t="n">
        <v>45959</v>
      </c>
    </row>
    <row r="723" customFormat="false" ht="15" hidden="false" customHeight="false" outlineLevel="0" collapsed="false">
      <c r="A723" s="2" t="s">
        <v>9808</v>
      </c>
      <c r="B723" s="2" t="s">
        <v>2816</v>
      </c>
      <c r="C723" s="2" t="s">
        <v>9087</v>
      </c>
      <c r="D723" s="2" t="n">
        <v>22.14</v>
      </c>
      <c r="E723" s="13" t="n">
        <v>45966</v>
      </c>
    </row>
    <row r="724" customFormat="false" ht="15" hidden="false" customHeight="false" outlineLevel="0" collapsed="false">
      <c r="A724" s="2" t="s">
        <v>9809</v>
      </c>
      <c r="B724" s="2" t="s">
        <v>2818</v>
      </c>
      <c r="C724" s="2" t="s">
        <v>9098</v>
      </c>
      <c r="D724" s="2" t="n">
        <v>22.51</v>
      </c>
      <c r="E724" s="13" t="n">
        <v>45973</v>
      </c>
    </row>
    <row r="725" customFormat="false" ht="15" hidden="false" customHeight="false" outlineLevel="0" collapsed="false">
      <c r="A725" s="2" t="s">
        <v>9810</v>
      </c>
      <c r="B725" s="2" t="s">
        <v>2820</v>
      </c>
      <c r="C725" s="2" t="s">
        <v>9083</v>
      </c>
      <c r="D725" s="2" t="n">
        <v>22.88</v>
      </c>
      <c r="E725" s="13" t="n">
        <v>45980</v>
      </c>
    </row>
    <row r="726" customFormat="false" ht="15" hidden="false" customHeight="false" outlineLevel="0" collapsed="false">
      <c r="A726" s="2" t="s">
        <v>9811</v>
      </c>
      <c r="B726" s="2" t="s">
        <v>2824</v>
      </c>
      <c r="C726" s="2" t="s">
        <v>9092</v>
      </c>
      <c r="D726" s="2" t="n">
        <v>23.25</v>
      </c>
      <c r="E726" s="13" t="n">
        <v>45987</v>
      </c>
    </row>
    <row r="727" customFormat="false" ht="15" hidden="false" customHeight="false" outlineLevel="0" collapsed="false">
      <c r="A727" s="2" t="s">
        <v>9812</v>
      </c>
      <c r="B727" s="2" t="s">
        <v>2826</v>
      </c>
      <c r="C727" s="2" t="s">
        <v>9098</v>
      </c>
      <c r="D727" s="2" t="n">
        <v>23.62</v>
      </c>
      <c r="E727" s="13" t="n">
        <v>45994</v>
      </c>
    </row>
    <row r="728" customFormat="false" ht="15" hidden="false" customHeight="false" outlineLevel="0" collapsed="false">
      <c r="A728" s="2" t="s">
        <v>9813</v>
      </c>
      <c r="B728" s="2" t="s">
        <v>2830</v>
      </c>
      <c r="C728" s="2" t="s">
        <v>9087</v>
      </c>
      <c r="D728" s="2" t="n">
        <v>23.99</v>
      </c>
      <c r="E728" s="13" t="n">
        <v>46001</v>
      </c>
    </row>
    <row r="729" customFormat="false" ht="15" hidden="false" customHeight="false" outlineLevel="0" collapsed="false">
      <c r="A729" s="2" t="s">
        <v>9814</v>
      </c>
      <c r="B729" s="2" t="s">
        <v>2834</v>
      </c>
      <c r="C729" s="2" t="s">
        <v>9087</v>
      </c>
      <c r="D729" s="2" t="n">
        <v>24.36</v>
      </c>
      <c r="E729" s="13" t="n">
        <v>46008</v>
      </c>
    </row>
    <row r="730" customFormat="false" ht="15" hidden="false" customHeight="false" outlineLevel="0" collapsed="false">
      <c r="A730" s="2" t="s">
        <v>9815</v>
      </c>
      <c r="B730" s="2" t="s">
        <v>2838</v>
      </c>
      <c r="C730" s="2" t="s">
        <v>9085</v>
      </c>
      <c r="D730" s="2" t="n">
        <v>24.73</v>
      </c>
      <c r="E730" s="13" t="n">
        <v>46015</v>
      </c>
    </row>
    <row r="731" customFormat="false" ht="15" hidden="false" customHeight="false" outlineLevel="0" collapsed="false">
      <c r="A731" s="2" t="s">
        <v>9816</v>
      </c>
      <c r="B731" s="2" t="s">
        <v>2840</v>
      </c>
      <c r="C731" s="2" t="s">
        <v>9083</v>
      </c>
      <c r="D731" s="2" t="n">
        <v>25.1</v>
      </c>
      <c r="E731" s="13" t="n">
        <v>45292</v>
      </c>
    </row>
    <row r="732" customFormat="false" ht="15" hidden="false" customHeight="false" outlineLevel="0" collapsed="false">
      <c r="A732" s="2" t="s">
        <v>9817</v>
      </c>
      <c r="B732" s="2" t="s">
        <v>2842</v>
      </c>
      <c r="C732" s="2" t="s">
        <v>9092</v>
      </c>
      <c r="D732" s="2" t="n">
        <v>25.47</v>
      </c>
      <c r="E732" s="13" t="n">
        <v>45299</v>
      </c>
    </row>
    <row r="733" customFormat="false" ht="15" hidden="false" customHeight="false" outlineLevel="0" collapsed="false">
      <c r="A733" s="2" t="s">
        <v>9818</v>
      </c>
      <c r="B733" s="2" t="s">
        <v>2844</v>
      </c>
      <c r="C733" s="2" t="s">
        <v>9092</v>
      </c>
      <c r="D733" s="2" t="n">
        <v>25.84</v>
      </c>
      <c r="E733" s="13" t="n">
        <v>45306</v>
      </c>
    </row>
    <row r="734" customFormat="false" ht="15" hidden="false" customHeight="false" outlineLevel="0" collapsed="false">
      <c r="A734" s="2" t="s">
        <v>9819</v>
      </c>
      <c r="B734" s="2" t="s">
        <v>2848</v>
      </c>
      <c r="C734" s="2" t="s">
        <v>9085</v>
      </c>
      <c r="D734" s="2" t="n">
        <v>26.21</v>
      </c>
      <c r="E734" s="13" t="n">
        <v>45313</v>
      </c>
    </row>
    <row r="735" customFormat="false" ht="15" hidden="false" customHeight="false" outlineLevel="0" collapsed="false">
      <c r="A735" s="2" t="s">
        <v>9820</v>
      </c>
      <c r="B735" s="2" t="s">
        <v>2850</v>
      </c>
      <c r="C735" s="2" t="s">
        <v>9085</v>
      </c>
      <c r="D735" s="2" t="n">
        <v>26.58</v>
      </c>
      <c r="E735" s="13" t="n">
        <v>45320</v>
      </c>
    </row>
    <row r="736" customFormat="false" ht="15" hidden="false" customHeight="false" outlineLevel="0" collapsed="false">
      <c r="A736" s="2" t="s">
        <v>9821</v>
      </c>
      <c r="B736" s="2" t="s">
        <v>2854</v>
      </c>
      <c r="C736" s="2" t="s">
        <v>9083</v>
      </c>
      <c r="D736" s="2" t="n">
        <v>26.95</v>
      </c>
      <c r="E736" s="13" t="n">
        <v>45327</v>
      </c>
    </row>
    <row r="737" customFormat="false" ht="15" hidden="false" customHeight="false" outlineLevel="0" collapsed="false">
      <c r="A737" s="2" t="s">
        <v>9822</v>
      </c>
      <c r="B737" s="2" t="s">
        <v>2856</v>
      </c>
      <c r="C737" s="2" t="s">
        <v>9092</v>
      </c>
      <c r="D737" s="2" t="n">
        <v>27.32</v>
      </c>
      <c r="E737" s="13" t="n">
        <v>45334</v>
      </c>
    </row>
    <row r="738" customFormat="false" ht="15" hidden="false" customHeight="false" outlineLevel="0" collapsed="false">
      <c r="A738" s="2" t="s">
        <v>9823</v>
      </c>
      <c r="B738" s="2" t="s">
        <v>2858</v>
      </c>
      <c r="C738" s="2" t="s">
        <v>9092</v>
      </c>
      <c r="D738" s="2" t="n">
        <v>27.69</v>
      </c>
      <c r="E738" s="13" t="n">
        <v>45341</v>
      </c>
    </row>
    <row r="739" customFormat="false" ht="15" hidden="false" customHeight="false" outlineLevel="0" collapsed="false">
      <c r="A739" s="2" t="s">
        <v>9824</v>
      </c>
      <c r="B739" s="2" t="s">
        <v>2860</v>
      </c>
      <c r="C739" s="2" t="s">
        <v>9085</v>
      </c>
      <c r="D739" s="2" t="n">
        <v>28.06</v>
      </c>
      <c r="E739" s="13" t="n">
        <v>45348</v>
      </c>
    </row>
    <row r="740" customFormat="false" ht="15" hidden="false" customHeight="false" outlineLevel="0" collapsed="false">
      <c r="A740" s="2" t="s">
        <v>9825</v>
      </c>
      <c r="B740" s="2" t="s">
        <v>2864</v>
      </c>
      <c r="C740" s="2" t="s">
        <v>9085</v>
      </c>
      <c r="D740" s="2" t="n">
        <v>28.43</v>
      </c>
      <c r="E740" s="13" t="n">
        <v>45355</v>
      </c>
    </row>
    <row r="741" customFormat="false" ht="15" hidden="false" customHeight="false" outlineLevel="0" collapsed="false">
      <c r="A741" s="2" t="s">
        <v>9826</v>
      </c>
      <c r="B741" s="2" t="s">
        <v>2868</v>
      </c>
      <c r="C741" s="2" t="s">
        <v>9098</v>
      </c>
      <c r="D741" s="2" t="n">
        <v>28.8</v>
      </c>
      <c r="E741" s="13" t="n">
        <v>45362</v>
      </c>
    </row>
    <row r="742" customFormat="false" ht="15" hidden="false" customHeight="false" outlineLevel="0" collapsed="false">
      <c r="A742" s="2" t="s">
        <v>9827</v>
      </c>
      <c r="B742" s="2" t="s">
        <v>2870</v>
      </c>
      <c r="C742" s="2" t="s">
        <v>9098</v>
      </c>
      <c r="D742" s="2" t="n">
        <v>29.17</v>
      </c>
      <c r="E742" s="13" t="n">
        <v>45369</v>
      </c>
    </row>
    <row r="743" customFormat="false" ht="15" hidden="false" customHeight="false" outlineLevel="0" collapsed="false">
      <c r="A743" s="2" t="s">
        <v>9828</v>
      </c>
      <c r="B743" s="2" t="s">
        <v>2874</v>
      </c>
      <c r="C743" s="2" t="s">
        <v>9092</v>
      </c>
      <c r="D743" s="2" t="n">
        <v>29.54</v>
      </c>
      <c r="E743" s="13" t="n">
        <v>45376</v>
      </c>
    </row>
    <row r="744" customFormat="false" ht="15" hidden="false" customHeight="false" outlineLevel="0" collapsed="false">
      <c r="A744" s="2" t="s">
        <v>9829</v>
      </c>
      <c r="B744" s="2" t="s">
        <v>2878</v>
      </c>
      <c r="C744" s="2" t="s">
        <v>9085</v>
      </c>
      <c r="D744" s="2" t="n">
        <v>29.91</v>
      </c>
      <c r="E744" s="13" t="n">
        <v>45383</v>
      </c>
    </row>
    <row r="745" customFormat="false" ht="15" hidden="false" customHeight="false" outlineLevel="0" collapsed="false">
      <c r="A745" s="2" t="s">
        <v>9830</v>
      </c>
      <c r="B745" s="2" t="s">
        <v>2880</v>
      </c>
      <c r="C745" s="2" t="s">
        <v>9087</v>
      </c>
      <c r="D745" s="2" t="n">
        <v>30.28</v>
      </c>
      <c r="E745" s="13" t="n">
        <v>45390</v>
      </c>
    </row>
    <row r="746" customFormat="false" ht="15" hidden="false" customHeight="false" outlineLevel="0" collapsed="false">
      <c r="A746" s="2" t="s">
        <v>9831</v>
      </c>
      <c r="B746" s="2" t="s">
        <v>2884</v>
      </c>
      <c r="C746" s="2" t="s">
        <v>9087</v>
      </c>
      <c r="D746" s="2" t="n">
        <v>30.65</v>
      </c>
      <c r="E746" s="13" t="n">
        <v>45397</v>
      </c>
    </row>
    <row r="747" customFormat="false" ht="15" hidden="false" customHeight="false" outlineLevel="0" collapsed="false">
      <c r="A747" s="2" t="s">
        <v>9832</v>
      </c>
      <c r="B747" s="2" t="s">
        <v>2888</v>
      </c>
      <c r="C747" s="2" t="s">
        <v>9092</v>
      </c>
      <c r="D747" s="2" t="n">
        <v>31.02</v>
      </c>
      <c r="E747" s="13" t="n">
        <v>45404</v>
      </c>
    </row>
    <row r="748" customFormat="false" ht="15" hidden="false" customHeight="false" outlineLevel="0" collapsed="false">
      <c r="A748" s="2" t="s">
        <v>9833</v>
      </c>
      <c r="B748" s="2" t="s">
        <v>2893</v>
      </c>
      <c r="C748" s="2" t="s">
        <v>9098</v>
      </c>
      <c r="D748" s="2" t="n">
        <v>31.39</v>
      </c>
      <c r="E748" s="13" t="n">
        <v>45411</v>
      </c>
    </row>
    <row r="749" customFormat="false" ht="15" hidden="false" customHeight="false" outlineLevel="0" collapsed="false">
      <c r="A749" s="2" t="s">
        <v>9834</v>
      </c>
      <c r="B749" s="2" t="s">
        <v>2895</v>
      </c>
      <c r="C749" s="2" t="s">
        <v>9092</v>
      </c>
      <c r="D749" s="2" t="n">
        <v>31.76</v>
      </c>
      <c r="E749" s="13" t="n">
        <v>45418</v>
      </c>
    </row>
    <row r="750" customFormat="false" ht="15" hidden="false" customHeight="false" outlineLevel="0" collapsed="false">
      <c r="A750" s="2" t="s">
        <v>9835</v>
      </c>
      <c r="B750" s="2" t="s">
        <v>2897</v>
      </c>
      <c r="C750" s="2" t="s">
        <v>9087</v>
      </c>
      <c r="D750" s="2" t="n">
        <v>32.13</v>
      </c>
      <c r="E750" s="13" t="n">
        <v>45425</v>
      </c>
    </row>
    <row r="751" customFormat="false" ht="15" hidden="false" customHeight="false" outlineLevel="0" collapsed="false">
      <c r="A751" s="2" t="s">
        <v>9836</v>
      </c>
      <c r="B751" s="2" t="s">
        <v>2899</v>
      </c>
      <c r="C751" s="2" t="s">
        <v>9083</v>
      </c>
      <c r="D751" s="2" t="n">
        <v>32.5</v>
      </c>
      <c r="E751" s="13" t="n">
        <v>45432</v>
      </c>
    </row>
    <row r="752" customFormat="false" ht="15" hidden="false" customHeight="false" outlineLevel="0" collapsed="false">
      <c r="A752" s="2" t="s">
        <v>9837</v>
      </c>
      <c r="B752" s="2" t="s">
        <v>2903</v>
      </c>
      <c r="C752" s="2" t="s">
        <v>9083</v>
      </c>
      <c r="D752" s="2" t="n">
        <v>32.87</v>
      </c>
      <c r="E752" s="13" t="n">
        <v>45439</v>
      </c>
    </row>
    <row r="753" customFormat="false" ht="15" hidden="false" customHeight="false" outlineLevel="0" collapsed="false">
      <c r="A753" s="2" t="s">
        <v>9838</v>
      </c>
      <c r="B753" s="2" t="s">
        <v>2905</v>
      </c>
      <c r="C753" s="2" t="s">
        <v>9092</v>
      </c>
      <c r="D753" s="2" t="n">
        <v>33.24</v>
      </c>
      <c r="E753" s="13" t="n">
        <v>45446</v>
      </c>
    </row>
    <row r="754" customFormat="false" ht="15" hidden="false" customHeight="false" outlineLevel="0" collapsed="false">
      <c r="A754" s="2" t="s">
        <v>9839</v>
      </c>
      <c r="B754" s="2" t="s">
        <v>2909</v>
      </c>
      <c r="C754" s="2" t="s">
        <v>9098</v>
      </c>
      <c r="D754" s="2" t="n">
        <v>33.61</v>
      </c>
      <c r="E754" s="13" t="n">
        <v>45453</v>
      </c>
    </row>
    <row r="755" customFormat="false" ht="15" hidden="false" customHeight="false" outlineLevel="0" collapsed="false">
      <c r="A755" s="2" t="s">
        <v>9840</v>
      </c>
      <c r="B755" s="2" t="s">
        <v>2911</v>
      </c>
      <c r="C755" s="2" t="s">
        <v>9098</v>
      </c>
      <c r="D755" s="2" t="n">
        <v>33.98</v>
      </c>
      <c r="E755" s="13" t="n">
        <v>45460</v>
      </c>
    </row>
    <row r="756" customFormat="false" ht="15" hidden="false" customHeight="false" outlineLevel="0" collapsed="false">
      <c r="A756" s="2" t="s">
        <v>9841</v>
      </c>
      <c r="B756" s="2" t="s">
        <v>2913</v>
      </c>
      <c r="C756" s="2" t="s">
        <v>9087</v>
      </c>
      <c r="D756" s="2" t="n">
        <v>34.35</v>
      </c>
      <c r="E756" s="13" t="n">
        <v>45467</v>
      </c>
    </row>
    <row r="757" customFormat="false" ht="15" hidden="false" customHeight="false" outlineLevel="0" collapsed="false">
      <c r="A757" s="2" t="s">
        <v>9842</v>
      </c>
      <c r="B757" s="2" t="s">
        <v>2915</v>
      </c>
      <c r="C757" s="2" t="s">
        <v>9092</v>
      </c>
      <c r="D757" s="2" t="n">
        <v>34.72</v>
      </c>
      <c r="E757" s="13" t="n">
        <v>45474</v>
      </c>
    </row>
    <row r="758" customFormat="false" ht="15" hidden="false" customHeight="false" outlineLevel="0" collapsed="false">
      <c r="A758" s="2" t="s">
        <v>9843</v>
      </c>
      <c r="B758" s="2" t="s">
        <v>2917</v>
      </c>
      <c r="C758" s="2" t="s">
        <v>9085</v>
      </c>
      <c r="D758" s="2" t="n">
        <v>35.09</v>
      </c>
      <c r="E758" s="13" t="n">
        <v>45481</v>
      </c>
    </row>
    <row r="759" customFormat="false" ht="15" hidden="false" customHeight="false" outlineLevel="0" collapsed="false">
      <c r="A759" s="2" t="s">
        <v>9844</v>
      </c>
      <c r="B759" s="2" t="s">
        <v>2919</v>
      </c>
      <c r="C759" s="2" t="s">
        <v>9092</v>
      </c>
      <c r="D759" s="2" t="n">
        <v>35.46</v>
      </c>
      <c r="E759" s="13" t="n">
        <v>45488</v>
      </c>
    </row>
    <row r="760" customFormat="false" ht="15" hidden="false" customHeight="false" outlineLevel="0" collapsed="false">
      <c r="A760" s="2" t="s">
        <v>9845</v>
      </c>
      <c r="B760" s="2" t="s">
        <v>2921</v>
      </c>
      <c r="C760" s="2" t="s">
        <v>9085</v>
      </c>
      <c r="D760" s="2" t="n">
        <v>35.83</v>
      </c>
      <c r="E760" s="13" t="n">
        <v>45495</v>
      </c>
    </row>
    <row r="761" customFormat="false" ht="15" hidden="false" customHeight="false" outlineLevel="0" collapsed="false">
      <c r="A761" s="2" t="s">
        <v>9846</v>
      </c>
      <c r="B761" s="2" t="s">
        <v>2923</v>
      </c>
      <c r="C761" s="2" t="s">
        <v>9085</v>
      </c>
      <c r="D761" s="2" t="n">
        <v>36.2</v>
      </c>
      <c r="E761" s="13" t="n">
        <v>45502</v>
      </c>
    </row>
    <row r="762" customFormat="false" ht="15" hidden="false" customHeight="false" outlineLevel="0" collapsed="false">
      <c r="A762" s="2" t="s">
        <v>9847</v>
      </c>
      <c r="B762" s="2" t="s">
        <v>2927</v>
      </c>
      <c r="C762" s="2" t="s">
        <v>9087</v>
      </c>
      <c r="D762" s="2" t="n">
        <v>36.57</v>
      </c>
      <c r="E762" s="13" t="n">
        <v>45509</v>
      </c>
    </row>
    <row r="763" customFormat="false" ht="15" hidden="false" customHeight="false" outlineLevel="0" collapsed="false">
      <c r="A763" s="2" t="s">
        <v>9848</v>
      </c>
      <c r="B763" s="2" t="s">
        <v>2931</v>
      </c>
      <c r="C763" s="2" t="s">
        <v>9098</v>
      </c>
      <c r="D763" s="2" t="n">
        <v>36.94</v>
      </c>
      <c r="E763" s="13" t="n">
        <v>45516</v>
      </c>
    </row>
    <row r="764" customFormat="false" ht="15" hidden="false" customHeight="false" outlineLevel="0" collapsed="false">
      <c r="A764" s="2" t="s">
        <v>9849</v>
      </c>
      <c r="B764" s="2" t="s">
        <v>2935</v>
      </c>
      <c r="C764" s="2" t="s">
        <v>9098</v>
      </c>
      <c r="D764" s="2" t="n">
        <v>37.31</v>
      </c>
      <c r="E764" s="13" t="n">
        <v>45523</v>
      </c>
    </row>
    <row r="765" customFormat="false" ht="15" hidden="false" customHeight="false" outlineLevel="0" collapsed="false">
      <c r="A765" s="2" t="s">
        <v>9850</v>
      </c>
      <c r="B765" s="2" t="s">
        <v>2937</v>
      </c>
      <c r="C765" s="2" t="s">
        <v>9087</v>
      </c>
      <c r="D765" s="2" t="n">
        <v>37.68</v>
      </c>
      <c r="E765" s="13" t="n">
        <v>45530</v>
      </c>
    </row>
    <row r="766" customFormat="false" ht="15" hidden="false" customHeight="false" outlineLevel="0" collapsed="false">
      <c r="A766" s="2" t="s">
        <v>9851</v>
      </c>
      <c r="B766" s="2" t="s">
        <v>2939</v>
      </c>
      <c r="C766" s="2" t="s">
        <v>9092</v>
      </c>
      <c r="D766" s="2" t="n">
        <v>38.05</v>
      </c>
      <c r="E766" s="13" t="n">
        <v>45537</v>
      </c>
    </row>
    <row r="767" customFormat="false" ht="15" hidden="false" customHeight="false" outlineLevel="0" collapsed="false">
      <c r="A767" s="2" t="s">
        <v>9852</v>
      </c>
      <c r="B767" s="2" t="s">
        <v>2941</v>
      </c>
      <c r="C767" s="2" t="s">
        <v>9087</v>
      </c>
      <c r="D767" s="2" t="n">
        <v>38.42</v>
      </c>
      <c r="E767" s="13" t="n">
        <v>45544</v>
      </c>
    </row>
    <row r="768" customFormat="false" ht="15" hidden="false" customHeight="false" outlineLevel="0" collapsed="false">
      <c r="A768" s="2" t="s">
        <v>9853</v>
      </c>
      <c r="B768" s="2" t="s">
        <v>2945</v>
      </c>
      <c r="C768" s="2" t="s">
        <v>9085</v>
      </c>
      <c r="D768" s="2" t="n">
        <v>38.79</v>
      </c>
      <c r="E768" s="13" t="n">
        <v>45551</v>
      </c>
    </row>
    <row r="769" customFormat="false" ht="15" hidden="false" customHeight="false" outlineLevel="0" collapsed="false">
      <c r="A769" s="2" t="s">
        <v>9854</v>
      </c>
      <c r="B769" s="2" t="s">
        <v>2947</v>
      </c>
      <c r="C769" s="2" t="s">
        <v>9085</v>
      </c>
      <c r="D769" s="2" t="n">
        <v>39.16</v>
      </c>
      <c r="E769" s="13" t="n">
        <v>45558</v>
      </c>
    </row>
    <row r="770" customFormat="false" ht="15" hidden="false" customHeight="false" outlineLevel="0" collapsed="false">
      <c r="A770" s="2" t="s">
        <v>9855</v>
      </c>
      <c r="B770" s="2" t="s">
        <v>2951</v>
      </c>
      <c r="C770" s="2" t="s">
        <v>9092</v>
      </c>
      <c r="D770" s="2" t="n">
        <v>39.53</v>
      </c>
      <c r="E770" s="13" t="n">
        <v>45565</v>
      </c>
    </row>
    <row r="771" customFormat="false" ht="15" hidden="false" customHeight="false" outlineLevel="0" collapsed="false">
      <c r="A771" s="2" t="s">
        <v>9856</v>
      </c>
      <c r="B771" s="2" t="s">
        <v>2953</v>
      </c>
      <c r="C771" s="2" t="s">
        <v>9087</v>
      </c>
      <c r="D771" s="2" t="n">
        <v>39.9</v>
      </c>
      <c r="E771" s="13" t="n">
        <v>45572</v>
      </c>
    </row>
    <row r="772" customFormat="false" ht="15" hidden="false" customHeight="false" outlineLevel="0" collapsed="false">
      <c r="A772" s="2" t="s">
        <v>9857</v>
      </c>
      <c r="B772" s="2" t="s">
        <v>2957</v>
      </c>
      <c r="C772" s="2" t="s">
        <v>9085</v>
      </c>
      <c r="D772" s="2" t="n">
        <v>40.27</v>
      </c>
      <c r="E772" s="13" t="n">
        <v>45579</v>
      </c>
    </row>
    <row r="773" customFormat="false" ht="15" hidden="false" customHeight="false" outlineLevel="0" collapsed="false">
      <c r="A773" s="2" t="s">
        <v>9858</v>
      </c>
      <c r="B773" s="2" t="s">
        <v>2959</v>
      </c>
      <c r="C773" s="2" t="s">
        <v>9085</v>
      </c>
      <c r="D773" s="2" t="n">
        <v>40.64</v>
      </c>
      <c r="E773" s="13" t="n">
        <v>45586</v>
      </c>
    </row>
    <row r="774" customFormat="false" ht="15" hidden="false" customHeight="false" outlineLevel="0" collapsed="false">
      <c r="A774" s="2" t="s">
        <v>9859</v>
      </c>
      <c r="B774" s="2" t="s">
        <v>2961</v>
      </c>
      <c r="C774" s="2" t="s">
        <v>9092</v>
      </c>
      <c r="D774" s="2" t="n">
        <v>41.01</v>
      </c>
      <c r="E774" s="13" t="n">
        <v>45593</v>
      </c>
    </row>
    <row r="775" customFormat="false" ht="15" hidden="false" customHeight="false" outlineLevel="0" collapsed="false">
      <c r="A775" s="2" t="s">
        <v>9860</v>
      </c>
      <c r="B775" s="2" t="s">
        <v>2963</v>
      </c>
      <c r="C775" s="2" t="s">
        <v>9098</v>
      </c>
      <c r="D775" s="2" t="n">
        <v>41.38</v>
      </c>
      <c r="E775" s="13" t="n">
        <v>45600</v>
      </c>
    </row>
    <row r="776" customFormat="false" ht="15" hidden="false" customHeight="false" outlineLevel="0" collapsed="false">
      <c r="A776" s="2" t="s">
        <v>9861</v>
      </c>
      <c r="B776" s="2" t="s">
        <v>2967</v>
      </c>
      <c r="C776" s="2" t="s">
        <v>9092</v>
      </c>
      <c r="D776" s="2" t="n">
        <v>41.75</v>
      </c>
      <c r="E776" s="13" t="n">
        <v>45607</v>
      </c>
    </row>
    <row r="777" customFormat="false" ht="15" hidden="false" customHeight="false" outlineLevel="0" collapsed="false">
      <c r="A777" s="2" t="s">
        <v>9862</v>
      </c>
      <c r="B777" s="2" t="s">
        <v>2971</v>
      </c>
      <c r="C777" s="2" t="s">
        <v>9087</v>
      </c>
      <c r="D777" s="2" t="n">
        <v>42.12</v>
      </c>
      <c r="E777" s="13" t="n">
        <v>45614</v>
      </c>
    </row>
    <row r="778" customFormat="false" ht="15" hidden="false" customHeight="false" outlineLevel="0" collapsed="false">
      <c r="A778" s="2" t="s">
        <v>9863</v>
      </c>
      <c r="B778" s="2" t="s">
        <v>2973</v>
      </c>
      <c r="C778" s="2" t="s">
        <v>9087</v>
      </c>
      <c r="D778" s="2" t="n">
        <v>42.49</v>
      </c>
      <c r="E778" s="13" t="n">
        <v>45621</v>
      </c>
    </row>
    <row r="779" customFormat="false" ht="15" hidden="false" customHeight="false" outlineLevel="0" collapsed="false">
      <c r="A779" s="2" t="s">
        <v>9864</v>
      </c>
      <c r="B779" s="2" t="s">
        <v>2975</v>
      </c>
      <c r="C779" s="2" t="s">
        <v>9083</v>
      </c>
      <c r="D779" s="2" t="n">
        <v>42.86</v>
      </c>
      <c r="E779" s="13" t="n">
        <v>45628</v>
      </c>
    </row>
    <row r="780" customFormat="false" ht="15" hidden="false" customHeight="false" outlineLevel="0" collapsed="false">
      <c r="A780" s="2" t="s">
        <v>9865</v>
      </c>
      <c r="B780" s="2" t="s">
        <v>2979</v>
      </c>
      <c r="C780" s="2" t="s">
        <v>9085</v>
      </c>
      <c r="D780" s="2" t="n">
        <v>43.23</v>
      </c>
      <c r="E780" s="13" t="n">
        <v>45635</v>
      </c>
    </row>
    <row r="781" customFormat="false" ht="15" hidden="false" customHeight="false" outlineLevel="0" collapsed="false">
      <c r="A781" s="2" t="s">
        <v>9866</v>
      </c>
      <c r="B781" s="2" t="s">
        <v>2981</v>
      </c>
      <c r="C781" s="2" t="s">
        <v>9092</v>
      </c>
      <c r="D781" s="2" t="n">
        <v>43.6</v>
      </c>
      <c r="E781" s="13" t="n">
        <v>45642</v>
      </c>
    </row>
    <row r="782" customFormat="false" ht="15" hidden="false" customHeight="false" outlineLevel="0" collapsed="false">
      <c r="A782" s="2" t="s">
        <v>9867</v>
      </c>
      <c r="B782" s="2" t="s">
        <v>2983</v>
      </c>
      <c r="C782" s="2" t="s">
        <v>9092</v>
      </c>
      <c r="D782" s="2" t="n">
        <v>43.97</v>
      </c>
      <c r="E782" s="13" t="n">
        <v>45649</v>
      </c>
    </row>
    <row r="783" customFormat="false" ht="15" hidden="false" customHeight="false" outlineLevel="0" collapsed="false">
      <c r="A783" s="2" t="s">
        <v>9868</v>
      </c>
      <c r="B783" s="2" t="s">
        <v>2985</v>
      </c>
      <c r="C783" s="2" t="s">
        <v>9087</v>
      </c>
      <c r="D783" s="2" t="n">
        <v>44.34</v>
      </c>
      <c r="E783" s="13" t="n">
        <v>45656</v>
      </c>
    </row>
    <row r="784" customFormat="false" ht="15" hidden="false" customHeight="false" outlineLevel="0" collapsed="false">
      <c r="A784" s="2" t="s">
        <v>9869</v>
      </c>
      <c r="B784" s="2" t="s">
        <v>2989</v>
      </c>
      <c r="C784" s="2" t="s">
        <v>9085</v>
      </c>
      <c r="D784" s="2" t="n">
        <v>44.71</v>
      </c>
      <c r="E784" s="13" t="n">
        <v>45663</v>
      </c>
    </row>
    <row r="785" customFormat="false" ht="15" hidden="false" customHeight="false" outlineLevel="0" collapsed="false">
      <c r="A785" s="2" t="s">
        <v>9870</v>
      </c>
      <c r="B785" s="2" t="s">
        <v>2991</v>
      </c>
      <c r="C785" s="2" t="s">
        <v>9092</v>
      </c>
      <c r="D785" s="2" t="n">
        <v>45.08</v>
      </c>
      <c r="E785" s="13" t="n">
        <v>45670</v>
      </c>
    </row>
    <row r="786" customFormat="false" ht="15" hidden="false" customHeight="false" outlineLevel="0" collapsed="false">
      <c r="A786" s="2" t="s">
        <v>9871</v>
      </c>
      <c r="B786" s="2" t="s">
        <v>2993</v>
      </c>
      <c r="C786" s="2" t="s">
        <v>9092</v>
      </c>
      <c r="D786" s="2" t="n">
        <v>45.45</v>
      </c>
      <c r="E786" s="13" t="n">
        <v>45677</v>
      </c>
    </row>
    <row r="787" customFormat="false" ht="15" hidden="false" customHeight="false" outlineLevel="0" collapsed="false">
      <c r="A787" s="2" t="s">
        <v>9872</v>
      </c>
      <c r="B787" s="2" t="s">
        <v>2997</v>
      </c>
      <c r="C787" s="2" t="s">
        <v>9085</v>
      </c>
      <c r="D787" s="2" t="n">
        <v>45.82</v>
      </c>
      <c r="E787" s="13" t="n">
        <v>45684</v>
      </c>
    </row>
    <row r="788" customFormat="false" ht="15" hidden="false" customHeight="false" outlineLevel="0" collapsed="false">
      <c r="A788" s="2" t="s">
        <v>9873</v>
      </c>
      <c r="B788" s="2" t="s">
        <v>2999</v>
      </c>
      <c r="C788" s="2" t="s">
        <v>9085</v>
      </c>
      <c r="D788" s="2" t="n">
        <v>46.19</v>
      </c>
      <c r="E788" s="13" t="n">
        <v>45691</v>
      </c>
    </row>
    <row r="789" customFormat="false" ht="15" hidden="false" customHeight="false" outlineLevel="0" collapsed="false">
      <c r="A789" s="2" t="s">
        <v>9874</v>
      </c>
      <c r="B789" s="2" t="s">
        <v>3003</v>
      </c>
      <c r="C789" s="2" t="s">
        <v>9083</v>
      </c>
      <c r="D789" s="2" t="n">
        <v>46.56</v>
      </c>
      <c r="E789" s="13" t="n">
        <v>45698</v>
      </c>
    </row>
    <row r="790" customFormat="false" ht="15" hidden="false" customHeight="false" outlineLevel="0" collapsed="false">
      <c r="A790" s="2" t="s">
        <v>9875</v>
      </c>
      <c r="B790" s="2" t="s">
        <v>3005</v>
      </c>
      <c r="C790" s="2" t="s">
        <v>9083</v>
      </c>
      <c r="D790" s="2" t="n">
        <v>46.93</v>
      </c>
      <c r="E790" s="13" t="n">
        <v>45705</v>
      </c>
    </row>
    <row r="791" customFormat="false" ht="15" hidden="false" customHeight="false" outlineLevel="0" collapsed="false">
      <c r="A791" s="2" t="s">
        <v>9876</v>
      </c>
      <c r="B791" s="2" t="s">
        <v>3009</v>
      </c>
      <c r="C791" s="2" t="s">
        <v>9092</v>
      </c>
      <c r="D791" s="2" t="n">
        <v>47.3</v>
      </c>
      <c r="E791" s="13" t="n">
        <v>45712</v>
      </c>
    </row>
    <row r="792" customFormat="false" ht="15" hidden="false" customHeight="false" outlineLevel="0" collapsed="false">
      <c r="A792" s="2" t="s">
        <v>9877</v>
      </c>
      <c r="B792" s="2" t="s">
        <v>3011</v>
      </c>
      <c r="C792" s="2" t="s">
        <v>9083</v>
      </c>
      <c r="D792" s="2" t="n">
        <v>47.67</v>
      </c>
      <c r="E792" s="13" t="n">
        <v>45719</v>
      </c>
    </row>
    <row r="793" customFormat="false" ht="15" hidden="false" customHeight="false" outlineLevel="0" collapsed="false">
      <c r="A793" s="2" t="s">
        <v>9878</v>
      </c>
      <c r="B793" s="2" t="s">
        <v>3013</v>
      </c>
      <c r="C793" s="2" t="s">
        <v>9098</v>
      </c>
      <c r="D793" s="2" t="n">
        <v>48.04</v>
      </c>
      <c r="E793" s="13" t="n">
        <v>45726</v>
      </c>
    </row>
    <row r="794" customFormat="false" ht="15" hidden="false" customHeight="false" outlineLevel="0" collapsed="false">
      <c r="A794" s="2" t="s">
        <v>9879</v>
      </c>
      <c r="B794" s="2" t="s">
        <v>3017</v>
      </c>
      <c r="C794" s="2" t="s">
        <v>9092</v>
      </c>
      <c r="D794" s="2" t="n">
        <v>48.41</v>
      </c>
      <c r="E794" s="13" t="n">
        <v>45733</v>
      </c>
    </row>
    <row r="795" customFormat="false" ht="15" hidden="false" customHeight="false" outlineLevel="0" collapsed="false">
      <c r="A795" s="2" t="s">
        <v>9880</v>
      </c>
      <c r="B795" s="2" t="s">
        <v>3019</v>
      </c>
      <c r="C795" s="2" t="s">
        <v>9083</v>
      </c>
      <c r="D795" s="2" t="n">
        <v>48.78</v>
      </c>
      <c r="E795" s="13" t="n">
        <v>45740</v>
      </c>
    </row>
    <row r="796" customFormat="false" ht="15" hidden="false" customHeight="false" outlineLevel="0" collapsed="false">
      <c r="A796" s="2" t="s">
        <v>9881</v>
      </c>
      <c r="B796" s="2" t="s">
        <v>3023</v>
      </c>
      <c r="C796" s="2" t="s">
        <v>9083</v>
      </c>
      <c r="D796" s="2" t="n">
        <v>49.15</v>
      </c>
      <c r="E796" s="13" t="n">
        <v>45747</v>
      </c>
    </row>
    <row r="797" customFormat="false" ht="15" hidden="false" customHeight="false" outlineLevel="0" collapsed="false">
      <c r="A797" s="2" t="s">
        <v>9882</v>
      </c>
      <c r="B797" s="2" t="s">
        <v>3025</v>
      </c>
      <c r="C797" s="2" t="s">
        <v>9083</v>
      </c>
      <c r="D797" s="2" t="n">
        <v>49.52</v>
      </c>
      <c r="E797" s="13" t="n">
        <v>45754</v>
      </c>
    </row>
    <row r="798" customFormat="false" ht="15" hidden="false" customHeight="false" outlineLevel="0" collapsed="false">
      <c r="A798" s="2" t="s">
        <v>9883</v>
      </c>
      <c r="B798" s="2" t="s">
        <v>3029</v>
      </c>
      <c r="C798" s="2" t="s">
        <v>9087</v>
      </c>
      <c r="D798" s="2" t="n">
        <v>49.89</v>
      </c>
      <c r="E798" s="13" t="n">
        <v>45761</v>
      </c>
    </row>
    <row r="799" customFormat="false" ht="15" hidden="false" customHeight="false" outlineLevel="0" collapsed="false">
      <c r="A799" s="2" t="s">
        <v>9884</v>
      </c>
      <c r="B799" s="2" t="s">
        <v>3033</v>
      </c>
      <c r="C799" s="2" t="s">
        <v>9098</v>
      </c>
      <c r="D799" s="2" t="n">
        <v>50.26</v>
      </c>
      <c r="E799" s="13" t="n">
        <v>45768</v>
      </c>
    </row>
    <row r="800" customFormat="false" ht="15" hidden="false" customHeight="false" outlineLevel="0" collapsed="false">
      <c r="A800" s="2" t="s">
        <v>9885</v>
      </c>
      <c r="B800" s="2" t="s">
        <v>3035</v>
      </c>
      <c r="C800" s="2" t="s">
        <v>9098</v>
      </c>
      <c r="D800" s="2" t="n">
        <v>50.63</v>
      </c>
      <c r="E800" s="13" t="n">
        <v>45775</v>
      </c>
    </row>
    <row r="801" customFormat="false" ht="15" hidden="false" customHeight="false" outlineLevel="0" collapsed="false">
      <c r="A801" s="2" t="s">
        <v>9886</v>
      </c>
      <c r="B801" s="2" t="s">
        <v>3039</v>
      </c>
      <c r="C801" s="2" t="s">
        <v>9083</v>
      </c>
      <c r="D801" s="2" t="n">
        <v>51</v>
      </c>
      <c r="E801" s="13" t="n">
        <v>45782</v>
      </c>
    </row>
    <row r="802" customFormat="false" ht="15" hidden="false" customHeight="false" outlineLevel="0" collapsed="false">
      <c r="A802" s="2" t="s">
        <v>9887</v>
      </c>
      <c r="B802" s="2" t="s">
        <v>3041</v>
      </c>
      <c r="C802" s="2" t="s">
        <v>9087</v>
      </c>
      <c r="D802" s="2" t="n">
        <v>51.37</v>
      </c>
      <c r="E802" s="13" t="n">
        <v>45789</v>
      </c>
    </row>
    <row r="803" customFormat="false" ht="15" hidden="false" customHeight="false" outlineLevel="0" collapsed="false">
      <c r="A803" s="2" t="s">
        <v>9888</v>
      </c>
      <c r="B803" s="2" t="s">
        <v>3045</v>
      </c>
      <c r="C803" s="2" t="s">
        <v>9085</v>
      </c>
      <c r="D803" s="2" t="n">
        <v>51.74</v>
      </c>
      <c r="E803" s="13" t="n">
        <v>45796</v>
      </c>
    </row>
    <row r="804" customFormat="false" ht="15" hidden="false" customHeight="false" outlineLevel="0" collapsed="false">
      <c r="A804" s="2" t="s">
        <v>9889</v>
      </c>
      <c r="B804" s="2" t="s">
        <v>3049</v>
      </c>
      <c r="C804" s="2" t="s">
        <v>9087</v>
      </c>
      <c r="D804" s="2" t="n">
        <v>52.11</v>
      </c>
      <c r="E804" s="13" t="n">
        <v>45803</v>
      </c>
    </row>
    <row r="805" customFormat="false" ht="15" hidden="false" customHeight="false" outlineLevel="0" collapsed="false">
      <c r="A805" s="2" t="s">
        <v>9890</v>
      </c>
      <c r="B805" s="2" t="s">
        <v>3053</v>
      </c>
      <c r="C805" s="2" t="s">
        <v>9087</v>
      </c>
      <c r="D805" s="2" t="n">
        <v>52.48</v>
      </c>
      <c r="E805" s="13" t="n">
        <v>45810</v>
      </c>
    </row>
    <row r="806" customFormat="false" ht="15" hidden="false" customHeight="false" outlineLevel="0" collapsed="false">
      <c r="A806" s="2" t="s">
        <v>9891</v>
      </c>
      <c r="B806" s="2" t="s">
        <v>3057</v>
      </c>
      <c r="C806" s="2" t="s">
        <v>9083</v>
      </c>
      <c r="D806" s="2" t="n">
        <v>52.85</v>
      </c>
      <c r="E806" s="13" t="n">
        <v>45817</v>
      </c>
    </row>
    <row r="807" customFormat="false" ht="15" hidden="false" customHeight="false" outlineLevel="0" collapsed="false">
      <c r="A807" s="2" t="s">
        <v>9892</v>
      </c>
      <c r="B807" s="2" t="s">
        <v>3061</v>
      </c>
      <c r="C807" s="2" t="s">
        <v>9083</v>
      </c>
      <c r="D807" s="2" t="n">
        <v>53.22</v>
      </c>
      <c r="E807" s="13" t="n">
        <v>45824</v>
      </c>
    </row>
    <row r="808" customFormat="false" ht="15" hidden="false" customHeight="false" outlineLevel="0" collapsed="false">
      <c r="A808" s="2" t="s">
        <v>9893</v>
      </c>
      <c r="B808" s="2" t="s">
        <v>3065</v>
      </c>
      <c r="C808" s="2" t="s">
        <v>9085</v>
      </c>
      <c r="D808" s="2" t="n">
        <v>53.59</v>
      </c>
      <c r="E808" s="13" t="n">
        <v>45831</v>
      </c>
    </row>
    <row r="809" customFormat="false" ht="15" hidden="false" customHeight="false" outlineLevel="0" collapsed="false">
      <c r="A809" s="2" t="s">
        <v>9894</v>
      </c>
      <c r="B809" s="2" t="s">
        <v>3069</v>
      </c>
      <c r="C809" s="2" t="s">
        <v>9083</v>
      </c>
      <c r="D809" s="2" t="n">
        <v>53.96</v>
      </c>
      <c r="E809" s="13" t="n">
        <v>45838</v>
      </c>
    </row>
    <row r="810" customFormat="false" ht="15" hidden="false" customHeight="false" outlineLevel="0" collapsed="false">
      <c r="A810" s="2" t="s">
        <v>9895</v>
      </c>
      <c r="B810" s="2" t="s">
        <v>3073</v>
      </c>
      <c r="C810" s="2" t="s">
        <v>9098</v>
      </c>
      <c r="D810" s="2" t="n">
        <v>54.33</v>
      </c>
      <c r="E810" s="13" t="n">
        <v>45845</v>
      </c>
    </row>
    <row r="811" customFormat="false" ht="15" hidden="false" customHeight="false" outlineLevel="0" collapsed="false">
      <c r="A811" s="2" t="s">
        <v>9896</v>
      </c>
      <c r="B811" s="2" t="s">
        <v>3077</v>
      </c>
      <c r="C811" s="2" t="s">
        <v>9087</v>
      </c>
      <c r="D811" s="2" t="n">
        <v>54.7</v>
      </c>
      <c r="E811" s="13" t="n">
        <v>45852</v>
      </c>
    </row>
    <row r="812" customFormat="false" ht="15" hidden="false" customHeight="false" outlineLevel="0" collapsed="false">
      <c r="A812" s="2" t="s">
        <v>9897</v>
      </c>
      <c r="B812" s="2" t="s">
        <v>3079</v>
      </c>
      <c r="C812" s="2" t="s">
        <v>9087</v>
      </c>
      <c r="D812" s="2" t="n">
        <v>55.07</v>
      </c>
      <c r="E812" s="13" t="n">
        <v>45859</v>
      </c>
    </row>
    <row r="813" customFormat="false" ht="15" hidden="false" customHeight="false" outlineLevel="0" collapsed="false">
      <c r="A813" s="2" t="s">
        <v>9898</v>
      </c>
      <c r="B813" s="2" t="s">
        <v>3081</v>
      </c>
      <c r="C813" s="2" t="s">
        <v>9083</v>
      </c>
      <c r="D813" s="2" t="n">
        <v>55.44</v>
      </c>
      <c r="E813" s="13" t="n">
        <v>45866</v>
      </c>
    </row>
    <row r="814" customFormat="false" ht="15" hidden="false" customHeight="false" outlineLevel="0" collapsed="false">
      <c r="A814" s="2" t="s">
        <v>9899</v>
      </c>
      <c r="B814" s="2" t="s">
        <v>3085</v>
      </c>
      <c r="C814" s="2" t="s">
        <v>9092</v>
      </c>
      <c r="D814" s="2" t="n">
        <v>55.81</v>
      </c>
      <c r="E814" s="13" t="n">
        <v>45873</v>
      </c>
    </row>
    <row r="815" customFormat="false" ht="15" hidden="false" customHeight="false" outlineLevel="0" collapsed="false">
      <c r="A815" s="2" t="s">
        <v>9900</v>
      </c>
      <c r="B815" s="2" t="s">
        <v>3087</v>
      </c>
      <c r="C815" s="2" t="s">
        <v>9092</v>
      </c>
      <c r="D815" s="2" t="n">
        <v>56.18</v>
      </c>
      <c r="E815" s="13" t="n">
        <v>45880</v>
      </c>
    </row>
    <row r="816" customFormat="false" ht="15" hidden="false" customHeight="false" outlineLevel="0" collapsed="false">
      <c r="A816" s="2" t="s">
        <v>9901</v>
      </c>
      <c r="B816" s="2" t="s">
        <v>3091</v>
      </c>
      <c r="C816" s="2" t="s">
        <v>9085</v>
      </c>
      <c r="D816" s="2" t="n">
        <v>56.55</v>
      </c>
      <c r="E816" s="13" t="n">
        <v>45887</v>
      </c>
    </row>
    <row r="817" customFormat="false" ht="15" hidden="false" customHeight="false" outlineLevel="0" collapsed="false">
      <c r="A817" s="2" t="s">
        <v>9902</v>
      </c>
      <c r="B817" s="2" t="s">
        <v>3093</v>
      </c>
      <c r="C817" s="2" t="s">
        <v>9092</v>
      </c>
      <c r="D817" s="2" t="n">
        <v>56.92</v>
      </c>
      <c r="E817" s="13" t="n">
        <v>45894</v>
      </c>
    </row>
    <row r="818" customFormat="false" ht="15" hidden="false" customHeight="false" outlineLevel="0" collapsed="false">
      <c r="A818" s="2" t="s">
        <v>9903</v>
      </c>
      <c r="B818" s="2" t="s">
        <v>3097</v>
      </c>
      <c r="C818" s="2" t="s">
        <v>9098</v>
      </c>
      <c r="D818" s="2" t="n">
        <v>57.29</v>
      </c>
      <c r="E818" s="13" t="n">
        <v>45901</v>
      </c>
    </row>
    <row r="819" customFormat="false" ht="15" hidden="false" customHeight="false" outlineLevel="0" collapsed="false">
      <c r="A819" s="2" t="s">
        <v>9904</v>
      </c>
      <c r="B819" s="2" t="s">
        <v>3101</v>
      </c>
      <c r="C819" s="2" t="s">
        <v>9083</v>
      </c>
      <c r="D819" s="2" t="n">
        <v>57.66</v>
      </c>
      <c r="E819" s="13" t="n">
        <v>45908</v>
      </c>
    </row>
    <row r="820" customFormat="false" ht="15" hidden="false" customHeight="false" outlineLevel="0" collapsed="false">
      <c r="A820" s="2" t="s">
        <v>9905</v>
      </c>
      <c r="B820" s="2" t="s">
        <v>3103</v>
      </c>
      <c r="C820" s="2" t="s">
        <v>9098</v>
      </c>
      <c r="D820" s="2" t="n">
        <v>58.03</v>
      </c>
      <c r="E820" s="13" t="n">
        <v>45915</v>
      </c>
    </row>
    <row r="821" customFormat="false" ht="15" hidden="false" customHeight="false" outlineLevel="0" collapsed="false">
      <c r="A821" s="2" t="s">
        <v>9906</v>
      </c>
      <c r="B821" s="2" t="s">
        <v>3107</v>
      </c>
      <c r="C821" s="2" t="s">
        <v>9083</v>
      </c>
      <c r="D821" s="2" t="n">
        <v>58.4</v>
      </c>
      <c r="E821" s="13" t="n">
        <v>45922</v>
      </c>
    </row>
    <row r="822" customFormat="false" ht="15" hidden="false" customHeight="false" outlineLevel="0" collapsed="false">
      <c r="A822" s="2" t="s">
        <v>9907</v>
      </c>
      <c r="B822" s="2" t="s">
        <v>3109</v>
      </c>
      <c r="C822" s="2" t="s">
        <v>9085</v>
      </c>
      <c r="D822" s="2" t="n">
        <v>58.77</v>
      </c>
      <c r="E822" s="13" t="n">
        <v>45929</v>
      </c>
    </row>
    <row r="823" customFormat="false" ht="15" hidden="false" customHeight="false" outlineLevel="0" collapsed="false">
      <c r="A823" s="2" t="s">
        <v>9908</v>
      </c>
      <c r="B823" s="2" t="s">
        <v>3113</v>
      </c>
      <c r="C823" s="2" t="s">
        <v>9087</v>
      </c>
      <c r="D823" s="2" t="n">
        <v>59.14</v>
      </c>
      <c r="E823" s="13" t="n">
        <v>45936</v>
      </c>
    </row>
    <row r="824" customFormat="false" ht="15" hidden="false" customHeight="false" outlineLevel="0" collapsed="false">
      <c r="A824" s="2" t="s">
        <v>9909</v>
      </c>
      <c r="B824" s="2" t="s">
        <v>3115</v>
      </c>
      <c r="C824" s="2" t="s">
        <v>9085</v>
      </c>
      <c r="D824" s="2" t="n">
        <v>59.51</v>
      </c>
      <c r="E824" s="13" t="n">
        <v>45943</v>
      </c>
    </row>
    <row r="825" customFormat="false" ht="15" hidden="false" customHeight="false" outlineLevel="0" collapsed="false">
      <c r="A825" s="2" t="s">
        <v>9910</v>
      </c>
      <c r="B825" s="2" t="s">
        <v>3117</v>
      </c>
      <c r="C825" s="2" t="s">
        <v>9098</v>
      </c>
      <c r="D825" s="2" t="n">
        <v>59.88</v>
      </c>
      <c r="E825" s="13" t="n">
        <v>45950</v>
      </c>
    </row>
    <row r="826" customFormat="false" ht="15" hidden="false" customHeight="false" outlineLevel="0" collapsed="false">
      <c r="A826" s="2" t="s">
        <v>9911</v>
      </c>
      <c r="B826" s="2" t="s">
        <v>3121</v>
      </c>
      <c r="C826" s="2" t="s">
        <v>9083</v>
      </c>
      <c r="D826" s="2" t="n">
        <v>60.25</v>
      </c>
      <c r="E826" s="13" t="n">
        <v>45957</v>
      </c>
    </row>
    <row r="827" customFormat="false" ht="15" hidden="false" customHeight="false" outlineLevel="0" collapsed="false">
      <c r="A827" s="2" t="s">
        <v>9912</v>
      </c>
      <c r="B827" s="2" t="s">
        <v>3125</v>
      </c>
      <c r="C827" s="2" t="s">
        <v>9092</v>
      </c>
      <c r="D827" s="2" t="n">
        <v>60.62</v>
      </c>
      <c r="E827" s="13" t="n">
        <v>45964</v>
      </c>
    </row>
    <row r="828" customFormat="false" ht="15" hidden="false" customHeight="false" outlineLevel="0" collapsed="false">
      <c r="A828" s="2" t="s">
        <v>9913</v>
      </c>
      <c r="B828" s="2" t="s">
        <v>3129</v>
      </c>
      <c r="C828" s="2" t="s">
        <v>9092</v>
      </c>
      <c r="D828" s="2" t="n">
        <v>60.99</v>
      </c>
      <c r="E828" s="13" t="n">
        <v>45971</v>
      </c>
    </row>
    <row r="829" customFormat="false" ht="15" hidden="false" customHeight="false" outlineLevel="0" collapsed="false">
      <c r="A829" s="2" t="s">
        <v>9914</v>
      </c>
      <c r="B829" s="2" t="s">
        <v>3133</v>
      </c>
      <c r="C829" s="2" t="s">
        <v>9083</v>
      </c>
      <c r="D829" s="2" t="n">
        <v>61.36</v>
      </c>
      <c r="E829" s="13" t="n">
        <v>45978</v>
      </c>
    </row>
    <row r="830" customFormat="false" ht="15" hidden="false" customHeight="false" outlineLevel="0" collapsed="false">
      <c r="A830" s="2" t="s">
        <v>9915</v>
      </c>
      <c r="B830" s="2" t="s">
        <v>3137</v>
      </c>
      <c r="C830" s="2" t="s">
        <v>9083</v>
      </c>
      <c r="D830" s="2" t="n">
        <v>61.73</v>
      </c>
      <c r="E830" s="13" t="n">
        <v>45985</v>
      </c>
    </row>
    <row r="831" customFormat="false" ht="15" hidden="false" customHeight="false" outlineLevel="0" collapsed="false">
      <c r="A831" s="2" t="s">
        <v>9916</v>
      </c>
      <c r="B831" s="2" t="s">
        <v>3141</v>
      </c>
      <c r="C831" s="2" t="s">
        <v>9092</v>
      </c>
      <c r="D831" s="2" t="n">
        <v>62.1</v>
      </c>
      <c r="E831" s="13" t="n">
        <v>45992</v>
      </c>
    </row>
    <row r="832" customFormat="false" ht="15" hidden="false" customHeight="false" outlineLevel="0" collapsed="false">
      <c r="A832" s="2" t="s">
        <v>9917</v>
      </c>
      <c r="B832" s="2" t="s">
        <v>3143</v>
      </c>
      <c r="C832" s="2" t="s">
        <v>9092</v>
      </c>
      <c r="D832" s="2" t="n">
        <v>62.47</v>
      </c>
      <c r="E832" s="13" t="n">
        <v>45999</v>
      </c>
    </row>
    <row r="833" customFormat="false" ht="15" hidden="false" customHeight="false" outlineLevel="0" collapsed="false">
      <c r="A833" s="2" t="s">
        <v>9918</v>
      </c>
      <c r="B833" s="2" t="s">
        <v>3145</v>
      </c>
      <c r="C833" s="2" t="s">
        <v>9087</v>
      </c>
      <c r="D833" s="2" t="n">
        <v>62.84</v>
      </c>
      <c r="E833" s="13" t="n">
        <v>46006</v>
      </c>
    </row>
    <row r="834" customFormat="false" ht="15" hidden="false" customHeight="false" outlineLevel="0" collapsed="false">
      <c r="A834" s="2" t="s">
        <v>9919</v>
      </c>
      <c r="B834" s="2" t="s">
        <v>3149</v>
      </c>
      <c r="C834" s="2" t="s">
        <v>9098</v>
      </c>
      <c r="D834" s="2" t="n">
        <v>63.21</v>
      </c>
      <c r="E834" s="13" t="n">
        <v>46013</v>
      </c>
    </row>
    <row r="835" customFormat="false" ht="15" hidden="false" customHeight="false" outlineLevel="0" collapsed="false">
      <c r="A835" s="2" t="s">
        <v>9920</v>
      </c>
      <c r="B835" s="2" t="s">
        <v>3151</v>
      </c>
      <c r="C835" s="2" t="s">
        <v>9085</v>
      </c>
      <c r="D835" s="2" t="n">
        <v>63.58</v>
      </c>
      <c r="E835" s="13" t="n">
        <v>46020</v>
      </c>
    </row>
    <row r="836" customFormat="false" ht="15" hidden="false" customHeight="false" outlineLevel="0" collapsed="false">
      <c r="A836" s="2" t="s">
        <v>9921</v>
      </c>
      <c r="B836" s="2" t="s">
        <v>3153</v>
      </c>
      <c r="C836" s="2" t="s">
        <v>9087</v>
      </c>
      <c r="D836" s="2" t="n">
        <v>63.95</v>
      </c>
      <c r="E836" s="13" t="n">
        <v>45297</v>
      </c>
    </row>
    <row r="837" customFormat="false" ht="15" hidden="false" customHeight="false" outlineLevel="0" collapsed="false">
      <c r="A837" s="2" t="s">
        <v>9922</v>
      </c>
      <c r="B837" s="2" t="s">
        <v>3157</v>
      </c>
      <c r="C837" s="2" t="s">
        <v>9085</v>
      </c>
      <c r="D837" s="2" t="n">
        <v>64.32</v>
      </c>
      <c r="E837" s="13" t="n">
        <v>45304</v>
      </c>
    </row>
    <row r="838" customFormat="false" ht="15" hidden="false" customHeight="false" outlineLevel="0" collapsed="false">
      <c r="A838" s="2" t="s">
        <v>9923</v>
      </c>
      <c r="B838" s="2" t="s">
        <v>3159</v>
      </c>
      <c r="C838" s="2" t="s">
        <v>9098</v>
      </c>
      <c r="D838" s="2" t="n">
        <v>64.69</v>
      </c>
      <c r="E838" s="13" t="n">
        <v>45311</v>
      </c>
    </row>
    <row r="839" customFormat="false" ht="15" hidden="false" customHeight="false" outlineLevel="0" collapsed="false">
      <c r="A839" s="2" t="s">
        <v>9924</v>
      </c>
      <c r="B839" s="2" t="s">
        <v>3163</v>
      </c>
      <c r="C839" s="2" t="s">
        <v>9092</v>
      </c>
      <c r="D839" s="2" t="n">
        <v>65.06</v>
      </c>
      <c r="E839" s="13" t="n">
        <v>45318</v>
      </c>
    </row>
    <row r="840" customFormat="false" ht="15" hidden="false" customHeight="false" outlineLevel="0" collapsed="false">
      <c r="A840" s="2" t="s">
        <v>9925</v>
      </c>
      <c r="B840" s="2" t="s">
        <v>3167</v>
      </c>
      <c r="C840" s="2" t="s">
        <v>9085</v>
      </c>
      <c r="D840" s="2" t="n">
        <v>65.43</v>
      </c>
      <c r="E840" s="13" t="n">
        <v>45325</v>
      </c>
    </row>
    <row r="841" customFormat="false" ht="15" hidden="false" customHeight="false" outlineLevel="0" collapsed="false">
      <c r="A841" s="2" t="s">
        <v>9926</v>
      </c>
      <c r="B841" s="2" t="s">
        <v>3171</v>
      </c>
      <c r="C841" s="2" t="s">
        <v>9083</v>
      </c>
      <c r="D841" s="2" t="n">
        <v>65.8</v>
      </c>
      <c r="E841" s="13" t="n">
        <v>45332</v>
      </c>
    </row>
    <row r="842" customFormat="false" ht="15" hidden="false" customHeight="false" outlineLevel="0" collapsed="false">
      <c r="A842" s="2" t="s">
        <v>9927</v>
      </c>
      <c r="B842" s="2" t="s">
        <v>3175</v>
      </c>
      <c r="C842" s="2" t="s">
        <v>9098</v>
      </c>
      <c r="D842" s="2" t="n">
        <v>66.17</v>
      </c>
      <c r="E842" s="13" t="n">
        <v>45339</v>
      </c>
    </row>
    <row r="843" customFormat="false" ht="15" hidden="false" customHeight="false" outlineLevel="0" collapsed="false">
      <c r="A843" s="2" t="s">
        <v>9928</v>
      </c>
      <c r="B843" s="2" t="s">
        <v>3179</v>
      </c>
      <c r="C843" s="2" t="s">
        <v>9085</v>
      </c>
      <c r="D843" s="2" t="n">
        <v>66.54</v>
      </c>
      <c r="E843" s="13" t="n">
        <v>45346</v>
      </c>
    </row>
    <row r="844" customFormat="false" ht="15" hidden="false" customHeight="false" outlineLevel="0" collapsed="false">
      <c r="A844" s="2" t="s">
        <v>9929</v>
      </c>
      <c r="B844" s="2" t="s">
        <v>3181</v>
      </c>
      <c r="C844" s="2" t="s">
        <v>9087</v>
      </c>
      <c r="D844" s="2" t="n">
        <v>66.91</v>
      </c>
      <c r="E844" s="13" t="n">
        <v>45353</v>
      </c>
    </row>
    <row r="845" customFormat="false" ht="15" hidden="false" customHeight="false" outlineLevel="0" collapsed="false">
      <c r="A845" s="2" t="s">
        <v>9930</v>
      </c>
      <c r="B845" s="2" t="s">
        <v>3185</v>
      </c>
      <c r="C845" s="2" t="s">
        <v>9083</v>
      </c>
      <c r="D845" s="2" t="n">
        <v>67.28</v>
      </c>
      <c r="E845" s="13" t="n">
        <v>45360</v>
      </c>
    </row>
    <row r="846" customFormat="false" ht="15" hidden="false" customHeight="false" outlineLevel="0" collapsed="false">
      <c r="A846" s="2" t="s">
        <v>9931</v>
      </c>
      <c r="B846" s="2" t="s">
        <v>3187</v>
      </c>
      <c r="C846" s="2" t="s">
        <v>9098</v>
      </c>
      <c r="D846" s="2" t="n">
        <v>67.65</v>
      </c>
      <c r="E846" s="13" t="n">
        <v>45367</v>
      </c>
    </row>
    <row r="847" customFormat="false" ht="15" hidden="false" customHeight="false" outlineLevel="0" collapsed="false">
      <c r="A847" s="2" t="s">
        <v>9932</v>
      </c>
      <c r="B847" s="2" t="s">
        <v>3191</v>
      </c>
      <c r="C847" s="2" t="s">
        <v>9087</v>
      </c>
      <c r="D847" s="2" t="n">
        <v>68.02</v>
      </c>
      <c r="E847" s="13" t="n">
        <v>45374</v>
      </c>
    </row>
    <row r="848" customFormat="false" ht="15" hidden="false" customHeight="false" outlineLevel="0" collapsed="false">
      <c r="A848" s="2" t="s">
        <v>9933</v>
      </c>
      <c r="B848" s="2" t="s">
        <v>3193</v>
      </c>
      <c r="C848" s="2" t="s">
        <v>9087</v>
      </c>
      <c r="D848" s="2" t="n">
        <v>68.39</v>
      </c>
      <c r="E848" s="13" t="n">
        <v>45381</v>
      </c>
    </row>
    <row r="849" customFormat="false" ht="15" hidden="false" customHeight="false" outlineLevel="0" collapsed="false">
      <c r="A849" s="2" t="s">
        <v>9934</v>
      </c>
      <c r="B849" s="2" t="s">
        <v>3195</v>
      </c>
      <c r="C849" s="2" t="s">
        <v>9087</v>
      </c>
      <c r="D849" s="2" t="n">
        <v>68.76</v>
      </c>
      <c r="E849" s="13" t="n">
        <v>45388</v>
      </c>
    </row>
    <row r="850" customFormat="false" ht="15" hidden="false" customHeight="false" outlineLevel="0" collapsed="false">
      <c r="A850" s="2" t="s">
        <v>9935</v>
      </c>
      <c r="B850" s="2" t="s">
        <v>3197</v>
      </c>
      <c r="C850" s="2" t="s">
        <v>9087</v>
      </c>
      <c r="D850" s="2" t="n">
        <v>69.13</v>
      </c>
      <c r="E850" s="13" t="n">
        <v>45395</v>
      </c>
    </row>
    <row r="851" customFormat="false" ht="15" hidden="false" customHeight="false" outlineLevel="0" collapsed="false">
      <c r="A851" s="2" t="s">
        <v>9936</v>
      </c>
      <c r="B851" s="2" t="s">
        <v>3199</v>
      </c>
      <c r="C851" s="2" t="s">
        <v>9092</v>
      </c>
      <c r="D851" s="2" t="n">
        <v>69.5</v>
      </c>
      <c r="E851" s="13" t="n">
        <v>45402</v>
      </c>
    </row>
    <row r="852" customFormat="false" ht="15" hidden="false" customHeight="false" outlineLevel="0" collapsed="false">
      <c r="A852" s="2" t="s">
        <v>9937</v>
      </c>
      <c r="B852" s="2" t="s">
        <v>3201</v>
      </c>
      <c r="C852" s="2" t="s">
        <v>9092</v>
      </c>
      <c r="D852" s="2" t="n">
        <v>69.87</v>
      </c>
      <c r="E852" s="13" t="n">
        <v>45409</v>
      </c>
    </row>
    <row r="853" customFormat="false" ht="15" hidden="false" customHeight="false" outlineLevel="0" collapsed="false">
      <c r="A853" s="2" t="s">
        <v>9938</v>
      </c>
      <c r="B853" s="2" t="s">
        <v>3203</v>
      </c>
      <c r="C853" s="2" t="s">
        <v>9098</v>
      </c>
      <c r="D853" s="2" t="n">
        <v>70.24</v>
      </c>
      <c r="E853" s="13" t="n">
        <v>45416</v>
      </c>
    </row>
    <row r="854" customFormat="false" ht="15" hidden="false" customHeight="false" outlineLevel="0" collapsed="false">
      <c r="A854" s="2" t="s">
        <v>9939</v>
      </c>
      <c r="B854" s="2" t="s">
        <v>3208</v>
      </c>
      <c r="C854" s="2" t="s">
        <v>9085</v>
      </c>
      <c r="D854" s="2" t="n">
        <v>70.61</v>
      </c>
      <c r="E854" s="13" t="n">
        <v>45423</v>
      </c>
    </row>
    <row r="855" customFormat="false" ht="15" hidden="false" customHeight="false" outlineLevel="0" collapsed="false">
      <c r="A855" s="2" t="s">
        <v>9940</v>
      </c>
      <c r="B855" s="2" t="s">
        <v>3212</v>
      </c>
      <c r="C855" s="2" t="s">
        <v>9098</v>
      </c>
      <c r="D855" s="2" t="n">
        <v>70.98</v>
      </c>
      <c r="E855" s="13" t="n">
        <v>45430</v>
      </c>
    </row>
    <row r="856" customFormat="false" ht="15" hidden="false" customHeight="false" outlineLevel="0" collapsed="false">
      <c r="A856" s="2" t="s">
        <v>9941</v>
      </c>
      <c r="B856" s="2" t="s">
        <v>3214</v>
      </c>
      <c r="C856" s="2" t="s">
        <v>9098</v>
      </c>
      <c r="D856" s="2" t="n">
        <v>71.35</v>
      </c>
      <c r="E856" s="13" t="n">
        <v>45437</v>
      </c>
    </row>
    <row r="857" customFormat="false" ht="15" hidden="false" customHeight="false" outlineLevel="0" collapsed="false">
      <c r="A857" s="2" t="s">
        <v>9942</v>
      </c>
      <c r="B857" s="2" t="s">
        <v>3216</v>
      </c>
      <c r="C857" s="2" t="s">
        <v>9087</v>
      </c>
      <c r="D857" s="2" t="n">
        <v>71.72</v>
      </c>
      <c r="E857" s="13" t="n">
        <v>45444</v>
      </c>
    </row>
    <row r="858" customFormat="false" ht="15" hidden="false" customHeight="false" outlineLevel="0" collapsed="false">
      <c r="A858" s="2" t="s">
        <v>9943</v>
      </c>
      <c r="B858" s="2" t="s">
        <v>3220</v>
      </c>
      <c r="C858" s="2" t="s">
        <v>9092</v>
      </c>
      <c r="D858" s="2" t="n">
        <v>72.09</v>
      </c>
      <c r="E858" s="13" t="n">
        <v>45451</v>
      </c>
    </row>
    <row r="859" customFormat="false" ht="15" hidden="false" customHeight="false" outlineLevel="0" collapsed="false">
      <c r="A859" s="2" t="s">
        <v>9944</v>
      </c>
      <c r="B859" s="2" t="s">
        <v>3222</v>
      </c>
      <c r="C859" s="2" t="s">
        <v>9092</v>
      </c>
      <c r="D859" s="2" t="n">
        <v>72.46</v>
      </c>
      <c r="E859" s="13" t="n">
        <v>45458</v>
      </c>
    </row>
    <row r="860" customFormat="false" ht="15" hidden="false" customHeight="false" outlineLevel="0" collapsed="false">
      <c r="A860" s="2" t="s">
        <v>9945</v>
      </c>
      <c r="B860" s="2" t="s">
        <v>3224</v>
      </c>
      <c r="C860" s="2" t="s">
        <v>9098</v>
      </c>
      <c r="D860" s="2" t="n">
        <v>72.83</v>
      </c>
      <c r="E860" s="13" t="n">
        <v>45465</v>
      </c>
    </row>
    <row r="861" customFormat="false" ht="15" hidden="false" customHeight="false" outlineLevel="0" collapsed="false">
      <c r="A861" s="2" t="s">
        <v>9946</v>
      </c>
      <c r="B861" s="2" t="s">
        <v>3226</v>
      </c>
      <c r="C861" s="2" t="s">
        <v>9098</v>
      </c>
      <c r="D861" s="2" t="n">
        <v>73.2</v>
      </c>
      <c r="E861" s="13" t="n">
        <v>45472</v>
      </c>
    </row>
    <row r="862" customFormat="false" ht="15" hidden="false" customHeight="false" outlineLevel="0" collapsed="false">
      <c r="A862" s="2" t="s">
        <v>9947</v>
      </c>
      <c r="B862" s="2" t="s">
        <v>3228</v>
      </c>
      <c r="C862" s="2" t="s">
        <v>9087</v>
      </c>
      <c r="D862" s="2" t="n">
        <v>73.57</v>
      </c>
      <c r="E862" s="13" t="n">
        <v>45479</v>
      </c>
    </row>
    <row r="863" customFormat="false" ht="15" hidden="false" customHeight="false" outlineLevel="0" collapsed="false">
      <c r="A863" s="2" t="s">
        <v>9948</v>
      </c>
      <c r="B863" s="2" t="s">
        <v>3232</v>
      </c>
      <c r="C863" s="2" t="s">
        <v>9092</v>
      </c>
      <c r="D863" s="2" t="n">
        <v>73.94</v>
      </c>
      <c r="E863" s="13" t="n">
        <v>45486</v>
      </c>
    </row>
    <row r="864" customFormat="false" ht="15" hidden="false" customHeight="false" outlineLevel="0" collapsed="false">
      <c r="A864" s="2" t="s">
        <v>9949</v>
      </c>
      <c r="B864" s="2" t="s">
        <v>3236</v>
      </c>
      <c r="C864" s="2" t="s">
        <v>9092</v>
      </c>
      <c r="D864" s="2" t="n">
        <v>74.31</v>
      </c>
      <c r="E864" s="13" t="n">
        <v>45493</v>
      </c>
    </row>
    <row r="865" customFormat="false" ht="15" hidden="false" customHeight="false" outlineLevel="0" collapsed="false">
      <c r="A865" s="2" t="s">
        <v>9950</v>
      </c>
      <c r="B865" s="2" t="s">
        <v>3240</v>
      </c>
      <c r="C865" s="2" t="s">
        <v>9083</v>
      </c>
      <c r="D865" s="2" t="n">
        <v>74.68</v>
      </c>
      <c r="E865" s="13" t="n">
        <v>45500</v>
      </c>
    </row>
    <row r="866" customFormat="false" ht="15" hidden="false" customHeight="false" outlineLevel="0" collapsed="false">
      <c r="A866" s="2" t="s">
        <v>9951</v>
      </c>
      <c r="B866" s="2" t="s">
        <v>3242</v>
      </c>
      <c r="C866" s="2" t="s">
        <v>9085</v>
      </c>
      <c r="D866" s="2" t="n">
        <v>75.05</v>
      </c>
      <c r="E866" s="13" t="n">
        <v>45507</v>
      </c>
    </row>
    <row r="867" customFormat="false" ht="15" hidden="false" customHeight="false" outlineLevel="0" collapsed="false">
      <c r="A867" s="2" t="s">
        <v>9952</v>
      </c>
      <c r="B867" s="2" t="s">
        <v>3244</v>
      </c>
      <c r="C867" s="2" t="s">
        <v>9085</v>
      </c>
      <c r="D867" s="2" t="n">
        <v>75.42</v>
      </c>
      <c r="E867" s="13" t="n">
        <v>45514</v>
      </c>
    </row>
    <row r="868" customFormat="false" ht="15" hidden="false" customHeight="false" outlineLevel="0" collapsed="false">
      <c r="A868" s="2" t="s">
        <v>9953</v>
      </c>
      <c r="B868" s="2" t="s">
        <v>3246</v>
      </c>
      <c r="C868" s="2" t="s">
        <v>9083</v>
      </c>
      <c r="D868" s="2" t="n">
        <v>75.79</v>
      </c>
      <c r="E868" s="13" t="n">
        <v>45521</v>
      </c>
    </row>
    <row r="869" customFormat="false" ht="15" hidden="false" customHeight="false" outlineLevel="0" collapsed="false">
      <c r="A869" s="2" t="s">
        <v>9954</v>
      </c>
      <c r="B869" s="2" t="s">
        <v>3248</v>
      </c>
      <c r="C869" s="2" t="s">
        <v>9083</v>
      </c>
      <c r="D869" s="2" t="n">
        <v>76.16</v>
      </c>
      <c r="E869" s="13" t="n">
        <v>45528</v>
      </c>
    </row>
    <row r="870" customFormat="false" ht="15" hidden="false" customHeight="false" outlineLevel="0" collapsed="false">
      <c r="A870" s="2" t="s">
        <v>9955</v>
      </c>
      <c r="B870" s="2" t="s">
        <v>3250</v>
      </c>
      <c r="C870" s="2" t="s">
        <v>9085</v>
      </c>
      <c r="D870" s="2" t="n">
        <v>76.53</v>
      </c>
      <c r="E870" s="13" t="n">
        <v>45535</v>
      </c>
    </row>
    <row r="871" customFormat="false" ht="15" hidden="false" customHeight="false" outlineLevel="0" collapsed="false">
      <c r="A871" s="2" t="s">
        <v>9956</v>
      </c>
      <c r="B871" s="2" t="s">
        <v>3252</v>
      </c>
      <c r="C871" s="2" t="s">
        <v>9098</v>
      </c>
      <c r="D871" s="2" t="n">
        <v>76.9</v>
      </c>
      <c r="E871" s="13" t="n">
        <v>45542</v>
      </c>
    </row>
    <row r="872" customFormat="false" ht="15" hidden="false" customHeight="false" outlineLevel="0" collapsed="false">
      <c r="A872" s="2" t="s">
        <v>9957</v>
      </c>
      <c r="B872" s="2" t="s">
        <v>3254</v>
      </c>
      <c r="C872" s="2" t="s">
        <v>9083</v>
      </c>
      <c r="D872" s="2" t="n">
        <v>77.27</v>
      </c>
      <c r="E872" s="13" t="n">
        <v>45549</v>
      </c>
    </row>
    <row r="873" customFormat="false" ht="15" hidden="false" customHeight="false" outlineLevel="0" collapsed="false">
      <c r="A873" s="2" t="s">
        <v>9958</v>
      </c>
      <c r="B873" s="2" t="s">
        <v>3258</v>
      </c>
      <c r="C873" s="2" t="s">
        <v>9098</v>
      </c>
      <c r="D873" s="2" t="n">
        <v>77.64</v>
      </c>
      <c r="E873" s="13" t="n">
        <v>45556</v>
      </c>
    </row>
    <row r="874" customFormat="false" ht="15" hidden="false" customHeight="false" outlineLevel="0" collapsed="false">
      <c r="A874" s="2" t="s">
        <v>9959</v>
      </c>
      <c r="B874" s="2" t="s">
        <v>3262</v>
      </c>
      <c r="C874" s="2" t="s">
        <v>9098</v>
      </c>
      <c r="D874" s="2" t="n">
        <v>78.01</v>
      </c>
      <c r="E874" s="13" t="n">
        <v>45563</v>
      </c>
    </row>
    <row r="875" customFormat="false" ht="15" hidden="false" customHeight="false" outlineLevel="0" collapsed="false">
      <c r="A875" s="2" t="s">
        <v>9960</v>
      </c>
      <c r="B875" s="2" t="s">
        <v>3264</v>
      </c>
      <c r="C875" s="2" t="s">
        <v>9087</v>
      </c>
      <c r="D875" s="2" t="n">
        <v>78.38</v>
      </c>
      <c r="E875" s="13" t="n">
        <v>45570</v>
      </c>
    </row>
    <row r="876" customFormat="false" ht="15" hidden="false" customHeight="false" outlineLevel="0" collapsed="false">
      <c r="A876" s="2" t="s">
        <v>9961</v>
      </c>
      <c r="B876" s="2" t="s">
        <v>3268</v>
      </c>
      <c r="C876" s="2" t="s">
        <v>9098</v>
      </c>
      <c r="D876" s="2" t="n">
        <v>78.75</v>
      </c>
      <c r="E876" s="13" t="n">
        <v>45577</v>
      </c>
    </row>
    <row r="877" customFormat="false" ht="15" hidden="false" customHeight="false" outlineLevel="0" collapsed="false">
      <c r="A877" s="2" t="s">
        <v>9962</v>
      </c>
      <c r="B877" s="2" t="s">
        <v>3273</v>
      </c>
      <c r="C877" s="2" t="s">
        <v>9092</v>
      </c>
      <c r="D877" s="2" t="n">
        <v>79.12</v>
      </c>
      <c r="E877" s="13" t="n">
        <v>45584</v>
      </c>
    </row>
    <row r="878" customFormat="false" ht="15" hidden="false" customHeight="false" outlineLevel="0" collapsed="false">
      <c r="A878" s="2" t="s">
        <v>9963</v>
      </c>
      <c r="B878" s="2" t="s">
        <v>3277</v>
      </c>
      <c r="C878" s="2" t="s">
        <v>9083</v>
      </c>
      <c r="D878" s="2" t="n">
        <v>79.49</v>
      </c>
      <c r="E878" s="13" t="n">
        <v>45591</v>
      </c>
    </row>
    <row r="879" customFormat="false" ht="15" hidden="false" customHeight="false" outlineLevel="0" collapsed="false">
      <c r="A879" s="2" t="s">
        <v>9964</v>
      </c>
      <c r="B879" s="2" t="s">
        <v>3279</v>
      </c>
      <c r="C879" s="2" t="s">
        <v>9098</v>
      </c>
      <c r="D879" s="2" t="n">
        <v>79.86</v>
      </c>
      <c r="E879" s="13" t="n">
        <v>45598</v>
      </c>
    </row>
    <row r="880" customFormat="false" ht="15" hidden="false" customHeight="false" outlineLevel="0" collapsed="false">
      <c r="A880" s="2" t="s">
        <v>9965</v>
      </c>
      <c r="B880" s="2" t="s">
        <v>3281</v>
      </c>
      <c r="C880" s="2" t="s">
        <v>9085</v>
      </c>
      <c r="D880" s="2" t="n">
        <v>80.23</v>
      </c>
      <c r="E880" s="13" t="n">
        <v>45605</v>
      </c>
    </row>
    <row r="881" customFormat="false" ht="15" hidden="false" customHeight="false" outlineLevel="0" collapsed="false">
      <c r="A881" s="2" t="s">
        <v>9966</v>
      </c>
      <c r="B881" s="2" t="s">
        <v>3285</v>
      </c>
      <c r="C881" s="2" t="s">
        <v>9087</v>
      </c>
      <c r="D881" s="2" t="n">
        <v>80.6</v>
      </c>
      <c r="E881" s="13" t="n">
        <v>45612</v>
      </c>
    </row>
    <row r="882" customFormat="false" ht="15" hidden="false" customHeight="false" outlineLevel="0" collapsed="false">
      <c r="A882" s="2" t="s">
        <v>9967</v>
      </c>
      <c r="B882" s="2" t="s">
        <v>3289</v>
      </c>
      <c r="C882" s="2" t="s">
        <v>9092</v>
      </c>
      <c r="D882" s="2" t="n">
        <v>80.97</v>
      </c>
      <c r="E882" s="13" t="n">
        <v>45619</v>
      </c>
    </row>
    <row r="883" customFormat="false" ht="15" hidden="false" customHeight="false" outlineLevel="0" collapsed="false">
      <c r="A883" s="2" t="s">
        <v>9968</v>
      </c>
      <c r="B883" s="2" t="s">
        <v>3291</v>
      </c>
      <c r="C883" s="2" t="s">
        <v>9098</v>
      </c>
      <c r="D883" s="2" t="n">
        <v>81.34</v>
      </c>
      <c r="E883" s="13" t="n">
        <v>45626</v>
      </c>
    </row>
    <row r="884" customFormat="false" ht="15" hidden="false" customHeight="false" outlineLevel="0" collapsed="false">
      <c r="A884" s="2" t="s">
        <v>9969</v>
      </c>
      <c r="B884" s="2" t="s">
        <v>3295</v>
      </c>
      <c r="C884" s="2" t="s">
        <v>9085</v>
      </c>
      <c r="D884" s="2" t="n">
        <v>81.71</v>
      </c>
      <c r="E884" s="13" t="n">
        <v>45633</v>
      </c>
    </row>
    <row r="885" customFormat="false" ht="15" hidden="false" customHeight="false" outlineLevel="0" collapsed="false">
      <c r="A885" s="2" t="s">
        <v>9970</v>
      </c>
      <c r="B885" s="2" t="s">
        <v>3297</v>
      </c>
      <c r="C885" s="2" t="s">
        <v>9087</v>
      </c>
      <c r="D885" s="2" t="n">
        <v>82.08</v>
      </c>
      <c r="E885" s="13" t="n">
        <v>45640</v>
      </c>
    </row>
    <row r="886" customFormat="false" ht="15" hidden="false" customHeight="false" outlineLevel="0" collapsed="false">
      <c r="A886" s="2" t="s">
        <v>9971</v>
      </c>
      <c r="B886" s="2" t="s">
        <v>3299</v>
      </c>
      <c r="C886" s="2" t="s">
        <v>9092</v>
      </c>
      <c r="D886" s="2" t="n">
        <v>82.45</v>
      </c>
      <c r="E886" s="13" t="n">
        <v>45647</v>
      </c>
    </row>
    <row r="887" customFormat="false" ht="15" hidden="false" customHeight="false" outlineLevel="0" collapsed="false">
      <c r="A887" s="2" t="s">
        <v>9972</v>
      </c>
      <c r="B887" s="2" t="s">
        <v>3303</v>
      </c>
      <c r="C887" s="2" t="s">
        <v>9085</v>
      </c>
      <c r="D887" s="2" t="n">
        <v>82.82</v>
      </c>
      <c r="E887" s="13" t="n">
        <v>45654</v>
      </c>
    </row>
    <row r="888" customFormat="false" ht="15" hidden="false" customHeight="false" outlineLevel="0" collapsed="false">
      <c r="A888" s="2" t="s">
        <v>9973</v>
      </c>
      <c r="B888" s="2" t="s">
        <v>3305</v>
      </c>
      <c r="C888" s="2" t="s">
        <v>9087</v>
      </c>
      <c r="D888" s="2" t="n">
        <v>83.19</v>
      </c>
      <c r="E888" s="13" t="n">
        <v>45661</v>
      </c>
    </row>
    <row r="889" customFormat="false" ht="15" hidden="false" customHeight="false" outlineLevel="0" collapsed="false">
      <c r="A889" s="2" t="s">
        <v>9974</v>
      </c>
      <c r="B889" s="2" t="s">
        <v>3307</v>
      </c>
      <c r="C889" s="2" t="s">
        <v>9087</v>
      </c>
      <c r="D889" s="2" t="n">
        <v>83.56</v>
      </c>
      <c r="E889" s="13" t="n">
        <v>45668</v>
      </c>
    </row>
    <row r="890" customFormat="false" ht="15" hidden="false" customHeight="false" outlineLevel="0" collapsed="false">
      <c r="A890" s="2" t="s">
        <v>9975</v>
      </c>
      <c r="B890" s="2" t="s">
        <v>3309</v>
      </c>
      <c r="C890" s="2" t="s">
        <v>9092</v>
      </c>
      <c r="D890" s="2" t="n">
        <v>83.93</v>
      </c>
      <c r="E890" s="13" t="n">
        <v>45675</v>
      </c>
    </row>
    <row r="891" customFormat="false" ht="15" hidden="false" customHeight="false" outlineLevel="0" collapsed="false">
      <c r="A891" s="2" t="s">
        <v>9976</v>
      </c>
      <c r="B891" s="2" t="s">
        <v>3311</v>
      </c>
      <c r="C891" s="2" t="s">
        <v>9087</v>
      </c>
      <c r="D891" s="2" t="n">
        <v>84.3</v>
      </c>
      <c r="E891" s="13" t="n">
        <v>45682</v>
      </c>
    </row>
    <row r="892" customFormat="false" ht="15" hidden="false" customHeight="false" outlineLevel="0" collapsed="false">
      <c r="A892" s="2" t="s">
        <v>9977</v>
      </c>
      <c r="B892" s="2" t="s">
        <v>3313</v>
      </c>
      <c r="C892" s="2" t="s">
        <v>9087</v>
      </c>
      <c r="D892" s="2" t="n">
        <v>84.67</v>
      </c>
      <c r="E892" s="13" t="n">
        <v>45689</v>
      </c>
    </row>
    <row r="893" customFormat="false" ht="15" hidden="false" customHeight="false" outlineLevel="0" collapsed="false">
      <c r="A893" s="2" t="s">
        <v>9978</v>
      </c>
      <c r="B893" s="2" t="s">
        <v>3317</v>
      </c>
      <c r="C893" s="2" t="s">
        <v>9098</v>
      </c>
      <c r="D893" s="2" t="n">
        <v>85.04</v>
      </c>
      <c r="E893" s="13" t="n">
        <v>45696</v>
      </c>
    </row>
    <row r="894" customFormat="false" ht="15" hidden="false" customHeight="false" outlineLevel="0" collapsed="false">
      <c r="A894" s="2" t="s">
        <v>9979</v>
      </c>
      <c r="B894" s="2" t="s">
        <v>3321</v>
      </c>
      <c r="C894" s="2" t="s">
        <v>9092</v>
      </c>
      <c r="D894" s="2" t="n">
        <v>85.41</v>
      </c>
      <c r="E894" s="13" t="n">
        <v>45703</v>
      </c>
    </row>
    <row r="895" customFormat="false" ht="15" hidden="false" customHeight="false" outlineLevel="0" collapsed="false">
      <c r="A895" s="2" t="s">
        <v>9980</v>
      </c>
      <c r="B895" s="2" t="s">
        <v>3323</v>
      </c>
      <c r="C895" s="2" t="s">
        <v>9087</v>
      </c>
      <c r="D895" s="2" t="n">
        <v>85.78</v>
      </c>
      <c r="E895" s="13" t="n">
        <v>45710</v>
      </c>
    </row>
    <row r="896" customFormat="false" ht="15" hidden="false" customHeight="false" outlineLevel="0" collapsed="false">
      <c r="A896" s="2" t="s">
        <v>9981</v>
      </c>
      <c r="B896" s="2" t="s">
        <v>3327</v>
      </c>
      <c r="C896" s="2" t="s">
        <v>9098</v>
      </c>
      <c r="D896" s="2" t="n">
        <v>86.15</v>
      </c>
      <c r="E896" s="13" t="n">
        <v>45717</v>
      </c>
    </row>
    <row r="897" customFormat="false" ht="15" hidden="false" customHeight="false" outlineLevel="0" collapsed="false">
      <c r="A897" s="2" t="s">
        <v>9982</v>
      </c>
      <c r="B897" s="2" t="s">
        <v>3329</v>
      </c>
      <c r="C897" s="2" t="s">
        <v>9085</v>
      </c>
      <c r="D897" s="2" t="n">
        <v>86.52</v>
      </c>
      <c r="E897" s="13" t="n">
        <v>45724</v>
      </c>
    </row>
    <row r="898" customFormat="false" ht="15" hidden="false" customHeight="false" outlineLevel="0" collapsed="false">
      <c r="A898" s="2" t="s">
        <v>9983</v>
      </c>
      <c r="B898" s="2" t="s">
        <v>3331</v>
      </c>
      <c r="C898" s="2" t="s">
        <v>9085</v>
      </c>
      <c r="D898" s="2" t="n">
        <v>86.89</v>
      </c>
      <c r="E898" s="13" t="n">
        <v>45731</v>
      </c>
    </row>
    <row r="899" customFormat="false" ht="15" hidden="false" customHeight="false" outlineLevel="0" collapsed="false">
      <c r="A899" s="2" t="s">
        <v>9984</v>
      </c>
      <c r="B899" s="2" t="s">
        <v>3335</v>
      </c>
      <c r="C899" s="2" t="s">
        <v>9085</v>
      </c>
      <c r="D899" s="2" t="n">
        <v>87.26</v>
      </c>
      <c r="E899" s="13" t="n">
        <v>45738</v>
      </c>
    </row>
    <row r="900" customFormat="false" ht="15" hidden="false" customHeight="false" outlineLevel="0" collapsed="false">
      <c r="A900" s="2" t="s">
        <v>9985</v>
      </c>
      <c r="B900" s="2" t="s">
        <v>3339</v>
      </c>
      <c r="C900" s="2" t="s">
        <v>9098</v>
      </c>
      <c r="D900" s="2" t="n">
        <v>87.63</v>
      </c>
      <c r="E900" s="13" t="n">
        <v>45745</v>
      </c>
    </row>
    <row r="901" customFormat="false" ht="15" hidden="false" customHeight="false" outlineLevel="0" collapsed="false">
      <c r="A901" s="2" t="s">
        <v>9986</v>
      </c>
      <c r="B901" s="2" t="s">
        <v>3343</v>
      </c>
      <c r="C901" s="2" t="s">
        <v>9085</v>
      </c>
      <c r="D901" s="2" t="n">
        <v>88</v>
      </c>
      <c r="E901" s="13" t="n">
        <v>45752</v>
      </c>
    </row>
    <row r="902" customFormat="false" ht="15" hidden="false" customHeight="false" outlineLevel="0" collapsed="false">
      <c r="A902" s="2" t="s">
        <v>9987</v>
      </c>
      <c r="B902" s="2" t="s">
        <v>3345</v>
      </c>
      <c r="C902" s="2" t="s">
        <v>9098</v>
      </c>
      <c r="D902" s="2" t="n">
        <v>88.37</v>
      </c>
      <c r="E902" s="13" t="n">
        <v>45759</v>
      </c>
    </row>
    <row r="903" customFormat="false" ht="15" hidden="false" customHeight="false" outlineLevel="0" collapsed="false">
      <c r="A903" s="2" t="s">
        <v>9988</v>
      </c>
      <c r="B903" s="2" t="s">
        <v>3347</v>
      </c>
      <c r="C903" s="2" t="s">
        <v>9083</v>
      </c>
      <c r="D903" s="2" t="n">
        <v>88.74</v>
      </c>
      <c r="E903" s="13" t="n">
        <v>45766</v>
      </c>
    </row>
    <row r="904" customFormat="false" ht="15" hidden="false" customHeight="false" outlineLevel="0" collapsed="false">
      <c r="A904" s="2" t="s">
        <v>9989</v>
      </c>
      <c r="B904" s="2" t="s">
        <v>3351</v>
      </c>
      <c r="C904" s="2" t="s">
        <v>9085</v>
      </c>
      <c r="D904" s="2" t="n">
        <v>89.11</v>
      </c>
      <c r="E904" s="13" t="n">
        <v>45773</v>
      </c>
    </row>
    <row r="905" customFormat="false" ht="15" hidden="false" customHeight="false" outlineLevel="0" collapsed="false">
      <c r="A905" s="2" t="s">
        <v>9990</v>
      </c>
      <c r="B905" s="2" t="s">
        <v>3353</v>
      </c>
      <c r="C905" s="2" t="s">
        <v>9085</v>
      </c>
      <c r="D905" s="2" t="n">
        <v>89.48</v>
      </c>
      <c r="E905" s="13" t="n">
        <v>45780</v>
      </c>
    </row>
    <row r="906" customFormat="false" ht="15" hidden="false" customHeight="false" outlineLevel="0" collapsed="false">
      <c r="A906" s="2" t="s">
        <v>9991</v>
      </c>
      <c r="B906" s="2" t="s">
        <v>3357</v>
      </c>
      <c r="C906" s="2" t="s">
        <v>9083</v>
      </c>
      <c r="D906" s="2" t="n">
        <v>89.85</v>
      </c>
      <c r="E906" s="13" t="n">
        <v>45787</v>
      </c>
    </row>
    <row r="907" customFormat="false" ht="15" hidden="false" customHeight="false" outlineLevel="0" collapsed="false">
      <c r="A907" s="2" t="s">
        <v>9992</v>
      </c>
      <c r="B907" s="2" t="s">
        <v>3359</v>
      </c>
      <c r="C907" s="2" t="s">
        <v>9083</v>
      </c>
      <c r="D907" s="2" t="n">
        <v>90.22</v>
      </c>
      <c r="E907" s="13" t="n">
        <v>45794</v>
      </c>
    </row>
    <row r="908" customFormat="false" ht="15" hidden="false" customHeight="false" outlineLevel="0" collapsed="false">
      <c r="A908" s="2" t="s">
        <v>9993</v>
      </c>
      <c r="B908" s="2" t="s">
        <v>3363</v>
      </c>
      <c r="C908" s="2" t="s">
        <v>9092</v>
      </c>
      <c r="D908" s="2" t="n">
        <v>90.59</v>
      </c>
      <c r="E908" s="13" t="n">
        <v>45801</v>
      </c>
    </row>
    <row r="909" customFormat="false" ht="15" hidden="false" customHeight="false" outlineLevel="0" collapsed="false">
      <c r="A909" s="2" t="s">
        <v>9994</v>
      </c>
      <c r="B909" s="2" t="s">
        <v>3365</v>
      </c>
      <c r="C909" s="2" t="s">
        <v>9098</v>
      </c>
      <c r="D909" s="2" t="n">
        <v>90.96</v>
      </c>
      <c r="E909" s="13" t="n">
        <v>45808</v>
      </c>
    </row>
    <row r="910" customFormat="false" ht="15" hidden="false" customHeight="false" outlineLevel="0" collapsed="false">
      <c r="A910" s="2" t="s">
        <v>9995</v>
      </c>
      <c r="B910" s="2" t="s">
        <v>3369</v>
      </c>
      <c r="C910" s="2" t="s">
        <v>9087</v>
      </c>
      <c r="D910" s="2" t="n">
        <v>91.33</v>
      </c>
      <c r="E910" s="13" t="n">
        <v>45815</v>
      </c>
    </row>
    <row r="911" customFormat="false" ht="15" hidden="false" customHeight="false" outlineLevel="0" collapsed="false">
      <c r="A911" s="2" t="s">
        <v>9996</v>
      </c>
      <c r="B911" s="2" t="s">
        <v>3371</v>
      </c>
      <c r="C911" s="2" t="s">
        <v>9085</v>
      </c>
      <c r="D911" s="2" t="n">
        <v>91.7</v>
      </c>
      <c r="E911" s="13" t="n">
        <v>45822</v>
      </c>
    </row>
    <row r="912" customFormat="false" ht="15" hidden="false" customHeight="false" outlineLevel="0" collapsed="false">
      <c r="A912" s="2" t="s">
        <v>9997</v>
      </c>
      <c r="B912" s="2" t="s">
        <v>3373</v>
      </c>
      <c r="C912" s="2" t="s">
        <v>9092</v>
      </c>
      <c r="D912" s="2" t="n">
        <v>92.07</v>
      </c>
      <c r="E912" s="13" t="n">
        <v>45829</v>
      </c>
    </row>
    <row r="913" customFormat="false" ht="15" hidden="false" customHeight="false" outlineLevel="0" collapsed="false">
      <c r="A913" s="2" t="s">
        <v>9998</v>
      </c>
      <c r="B913" s="2" t="s">
        <v>3377</v>
      </c>
      <c r="C913" s="2" t="s">
        <v>9087</v>
      </c>
      <c r="D913" s="2" t="n">
        <v>92.44</v>
      </c>
      <c r="E913" s="13" t="n">
        <v>45836</v>
      </c>
    </row>
    <row r="914" customFormat="false" ht="15" hidden="false" customHeight="false" outlineLevel="0" collapsed="false">
      <c r="A914" s="2" t="s">
        <v>9999</v>
      </c>
      <c r="B914" s="2" t="s">
        <v>3381</v>
      </c>
      <c r="C914" s="2" t="s">
        <v>9087</v>
      </c>
      <c r="D914" s="2" t="n">
        <v>92.81</v>
      </c>
      <c r="E914" s="13" t="n">
        <v>45843</v>
      </c>
    </row>
    <row r="915" customFormat="false" ht="15" hidden="false" customHeight="false" outlineLevel="0" collapsed="false">
      <c r="A915" s="2" t="s">
        <v>10000</v>
      </c>
      <c r="B915" s="2" t="s">
        <v>3383</v>
      </c>
      <c r="C915" s="2" t="s">
        <v>9087</v>
      </c>
      <c r="D915" s="2" t="n">
        <v>93.18</v>
      </c>
      <c r="E915" s="13" t="n">
        <v>45850</v>
      </c>
    </row>
    <row r="916" customFormat="false" ht="15" hidden="false" customHeight="false" outlineLevel="0" collapsed="false">
      <c r="A916" s="2" t="s">
        <v>10001</v>
      </c>
      <c r="B916" s="2" t="s">
        <v>3385</v>
      </c>
      <c r="C916" s="2" t="s">
        <v>9087</v>
      </c>
      <c r="D916" s="2" t="n">
        <v>93.55</v>
      </c>
      <c r="E916" s="13" t="n">
        <v>45857</v>
      </c>
    </row>
    <row r="917" customFormat="false" ht="15" hidden="false" customHeight="false" outlineLevel="0" collapsed="false">
      <c r="A917" s="2" t="s">
        <v>10002</v>
      </c>
      <c r="B917" s="2" t="s">
        <v>3389</v>
      </c>
      <c r="C917" s="2" t="s">
        <v>9085</v>
      </c>
      <c r="D917" s="2" t="n">
        <v>93.92</v>
      </c>
      <c r="E917" s="13" t="n">
        <v>45864</v>
      </c>
    </row>
    <row r="918" customFormat="false" ht="15" hidden="false" customHeight="false" outlineLevel="0" collapsed="false">
      <c r="A918" s="2" t="s">
        <v>10003</v>
      </c>
      <c r="B918" s="2" t="s">
        <v>3391</v>
      </c>
      <c r="C918" s="2" t="s">
        <v>9085</v>
      </c>
      <c r="D918" s="2" t="n">
        <v>94.29</v>
      </c>
      <c r="E918" s="13" t="n">
        <v>45871</v>
      </c>
    </row>
    <row r="919" customFormat="false" ht="15" hidden="false" customHeight="false" outlineLevel="0" collapsed="false">
      <c r="A919" s="2" t="s">
        <v>10004</v>
      </c>
      <c r="B919" s="2" t="s">
        <v>3395</v>
      </c>
      <c r="C919" s="2" t="s">
        <v>9083</v>
      </c>
      <c r="D919" s="2" t="n">
        <v>94.66</v>
      </c>
      <c r="E919" s="13" t="n">
        <v>45878</v>
      </c>
    </row>
    <row r="920" customFormat="false" ht="15" hidden="false" customHeight="false" outlineLevel="0" collapsed="false">
      <c r="A920" s="2" t="s">
        <v>10005</v>
      </c>
      <c r="B920" s="2" t="s">
        <v>3399</v>
      </c>
      <c r="C920" s="2" t="s">
        <v>9092</v>
      </c>
      <c r="D920" s="2" t="n">
        <v>95.03</v>
      </c>
      <c r="E920" s="13" t="n">
        <v>45885</v>
      </c>
    </row>
    <row r="921" customFormat="false" ht="15" hidden="false" customHeight="false" outlineLevel="0" collapsed="false">
      <c r="A921" s="2" t="s">
        <v>10006</v>
      </c>
      <c r="B921" s="2" t="s">
        <v>3403</v>
      </c>
      <c r="C921" s="2" t="s">
        <v>9087</v>
      </c>
      <c r="D921" s="2" t="n">
        <v>95.4</v>
      </c>
      <c r="E921" s="13" t="n">
        <v>45892</v>
      </c>
    </row>
    <row r="922" customFormat="false" ht="15" hidden="false" customHeight="false" outlineLevel="0" collapsed="false">
      <c r="A922" s="2" t="s">
        <v>10007</v>
      </c>
      <c r="B922" s="2" t="s">
        <v>3407</v>
      </c>
      <c r="C922" s="2" t="s">
        <v>9083</v>
      </c>
      <c r="D922" s="2" t="n">
        <v>95.77</v>
      </c>
      <c r="E922" s="13" t="n">
        <v>45899</v>
      </c>
    </row>
    <row r="923" customFormat="false" ht="15" hidden="false" customHeight="false" outlineLevel="0" collapsed="false">
      <c r="A923" s="2" t="s">
        <v>10008</v>
      </c>
      <c r="B923" s="2" t="s">
        <v>3409</v>
      </c>
      <c r="C923" s="2" t="s">
        <v>9087</v>
      </c>
      <c r="D923" s="2" t="n">
        <v>96.14</v>
      </c>
      <c r="E923" s="13" t="n">
        <v>45906</v>
      </c>
    </row>
    <row r="924" customFormat="false" ht="15" hidden="false" customHeight="false" outlineLevel="0" collapsed="false">
      <c r="A924" s="2" t="s">
        <v>10009</v>
      </c>
      <c r="B924" s="2" t="s">
        <v>3411</v>
      </c>
      <c r="C924" s="2" t="s">
        <v>9092</v>
      </c>
      <c r="D924" s="2" t="n">
        <v>96.51</v>
      </c>
      <c r="E924" s="13" t="n">
        <v>45913</v>
      </c>
    </row>
    <row r="925" customFormat="false" ht="15" hidden="false" customHeight="false" outlineLevel="0" collapsed="false">
      <c r="A925" s="2" t="s">
        <v>10010</v>
      </c>
      <c r="B925" s="2" t="s">
        <v>3413</v>
      </c>
      <c r="C925" s="2" t="s">
        <v>9092</v>
      </c>
      <c r="D925" s="2" t="n">
        <v>96.88</v>
      </c>
      <c r="E925" s="13" t="n">
        <v>45920</v>
      </c>
    </row>
    <row r="926" customFormat="false" ht="15" hidden="false" customHeight="false" outlineLevel="0" collapsed="false">
      <c r="A926" s="2" t="s">
        <v>10011</v>
      </c>
      <c r="B926" s="2" t="s">
        <v>3417</v>
      </c>
      <c r="C926" s="2" t="s">
        <v>9085</v>
      </c>
      <c r="D926" s="2" t="n">
        <v>97.25</v>
      </c>
      <c r="E926" s="13" t="n">
        <v>45927</v>
      </c>
    </row>
    <row r="927" customFormat="false" ht="15" hidden="false" customHeight="false" outlineLevel="0" collapsed="false">
      <c r="A927" s="2" t="s">
        <v>10012</v>
      </c>
      <c r="B927" s="2" t="s">
        <v>3419</v>
      </c>
      <c r="C927" s="2" t="s">
        <v>9098</v>
      </c>
      <c r="D927" s="2" t="n">
        <v>97.62</v>
      </c>
      <c r="E927" s="13" t="n">
        <v>45934</v>
      </c>
    </row>
    <row r="928" customFormat="false" ht="15" hidden="false" customHeight="false" outlineLevel="0" collapsed="false">
      <c r="A928" s="2" t="s">
        <v>10013</v>
      </c>
      <c r="B928" s="2" t="s">
        <v>3421</v>
      </c>
      <c r="C928" s="2" t="s">
        <v>9087</v>
      </c>
      <c r="D928" s="2" t="n">
        <v>97.99</v>
      </c>
      <c r="E928" s="13" t="n">
        <v>45941</v>
      </c>
    </row>
    <row r="929" customFormat="false" ht="15" hidden="false" customHeight="false" outlineLevel="0" collapsed="false">
      <c r="A929" s="2" t="s">
        <v>10014</v>
      </c>
      <c r="B929" s="2" t="s">
        <v>3423</v>
      </c>
      <c r="C929" s="2" t="s">
        <v>9085</v>
      </c>
      <c r="D929" s="2" t="n">
        <v>98.36</v>
      </c>
      <c r="E929" s="13" t="n">
        <v>45948</v>
      </c>
    </row>
    <row r="930" customFormat="false" ht="15" hidden="false" customHeight="false" outlineLevel="0" collapsed="false">
      <c r="A930" s="2" t="s">
        <v>10015</v>
      </c>
      <c r="B930" s="2" t="s">
        <v>3425</v>
      </c>
      <c r="C930" s="2" t="s">
        <v>9098</v>
      </c>
      <c r="D930" s="2" t="n">
        <v>98.73</v>
      </c>
      <c r="E930" s="13" t="n">
        <v>45955</v>
      </c>
    </row>
    <row r="931" customFormat="false" ht="15" hidden="false" customHeight="false" outlineLevel="0" collapsed="false">
      <c r="A931" s="2" t="s">
        <v>10016</v>
      </c>
      <c r="B931" s="2" t="s">
        <v>3427</v>
      </c>
      <c r="C931" s="2" t="s">
        <v>9085</v>
      </c>
      <c r="D931" s="2" t="n">
        <v>99.1</v>
      </c>
      <c r="E931" s="13" t="n">
        <v>45962</v>
      </c>
    </row>
    <row r="932" customFormat="false" ht="15" hidden="false" customHeight="false" outlineLevel="0" collapsed="false">
      <c r="A932" s="2" t="s">
        <v>10017</v>
      </c>
      <c r="B932" s="2" t="s">
        <v>3429</v>
      </c>
      <c r="C932" s="2" t="s">
        <v>9083</v>
      </c>
      <c r="D932" s="2" t="n">
        <v>99.47</v>
      </c>
      <c r="E932" s="13" t="n">
        <v>45969</v>
      </c>
    </row>
    <row r="933" customFormat="false" ht="15" hidden="false" customHeight="false" outlineLevel="0" collapsed="false">
      <c r="A933" s="2" t="s">
        <v>10018</v>
      </c>
      <c r="B933" s="2" t="s">
        <v>3431</v>
      </c>
      <c r="C933" s="2" t="s">
        <v>9087</v>
      </c>
      <c r="D933" s="2" t="n">
        <v>99.84</v>
      </c>
      <c r="E933" s="13" t="n">
        <v>45976</v>
      </c>
    </row>
    <row r="934" customFormat="false" ht="15" hidden="false" customHeight="false" outlineLevel="0" collapsed="false">
      <c r="A934" s="2" t="s">
        <v>10019</v>
      </c>
      <c r="B934" s="2" t="s">
        <v>3435</v>
      </c>
      <c r="C934" s="2" t="s">
        <v>9092</v>
      </c>
      <c r="D934" s="2" t="n">
        <v>100.21</v>
      </c>
      <c r="E934" s="13" t="n">
        <v>45983</v>
      </c>
    </row>
    <row r="935" customFormat="false" ht="15" hidden="false" customHeight="false" outlineLevel="0" collapsed="false">
      <c r="A935" s="2" t="s">
        <v>10020</v>
      </c>
      <c r="B935" s="2" t="s">
        <v>3437</v>
      </c>
      <c r="C935" s="2" t="s">
        <v>9087</v>
      </c>
      <c r="D935" s="2" t="n">
        <v>100.58</v>
      </c>
      <c r="E935" s="13" t="n">
        <v>45990</v>
      </c>
    </row>
    <row r="936" customFormat="false" ht="15" hidden="false" customHeight="false" outlineLevel="0" collapsed="false">
      <c r="A936" s="2" t="s">
        <v>10021</v>
      </c>
      <c r="B936" s="2" t="s">
        <v>3439</v>
      </c>
      <c r="C936" s="2" t="s">
        <v>9085</v>
      </c>
      <c r="D936" s="2" t="n">
        <v>100.95</v>
      </c>
      <c r="E936" s="13" t="n">
        <v>45997</v>
      </c>
    </row>
    <row r="937" customFormat="false" ht="15" hidden="false" customHeight="false" outlineLevel="0" collapsed="false">
      <c r="A937" s="2" t="s">
        <v>10022</v>
      </c>
      <c r="B937" s="2" t="s">
        <v>3443</v>
      </c>
      <c r="C937" s="2" t="s">
        <v>9083</v>
      </c>
      <c r="D937" s="2" t="n">
        <v>101.32</v>
      </c>
      <c r="E937" s="13" t="n">
        <v>46004</v>
      </c>
    </row>
    <row r="938" customFormat="false" ht="15" hidden="false" customHeight="false" outlineLevel="0" collapsed="false">
      <c r="A938" s="2" t="s">
        <v>10023</v>
      </c>
      <c r="B938" s="2" t="s">
        <v>3445</v>
      </c>
      <c r="C938" s="2" t="s">
        <v>9087</v>
      </c>
      <c r="D938" s="2" t="n">
        <v>101.69</v>
      </c>
      <c r="E938" s="13" t="n">
        <v>46011</v>
      </c>
    </row>
    <row r="939" customFormat="false" ht="15" hidden="false" customHeight="false" outlineLevel="0" collapsed="false">
      <c r="A939" s="2" t="s">
        <v>10024</v>
      </c>
      <c r="B939" s="2" t="s">
        <v>3447</v>
      </c>
      <c r="C939" s="2" t="s">
        <v>9085</v>
      </c>
      <c r="D939" s="2" t="n">
        <v>102.06</v>
      </c>
      <c r="E939" s="13" t="n">
        <v>46018</v>
      </c>
    </row>
    <row r="940" customFormat="false" ht="15" hidden="false" customHeight="false" outlineLevel="0" collapsed="false">
      <c r="A940" s="2" t="s">
        <v>10025</v>
      </c>
      <c r="B940" s="2" t="s">
        <v>3449</v>
      </c>
      <c r="C940" s="2" t="s">
        <v>9098</v>
      </c>
      <c r="D940" s="2" t="n">
        <v>102.43</v>
      </c>
      <c r="E940" s="13" t="n">
        <v>45295</v>
      </c>
    </row>
    <row r="941" customFormat="false" ht="15" hidden="false" customHeight="false" outlineLevel="0" collapsed="false">
      <c r="A941" s="2" t="s">
        <v>10026</v>
      </c>
      <c r="B941" s="2" t="s">
        <v>3451</v>
      </c>
      <c r="C941" s="2" t="s">
        <v>9098</v>
      </c>
      <c r="D941" s="2" t="n">
        <v>102.8</v>
      </c>
      <c r="E941" s="13" t="n">
        <v>45302</v>
      </c>
    </row>
    <row r="942" customFormat="false" ht="15" hidden="false" customHeight="false" outlineLevel="0" collapsed="false">
      <c r="A942" s="2" t="s">
        <v>10027</v>
      </c>
      <c r="B942" s="2" t="s">
        <v>3453</v>
      </c>
      <c r="C942" s="2" t="s">
        <v>9083</v>
      </c>
      <c r="D942" s="2" t="n">
        <v>103.17</v>
      </c>
      <c r="E942" s="13" t="n">
        <v>45309</v>
      </c>
    </row>
    <row r="943" customFormat="false" ht="15" hidden="false" customHeight="false" outlineLevel="0" collapsed="false">
      <c r="A943" s="2" t="s">
        <v>10028</v>
      </c>
      <c r="B943" s="2" t="s">
        <v>3455</v>
      </c>
      <c r="C943" s="2" t="s">
        <v>9085</v>
      </c>
      <c r="D943" s="2" t="n">
        <v>103.54</v>
      </c>
      <c r="E943" s="13" t="n">
        <v>45316</v>
      </c>
    </row>
    <row r="944" customFormat="false" ht="15" hidden="false" customHeight="false" outlineLevel="0" collapsed="false">
      <c r="A944" s="2" t="s">
        <v>10029</v>
      </c>
      <c r="B944" s="2" t="s">
        <v>3457</v>
      </c>
      <c r="C944" s="2" t="s">
        <v>9092</v>
      </c>
      <c r="D944" s="2" t="n">
        <v>103.91</v>
      </c>
      <c r="E944" s="13" t="n">
        <v>45323</v>
      </c>
    </row>
    <row r="945" customFormat="false" ht="15" hidden="false" customHeight="false" outlineLevel="0" collapsed="false">
      <c r="A945" s="2" t="s">
        <v>10030</v>
      </c>
      <c r="B945" s="2" t="s">
        <v>3459</v>
      </c>
      <c r="C945" s="2" t="s">
        <v>9087</v>
      </c>
      <c r="D945" s="2" t="n">
        <v>104.28</v>
      </c>
      <c r="E945" s="13" t="n">
        <v>45330</v>
      </c>
    </row>
    <row r="946" customFormat="false" ht="15" hidden="false" customHeight="false" outlineLevel="0" collapsed="false">
      <c r="A946" s="2" t="s">
        <v>10031</v>
      </c>
      <c r="B946" s="2" t="s">
        <v>3461</v>
      </c>
      <c r="C946" s="2" t="s">
        <v>9087</v>
      </c>
      <c r="D946" s="2" t="n">
        <v>104.65</v>
      </c>
      <c r="E946" s="13" t="n">
        <v>45337</v>
      </c>
    </row>
    <row r="947" customFormat="false" ht="15" hidden="false" customHeight="false" outlineLevel="0" collapsed="false">
      <c r="A947" s="2" t="s">
        <v>10032</v>
      </c>
      <c r="B947" s="2" t="s">
        <v>3465</v>
      </c>
      <c r="C947" s="2" t="s">
        <v>9098</v>
      </c>
      <c r="D947" s="2" t="n">
        <v>105.02</v>
      </c>
      <c r="E947" s="13" t="n">
        <v>45344</v>
      </c>
    </row>
    <row r="948" customFormat="false" ht="15" hidden="false" customHeight="false" outlineLevel="0" collapsed="false">
      <c r="A948" s="2" t="s">
        <v>10033</v>
      </c>
      <c r="B948" s="2" t="s">
        <v>3469</v>
      </c>
      <c r="C948" s="2" t="s">
        <v>9098</v>
      </c>
      <c r="D948" s="2" t="n">
        <v>105.39</v>
      </c>
      <c r="E948" s="13" t="n">
        <v>45351</v>
      </c>
    </row>
    <row r="949" customFormat="false" ht="15" hidden="false" customHeight="false" outlineLevel="0" collapsed="false">
      <c r="A949" s="2" t="s">
        <v>10034</v>
      </c>
      <c r="B949" s="2" t="s">
        <v>3473</v>
      </c>
      <c r="C949" s="2" t="s">
        <v>9092</v>
      </c>
      <c r="D949" s="2" t="n">
        <v>105.76</v>
      </c>
      <c r="E949" s="13" t="n">
        <v>45358</v>
      </c>
    </row>
    <row r="950" customFormat="false" ht="15" hidden="false" customHeight="false" outlineLevel="0" collapsed="false">
      <c r="A950" s="2" t="s">
        <v>10035</v>
      </c>
      <c r="B950" s="2" t="s">
        <v>3475</v>
      </c>
      <c r="C950" s="2" t="s">
        <v>9098</v>
      </c>
      <c r="D950" s="2" t="n">
        <v>106.13</v>
      </c>
      <c r="E950" s="13" t="n">
        <v>45365</v>
      </c>
    </row>
    <row r="951" customFormat="false" ht="15" hidden="false" customHeight="false" outlineLevel="0" collapsed="false">
      <c r="A951" s="2" t="s">
        <v>10036</v>
      </c>
      <c r="B951" s="2" t="s">
        <v>3477</v>
      </c>
      <c r="C951" s="2" t="s">
        <v>9085</v>
      </c>
      <c r="D951" s="2" t="n">
        <v>106.5</v>
      </c>
      <c r="E951" s="13" t="n">
        <v>45372</v>
      </c>
    </row>
    <row r="952" customFormat="false" ht="15" hidden="false" customHeight="false" outlineLevel="0" collapsed="false">
      <c r="A952" s="2" t="s">
        <v>10037</v>
      </c>
      <c r="B952" s="2" t="s">
        <v>3481</v>
      </c>
      <c r="C952" s="2" t="s">
        <v>9092</v>
      </c>
      <c r="D952" s="2" t="n">
        <v>106.87</v>
      </c>
      <c r="E952" s="13" t="n">
        <v>45379</v>
      </c>
    </row>
    <row r="953" customFormat="false" ht="15" hidden="false" customHeight="false" outlineLevel="0" collapsed="false">
      <c r="A953" s="2" t="s">
        <v>10038</v>
      </c>
      <c r="B953" s="2" t="s">
        <v>3483</v>
      </c>
      <c r="C953" s="2" t="s">
        <v>9083</v>
      </c>
      <c r="D953" s="2" t="n">
        <v>107.24</v>
      </c>
      <c r="E953" s="13" t="n">
        <v>45386</v>
      </c>
    </row>
    <row r="954" customFormat="false" ht="15" hidden="false" customHeight="false" outlineLevel="0" collapsed="false">
      <c r="A954" s="2" t="s">
        <v>10039</v>
      </c>
      <c r="B954" s="2" t="s">
        <v>3487</v>
      </c>
      <c r="C954" s="2" t="s">
        <v>9085</v>
      </c>
      <c r="D954" s="2" t="n">
        <v>107.61</v>
      </c>
      <c r="E954" s="13" t="n">
        <v>45393</v>
      </c>
    </row>
    <row r="955" customFormat="false" ht="15" hidden="false" customHeight="false" outlineLevel="0" collapsed="false">
      <c r="A955" s="2" t="s">
        <v>10040</v>
      </c>
      <c r="B955" s="2" t="s">
        <v>3489</v>
      </c>
      <c r="C955" s="2" t="s">
        <v>9087</v>
      </c>
      <c r="D955" s="2" t="n">
        <v>107.98</v>
      </c>
      <c r="E955" s="13" t="n">
        <v>45400</v>
      </c>
    </row>
    <row r="956" customFormat="false" ht="15" hidden="false" customHeight="false" outlineLevel="0" collapsed="false">
      <c r="A956" s="2" t="s">
        <v>10041</v>
      </c>
      <c r="B956" s="2" t="s">
        <v>3491</v>
      </c>
      <c r="C956" s="2" t="s">
        <v>9087</v>
      </c>
      <c r="D956" s="2" t="n">
        <v>108.35</v>
      </c>
      <c r="E956" s="13" t="n">
        <v>45407</v>
      </c>
    </row>
    <row r="957" customFormat="false" ht="15" hidden="false" customHeight="false" outlineLevel="0" collapsed="false">
      <c r="A957" s="2" t="s">
        <v>10042</v>
      </c>
      <c r="B957" s="2" t="s">
        <v>3495</v>
      </c>
      <c r="C957" s="2" t="s">
        <v>9092</v>
      </c>
      <c r="D957" s="2" t="n">
        <v>108.72</v>
      </c>
      <c r="E957" s="13" t="n">
        <v>45414</v>
      </c>
    </row>
    <row r="958" customFormat="false" ht="15" hidden="false" customHeight="false" outlineLevel="0" collapsed="false">
      <c r="A958" s="2" t="s">
        <v>10043</v>
      </c>
      <c r="B958" s="2" t="s">
        <v>3499</v>
      </c>
      <c r="C958" s="2" t="s">
        <v>9092</v>
      </c>
      <c r="D958" s="2" t="n">
        <v>109.09</v>
      </c>
      <c r="E958" s="13" t="n">
        <v>45421</v>
      </c>
    </row>
    <row r="959" customFormat="false" ht="15" hidden="false" customHeight="false" outlineLevel="0" collapsed="false">
      <c r="A959" s="2" t="s">
        <v>10044</v>
      </c>
      <c r="B959" s="2" t="s">
        <v>3503</v>
      </c>
      <c r="C959" s="2" t="s">
        <v>9098</v>
      </c>
      <c r="D959" s="2" t="n">
        <v>109.46</v>
      </c>
      <c r="E959" s="13" t="n">
        <v>45428</v>
      </c>
    </row>
    <row r="960" customFormat="false" ht="15" hidden="false" customHeight="false" outlineLevel="0" collapsed="false">
      <c r="A960" s="2" t="s">
        <v>10045</v>
      </c>
      <c r="B960" s="2" t="s">
        <v>3507</v>
      </c>
      <c r="C960" s="2" t="s">
        <v>9085</v>
      </c>
      <c r="D960" s="2" t="n">
        <v>109.83</v>
      </c>
      <c r="E960" s="13" t="n">
        <v>45435</v>
      </c>
    </row>
    <row r="961" customFormat="false" ht="15" hidden="false" customHeight="false" outlineLevel="0" collapsed="false">
      <c r="A961" s="2" t="s">
        <v>10046</v>
      </c>
      <c r="B961" s="2" t="s">
        <v>3509</v>
      </c>
      <c r="C961" s="2" t="s">
        <v>9087</v>
      </c>
      <c r="D961" s="2" t="n">
        <v>110.2</v>
      </c>
      <c r="E961" s="13" t="n">
        <v>45442</v>
      </c>
    </row>
    <row r="962" customFormat="false" ht="15" hidden="false" customHeight="false" outlineLevel="0" collapsed="false">
      <c r="A962" s="2" t="s">
        <v>10047</v>
      </c>
      <c r="B962" s="2" t="s">
        <v>3513</v>
      </c>
      <c r="C962" s="2" t="s">
        <v>9098</v>
      </c>
      <c r="D962" s="2" t="n">
        <v>110.57</v>
      </c>
      <c r="E962" s="13" t="n">
        <v>45449</v>
      </c>
    </row>
    <row r="963" customFormat="false" ht="15" hidden="false" customHeight="false" outlineLevel="0" collapsed="false">
      <c r="A963" s="2" t="s">
        <v>10048</v>
      </c>
      <c r="B963" s="2" t="s">
        <v>3515</v>
      </c>
      <c r="C963" s="2" t="s">
        <v>9085</v>
      </c>
      <c r="D963" s="2" t="n">
        <v>110.94</v>
      </c>
      <c r="E963" s="13" t="n">
        <v>45456</v>
      </c>
    </row>
    <row r="964" customFormat="false" ht="15" hidden="false" customHeight="false" outlineLevel="0" collapsed="false">
      <c r="A964" s="2" t="s">
        <v>10049</v>
      </c>
      <c r="B964" s="2" t="s">
        <v>3519</v>
      </c>
      <c r="C964" s="2" t="s">
        <v>9098</v>
      </c>
      <c r="D964" s="2" t="n">
        <v>111.31</v>
      </c>
      <c r="E964" s="13" t="n">
        <v>45463</v>
      </c>
    </row>
    <row r="965" customFormat="false" ht="15" hidden="false" customHeight="false" outlineLevel="0" collapsed="false">
      <c r="A965" s="2" t="s">
        <v>10050</v>
      </c>
      <c r="B965" s="2" t="s">
        <v>3523</v>
      </c>
      <c r="C965" s="2" t="s">
        <v>9098</v>
      </c>
      <c r="D965" s="2" t="n">
        <v>111.68</v>
      </c>
      <c r="E965" s="13" t="n">
        <v>45470</v>
      </c>
    </row>
    <row r="966" customFormat="false" ht="15" hidden="false" customHeight="false" outlineLevel="0" collapsed="false">
      <c r="A966" s="2" t="s">
        <v>10051</v>
      </c>
      <c r="B966" s="2" t="s">
        <v>3525</v>
      </c>
      <c r="C966" s="2" t="s">
        <v>9087</v>
      </c>
      <c r="D966" s="2" t="n">
        <v>112.05</v>
      </c>
      <c r="E966" s="13" t="n">
        <v>45477</v>
      </c>
    </row>
    <row r="967" customFormat="false" ht="15" hidden="false" customHeight="false" outlineLevel="0" collapsed="false">
      <c r="A967" s="2" t="s">
        <v>10052</v>
      </c>
      <c r="B967" s="2" t="s">
        <v>3527</v>
      </c>
      <c r="C967" s="2" t="s">
        <v>9083</v>
      </c>
      <c r="D967" s="2" t="n">
        <v>112.42</v>
      </c>
      <c r="E967" s="13" t="n">
        <v>45484</v>
      </c>
    </row>
    <row r="968" customFormat="false" ht="15" hidden="false" customHeight="false" outlineLevel="0" collapsed="false">
      <c r="A968" s="2" t="s">
        <v>10053</v>
      </c>
      <c r="B968" s="2" t="s">
        <v>3529</v>
      </c>
      <c r="C968" s="2" t="s">
        <v>9092</v>
      </c>
      <c r="D968" s="2" t="n">
        <v>112.79</v>
      </c>
      <c r="E968" s="13" t="n">
        <v>45491</v>
      </c>
    </row>
    <row r="969" customFormat="false" ht="15" hidden="false" customHeight="false" outlineLevel="0" collapsed="false">
      <c r="A969" s="2" t="s">
        <v>10054</v>
      </c>
      <c r="B969" s="2" t="s">
        <v>3533</v>
      </c>
      <c r="C969" s="2" t="s">
        <v>9087</v>
      </c>
      <c r="D969" s="2" t="n">
        <v>113.16</v>
      </c>
      <c r="E969" s="13" t="n">
        <v>45498</v>
      </c>
    </row>
    <row r="970" customFormat="false" ht="15" hidden="false" customHeight="false" outlineLevel="0" collapsed="false">
      <c r="A970" s="2" t="s">
        <v>10055</v>
      </c>
      <c r="B970" s="2" t="s">
        <v>3537</v>
      </c>
      <c r="C970" s="2" t="s">
        <v>9087</v>
      </c>
      <c r="D970" s="2" t="n">
        <v>113.53</v>
      </c>
      <c r="E970" s="13" t="n">
        <v>45505</v>
      </c>
    </row>
    <row r="971" customFormat="false" ht="15" hidden="false" customHeight="false" outlineLevel="0" collapsed="false">
      <c r="A971" s="2" t="s">
        <v>10056</v>
      </c>
      <c r="B971" s="2" t="s">
        <v>3539</v>
      </c>
      <c r="C971" s="2" t="s">
        <v>9083</v>
      </c>
      <c r="D971" s="2" t="n">
        <v>113.9</v>
      </c>
      <c r="E971" s="13" t="n">
        <v>45512</v>
      </c>
    </row>
    <row r="972" customFormat="false" ht="15" hidden="false" customHeight="false" outlineLevel="0" collapsed="false">
      <c r="A972" s="2" t="s">
        <v>10057</v>
      </c>
      <c r="B972" s="2" t="s">
        <v>3541</v>
      </c>
      <c r="C972" s="2" t="s">
        <v>9092</v>
      </c>
      <c r="D972" s="2" t="n">
        <v>114.27</v>
      </c>
      <c r="E972" s="13" t="n">
        <v>45519</v>
      </c>
    </row>
    <row r="973" customFormat="false" ht="15" hidden="false" customHeight="false" outlineLevel="0" collapsed="false">
      <c r="A973" s="2" t="s">
        <v>10058</v>
      </c>
      <c r="B973" s="2" t="s">
        <v>3545</v>
      </c>
      <c r="C973" s="2" t="s">
        <v>9098</v>
      </c>
      <c r="D973" s="2" t="n">
        <v>114.64</v>
      </c>
      <c r="E973" s="13" t="n">
        <v>45526</v>
      </c>
    </row>
    <row r="974" customFormat="false" ht="15" hidden="false" customHeight="false" outlineLevel="0" collapsed="false">
      <c r="A974" s="2" t="s">
        <v>10059</v>
      </c>
      <c r="B974" s="2" t="s">
        <v>3547</v>
      </c>
      <c r="C974" s="2" t="s">
        <v>9085</v>
      </c>
      <c r="D974" s="2" t="n">
        <v>115.01</v>
      </c>
      <c r="E974" s="13" t="n">
        <v>45533</v>
      </c>
    </row>
    <row r="975" customFormat="false" ht="15" hidden="false" customHeight="false" outlineLevel="0" collapsed="false">
      <c r="A975" s="2" t="s">
        <v>10060</v>
      </c>
      <c r="B975" s="2" t="s">
        <v>3549</v>
      </c>
      <c r="C975" s="2" t="s">
        <v>9085</v>
      </c>
      <c r="D975" s="2" t="n">
        <v>115.38</v>
      </c>
      <c r="E975" s="13" t="n">
        <v>45540</v>
      </c>
    </row>
    <row r="976" customFormat="false" ht="15" hidden="false" customHeight="false" outlineLevel="0" collapsed="false">
      <c r="A976" s="2" t="s">
        <v>10061</v>
      </c>
      <c r="B976" s="2" t="s">
        <v>3553</v>
      </c>
      <c r="C976" s="2" t="s">
        <v>9085</v>
      </c>
      <c r="D976" s="2" t="n">
        <v>115.75</v>
      </c>
      <c r="E976" s="13" t="n">
        <v>45547</v>
      </c>
    </row>
    <row r="977" customFormat="false" ht="15" hidden="false" customHeight="false" outlineLevel="0" collapsed="false">
      <c r="A977" s="2" t="s">
        <v>10062</v>
      </c>
      <c r="B977" s="2" t="s">
        <v>3555</v>
      </c>
      <c r="C977" s="2" t="s">
        <v>9092</v>
      </c>
      <c r="D977" s="2" t="n">
        <v>116.12</v>
      </c>
      <c r="E977" s="13" t="n">
        <v>45554</v>
      </c>
    </row>
    <row r="978" customFormat="false" ht="15" hidden="false" customHeight="false" outlineLevel="0" collapsed="false">
      <c r="A978" s="2" t="s">
        <v>10063</v>
      </c>
      <c r="B978" s="2" t="s">
        <v>3557</v>
      </c>
      <c r="C978" s="2" t="s">
        <v>9098</v>
      </c>
      <c r="D978" s="2" t="n">
        <v>116.49</v>
      </c>
      <c r="E978" s="13" t="n">
        <v>45561</v>
      </c>
    </row>
    <row r="979" customFormat="false" ht="15" hidden="false" customHeight="false" outlineLevel="0" collapsed="false">
      <c r="A979" s="2" t="s">
        <v>10064</v>
      </c>
      <c r="B979" s="2" t="s">
        <v>3559</v>
      </c>
      <c r="C979" s="2" t="s">
        <v>9092</v>
      </c>
      <c r="D979" s="2" t="n">
        <v>116.86</v>
      </c>
      <c r="E979" s="13" t="n">
        <v>45568</v>
      </c>
    </row>
    <row r="980" customFormat="false" ht="15" hidden="false" customHeight="false" outlineLevel="0" collapsed="false">
      <c r="A980" s="2" t="s">
        <v>10065</v>
      </c>
      <c r="B980" s="2" t="s">
        <v>3561</v>
      </c>
      <c r="C980" s="2" t="s">
        <v>9092</v>
      </c>
      <c r="D980" s="2" t="n">
        <v>117.23</v>
      </c>
      <c r="E980" s="13" t="n">
        <v>45575</v>
      </c>
    </row>
    <row r="981" customFormat="false" ht="15" hidden="false" customHeight="false" outlineLevel="0" collapsed="false">
      <c r="A981" s="2" t="s">
        <v>10066</v>
      </c>
      <c r="B981" s="2" t="s">
        <v>3563</v>
      </c>
      <c r="C981" s="2" t="s">
        <v>9085</v>
      </c>
      <c r="D981" s="2" t="n">
        <v>117.6</v>
      </c>
      <c r="E981" s="13" t="n">
        <v>45582</v>
      </c>
    </row>
    <row r="982" customFormat="false" ht="15" hidden="false" customHeight="false" outlineLevel="0" collapsed="false">
      <c r="A982" s="2" t="s">
        <v>10067</v>
      </c>
      <c r="B982" s="2" t="s">
        <v>3565</v>
      </c>
      <c r="C982" s="2" t="s">
        <v>9087</v>
      </c>
      <c r="D982" s="2" t="n">
        <v>117.97</v>
      </c>
      <c r="E982" s="13" t="n">
        <v>45589</v>
      </c>
    </row>
    <row r="983" customFormat="false" ht="15" hidden="false" customHeight="false" outlineLevel="0" collapsed="false">
      <c r="A983" s="2" t="s">
        <v>10068</v>
      </c>
      <c r="B983" s="2" t="s">
        <v>3569</v>
      </c>
      <c r="C983" s="2" t="s">
        <v>9092</v>
      </c>
      <c r="D983" s="2" t="n">
        <v>118.34</v>
      </c>
      <c r="E983" s="13" t="n">
        <v>45596</v>
      </c>
    </row>
    <row r="984" customFormat="false" ht="15" hidden="false" customHeight="false" outlineLevel="0" collapsed="false">
      <c r="A984" s="2" t="s">
        <v>10069</v>
      </c>
      <c r="B984" s="2" t="s">
        <v>3571</v>
      </c>
      <c r="C984" s="2" t="s">
        <v>9087</v>
      </c>
      <c r="D984" s="2" t="n">
        <v>118.71</v>
      </c>
      <c r="E984" s="13" t="n">
        <v>45603</v>
      </c>
    </row>
    <row r="985" customFormat="false" ht="15" hidden="false" customHeight="false" outlineLevel="0" collapsed="false">
      <c r="A985" s="2" t="s">
        <v>10070</v>
      </c>
      <c r="B985" s="2" t="s">
        <v>3575</v>
      </c>
      <c r="C985" s="2" t="s">
        <v>9083</v>
      </c>
      <c r="D985" s="2" t="n">
        <v>119.08</v>
      </c>
      <c r="E985" s="13" t="n">
        <v>45610</v>
      </c>
    </row>
    <row r="986" customFormat="false" ht="15" hidden="false" customHeight="false" outlineLevel="0" collapsed="false">
      <c r="A986" s="2" t="s">
        <v>10071</v>
      </c>
      <c r="B986" s="2" t="s">
        <v>3577</v>
      </c>
      <c r="C986" s="2" t="s">
        <v>9083</v>
      </c>
      <c r="D986" s="2" t="n">
        <v>119.45</v>
      </c>
      <c r="E986" s="13" t="n">
        <v>45617</v>
      </c>
    </row>
    <row r="987" customFormat="false" ht="15" hidden="false" customHeight="false" outlineLevel="0" collapsed="false">
      <c r="A987" s="2" t="s">
        <v>10072</v>
      </c>
      <c r="B987" s="2" t="s">
        <v>3581</v>
      </c>
      <c r="C987" s="2" t="s">
        <v>9087</v>
      </c>
      <c r="D987" s="2" t="n">
        <v>119.82</v>
      </c>
      <c r="E987" s="13" t="n">
        <v>45624</v>
      </c>
    </row>
    <row r="988" customFormat="false" ht="15" hidden="false" customHeight="false" outlineLevel="0" collapsed="false">
      <c r="A988" s="2" t="s">
        <v>10073</v>
      </c>
      <c r="B988" s="2" t="s">
        <v>3585</v>
      </c>
      <c r="C988" s="2" t="s">
        <v>9087</v>
      </c>
      <c r="D988" s="2" t="n">
        <v>120.19</v>
      </c>
      <c r="E988" s="13" t="n">
        <v>45631</v>
      </c>
    </row>
    <row r="989" customFormat="false" ht="15" hidden="false" customHeight="false" outlineLevel="0" collapsed="false">
      <c r="A989" s="2" t="s">
        <v>10074</v>
      </c>
      <c r="B989" s="2" t="s">
        <v>3589</v>
      </c>
      <c r="C989" s="2" t="s">
        <v>9087</v>
      </c>
      <c r="D989" s="2" t="n">
        <v>120.56</v>
      </c>
      <c r="E989" s="13" t="n">
        <v>45638</v>
      </c>
    </row>
    <row r="990" customFormat="false" ht="15" hidden="false" customHeight="false" outlineLevel="0" collapsed="false">
      <c r="A990" s="2" t="s">
        <v>10075</v>
      </c>
      <c r="B990" s="2" t="s">
        <v>3591</v>
      </c>
      <c r="C990" s="2" t="s">
        <v>9083</v>
      </c>
      <c r="D990" s="2" t="n">
        <v>120.93</v>
      </c>
      <c r="E990" s="13" t="n">
        <v>45645</v>
      </c>
    </row>
    <row r="991" customFormat="false" ht="15" hidden="false" customHeight="false" outlineLevel="0" collapsed="false">
      <c r="A991" s="2" t="s">
        <v>10076</v>
      </c>
      <c r="B991" s="2" t="s">
        <v>3595</v>
      </c>
      <c r="C991" s="2" t="s">
        <v>9085</v>
      </c>
      <c r="D991" s="2" t="n">
        <v>121.3</v>
      </c>
      <c r="E991" s="13" t="n">
        <v>45652</v>
      </c>
    </row>
    <row r="992" customFormat="false" ht="15" hidden="false" customHeight="false" outlineLevel="0" collapsed="false">
      <c r="A992" s="2" t="s">
        <v>10077</v>
      </c>
      <c r="B992" s="2" t="s">
        <v>3599</v>
      </c>
      <c r="C992" s="2" t="s">
        <v>9083</v>
      </c>
      <c r="D992" s="2" t="n">
        <v>121.67</v>
      </c>
      <c r="E992" s="13" t="n">
        <v>45659</v>
      </c>
    </row>
    <row r="993" customFormat="false" ht="15" hidden="false" customHeight="false" outlineLevel="0" collapsed="false">
      <c r="A993" s="2" t="s">
        <v>10078</v>
      </c>
      <c r="B993" s="2" t="s">
        <v>3601</v>
      </c>
      <c r="C993" s="2" t="s">
        <v>9085</v>
      </c>
      <c r="D993" s="2" t="n">
        <v>122.04</v>
      </c>
      <c r="E993" s="13" t="n">
        <v>45666</v>
      </c>
    </row>
    <row r="994" customFormat="false" ht="15" hidden="false" customHeight="false" outlineLevel="0" collapsed="false">
      <c r="A994" s="2" t="s">
        <v>10079</v>
      </c>
      <c r="B994" s="2" t="s">
        <v>3605</v>
      </c>
      <c r="C994" s="2" t="s">
        <v>9098</v>
      </c>
      <c r="D994" s="2" t="n">
        <v>122.41</v>
      </c>
      <c r="E994" s="13" t="n">
        <v>45673</v>
      </c>
    </row>
    <row r="995" customFormat="false" ht="15" hidden="false" customHeight="false" outlineLevel="0" collapsed="false">
      <c r="A995" s="2" t="s">
        <v>10080</v>
      </c>
      <c r="B995" s="2" t="s">
        <v>3609</v>
      </c>
      <c r="C995" s="2" t="s">
        <v>9083</v>
      </c>
      <c r="D995" s="2" t="n">
        <v>122.78</v>
      </c>
      <c r="E995" s="13" t="n">
        <v>45680</v>
      </c>
    </row>
    <row r="996" customFormat="false" ht="15" hidden="false" customHeight="false" outlineLevel="0" collapsed="false">
      <c r="A996" s="2" t="s">
        <v>10081</v>
      </c>
      <c r="B996" s="2" t="s">
        <v>3611</v>
      </c>
      <c r="C996" s="2" t="s">
        <v>9098</v>
      </c>
      <c r="D996" s="2" t="n">
        <v>123.15</v>
      </c>
      <c r="E996" s="13" t="n">
        <v>45687</v>
      </c>
    </row>
    <row r="997" customFormat="false" ht="15" hidden="false" customHeight="false" outlineLevel="0" collapsed="false">
      <c r="A997" s="2" t="s">
        <v>10082</v>
      </c>
      <c r="B997" s="2" t="s">
        <v>3613</v>
      </c>
      <c r="C997" s="2" t="s">
        <v>9092</v>
      </c>
      <c r="D997" s="2" t="n">
        <v>123.52</v>
      </c>
      <c r="E997" s="13" t="n">
        <v>45694</v>
      </c>
    </row>
    <row r="998" customFormat="false" ht="15" hidden="false" customHeight="false" outlineLevel="0" collapsed="false">
      <c r="A998" s="2" t="s">
        <v>10083</v>
      </c>
      <c r="B998" s="2" t="s">
        <v>3615</v>
      </c>
      <c r="C998" s="2" t="s">
        <v>9087</v>
      </c>
      <c r="D998" s="2" t="n">
        <v>123.89</v>
      </c>
      <c r="E998" s="13" t="n">
        <v>45701</v>
      </c>
    </row>
    <row r="999" customFormat="false" ht="15" hidden="false" customHeight="false" outlineLevel="0" collapsed="false">
      <c r="A999" s="2" t="s">
        <v>10084</v>
      </c>
      <c r="B999" s="2" t="s">
        <v>3617</v>
      </c>
      <c r="C999" s="2" t="s">
        <v>9087</v>
      </c>
      <c r="D999" s="2" t="n">
        <v>124.26</v>
      </c>
      <c r="E999" s="13" t="n">
        <v>45708</v>
      </c>
    </row>
    <row r="1000" customFormat="false" ht="15" hidden="false" customHeight="false" outlineLevel="0" collapsed="false">
      <c r="A1000" s="2" t="s">
        <v>10085</v>
      </c>
      <c r="B1000" s="2" t="s">
        <v>3619</v>
      </c>
      <c r="C1000" s="2" t="s">
        <v>9083</v>
      </c>
      <c r="D1000" s="2" t="n">
        <v>124.63</v>
      </c>
      <c r="E1000" s="13" t="n">
        <v>45715</v>
      </c>
    </row>
    <row r="1001" customFormat="false" ht="15" hidden="false" customHeight="false" outlineLevel="0" collapsed="false">
      <c r="A1001" s="2" t="s">
        <v>10086</v>
      </c>
      <c r="B1001" s="2" t="s">
        <v>3621</v>
      </c>
      <c r="C1001" s="2" t="s">
        <v>9087</v>
      </c>
      <c r="D1001" s="2" t="n">
        <v>125</v>
      </c>
      <c r="E1001" s="13" t="n">
        <v>45722</v>
      </c>
    </row>
    <row r="1002" customFormat="false" ht="15" hidden="false" customHeight="false" outlineLevel="0" collapsed="false">
      <c r="A1002" s="2" t="s">
        <v>10087</v>
      </c>
      <c r="B1002" s="2" t="s">
        <v>3623</v>
      </c>
      <c r="C1002" s="2" t="s">
        <v>9098</v>
      </c>
      <c r="D1002" s="2" t="n">
        <v>125.37</v>
      </c>
      <c r="E1002" s="13" t="n">
        <v>45729</v>
      </c>
    </row>
    <row r="1003" customFormat="false" ht="15" hidden="false" customHeight="false" outlineLevel="0" collapsed="false">
      <c r="A1003" s="2" t="s">
        <v>10088</v>
      </c>
      <c r="B1003" s="2" t="s">
        <v>3625</v>
      </c>
      <c r="C1003" s="2" t="s">
        <v>9098</v>
      </c>
      <c r="D1003" s="2" t="n">
        <v>125.74</v>
      </c>
      <c r="E1003" s="13" t="n">
        <v>45736</v>
      </c>
    </row>
    <row r="1004" customFormat="false" ht="15" hidden="false" customHeight="false" outlineLevel="0" collapsed="false">
      <c r="A1004" s="2" t="s">
        <v>10089</v>
      </c>
      <c r="B1004" s="2" t="s">
        <v>3629</v>
      </c>
      <c r="C1004" s="2" t="s">
        <v>9085</v>
      </c>
      <c r="D1004" s="2" t="n">
        <v>126.11</v>
      </c>
      <c r="E1004" s="13" t="n">
        <v>45743</v>
      </c>
    </row>
    <row r="1005" customFormat="false" ht="15" hidden="false" customHeight="false" outlineLevel="0" collapsed="false">
      <c r="A1005" s="2" t="s">
        <v>10090</v>
      </c>
      <c r="B1005" s="2" t="s">
        <v>3633</v>
      </c>
      <c r="C1005" s="2" t="s">
        <v>9087</v>
      </c>
      <c r="D1005" s="2" t="n">
        <v>126.48</v>
      </c>
      <c r="E1005" s="13" t="n">
        <v>45750</v>
      </c>
    </row>
    <row r="1006" customFormat="false" ht="15" hidden="false" customHeight="false" outlineLevel="0" collapsed="false">
      <c r="A1006" s="2" t="s">
        <v>10091</v>
      </c>
      <c r="B1006" s="2" t="s">
        <v>3635</v>
      </c>
      <c r="C1006" s="2" t="s">
        <v>9083</v>
      </c>
      <c r="D1006" s="2" t="n">
        <v>126.85</v>
      </c>
      <c r="E1006" s="13" t="n">
        <v>45757</v>
      </c>
    </row>
    <row r="1007" customFormat="false" ht="15" hidden="false" customHeight="false" outlineLevel="0" collapsed="false">
      <c r="A1007" s="2" t="s">
        <v>10092</v>
      </c>
      <c r="B1007" s="2" t="s">
        <v>3637</v>
      </c>
      <c r="C1007" s="2" t="s">
        <v>9092</v>
      </c>
      <c r="D1007" s="2" t="n">
        <v>127.22</v>
      </c>
      <c r="E1007" s="13" t="n">
        <v>45764</v>
      </c>
    </row>
    <row r="1008" customFormat="false" ht="15" hidden="false" customHeight="false" outlineLevel="0" collapsed="false">
      <c r="A1008" s="2" t="s">
        <v>10093</v>
      </c>
      <c r="B1008" s="2" t="s">
        <v>3639</v>
      </c>
      <c r="C1008" s="2" t="s">
        <v>9098</v>
      </c>
      <c r="D1008" s="2" t="n">
        <v>127.59</v>
      </c>
      <c r="E1008" s="13" t="n">
        <v>45771</v>
      </c>
    </row>
    <row r="1009" customFormat="false" ht="15" hidden="false" customHeight="false" outlineLevel="0" collapsed="false">
      <c r="A1009" s="2" t="s">
        <v>10094</v>
      </c>
      <c r="B1009" s="2" t="s">
        <v>3643</v>
      </c>
      <c r="C1009" s="2" t="s">
        <v>9085</v>
      </c>
      <c r="D1009" s="2" t="n">
        <v>127.96</v>
      </c>
      <c r="E1009" s="13" t="n">
        <v>45778</v>
      </c>
    </row>
    <row r="1010" customFormat="false" ht="15" hidden="false" customHeight="false" outlineLevel="0" collapsed="false">
      <c r="A1010" s="2" t="s">
        <v>10095</v>
      </c>
      <c r="B1010" s="2" t="s">
        <v>3645</v>
      </c>
      <c r="C1010" s="2" t="s">
        <v>9085</v>
      </c>
      <c r="D1010" s="2" t="n">
        <v>128.33</v>
      </c>
      <c r="E1010" s="13" t="n">
        <v>45785</v>
      </c>
    </row>
    <row r="1011" customFormat="false" ht="15" hidden="false" customHeight="false" outlineLevel="0" collapsed="false">
      <c r="A1011" s="2" t="s">
        <v>10096</v>
      </c>
      <c r="B1011" s="2" t="s">
        <v>3647</v>
      </c>
      <c r="C1011" s="2" t="s">
        <v>9083</v>
      </c>
      <c r="D1011" s="2" t="n">
        <v>128.7</v>
      </c>
      <c r="E1011" s="13" t="n">
        <v>45792</v>
      </c>
    </row>
    <row r="1012" customFormat="false" ht="15" hidden="false" customHeight="false" outlineLevel="0" collapsed="false">
      <c r="A1012" s="2" t="s">
        <v>10097</v>
      </c>
      <c r="B1012" s="2" t="s">
        <v>3649</v>
      </c>
      <c r="C1012" s="2" t="s">
        <v>9098</v>
      </c>
      <c r="D1012" s="2" t="n">
        <v>129.07</v>
      </c>
      <c r="E1012" s="13" t="n">
        <v>45799</v>
      </c>
    </row>
    <row r="1013" customFormat="false" ht="15" hidden="false" customHeight="false" outlineLevel="0" collapsed="false">
      <c r="A1013" s="2" t="s">
        <v>10098</v>
      </c>
      <c r="B1013" s="2" t="s">
        <v>3651</v>
      </c>
      <c r="C1013" s="2" t="s">
        <v>9083</v>
      </c>
      <c r="D1013" s="2" t="n">
        <v>129.44</v>
      </c>
      <c r="E1013" s="13" t="n">
        <v>45806</v>
      </c>
    </row>
    <row r="1014" customFormat="false" ht="15" hidden="false" customHeight="false" outlineLevel="0" collapsed="false">
      <c r="A1014" s="2" t="s">
        <v>10099</v>
      </c>
      <c r="B1014" s="2" t="s">
        <v>3655</v>
      </c>
      <c r="C1014" s="2" t="s">
        <v>9098</v>
      </c>
      <c r="D1014" s="2" t="n">
        <v>129.81</v>
      </c>
      <c r="E1014" s="13" t="n">
        <v>45813</v>
      </c>
    </row>
    <row r="1015" customFormat="false" ht="15" hidden="false" customHeight="false" outlineLevel="0" collapsed="false">
      <c r="A1015" s="2" t="s">
        <v>10100</v>
      </c>
      <c r="B1015" s="2" t="s">
        <v>3657</v>
      </c>
      <c r="C1015" s="2" t="s">
        <v>9098</v>
      </c>
      <c r="D1015" s="2" t="n">
        <v>130.18</v>
      </c>
      <c r="E1015" s="13" t="n">
        <v>45820</v>
      </c>
    </row>
    <row r="1016" customFormat="false" ht="15" hidden="false" customHeight="false" outlineLevel="0" collapsed="false">
      <c r="A1016" s="2" t="s">
        <v>10101</v>
      </c>
      <c r="B1016" s="2" t="s">
        <v>3661</v>
      </c>
      <c r="C1016" s="2" t="s">
        <v>9087</v>
      </c>
      <c r="D1016" s="2" t="n">
        <v>130.55</v>
      </c>
      <c r="E1016" s="13" t="n">
        <v>45827</v>
      </c>
    </row>
    <row r="1017" customFormat="false" ht="15" hidden="false" customHeight="false" outlineLevel="0" collapsed="false">
      <c r="A1017" s="2" t="s">
        <v>10102</v>
      </c>
      <c r="B1017" s="2" t="s">
        <v>3663</v>
      </c>
      <c r="C1017" s="2" t="s">
        <v>9083</v>
      </c>
      <c r="D1017" s="2" t="n">
        <v>130.92</v>
      </c>
      <c r="E1017" s="13" t="n">
        <v>45834</v>
      </c>
    </row>
    <row r="1018" customFormat="false" ht="15" hidden="false" customHeight="false" outlineLevel="0" collapsed="false">
      <c r="A1018" s="2" t="s">
        <v>10103</v>
      </c>
      <c r="B1018" s="2" t="s">
        <v>3665</v>
      </c>
      <c r="C1018" s="2" t="s">
        <v>9092</v>
      </c>
      <c r="D1018" s="2" t="n">
        <v>131.29</v>
      </c>
      <c r="E1018" s="13" t="n">
        <v>45841</v>
      </c>
    </row>
    <row r="1019" customFormat="false" ht="15" hidden="false" customHeight="false" outlineLevel="0" collapsed="false">
      <c r="A1019" s="2" t="s">
        <v>10104</v>
      </c>
      <c r="B1019" s="2" t="s">
        <v>3667</v>
      </c>
      <c r="C1019" s="2" t="s">
        <v>9085</v>
      </c>
      <c r="D1019" s="2" t="n">
        <v>131.66</v>
      </c>
      <c r="E1019" s="13" t="n">
        <v>45848</v>
      </c>
    </row>
    <row r="1020" customFormat="false" ht="15" hidden="false" customHeight="false" outlineLevel="0" collapsed="false">
      <c r="A1020" s="2" t="s">
        <v>10105</v>
      </c>
      <c r="B1020" s="2" t="s">
        <v>3669</v>
      </c>
      <c r="C1020" s="2" t="s">
        <v>9085</v>
      </c>
      <c r="D1020" s="2" t="n">
        <v>132.03</v>
      </c>
      <c r="E1020" s="13" t="n">
        <v>45855</v>
      </c>
    </row>
    <row r="1021" customFormat="false" ht="15" hidden="false" customHeight="false" outlineLevel="0" collapsed="false">
      <c r="A1021" s="2" t="s">
        <v>10106</v>
      </c>
      <c r="B1021" s="2" t="s">
        <v>3671</v>
      </c>
      <c r="C1021" s="2" t="s">
        <v>9092</v>
      </c>
      <c r="D1021" s="2" t="n">
        <v>132.4</v>
      </c>
      <c r="E1021" s="13" t="n">
        <v>45862</v>
      </c>
    </row>
    <row r="1022" customFormat="false" ht="15" hidden="false" customHeight="false" outlineLevel="0" collapsed="false">
      <c r="A1022" s="2" t="s">
        <v>10107</v>
      </c>
      <c r="B1022" s="2" t="s">
        <v>3673</v>
      </c>
      <c r="C1022" s="2" t="s">
        <v>9085</v>
      </c>
      <c r="D1022" s="2" t="n">
        <v>132.77</v>
      </c>
      <c r="E1022" s="13" t="n">
        <v>45869</v>
      </c>
    </row>
    <row r="1023" customFormat="false" ht="15" hidden="false" customHeight="false" outlineLevel="0" collapsed="false">
      <c r="A1023" s="2" t="s">
        <v>10108</v>
      </c>
      <c r="B1023" s="2" t="s">
        <v>3675</v>
      </c>
      <c r="C1023" s="2" t="s">
        <v>9092</v>
      </c>
      <c r="D1023" s="2" t="n">
        <v>133.14</v>
      </c>
      <c r="E1023" s="13" t="n">
        <v>45876</v>
      </c>
    </row>
    <row r="1024" customFormat="false" ht="15" hidden="false" customHeight="false" outlineLevel="0" collapsed="false">
      <c r="A1024" s="2" t="s">
        <v>10109</v>
      </c>
      <c r="B1024" s="2" t="s">
        <v>3677</v>
      </c>
      <c r="C1024" s="2" t="s">
        <v>9087</v>
      </c>
      <c r="D1024" s="2" t="n">
        <v>133.51</v>
      </c>
      <c r="E1024" s="13" t="n">
        <v>45883</v>
      </c>
    </row>
    <row r="1025" customFormat="false" ht="15" hidden="false" customHeight="false" outlineLevel="0" collapsed="false">
      <c r="A1025" s="2" t="s">
        <v>10110</v>
      </c>
      <c r="B1025" s="2" t="s">
        <v>3679</v>
      </c>
      <c r="C1025" s="2" t="s">
        <v>9083</v>
      </c>
      <c r="D1025" s="2" t="n">
        <v>133.88</v>
      </c>
      <c r="E1025" s="13" t="n">
        <v>45890</v>
      </c>
    </row>
    <row r="1026" customFormat="false" ht="15" hidden="false" customHeight="false" outlineLevel="0" collapsed="false">
      <c r="A1026" s="2" t="s">
        <v>10111</v>
      </c>
      <c r="B1026" s="2" t="s">
        <v>3681</v>
      </c>
      <c r="C1026" s="2" t="s">
        <v>9092</v>
      </c>
      <c r="D1026" s="2" t="n">
        <v>134.25</v>
      </c>
      <c r="E1026" s="13" t="n">
        <v>45897</v>
      </c>
    </row>
    <row r="1027" customFormat="false" ht="15" hidden="false" customHeight="false" outlineLevel="0" collapsed="false">
      <c r="A1027" s="2" t="s">
        <v>10112</v>
      </c>
      <c r="B1027" s="2" t="s">
        <v>3683</v>
      </c>
      <c r="C1027" s="2" t="s">
        <v>9098</v>
      </c>
      <c r="D1027" s="2" t="n">
        <v>134.62</v>
      </c>
      <c r="E1027" s="13" t="n">
        <v>45904</v>
      </c>
    </row>
    <row r="1028" customFormat="false" ht="15" hidden="false" customHeight="false" outlineLevel="0" collapsed="false">
      <c r="A1028" s="2" t="s">
        <v>10113</v>
      </c>
      <c r="B1028" s="2" t="s">
        <v>3685</v>
      </c>
      <c r="C1028" s="2" t="s">
        <v>9085</v>
      </c>
      <c r="D1028" s="2" t="n">
        <v>134.99</v>
      </c>
      <c r="E1028" s="13" t="n">
        <v>45911</v>
      </c>
    </row>
    <row r="1029" customFormat="false" ht="15" hidden="false" customHeight="false" outlineLevel="0" collapsed="false">
      <c r="A1029" s="2" t="s">
        <v>10114</v>
      </c>
      <c r="B1029" s="2" t="s">
        <v>3689</v>
      </c>
      <c r="C1029" s="2" t="s">
        <v>9087</v>
      </c>
      <c r="D1029" s="2" t="n">
        <v>135.36</v>
      </c>
      <c r="E1029" s="13" t="n">
        <v>45918</v>
      </c>
    </row>
    <row r="1030" customFormat="false" ht="15" hidden="false" customHeight="false" outlineLevel="0" collapsed="false">
      <c r="A1030" s="2" t="s">
        <v>10115</v>
      </c>
      <c r="B1030" s="2" t="s">
        <v>3691</v>
      </c>
      <c r="C1030" s="2" t="s">
        <v>9083</v>
      </c>
      <c r="D1030" s="2" t="n">
        <v>135.73</v>
      </c>
      <c r="E1030" s="13" t="n">
        <v>45925</v>
      </c>
    </row>
    <row r="1031" customFormat="false" ht="15" hidden="false" customHeight="false" outlineLevel="0" collapsed="false">
      <c r="A1031" s="2" t="s">
        <v>10116</v>
      </c>
      <c r="B1031" s="2" t="s">
        <v>3693</v>
      </c>
      <c r="C1031" s="2" t="s">
        <v>9092</v>
      </c>
      <c r="D1031" s="2" t="n">
        <v>136.1</v>
      </c>
      <c r="E1031" s="13" t="n">
        <v>45932</v>
      </c>
    </row>
    <row r="1032" customFormat="false" ht="15" hidden="false" customHeight="false" outlineLevel="0" collapsed="false">
      <c r="A1032" s="2" t="s">
        <v>10117</v>
      </c>
      <c r="B1032" s="2" t="s">
        <v>3695</v>
      </c>
      <c r="C1032" s="2" t="s">
        <v>9087</v>
      </c>
      <c r="D1032" s="2" t="n">
        <v>136.47</v>
      </c>
      <c r="E1032" s="13" t="n">
        <v>45939</v>
      </c>
    </row>
    <row r="1033" customFormat="false" ht="15" hidden="false" customHeight="false" outlineLevel="0" collapsed="false">
      <c r="A1033" s="2" t="s">
        <v>10118</v>
      </c>
      <c r="B1033" s="2" t="s">
        <v>3697</v>
      </c>
      <c r="C1033" s="2" t="s">
        <v>9087</v>
      </c>
      <c r="D1033" s="2" t="n">
        <v>136.84</v>
      </c>
      <c r="E1033" s="13" t="n">
        <v>45946</v>
      </c>
    </row>
    <row r="1034" customFormat="false" ht="15" hidden="false" customHeight="false" outlineLevel="0" collapsed="false">
      <c r="A1034" s="2" t="s">
        <v>10119</v>
      </c>
      <c r="B1034" s="2" t="s">
        <v>3699</v>
      </c>
      <c r="C1034" s="2" t="s">
        <v>9092</v>
      </c>
      <c r="D1034" s="2" t="n">
        <v>137.21</v>
      </c>
      <c r="E1034" s="13" t="n">
        <v>45953</v>
      </c>
    </row>
    <row r="1035" customFormat="false" ht="15" hidden="false" customHeight="false" outlineLevel="0" collapsed="false">
      <c r="A1035" s="2" t="s">
        <v>10120</v>
      </c>
      <c r="B1035" s="2" t="s">
        <v>3701</v>
      </c>
      <c r="C1035" s="2" t="s">
        <v>9085</v>
      </c>
      <c r="D1035" s="2" t="n">
        <v>137.58</v>
      </c>
      <c r="E1035" s="13" t="n">
        <v>45960</v>
      </c>
    </row>
    <row r="1036" customFormat="false" ht="15" hidden="false" customHeight="false" outlineLevel="0" collapsed="false">
      <c r="A1036" s="2" t="s">
        <v>10121</v>
      </c>
      <c r="B1036" s="2" t="s">
        <v>3703</v>
      </c>
      <c r="C1036" s="2" t="s">
        <v>9092</v>
      </c>
      <c r="D1036" s="2" t="n">
        <v>137.95</v>
      </c>
      <c r="E1036" s="13" t="n">
        <v>45967</v>
      </c>
    </row>
    <row r="1037" customFormat="false" ht="15" hidden="false" customHeight="false" outlineLevel="0" collapsed="false">
      <c r="A1037" s="2" t="s">
        <v>10122</v>
      </c>
      <c r="B1037" s="2" t="s">
        <v>3705</v>
      </c>
      <c r="C1037" s="2" t="s">
        <v>9085</v>
      </c>
      <c r="D1037" s="2" t="n">
        <v>138.32</v>
      </c>
      <c r="E1037" s="13" t="n">
        <v>45974</v>
      </c>
    </row>
    <row r="1038" customFormat="false" ht="15" hidden="false" customHeight="false" outlineLevel="0" collapsed="false">
      <c r="A1038" s="2" t="s">
        <v>10123</v>
      </c>
      <c r="B1038" s="2" t="s">
        <v>3707</v>
      </c>
      <c r="C1038" s="2" t="s">
        <v>9085</v>
      </c>
      <c r="D1038" s="2" t="n">
        <v>138.69</v>
      </c>
      <c r="E1038" s="13" t="n">
        <v>45981</v>
      </c>
    </row>
    <row r="1039" customFormat="false" ht="15" hidden="false" customHeight="false" outlineLevel="0" collapsed="false">
      <c r="A1039" s="2" t="s">
        <v>10124</v>
      </c>
      <c r="B1039" s="2" t="s">
        <v>3711</v>
      </c>
      <c r="C1039" s="2" t="s">
        <v>9087</v>
      </c>
      <c r="D1039" s="2" t="n">
        <v>139.06</v>
      </c>
      <c r="E1039" s="13" t="n">
        <v>45988</v>
      </c>
    </row>
    <row r="1040" customFormat="false" ht="15" hidden="false" customHeight="false" outlineLevel="0" collapsed="false">
      <c r="A1040" s="2" t="s">
        <v>10125</v>
      </c>
      <c r="B1040" s="2" t="s">
        <v>3713</v>
      </c>
      <c r="C1040" s="2" t="s">
        <v>9092</v>
      </c>
      <c r="D1040" s="2" t="n">
        <v>139.43</v>
      </c>
      <c r="E1040" s="13" t="n">
        <v>45995</v>
      </c>
    </row>
    <row r="1041" customFormat="false" ht="15" hidden="false" customHeight="false" outlineLevel="0" collapsed="false">
      <c r="A1041" s="2" t="s">
        <v>10126</v>
      </c>
      <c r="B1041" s="2" t="s">
        <v>3715</v>
      </c>
      <c r="C1041" s="2" t="s">
        <v>9087</v>
      </c>
      <c r="D1041" s="2" t="n">
        <v>139.8</v>
      </c>
      <c r="E1041" s="13" t="n">
        <v>46002</v>
      </c>
    </row>
    <row r="1042" customFormat="false" ht="15" hidden="false" customHeight="false" outlineLevel="0" collapsed="false">
      <c r="A1042" s="2" t="s">
        <v>10127</v>
      </c>
      <c r="B1042" s="2" t="s">
        <v>3717</v>
      </c>
      <c r="C1042" s="2" t="s">
        <v>9092</v>
      </c>
      <c r="D1042" s="2" t="n">
        <v>140.17</v>
      </c>
      <c r="E1042" s="13" t="n">
        <v>46009</v>
      </c>
    </row>
    <row r="1043" customFormat="false" ht="15" hidden="false" customHeight="false" outlineLevel="0" collapsed="false">
      <c r="A1043" s="2" t="s">
        <v>10128</v>
      </c>
      <c r="B1043" s="2" t="s">
        <v>3719</v>
      </c>
      <c r="C1043" s="2" t="s">
        <v>9087</v>
      </c>
      <c r="D1043" s="2" t="n">
        <v>140.54</v>
      </c>
      <c r="E1043" s="13" t="n">
        <v>46016</v>
      </c>
    </row>
    <row r="1044" customFormat="false" ht="15" hidden="false" customHeight="false" outlineLevel="0" collapsed="false">
      <c r="A1044" s="2" t="s">
        <v>10129</v>
      </c>
      <c r="B1044" s="2" t="s">
        <v>3721</v>
      </c>
      <c r="C1044" s="2" t="s">
        <v>9083</v>
      </c>
      <c r="D1044" s="2" t="n">
        <v>140.91</v>
      </c>
      <c r="E1044" s="13" t="n">
        <v>45293</v>
      </c>
    </row>
    <row r="1045" customFormat="false" ht="15" hidden="false" customHeight="false" outlineLevel="0" collapsed="false">
      <c r="A1045" s="2" t="s">
        <v>10130</v>
      </c>
      <c r="B1045" s="2" t="s">
        <v>3723</v>
      </c>
      <c r="C1045" s="2" t="s">
        <v>9083</v>
      </c>
      <c r="D1045" s="2" t="n">
        <v>141.28</v>
      </c>
      <c r="E1045" s="13" t="n">
        <v>45300</v>
      </c>
    </row>
    <row r="1046" customFormat="false" ht="15" hidden="false" customHeight="false" outlineLevel="0" collapsed="false">
      <c r="A1046" s="2" t="s">
        <v>10131</v>
      </c>
      <c r="B1046" s="2" t="s">
        <v>3725</v>
      </c>
      <c r="C1046" s="2" t="s">
        <v>9087</v>
      </c>
      <c r="D1046" s="2" t="n">
        <v>141.65</v>
      </c>
      <c r="E1046" s="13" t="n">
        <v>45307</v>
      </c>
    </row>
    <row r="1047" customFormat="false" ht="15" hidden="false" customHeight="false" outlineLevel="0" collapsed="false">
      <c r="A1047" s="2" t="s">
        <v>10132</v>
      </c>
      <c r="B1047" s="2" t="s">
        <v>3727</v>
      </c>
      <c r="C1047" s="2" t="s">
        <v>9087</v>
      </c>
      <c r="D1047" s="2" t="n">
        <v>142.02</v>
      </c>
      <c r="E1047" s="13" t="n">
        <v>45314</v>
      </c>
    </row>
    <row r="1048" customFormat="false" ht="15" hidden="false" customHeight="false" outlineLevel="0" collapsed="false">
      <c r="A1048" s="2" t="s">
        <v>10133</v>
      </c>
      <c r="B1048" s="2" t="s">
        <v>3729</v>
      </c>
      <c r="C1048" s="2" t="s">
        <v>9085</v>
      </c>
      <c r="D1048" s="2" t="n">
        <v>142.39</v>
      </c>
      <c r="E1048" s="13" t="n">
        <v>45321</v>
      </c>
    </row>
    <row r="1049" customFormat="false" ht="15" hidden="false" customHeight="false" outlineLevel="0" collapsed="false">
      <c r="A1049" s="2" t="s">
        <v>10134</v>
      </c>
      <c r="B1049" s="2" t="s">
        <v>3733</v>
      </c>
      <c r="C1049" s="2" t="s">
        <v>9085</v>
      </c>
      <c r="D1049" s="2" t="n">
        <v>142.76</v>
      </c>
      <c r="E1049" s="13" t="n">
        <v>45328</v>
      </c>
    </row>
    <row r="1050" customFormat="false" ht="15" hidden="false" customHeight="false" outlineLevel="0" collapsed="false">
      <c r="A1050" s="2" t="s">
        <v>10135</v>
      </c>
      <c r="B1050" s="2" t="s">
        <v>3737</v>
      </c>
      <c r="C1050" s="2" t="s">
        <v>9092</v>
      </c>
      <c r="D1050" s="2" t="n">
        <v>143.13</v>
      </c>
      <c r="E1050" s="13" t="n">
        <v>45335</v>
      </c>
    </row>
    <row r="1051" customFormat="false" ht="15" hidden="false" customHeight="false" outlineLevel="0" collapsed="false">
      <c r="A1051" s="2" t="s">
        <v>10136</v>
      </c>
      <c r="B1051" s="2" t="s">
        <v>3741</v>
      </c>
      <c r="C1051" s="2" t="s">
        <v>9085</v>
      </c>
      <c r="D1051" s="2" t="n">
        <v>143.5</v>
      </c>
      <c r="E1051" s="13" t="n">
        <v>45342</v>
      </c>
    </row>
    <row r="1052" customFormat="false" ht="15" hidden="false" customHeight="false" outlineLevel="0" collapsed="false">
      <c r="A1052" s="2" t="s">
        <v>10137</v>
      </c>
      <c r="B1052" s="2" t="s">
        <v>3745</v>
      </c>
      <c r="C1052" s="2" t="s">
        <v>9083</v>
      </c>
      <c r="D1052" s="2" t="n">
        <v>143.87</v>
      </c>
      <c r="E1052" s="13" t="n">
        <v>45349</v>
      </c>
    </row>
    <row r="1053" customFormat="false" ht="15" hidden="false" customHeight="false" outlineLevel="0" collapsed="false">
      <c r="A1053" s="2" t="s">
        <v>10138</v>
      </c>
      <c r="B1053" s="2" t="s">
        <v>3747</v>
      </c>
      <c r="C1053" s="2" t="s">
        <v>9092</v>
      </c>
      <c r="D1053" s="2" t="n">
        <v>144.24</v>
      </c>
      <c r="E1053" s="13" t="n">
        <v>45356</v>
      </c>
    </row>
    <row r="1054" customFormat="false" ht="15" hidden="false" customHeight="false" outlineLevel="0" collapsed="false">
      <c r="A1054" s="2" t="s">
        <v>10139</v>
      </c>
      <c r="B1054" s="2" t="s">
        <v>3751</v>
      </c>
      <c r="C1054" s="2" t="s">
        <v>9085</v>
      </c>
      <c r="D1054" s="2" t="n">
        <v>144.61</v>
      </c>
      <c r="E1054" s="13" t="n">
        <v>45363</v>
      </c>
    </row>
    <row r="1055" customFormat="false" ht="15" hidden="false" customHeight="false" outlineLevel="0" collapsed="false">
      <c r="A1055" s="2" t="s">
        <v>10140</v>
      </c>
      <c r="B1055" s="2" t="s">
        <v>3753</v>
      </c>
      <c r="C1055" s="2" t="s">
        <v>9087</v>
      </c>
      <c r="D1055" s="2" t="n">
        <v>144.98</v>
      </c>
      <c r="E1055" s="13" t="n">
        <v>45370</v>
      </c>
    </row>
    <row r="1056" customFormat="false" ht="15" hidden="false" customHeight="false" outlineLevel="0" collapsed="false">
      <c r="A1056" s="2" t="s">
        <v>10141</v>
      </c>
      <c r="B1056" s="2" t="s">
        <v>3757</v>
      </c>
      <c r="C1056" s="2" t="s">
        <v>9085</v>
      </c>
      <c r="D1056" s="2" t="n">
        <v>145.35</v>
      </c>
      <c r="E1056" s="13" t="n">
        <v>45377</v>
      </c>
    </row>
    <row r="1057" customFormat="false" ht="15" hidden="false" customHeight="false" outlineLevel="0" collapsed="false">
      <c r="A1057" s="2" t="s">
        <v>10142</v>
      </c>
      <c r="B1057" s="2" t="s">
        <v>3761</v>
      </c>
      <c r="C1057" s="2" t="s">
        <v>9087</v>
      </c>
      <c r="D1057" s="2" t="n">
        <v>145.72</v>
      </c>
      <c r="E1057" s="13" t="n">
        <v>45384</v>
      </c>
    </row>
    <row r="1058" customFormat="false" ht="15" hidden="false" customHeight="false" outlineLevel="0" collapsed="false">
      <c r="A1058" s="2" t="s">
        <v>10143</v>
      </c>
      <c r="B1058" s="2" t="s">
        <v>3763</v>
      </c>
      <c r="C1058" s="2" t="s">
        <v>9092</v>
      </c>
      <c r="D1058" s="2" t="n">
        <v>146.09</v>
      </c>
      <c r="E1058" s="13" t="n">
        <v>45391</v>
      </c>
    </row>
    <row r="1059" customFormat="false" ht="15" hidden="false" customHeight="false" outlineLevel="0" collapsed="false">
      <c r="A1059" s="2" t="s">
        <v>10144</v>
      </c>
      <c r="B1059" s="2" t="s">
        <v>3767</v>
      </c>
      <c r="C1059" s="2" t="s">
        <v>9085</v>
      </c>
      <c r="D1059" s="2" t="n">
        <v>146.46</v>
      </c>
      <c r="E1059" s="13" t="n">
        <v>45398</v>
      </c>
    </row>
    <row r="1060" customFormat="false" ht="15" hidden="false" customHeight="false" outlineLevel="0" collapsed="false">
      <c r="A1060" s="2" t="s">
        <v>10145</v>
      </c>
      <c r="B1060" s="2" t="s">
        <v>3769</v>
      </c>
      <c r="C1060" s="2" t="s">
        <v>9092</v>
      </c>
      <c r="D1060" s="2" t="n">
        <v>146.83</v>
      </c>
      <c r="E1060" s="13" t="n">
        <v>45405</v>
      </c>
    </row>
    <row r="1061" customFormat="false" ht="15" hidden="false" customHeight="false" outlineLevel="0" collapsed="false">
      <c r="A1061" s="2" t="s">
        <v>10146</v>
      </c>
      <c r="B1061" s="2" t="s">
        <v>3773</v>
      </c>
      <c r="C1061" s="2" t="s">
        <v>9092</v>
      </c>
      <c r="D1061" s="2" t="n">
        <v>147.2</v>
      </c>
      <c r="E1061" s="13" t="n">
        <v>45412</v>
      </c>
    </row>
    <row r="1062" customFormat="false" ht="15" hidden="false" customHeight="false" outlineLevel="0" collapsed="false">
      <c r="A1062" s="2" t="s">
        <v>10147</v>
      </c>
      <c r="B1062" s="2" t="s">
        <v>3777</v>
      </c>
      <c r="C1062" s="2" t="s">
        <v>9087</v>
      </c>
      <c r="D1062" s="2" t="n">
        <v>147.57</v>
      </c>
      <c r="E1062" s="13" t="n">
        <v>45419</v>
      </c>
    </row>
    <row r="1063" customFormat="false" ht="15" hidden="false" customHeight="false" outlineLevel="0" collapsed="false">
      <c r="A1063" s="2" t="s">
        <v>10148</v>
      </c>
      <c r="B1063" s="2" t="s">
        <v>3779</v>
      </c>
      <c r="C1063" s="2" t="s">
        <v>9083</v>
      </c>
      <c r="D1063" s="2" t="n">
        <v>147.94</v>
      </c>
      <c r="E1063" s="13" t="n">
        <v>45426</v>
      </c>
    </row>
    <row r="1064" customFormat="false" ht="15" hidden="false" customHeight="false" outlineLevel="0" collapsed="false">
      <c r="A1064" s="2" t="s">
        <v>10149</v>
      </c>
      <c r="B1064" s="2" t="s">
        <v>3783</v>
      </c>
      <c r="C1064" s="2" t="s">
        <v>9098</v>
      </c>
      <c r="D1064" s="2" t="n">
        <v>148.31</v>
      </c>
      <c r="E1064" s="13" t="n">
        <v>45433</v>
      </c>
    </row>
    <row r="1065" customFormat="false" ht="15" hidden="false" customHeight="false" outlineLevel="0" collapsed="false">
      <c r="A1065" s="2" t="s">
        <v>10150</v>
      </c>
      <c r="B1065" s="2" t="s">
        <v>3785</v>
      </c>
      <c r="C1065" s="2" t="s">
        <v>9098</v>
      </c>
      <c r="D1065" s="2" t="n">
        <v>148.68</v>
      </c>
      <c r="E1065" s="13" t="n">
        <v>45440</v>
      </c>
    </row>
    <row r="1066" customFormat="false" ht="15" hidden="false" customHeight="false" outlineLevel="0" collapsed="false">
      <c r="A1066" s="2" t="s">
        <v>10151</v>
      </c>
      <c r="B1066" s="2" t="s">
        <v>3787</v>
      </c>
      <c r="C1066" s="2" t="s">
        <v>9092</v>
      </c>
      <c r="D1066" s="2" t="n">
        <v>149.05</v>
      </c>
      <c r="E1066" s="13" t="n">
        <v>45447</v>
      </c>
    </row>
    <row r="1067" customFormat="false" ht="15" hidden="false" customHeight="false" outlineLevel="0" collapsed="false">
      <c r="A1067" s="2" t="s">
        <v>10152</v>
      </c>
      <c r="B1067" s="2" t="s">
        <v>3789</v>
      </c>
      <c r="C1067" s="2" t="s">
        <v>9092</v>
      </c>
      <c r="D1067" s="2" t="n">
        <v>149.42</v>
      </c>
      <c r="E1067" s="13" t="n">
        <v>45454</v>
      </c>
    </row>
    <row r="1068" customFormat="false" ht="15" hidden="false" customHeight="false" outlineLevel="0" collapsed="false">
      <c r="A1068" s="2" t="s">
        <v>10153</v>
      </c>
      <c r="B1068" s="2" t="s">
        <v>3791</v>
      </c>
      <c r="C1068" s="2" t="s">
        <v>9092</v>
      </c>
      <c r="D1068" s="2" t="n">
        <v>149.79</v>
      </c>
      <c r="E1068" s="13" t="n">
        <v>45461</v>
      </c>
    </row>
    <row r="1069" customFormat="false" ht="15" hidden="false" customHeight="false" outlineLevel="0" collapsed="false">
      <c r="A1069" s="2" t="s">
        <v>10154</v>
      </c>
      <c r="B1069" s="2" t="s">
        <v>3793</v>
      </c>
      <c r="C1069" s="2" t="s">
        <v>9083</v>
      </c>
      <c r="D1069" s="2" t="n">
        <v>150.16</v>
      </c>
      <c r="E1069" s="13" t="n">
        <v>45468</v>
      </c>
    </row>
    <row r="1070" customFormat="false" ht="15" hidden="false" customHeight="false" outlineLevel="0" collapsed="false">
      <c r="A1070" s="2" t="s">
        <v>10155</v>
      </c>
      <c r="B1070" s="2" t="s">
        <v>3797</v>
      </c>
      <c r="C1070" s="2" t="s">
        <v>9085</v>
      </c>
      <c r="D1070" s="2" t="n">
        <v>150.53</v>
      </c>
      <c r="E1070" s="13" t="n">
        <v>45475</v>
      </c>
    </row>
    <row r="1071" customFormat="false" ht="15" hidden="false" customHeight="false" outlineLevel="0" collapsed="false">
      <c r="A1071" s="2" t="s">
        <v>10156</v>
      </c>
      <c r="B1071" s="2" t="s">
        <v>3799</v>
      </c>
      <c r="C1071" s="2" t="s">
        <v>9092</v>
      </c>
      <c r="D1071" s="2" t="n">
        <v>150.9</v>
      </c>
      <c r="E1071" s="13" t="n">
        <v>45482</v>
      </c>
    </row>
    <row r="1072" customFormat="false" ht="15" hidden="false" customHeight="false" outlineLevel="0" collapsed="false">
      <c r="A1072" s="2" t="s">
        <v>10157</v>
      </c>
      <c r="B1072" s="2" t="s">
        <v>3801</v>
      </c>
      <c r="C1072" s="2" t="s">
        <v>9085</v>
      </c>
      <c r="D1072" s="2" t="n">
        <v>151.27</v>
      </c>
      <c r="E1072" s="13" t="n">
        <v>45489</v>
      </c>
    </row>
    <row r="1073" customFormat="false" ht="15" hidden="false" customHeight="false" outlineLevel="0" collapsed="false">
      <c r="A1073" s="2" t="s">
        <v>10158</v>
      </c>
      <c r="B1073" s="2" t="s">
        <v>3805</v>
      </c>
      <c r="C1073" s="2" t="s">
        <v>9085</v>
      </c>
      <c r="D1073" s="2" t="n">
        <v>151.64</v>
      </c>
      <c r="E1073" s="13" t="n">
        <v>45496</v>
      </c>
    </row>
    <row r="1074" customFormat="false" ht="15" hidden="false" customHeight="false" outlineLevel="0" collapsed="false">
      <c r="A1074" s="2" t="s">
        <v>10159</v>
      </c>
      <c r="B1074" s="2" t="s">
        <v>3809</v>
      </c>
      <c r="C1074" s="2" t="s">
        <v>9098</v>
      </c>
      <c r="D1074" s="2" t="n">
        <v>152.01</v>
      </c>
      <c r="E1074" s="13" t="n">
        <v>45503</v>
      </c>
    </row>
    <row r="1075" customFormat="false" ht="15" hidden="false" customHeight="false" outlineLevel="0" collapsed="false">
      <c r="A1075" s="2" t="s">
        <v>10160</v>
      </c>
      <c r="B1075" s="2" t="s">
        <v>3811</v>
      </c>
      <c r="C1075" s="2" t="s">
        <v>9085</v>
      </c>
      <c r="D1075" s="2" t="n">
        <v>152.38</v>
      </c>
      <c r="E1075" s="13" t="n">
        <v>45510</v>
      </c>
    </row>
    <row r="1076" customFormat="false" ht="15" hidden="false" customHeight="false" outlineLevel="0" collapsed="false">
      <c r="A1076" s="2" t="s">
        <v>10161</v>
      </c>
      <c r="B1076" s="2" t="s">
        <v>3813</v>
      </c>
      <c r="C1076" s="2" t="s">
        <v>9098</v>
      </c>
      <c r="D1076" s="2" t="n">
        <v>152.75</v>
      </c>
      <c r="E1076" s="13" t="n">
        <v>45517</v>
      </c>
    </row>
    <row r="1077" customFormat="false" ht="15" hidden="false" customHeight="false" outlineLevel="0" collapsed="false">
      <c r="A1077" s="2" t="s">
        <v>10162</v>
      </c>
      <c r="B1077" s="2" t="s">
        <v>3815</v>
      </c>
      <c r="C1077" s="2" t="s">
        <v>9085</v>
      </c>
      <c r="D1077" s="2" t="n">
        <v>153.12</v>
      </c>
      <c r="E1077" s="13" t="n">
        <v>45524</v>
      </c>
    </row>
    <row r="1078" customFormat="false" ht="15" hidden="false" customHeight="false" outlineLevel="0" collapsed="false">
      <c r="A1078" s="2" t="s">
        <v>10163</v>
      </c>
      <c r="B1078" s="2" t="s">
        <v>3817</v>
      </c>
      <c r="C1078" s="2" t="s">
        <v>9087</v>
      </c>
      <c r="D1078" s="2" t="n">
        <v>153.49</v>
      </c>
      <c r="E1078" s="13" t="n">
        <v>45531</v>
      </c>
    </row>
    <row r="1079" customFormat="false" ht="15" hidden="false" customHeight="false" outlineLevel="0" collapsed="false">
      <c r="A1079" s="2" t="s">
        <v>10164</v>
      </c>
      <c r="B1079" s="2" t="s">
        <v>3819</v>
      </c>
      <c r="C1079" s="2" t="s">
        <v>9087</v>
      </c>
      <c r="D1079" s="2" t="n">
        <v>153.86</v>
      </c>
      <c r="E1079" s="13" t="n">
        <v>45538</v>
      </c>
    </row>
    <row r="1080" customFormat="false" ht="15" hidden="false" customHeight="false" outlineLevel="0" collapsed="false">
      <c r="A1080" s="2" t="s">
        <v>10165</v>
      </c>
      <c r="B1080" s="2" t="s">
        <v>3823</v>
      </c>
      <c r="C1080" s="2" t="s">
        <v>9085</v>
      </c>
      <c r="D1080" s="2" t="n">
        <v>154.23</v>
      </c>
      <c r="E1080" s="13" t="n">
        <v>45545</v>
      </c>
    </row>
    <row r="1081" customFormat="false" ht="15" hidden="false" customHeight="false" outlineLevel="0" collapsed="false">
      <c r="A1081" s="2" t="s">
        <v>10166</v>
      </c>
      <c r="B1081" s="2" t="s">
        <v>3825</v>
      </c>
      <c r="C1081" s="2" t="s">
        <v>9098</v>
      </c>
      <c r="D1081" s="2" t="n">
        <v>154.6</v>
      </c>
      <c r="E1081" s="13" t="n">
        <v>45552</v>
      </c>
    </row>
    <row r="1082" customFormat="false" ht="15" hidden="false" customHeight="false" outlineLevel="0" collapsed="false">
      <c r="A1082" s="2" t="s">
        <v>10167</v>
      </c>
      <c r="B1082" s="2" t="s">
        <v>3829</v>
      </c>
      <c r="C1082" s="2" t="s">
        <v>9098</v>
      </c>
      <c r="D1082" s="2" t="n">
        <v>154.97</v>
      </c>
      <c r="E1082" s="13" t="n">
        <v>45559</v>
      </c>
    </row>
    <row r="1083" customFormat="false" ht="15" hidden="false" customHeight="false" outlineLevel="0" collapsed="false">
      <c r="A1083" s="2" t="s">
        <v>10168</v>
      </c>
      <c r="B1083" s="2" t="s">
        <v>3831</v>
      </c>
      <c r="C1083" s="2" t="s">
        <v>9087</v>
      </c>
      <c r="D1083" s="2" t="n">
        <v>155.34</v>
      </c>
      <c r="E1083" s="13" t="n">
        <v>45566</v>
      </c>
    </row>
    <row r="1084" customFormat="false" ht="15" hidden="false" customHeight="false" outlineLevel="0" collapsed="false">
      <c r="A1084" s="2" t="s">
        <v>10169</v>
      </c>
      <c r="B1084" s="2" t="s">
        <v>3833</v>
      </c>
      <c r="C1084" s="2" t="s">
        <v>9092</v>
      </c>
      <c r="D1084" s="2" t="n">
        <v>155.71</v>
      </c>
      <c r="E1084" s="13" t="n">
        <v>45573</v>
      </c>
    </row>
    <row r="1085" customFormat="false" ht="15" hidden="false" customHeight="false" outlineLevel="0" collapsed="false">
      <c r="A1085" s="2" t="s">
        <v>10170</v>
      </c>
      <c r="B1085" s="2" t="s">
        <v>3837</v>
      </c>
      <c r="C1085" s="2" t="s">
        <v>9085</v>
      </c>
      <c r="D1085" s="2" t="n">
        <v>156.08</v>
      </c>
      <c r="E1085" s="13" t="n">
        <v>45580</v>
      </c>
    </row>
    <row r="1086" customFormat="false" ht="15" hidden="false" customHeight="false" outlineLevel="0" collapsed="false">
      <c r="A1086" s="2" t="s">
        <v>10171</v>
      </c>
      <c r="B1086" s="2" t="s">
        <v>3839</v>
      </c>
      <c r="C1086" s="2" t="s">
        <v>9083</v>
      </c>
      <c r="D1086" s="2" t="n">
        <v>156.45</v>
      </c>
      <c r="E1086" s="13" t="n">
        <v>45587</v>
      </c>
    </row>
    <row r="1087" customFormat="false" ht="15" hidden="false" customHeight="false" outlineLevel="0" collapsed="false">
      <c r="A1087" s="2" t="s">
        <v>10172</v>
      </c>
      <c r="B1087" s="2" t="s">
        <v>3841</v>
      </c>
      <c r="C1087" s="2" t="s">
        <v>9083</v>
      </c>
      <c r="D1087" s="2" t="n">
        <v>156.82</v>
      </c>
      <c r="E1087" s="13" t="n">
        <v>45594</v>
      </c>
    </row>
    <row r="1088" customFormat="false" ht="15" hidden="false" customHeight="false" outlineLevel="0" collapsed="false">
      <c r="A1088" s="2" t="s">
        <v>10173</v>
      </c>
      <c r="B1088" s="2" t="s">
        <v>3843</v>
      </c>
      <c r="C1088" s="2" t="s">
        <v>9092</v>
      </c>
      <c r="D1088" s="2" t="n">
        <v>157.19</v>
      </c>
      <c r="E1088" s="13" t="n">
        <v>45601</v>
      </c>
    </row>
    <row r="1089" customFormat="false" ht="15" hidden="false" customHeight="false" outlineLevel="0" collapsed="false">
      <c r="A1089" s="2" t="s">
        <v>10174</v>
      </c>
      <c r="B1089" s="2" t="s">
        <v>3845</v>
      </c>
      <c r="C1089" s="2" t="s">
        <v>9098</v>
      </c>
      <c r="D1089" s="2" t="n">
        <v>157.56</v>
      </c>
      <c r="E1089" s="13" t="n">
        <v>45608</v>
      </c>
    </row>
    <row r="1090" customFormat="false" ht="15" hidden="false" customHeight="false" outlineLevel="0" collapsed="false">
      <c r="A1090" s="2" t="s">
        <v>10175</v>
      </c>
      <c r="B1090" s="2" t="s">
        <v>3847</v>
      </c>
      <c r="C1090" s="2" t="s">
        <v>9085</v>
      </c>
      <c r="D1090" s="2" t="n">
        <v>157.93</v>
      </c>
      <c r="E1090" s="13" t="n">
        <v>45615</v>
      </c>
    </row>
    <row r="1091" customFormat="false" ht="15" hidden="false" customHeight="false" outlineLevel="0" collapsed="false">
      <c r="A1091" s="2" t="s">
        <v>10176</v>
      </c>
      <c r="B1091" s="2" t="s">
        <v>3849</v>
      </c>
      <c r="C1091" s="2" t="s">
        <v>9087</v>
      </c>
      <c r="D1091" s="2" t="n">
        <v>158.3</v>
      </c>
      <c r="E1091" s="13" t="n">
        <v>45622</v>
      </c>
    </row>
    <row r="1092" customFormat="false" ht="15" hidden="false" customHeight="false" outlineLevel="0" collapsed="false">
      <c r="A1092" s="2" t="s">
        <v>10177</v>
      </c>
      <c r="B1092" s="2" t="s">
        <v>3851</v>
      </c>
      <c r="C1092" s="2" t="s">
        <v>9092</v>
      </c>
      <c r="D1092" s="2" t="n">
        <v>158.67</v>
      </c>
      <c r="E1092" s="13" t="n">
        <v>45629</v>
      </c>
    </row>
    <row r="1093" customFormat="false" ht="15" hidden="false" customHeight="false" outlineLevel="0" collapsed="false">
      <c r="A1093" s="2" t="s">
        <v>10178</v>
      </c>
      <c r="B1093" s="2" t="s">
        <v>3855</v>
      </c>
      <c r="C1093" s="2" t="s">
        <v>9083</v>
      </c>
      <c r="D1093" s="2" t="n">
        <v>159.04</v>
      </c>
      <c r="E1093" s="13" t="n">
        <v>45636</v>
      </c>
    </row>
    <row r="1094" customFormat="false" ht="15" hidden="false" customHeight="false" outlineLevel="0" collapsed="false">
      <c r="A1094" s="2" t="s">
        <v>10179</v>
      </c>
      <c r="B1094" s="2" t="s">
        <v>3857</v>
      </c>
      <c r="C1094" s="2" t="s">
        <v>9083</v>
      </c>
      <c r="D1094" s="2" t="n">
        <v>159.41</v>
      </c>
      <c r="E1094" s="13" t="n">
        <v>45643</v>
      </c>
    </row>
    <row r="1095" customFormat="false" ht="15" hidden="false" customHeight="false" outlineLevel="0" collapsed="false">
      <c r="A1095" s="2" t="s">
        <v>10180</v>
      </c>
      <c r="B1095" s="2" t="s">
        <v>3859</v>
      </c>
      <c r="C1095" s="2" t="s">
        <v>9092</v>
      </c>
      <c r="D1095" s="2" t="n">
        <v>159.78</v>
      </c>
      <c r="E1095" s="13" t="n">
        <v>45650</v>
      </c>
    </row>
    <row r="1096" customFormat="false" ht="15" hidden="false" customHeight="false" outlineLevel="0" collapsed="false">
      <c r="A1096" s="2" t="s">
        <v>10181</v>
      </c>
      <c r="B1096" s="2" t="s">
        <v>3861</v>
      </c>
      <c r="C1096" s="2" t="s">
        <v>9085</v>
      </c>
      <c r="D1096" s="2" t="n">
        <v>160.15</v>
      </c>
      <c r="E1096" s="13" t="n">
        <v>45657</v>
      </c>
    </row>
    <row r="1097" customFormat="false" ht="15" hidden="false" customHeight="false" outlineLevel="0" collapsed="false">
      <c r="A1097" s="2" t="s">
        <v>10182</v>
      </c>
      <c r="B1097" s="2" t="s">
        <v>3863</v>
      </c>
      <c r="C1097" s="2" t="s">
        <v>9092</v>
      </c>
      <c r="D1097" s="2" t="n">
        <v>160.52</v>
      </c>
      <c r="E1097" s="13" t="n">
        <v>45664</v>
      </c>
    </row>
    <row r="1098" customFormat="false" ht="15" hidden="false" customHeight="false" outlineLevel="0" collapsed="false">
      <c r="A1098" s="2" t="s">
        <v>10183</v>
      </c>
      <c r="B1098" s="2" t="s">
        <v>3865</v>
      </c>
      <c r="C1098" s="2" t="s">
        <v>9083</v>
      </c>
      <c r="D1098" s="2" t="n">
        <v>160.89</v>
      </c>
      <c r="E1098" s="13" t="n">
        <v>45671</v>
      </c>
    </row>
    <row r="1099" customFormat="false" ht="15" hidden="false" customHeight="false" outlineLevel="0" collapsed="false">
      <c r="A1099" s="2" t="s">
        <v>10184</v>
      </c>
      <c r="B1099" s="2" t="s">
        <v>3867</v>
      </c>
      <c r="C1099" s="2" t="s">
        <v>9087</v>
      </c>
      <c r="D1099" s="2" t="n">
        <v>161.26</v>
      </c>
      <c r="E1099" s="13" t="n">
        <v>45678</v>
      </c>
    </row>
    <row r="1100" customFormat="false" ht="15" hidden="false" customHeight="false" outlineLevel="0" collapsed="false">
      <c r="A1100" s="2" t="s">
        <v>10185</v>
      </c>
      <c r="B1100" s="2" t="s">
        <v>3871</v>
      </c>
      <c r="C1100" s="2" t="s">
        <v>9087</v>
      </c>
      <c r="D1100" s="2" t="n">
        <v>161.63</v>
      </c>
      <c r="E1100" s="13" t="n">
        <v>45685</v>
      </c>
    </row>
    <row r="1101" customFormat="false" ht="15" hidden="false" customHeight="false" outlineLevel="0" collapsed="false">
      <c r="A1101" s="2" t="s">
        <v>10186</v>
      </c>
      <c r="B1101" s="2" t="s">
        <v>3875</v>
      </c>
      <c r="C1101" s="2" t="s">
        <v>9083</v>
      </c>
      <c r="D1101" s="2" t="n">
        <v>162</v>
      </c>
      <c r="E1101" s="13" t="n">
        <v>45692</v>
      </c>
    </row>
    <row r="1102" customFormat="false" ht="15" hidden="false" customHeight="false" outlineLevel="0" collapsed="false">
      <c r="A1102" s="2" t="s">
        <v>10187</v>
      </c>
      <c r="B1102" s="2" t="s">
        <v>3879</v>
      </c>
      <c r="C1102" s="2" t="s">
        <v>9083</v>
      </c>
      <c r="D1102" s="2" t="n">
        <v>162.37</v>
      </c>
      <c r="E1102" s="13" t="n">
        <v>45699</v>
      </c>
    </row>
    <row r="1103" customFormat="false" ht="15" hidden="false" customHeight="false" outlineLevel="0" collapsed="false">
      <c r="A1103" s="2" t="s">
        <v>10188</v>
      </c>
      <c r="B1103" s="2" t="s">
        <v>3881</v>
      </c>
      <c r="C1103" s="2" t="s">
        <v>9098</v>
      </c>
      <c r="D1103" s="2" t="n">
        <v>162.74</v>
      </c>
      <c r="E1103" s="13" t="n">
        <v>45706</v>
      </c>
    </row>
    <row r="1104" customFormat="false" ht="15" hidden="false" customHeight="false" outlineLevel="0" collapsed="false">
      <c r="A1104" s="2" t="s">
        <v>10189</v>
      </c>
      <c r="B1104" s="2" t="s">
        <v>3883</v>
      </c>
      <c r="C1104" s="2" t="s">
        <v>9087</v>
      </c>
      <c r="D1104" s="2" t="n">
        <v>163.11</v>
      </c>
      <c r="E1104" s="13" t="n">
        <v>45713</v>
      </c>
    </row>
    <row r="1105" customFormat="false" ht="15" hidden="false" customHeight="false" outlineLevel="0" collapsed="false">
      <c r="A1105" s="2" t="s">
        <v>10190</v>
      </c>
      <c r="B1105" s="2" t="s">
        <v>3885</v>
      </c>
      <c r="C1105" s="2" t="s">
        <v>9085</v>
      </c>
      <c r="D1105" s="2" t="n">
        <v>163.48</v>
      </c>
      <c r="E1105" s="13" t="n">
        <v>45720</v>
      </c>
    </row>
    <row r="1106" customFormat="false" ht="15" hidden="false" customHeight="false" outlineLevel="0" collapsed="false">
      <c r="A1106" s="2" t="s">
        <v>10191</v>
      </c>
      <c r="B1106" s="2" t="s">
        <v>3887</v>
      </c>
      <c r="C1106" s="2" t="s">
        <v>9083</v>
      </c>
      <c r="D1106" s="2" t="n">
        <v>163.85</v>
      </c>
      <c r="E1106" s="13" t="n">
        <v>45727</v>
      </c>
    </row>
    <row r="1107" customFormat="false" ht="15" hidden="false" customHeight="false" outlineLevel="0" collapsed="false">
      <c r="A1107" s="2" t="s">
        <v>10192</v>
      </c>
      <c r="B1107" s="2" t="s">
        <v>3889</v>
      </c>
      <c r="C1107" s="2" t="s">
        <v>9092</v>
      </c>
      <c r="D1107" s="2" t="n">
        <v>164.22</v>
      </c>
      <c r="E1107" s="13" t="n">
        <v>45734</v>
      </c>
    </row>
    <row r="1108" customFormat="false" ht="15" hidden="false" customHeight="false" outlineLevel="0" collapsed="false">
      <c r="A1108" s="2" t="s">
        <v>10193</v>
      </c>
      <c r="B1108" s="2" t="s">
        <v>3891</v>
      </c>
      <c r="C1108" s="2" t="s">
        <v>9085</v>
      </c>
      <c r="D1108" s="2" t="n">
        <v>164.59</v>
      </c>
      <c r="E1108" s="13" t="n">
        <v>45741</v>
      </c>
    </row>
    <row r="1109" customFormat="false" ht="15" hidden="false" customHeight="false" outlineLevel="0" collapsed="false">
      <c r="A1109" s="2" t="s">
        <v>10194</v>
      </c>
      <c r="B1109" s="2" t="s">
        <v>3893</v>
      </c>
      <c r="C1109" s="2" t="s">
        <v>9083</v>
      </c>
      <c r="D1109" s="2" t="n">
        <v>164.96</v>
      </c>
      <c r="E1109" s="13" t="n">
        <v>45748</v>
      </c>
    </row>
    <row r="1110" customFormat="false" ht="15" hidden="false" customHeight="false" outlineLevel="0" collapsed="false">
      <c r="A1110" s="2" t="s">
        <v>10195</v>
      </c>
      <c r="B1110" s="2" t="s">
        <v>3895</v>
      </c>
      <c r="C1110" s="2" t="s">
        <v>9092</v>
      </c>
      <c r="D1110" s="2" t="n">
        <v>165.33</v>
      </c>
      <c r="E1110" s="13" t="n">
        <v>45755</v>
      </c>
    </row>
    <row r="1111" customFormat="false" ht="15" hidden="false" customHeight="false" outlineLevel="0" collapsed="false">
      <c r="A1111" s="2" t="s">
        <v>10196</v>
      </c>
      <c r="B1111" s="2" t="s">
        <v>3899</v>
      </c>
      <c r="C1111" s="2" t="s">
        <v>9085</v>
      </c>
      <c r="D1111" s="2" t="n">
        <v>165.7</v>
      </c>
      <c r="E1111" s="13" t="n">
        <v>45762</v>
      </c>
    </row>
    <row r="1112" customFormat="false" ht="15" hidden="false" customHeight="false" outlineLevel="0" collapsed="false">
      <c r="A1112" s="2" t="s">
        <v>10197</v>
      </c>
      <c r="B1112" s="2" t="s">
        <v>3901</v>
      </c>
      <c r="C1112" s="2" t="s">
        <v>9085</v>
      </c>
      <c r="D1112" s="2" t="n">
        <v>166.07</v>
      </c>
      <c r="E1112" s="13" t="n">
        <v>45769</v>
      </c>
    </row>
    <row r="1113" customFormat="false" ht="15" hidden="false" customHeight="false" outlineLevel="0" collapsed="false">
      <c r="A1113" s="2" t="s">
        <v>10198</v>
      </c>
      <c r="B1113" s="2" t="s">
        <v>3903</v>
      </c>
      <c r="C1113" s="2" t="s">
        <v>9085</v>
      </c>
      <c r="D1113" s="2" t="n">
        <v>166.44</v>
      </c>
      <c r="E1113" s="13" t="n">
        <v>45776</v>
      </c>
    </row>
    <row r="1114" customFormat="false" ht="15" hidden="false" customHeight="false" outlineLevel="0" collapsed="false">
      <c r="A1114" s="2" t="s">
        <v>10199</v>
      </c>
      <c r="B1114" s="2" t="s">
        <v>3907</v>
      </c>
      <c r="C1114" s="2" t="s">
        <v>9087</v>
      </c>
      <c r="D1114" s="2" t="n">
        <v>166.81</v>
      </c>
      <c r="E1114" s="13" t="n">
        <v>45783</v>
      </c>
    </row>
    <row r="1115" customFormat="false" ht="15" hidden="false" customHeight="false" outlineLevel="0" collapsed="false">
      <c r="A1115" s="2" t="s">
        <v>10200</v>
      </c>
      <c r="B1115" s="2" t="s">
        <v>3909</v>
      </c>
      <c r="C1115" s="2" t="s">
        <v>9085</v>
      </c>
      <c r="D1115" s="2" t="n">
        <v>167.18</v>
      </c>
      <c r="E1115" s="13" t="n">
        <v>45790</v>
      </c>
    </row>
    <row r="1116" customFormat="false" ht="15" hidden="false" customHeight="false" outlineLevel="0" collapsed="false">
      <c r="A1116" s="2" t="s">
        <v>10201</v>
      </c>
      <c r="B1116" s="2" t="s">
        <v>3911</v>
      </c>
      <c r="C1116" s="2" t="s">
        <v>9083</v>
      </c>
      <c r="D1116" s="2" t="n">
        <v>167.55</v>
      </c>
      <c r="E1116" s="13" t="n">
        <v>45797</v>
      </c>
    </row>
    <row r="1117" customFormat="false" ht="15" hidden="false" customHeight="false" outlineLevel="0" collapsed="false">
      <c r="A1117" s="2" t="s">
        <v>10202</v>
      </c>
      <c r="B1117" s="2" t="s">
        <v>3913</v>
      </c>
      <c r="C1117" s="2" t="s">
        <v>9092</v>
      </c>
      <c r="D1117" s="2" t="n">
        <v>167.92</v>
      </c>
      <c r="E1117" s="13" t="n">
        <v>45804</v>
      </c>
    </row>
    <row r="1118" customFormat="false" ht="15" hidden="false" customHeight="false" outlineLevel="0" collapsed="false">
      <c r="A1118" s="2" t="s">
        <v>10203</v>
      </c>
      <c r="B1118" s="2" t="s">
        <v>3917</v>
      </c>
      <c r="C1118" s="2" t="s">
        <v>9087</v>
      </c>
      <c r="D1118" s="2" t="n">
        <v>168.29</v>
      </c>
      <c r="E1118" s="13" t="n">
        <v>45811</v>
      </c>
    </row>
    <row r="1119" customFormat="false" ht="15" hidden="false" customHeight="false" outlineLevel="0" collapsed="false">
      <c r="A1119" s="2" t="s">
        <v>10204</v>
      </c>
      <c r="B1119" s="2" t="s">
        <v>3919</v>
      </c>
      <c r="C1119" s="2" t="s">
        <v>9083</v>
      </c>
      <c r="D1119" s="2" t="n">
        <v>168.66</v>
      </c>
      <c r="E1119" s="13" t="n">
        <v>45818</v>
      </c>
    </row>
    <row r="1120" customFormat="false" ht="15" hidden="false" customHeight="false" outlineLevel="0" collapsed="false">
      <c r="A1120" s="2" t="s">
        <v>10205</v>
      </c>
      <c r="B1120" s="2" t="s">
        <v>3921</v>
      </c>
      <c r="C1120" s="2" t="s">
        <v>9098</v>
      </c>
      <c r="D1120" s="2" t="n">
        <v>169.03</v>
      </c>
      <c r="E1120" s="13" t="n">
        <v>45825</v>
      </c>
    </row>
    <row r="1121" customFormat="false" ht="15" hidden="false" customHeight="false" outlineLevel="0" collapsed="false">
      <c r="A1121" s="2" t="s">
        <v>10206</v>
      </c>
      <c r="B1121" s="2" t="s">
        <v>3923</v>
      </c>
      <c r="C1121" s="2" t="s">
        <v>9083</v>
      </c>
      <c r="D1121" s="2" t="n">
        <v>169.4</v>
      </c>
      <c r="E1121" s="13" t="n">
        <v>45832</v>
      </c>
    </row>
    <row r="1122" customFormat="false" ht="15" hidden="false" customHeight="false" outlineLevel="0" collapsed="false">
      <c r="A1122" s="2" t="s">
        <v>10207</v>
      </c>
      <c r="B1122" s="2" t="s">
        <v>3925</v>
      </c>
      <c r="C1122" s="2" t="s">
        <v>9087</v>
      </c>
      <c r="D1122" s="2" t="n">
        <v>169.77</v>
      </c>
      <c r="E1122" s="13" t="n">
        <v>45839</v>
      </c>
    </row>
    <row r="1123" customFormat="false" ht="15" hidden="false" customHeight="false" outlineLevel="0" collapsed="false">
      <c r="A1123" s="2" t="s">
        <v>10208</v>
      </c>
      <c r="B1123" s="2" t="s">
        <v>3927</v>
      </c>
      <c r="C1123" s="2" t="s">
        <v>9092</v>
      </c>
      <c r="D1123" s="2" t="n">
        <v>170.14</v>
      </c>
      <c r="E1123" s="13" t="n">
        <v>45846</v>
      </c>
    </row>
    <row r="1124" customFormat="false" ht="15" hidden="false" customHeight="false" outlineLevel="0" collapsed="false">
      <c r="A1124" s="2" t="s">
        <v>10209</v>
      </c>
      <c r="B1124" s="2" t="s">
        <v>3931</v>
      </c>
      <c r="C1124" s="2" t="s">
        <v>9098</v>
      </c>
      <c r="D1124" s="2" t="n">
        <v>170.51</v>
      </c>
      <c r="E1124" s="13" t="n">
        <v>45853</v>
      </c>
    </row>
    <row r="1125" customFormat="false" ht="15" hidden="false" customHeight="false" outlineLevel="0" collapsed="false">
      <c r="A1125" s="2" t="s">
        <v>10210</v>
      </c>
      <c r="B1125" s="2" t="s">
        <v>3933</v>
      </c>
      <c r="C1125" s="2" t="s">
        <v>9098</v>
      </c>
      <c r="D1125" s="2" t="n">
        <v>170.88</v>
      </c>
      <c r="E1125" s="13" t="n">
        <v>45860</v>
      </c>
    </row>
    <row r="1126" customFormat="false" ht="15" hidden="false" customHeight="false" outlineLevel="0" collapsed="false">
      <c r="A1126" s="2" t="s">
        <v>10211</v>
      </c>
      <c r="B1126" s="2" t="s">
        <v>3935</v>
      </c>
      <c r="C1126" s="2" t="s">
        <v>9092</v>
      </c>
      <c r="D1126" s="2" t="n">
        <v>171.25</v>
      </c>
      <c r="E1126" s="13" t="n">
        <v>45867</v>
      </c>
    </row>
    <row r="1127" customFormat="false" ht="15" hidden="false" customHeight="false" outlineLevel="0" collapsed="false">
      <c r="A1127" s="2" t="s">
        <v>10212</v>
      </c>
      <c r="B1127" s="2" t="s">
        <v>3939</v>
      </c>
      <c r="C1127" s="2" t="s">
        <v>9085</v>
      </c>
      <c r="D1127" s="2" t="n">
        <v>171.62</v>
      </c>
      <c r="E1127" s="13" t="n">
        <v>45874</v>
      </c>
    </row>
    <row r="1128" customFormat="false" ht="15" hidden="false" customHeight="false" outlineLevel="0" collapsed="false">
      <c r="A1128" s="2" t="s">
        <v>10213</v>
      </c>
      <c r="B1128" s="2" t="s">
        <v>3943</v>
      </c>
      <c r="C1128" s="2" t="s">
        <v>9092</v>
      </c>
      <c r="D1128" s="2" t="n">
        <v>171.99</v>
      </c>
      <c r="E1128" s="13" t="n">
        <v>45881</v>
      </c>
    </row>
    <row r="1129" customFormat="false" ht="15" hidden="false" customHeight="false" outlineLevel="0" collapsed="false">
      <c r="A1129" s="2" t="s">
        <v>10214</v>
      </c>
      <c r="B1129" s="2" t="s">
        <v>3945</v>
      </c>
      <c r="C1129" s="2" t="s">
        <v>9092</v>
      </c>
      <c r="D1129" s="2" t="n">
        <v>172.36</v>
      </c>
      <c r="E1129" s="13" t="n">
        <v>45888</v>
      </c>
    </row>
    <row r="1130" customFormat="false" ht="15" hidden="false" customHeight="false" outlineLevel="0" collapsed="false">
      <c r="A1130" s="2" t="s">
        <v>10215</v>
      </c>
      <c r="B1130" s="2" t="s">
        <v>3947</v>
      </c>
      <c r="C1130" s="2" t="s">
        <v>9085</v>
      </c>
      <c r="D1130" s="2" t="n">
        <v>172.73</v>
      </c>
      <c r="E1130" s="13" t="n">
        <v>45895</v>
      </c>
    </row>
    <row r="1131" customFormat="false" ht="15" hidden="false" customHeight="false" outlineLevel="0" collapsed="false">
      <c r="A1131" s="2" t="s">
        <v>10216</v>
      </c>
      <c r="B1131" s="2" t="s">
        <v>3949</v>
      </c>
      <c r="C1131" s="2" t="s">
        <v>9087</v>
      </c>
      <c r="D1131" s="2" t="n">
        <v>173.1</v>
      </c>
      <c r="E1131" s="13" t="n">
        <v>45902</v>
      </c>
    </row>
    <row r="1132" customFormat="false" ht="15" hidden="false" customHeight="false" outlineLevel="0" collapsed="false">
      <c r="A1132" s="2" t="s">
        <v>10217</v>
      </c>
      <c r="B1132" s="2" t="s">
        <v>3951</v>
      </c>
      <c r="C1132" s="2" t="s">
        <v>9087</v>
      </c>
      <c r="D1132" s="2" t="n">
        <v>173.47</v>
      </c>
      <c r="E1132" s="13" t="n">
        <v>45909</v>
      </c>
    </row>
    <row r="1133" customFormat="false" ht="15" hidden="false" customHeight="false" outlineLevel="0" collapsed="false">
      <c r="A1133" s="2" t="s">
        <v>10218</v>
      </c>
      <c r="B1133" s="2" t="s">
        <v>3955</v>
      </c>
      <c r="C1133" s="2" t="s">
        <v>9083</v>
      </c>
      <c r="D1133" s="2" t="n">
        <v>173.84</v>
      </c>
      <c r="E1133" s="13" t="n">
        <v>45916</v>
      </c>
    </row>
    <row r="1134" customFormat="false" ht="15" hidden="false" customHeight="false" outlineLevel="0" collapsed="false">
      <c r="A1134" s="2" t="s">
        <v>10219</v>
      </c>
      <c r="B1134" s="2" t="s">
        <v>3959</v>
      </c>
      <c r="C1134" s="2" t="s">
        <v>9092</v>
      </c>
      <c r="D1134" s="2" t="n">
        <v>174.21</v>
      </c>
      <c r="E1134" s="13" t="n">
        <v>45923</v>
      </c>
    </row>
    <row r="1135" customFormat="false" ht="15" hidden="false" customHeight="false" outlineLevel="0" collapsed="false">
      <c r="A1135" s="2" t="s">
        <v>10220</v>
      </c>
      <c r="B1135" s="2" t="s">
        <v>3963</v>
      </c>
      <c r="C1135" s="2" t="s">
        <v>9083</v>
      </c>
      <c r="D1135" s="2" t="n">
        <v>174.58</v>
      </c>
      <c r="E1135" s="13" t="n">
        <v>45930</v>
      </c>
    </row>
    <row r="1136" customFormat="false" ht="15" hidden="false" customHeight="false" outlineLevel="0" collapsed="false">
      <c r="A1136" s="2" t="s">
        <v>10221</v>
      </c>
      <c r="B1136" s="2" t="s">
        <v>3965</v>
      </c>
      <c r="C1136" s="2" t="s">
        <v>9098</v>
      </c>
      <c r="D1136" s="2" t="n">
        <v>174.95</v>
      </c>
      <c r="E1136" s="13" t="n">
        <v>45937</v>
      </c>
    </row>
    <row r="1137" customFormat="false" ht="15" hidden="false" customHeight="false" outlineLevel="0" collapsed="false">
      <c r="A1137" s="2" t="s">
        <v>10222</v>
      </c>
      <c r="B1137" s="2" t="s">
        <v>3967</v>
      </c>
      <c r="C1137" s="2" t="s">
        <v>9098</v>
      </c>
      <c r="D1137" s="2" t="n">
        <v>175.32</v>
      </c>
      <c r="E1137" s="13" t="n">
        <v>45944</v>
      </c>
    </row>
    <row r="1138" customFormat="false" ht="15" hidden="false" customHeight="false" outlineLevel="0" collapsed="false">
      <c r="A1138" s="2" t="s">
        <v>10223</v>
      </c>
      <c r="B1138" s="2" t="s">
        <v>3971</v>
      </c>
      <c r="C1138" s="2" t="s">
        <v>9083</v>
      </c>
      <c r="D1138" s="2" t="n">
        <v>175.69</v>
      </c>
      <c r="E1138" s="13" t="n">
        <v>45951</v>
      </c>
    </row>
    <row r="1139" customFormat="false" ht="15" hidden="false" customHeight="false" outlineLevel="0" collapsed="false">
      <c r="A1139" s="2" t="s">
        <v>10224</v>
      </c>
      <c r="B1139" s="2" t="s">
        <v>3973</v>
      </c>
      <c r="C1139" s="2" t="s">
        <v>9092</v>
      </c>
      <c r="D1139" s="2" t="n">
        <v>176.06</v>
      </c>
      <c r="E1139" s="13" t="n">
        <v>45958</v>
      </c>
    </row>
    <row r="1140" customFormat="false" ht="15" hidden="false" customHeight="false" outlineLevel="0" collapsed="false">
      <c r="A1140" s="2" t="s">
        <v>10225</v>
      </c>
      <c r="B1140" s="2" t="s">
        <v>3977</v>
      </c>
      <c r="C1140" s="2" t="s">
        <v>9092</v>
      </c>
      <c r="D1140" s="2" t="n">
        <v>176.43</v>
      </c>
      <c r="E1140" s="13" t="n">
        <v>45965</v>
      </c>
    </row>
    <row r="1141" customFormat="false" ht="15" hidden="false" customHeight="false" outlineLevel="0" collapsed="false">
      <c r="A1141" s="2" t="s">
        <v>10226</v>
      </c>
      <c r="B1141" s="2" t="s">
        <v>3979</v>
      </c>
      <c r="C1141" s="2" t="s">
        <v>9085</v>
      </c>
      <c r="D1141" s="2" t="n">
        <v>176.8</v>
      </c>
      <c r="E1141" s="13" t="n">
        <v>45972</v>
      </c>
    </row>
    <row r="1142" customFormat="false" ht="15" hidden="false" customHeight="false" outlineLevel="0" collapsed="false">
      <c r="A1142" s="2" t="s">
        <v>10227</v>
      </c>
      <c r="B1142" s="2" t="s">
        <v>3983</v>
      </c>
      <c r="C1142" s="2" t="s">
        <v>9085</v>
      </c>
      <c r="D1142" s="2" t="n">
        <v>177.17</v>
      </c>
      <c r="E1142" s="13" t="n">
        <v>45979</v>
      </c>
    </row>
    <row r="1143" customFormat="false" ht="15" hidden="false" customHeight="false" outlineLevel="0" collapsed="false">
      <c r="A1143" s="2" t="s">
        <v>10228</v>
      </c>
      <c r="B1143" s="2" t="s">
        <v>3987</v>
      </c>
      <c r="C1143" s="2" t="s">
        <v>9085</v>
      </c>
      <c r="D1143" s="2" t="n">
        <v>177.54</v>
      </c>
      <c r="E1143" s="13" t="n">
        <v>45986</v>
      </c>
    </row>
    <row r="1144" customFormat="false" ht="15" hidden="false" customHeight="false" outlineLevel="0" collapsed="false">
      <c r="A1144" s="2" t="s">
        <v>10229</v>
      </c>
      <c r="B1144" s="2" t="s">
        <v>3989</v>
      </c>
      <c r="C1144" s="2" t="s">
        <v>9092</v>
      </c>
      <c r="D1144" s="2" t="n">
        <v>177.91</v>
      </c>
      <c r="E1144" s="13" t="n">
        <v>45993</v>
      </c>
    </row>
    <row r="1145" customFormat="false" ht="15" hidden="false" customHeight="false" outlineLevel="0" collapsed="false">
      <c r="A1145" s="2" t="s">
        <v>10230</v>
      </c>
      <c r="B1145" s="2" t="s">
        <v>3991</v>
      </c>
      <c r="C1145" s="2" t="s">
        <v>9085</v>
      </c>
      <c r="D1145" s="2" t="n">
        <v>178.28</v>
      </c>
      <c r="E1145" s="13" t="n">
        <v>46000</v>
      </c>
    </row>
    <row r="1146" customFormat="false" ht="15" hidden="false" customHeight="false" outlineLevel="0" collapsed="false">
      <c r="A1146" s="2" t="s">
        <v>10231</v>
      </c>
      <c r="B1146" s="2" t="s">
        <v>3993</v>
      </c>
      <c r="C1146" s="2" t="s">
        <v>9092</v>
      </c>
      <c r="D1146" s="2" t="n">
        <v>178.65</v>
      </c>
      <c r="E1146" s="13" t="n">
        <v>46007</v>
      </c>
    </row>
    <row r="1147" customFormat="false" ht="15" hidden="false" customHeight="false" outlineLevel="0" collapsed="false">
      <c r="A1147" s="2" t="s">
        <v>10232</v>
      </c>
      <c r="B1147" s="2" t="s">
        <v>3997</v>
      </c>
      <c r="C1147" s="2" t="s">
        <v>9087</v>
      </c>
      <c r="D1147" s="2" t="n">
        <v>179.02</v>
      </c>
      <c r="E1147" s="13" t="n">
        <v>46014</v>
      </c>
    </row>
    <row r="1148" customFormat="false" ht="15" hidden="false" customHeight="false" outlineLevel="0" collapsed="false">
      <c r="A1148" s="2" t="s">
        <v>10233</v>
      </c>
      <c r="B1148" s="2" t="s">
        <v>3999</v>
      </c>
      <c r="C1148" s="2" t="s">
        <v>9098</v>
      </c>
      <c r="D1148" s="2" t="n">
        <v>179.39</v>
      </c>
      <c r="E1148" s="13" t="n">
        <v>46021</v>
      </c>
    </row>
    <row r="1149" customFormat="false" ht="15" hidden="false" customHeight="false" outlineLevel="0" collapsed="false">
      <c r="A1149" s="2" t="s">
        <v>10234</v>
      </c>
      <c r="B1149" s="2" t="s">
        <v>4003</v>
      </c>
      <c r="C1149" s="2" t="s">
        <v>9087</v>
      </c>
      <c r="D1149" s="2" t="n">
        <v>179.76</v>
      </c>
      <c r="E1149" s="13" t="n">
        <v>45298</v>
      </c>
    </row>
    <row r="1150" customFormat="false" ht="15" hidden="false" customHeight="false" outlineLevel="0" collapsed="false">
      <c r="A1150" s="2" t="s">
        <v>10235</v>
      </c>
      <c r="B1150" s="2" t="s">
        <v>4005</v>
      </c>
      <c r="C1150" s="2" t="s">
        <v>9087</v>
      </c>
      <c r="D1150" s="2" t="n">
        <v>180.13</v>
      </c>
      <c r="E1150" s="13" t="n">
        <v>45305</v>
      </c>
    </row>
    <row r="1151" customFormat="false" ht="15" hidden="false" customHeight="false" outlineLevel="0" collapsed="false">
      <c r="A1151" s="2" t="s">
        <v>10236</v>
      </c>
      <c r="B1151" s="2" t="s">
        <v>4007</v>
      </c>
      <c r="C1151" s="2" t="s">
        <v>9092</v>
      </c>
      <c r="D1151" s="2" t="n">
        <v>180.5</v>
      </c>
      <c r="E1151" s="13" t="n">
        <v>45312</v>
      </c>
    </row>
    <row r="1152" customFormat="false" ht="15" hidden="false" customHeight="false" outlineLevel="0" collapsed="false">
      <c r="A1152" s="2" t="s">
        <v>10237</v>
      </c>
      <c r="B1152" s="2" t="s">
        <v>4009</v>
      </c>
      <c r="C1152" s="2" t="s">
        <v>9092</v>
      </c>
      <c r="D1152" s="2" t="n">
        <v>180.87</v>
      </c>
      <c r="E1152" s="13" t="n">
        <v>45319</v>
      </c>
    </row>
    <row r="1153" customFormat="false" ht="15" hidden="false" customHeight="false" outlineLevel="0" collapsed="false">
      <c r="A1153" s="2" t="s">
        <v>10238</v>
      </c>
      <c r="B1153" s="2" t="s">
        <v>4011</v>
      </c>
      <c r="C1153" s="2" t="s">
        <v>9098</v>
      </c>
      <c r="D1153" s="2" t="n">
        <v>181.24</v>
      </c>
      <c r="E1153" s="13" t="n">
        <v>45326</v>
      </c>
    </row>
    <row r="1154" customFormat="false" ht="15" hidden="false" customHeight="false" outlineLevel="0" collapsed="false">
      <c r="A1154" s="2" t="s">
        <v>10239</v>
      </c>
      <c r="B1154" s="2" t="s">
        <v>4015</v>
      </c>
      <c r="C1154" s="2" t="s">
        <v>9098</v>
      </c>
      <c r="D1154" s="2" t="n">
        <v>181.61</v>
      </c>
      <c r="E1154" s="13" t="n">
        <v>45333</v>
      </c>
    </row>
    <row r="1155" customFormat="false" ht="15" hidden="false" customHeight="false" outlineLevel="0" collapsed="false">
      <c r="A1155" s="2" t="s">
        <v>10240</v>
      </c>
      <c r="B1155" s="2" t="s">
        <v>4017</v>
      </c>
      <c r="C1155" s="2" t="s">
        <v>9098</v>
      </c>
      <c r="D1155" s="2" t="n">
        <v>181.98</v>
      </c>
      <c r="E1155" s="13" t="n">
        <v>45340</v>
      </c>
    </row>
    <row r="1156" customFormat="false" ht="15" hidden="false" customHeight="false" outlineLevel="0" collapsed="false">
      <c r="A1156" s="2" t="s">
        <v>10241</v>
      </c>
      <c r="B1156" s="2" t="s">
        <v>4019</v>
      </c>
      <c r="C1156" s="2" t="s">
        <v>9087</v>
      </c>
      <c r="D1156" s="2" t="n">
        <v>182.35</v>
      </c>
      <c r="E1156" s="13" t="n">
        <v>45347</v>
      </c>
    </row>
    <row r="1157" customFormat="false" ht="15" hidden="false" customHeight="false" outlineLevel="0" collapsed="false">
      <c r="A1157" s="2" t="s">
        <v>10242</v>
      </c>
      <c r="B1157" s="2" t="s">
        <v>4021</v>
      </c>
      <c r="C1157" s="2" t="s">
        <v>9098</v>
      </c>
      <c r="D1157" s="2" t="n">
        <v>182.72</v>
      </c>
      <c r="E1157" s="13" t="n">
        <v>45354</v>
      </c>
    </row>
    <row r="1158" customFormat="false" ht="15" hidden="false" customHeight="false" outlineLevel="0" collapsed="false">
      <c r="A1158" s="2" t="s">
        <v>10243</v>
      </c>
      <c r="B1158" s="2" t="s">
        <v>4023</v>
      </c>
      <c r="C1158" s="2" t="s">
        <v>9098</v>
      </c>
      <c r="D1158" s="2" t="n">
        <v>183.09</v>
      </c>
      <c r="E1158" s="13" t="n">
        <v>45361</v>
      </c>
    </row>
    <row r="1159" customFormat="false" ht="15" hidden="false" customHeight="false" outlineLevel="0" collapsed="false">
      <c r="A1159" s="2" t="s">
        <v>10244</v>
      </c>
      <c r="B1159" s="2" t="s">
        <v>4027</v>
      </c>
      <c r="C1159" s="2" t="s">
        <v>9098</v>
      </c>
      <c r="D1159" s="2" t="n">
        <v>183.46</v>
      </c>
      <c r="E1159" s="13" t="n">
        <v>45368</v>
      </c>
    </row>
    <row r="1160" customFormat="false" ht="15" hidden="false" customHeight="false" outlineLevel="0" collapsed="false">
      <c r="A1160" s="2" t="s">
        <v>10245</v>
      </c>
      <c r="B1160" s="2" t="s">
        <v>4029</v>
      </c>
      <c r="C1160" s="2" t="s">
        <v>9083</v>
      </c>
      <c r="D1160" s="2" t="n">
        <v>183.83</v>
      </c>
      <c r="E1160" s="13" t="n">
        <v>45375</v>
      </c>
    </row>
    <row r="1161" customFormat="false" ht="15" hidden="false" customHeight="false" outlineLevel="0" collapsed="false">
      <c r="A1161" s="2" t="s">
        <v>10246</v>
      </c>
      <c r="B1161" s="2" t="s">
        <v>4033</v>
      </c>
      <c r="C1161" s="2" t="s">
        <v>9087</v>
      </c>
      <c r="D1161" s="2" t="n">
        <v>184.2</v>
      </c>
      <c r="E1161" s="13" t="n">
        <v>45382</v>
      </c>
    </row>
    <row r="1162" customFormat="false" ht="15" hidden="false" customHeight="false" outlineLevel="0" collapsed="false">
      <c r="A1162" s="2" t="s">
        <v>10247</v>
      </c>
      <c r="B1162" s="2" t="s">
        <v>4037</v>
      </c>
      <c r="C1162" s="2" t="s">
        <v>9085</v>
      </c>
      <c r="D1162" s="2" t="n">
        <v>184.57</v>
      </c>
      <c r="E1162" s="13" t="n">
        <v>45389</v>
      </c>
    </row>
    <row r="1163" customFormat="false" ht="15" hidden="false" customHeight="false" outlineLevel="0" collapsed="false">
      <c r="A1163" s="2" t="s">
        <v>10248</v>
      </c>
      <c r="B1163" s="2" t="s">
        <v>4039</v>
      </c>
      <c r="C1163" s="2" t="s">
        <v>9098</v>
      </c>
      <c r="D1163" s="2" t="n">
        <v>184.94</v>
      </c>
      <c r="E1163" s="13" t="n">
        <v>45396</v>
      </c>
    </row>
    <row r="1164" customFormat="false" ht="15" hidden="false" customHeight="false" outlineLevel="0" collapsed="false">
      <c r="A1164" s="2" t="s">
        <v>10249</v>
      </c>
      <c r="B1164" s="2" t="s">
        <v>4043</v>
      </c>
      <c r="C1164" s="2" t="s">
        <v>9087</v>
      </c>
      <c r="D1164" s="2" t="n">
        <v>185.31</v>
      </c>
      <c r="E1164" s="13" t="n">
        <v>45403</v>
      </c>
    </row>
    <row r="1165" customFormat="false" ht="15" hidden="false" customHeight="false" outlineLevel="0" collapsed="false">
      <c r="A1165" s="2" t="s">
        <v>10250</v>
      </c>
      <c r="B1165" s="2" t="s">
        <v>4047</v>
      </c>
      <c r="C1165" s="2" t="s">
        <v>9083</v>
      </c>
      <c r="D1165" s="2" t="n">
        <v>185.68</v>
      </c>
      <c r="E1165" s="13" t="n">
        <v>45410</v>
      </c>
    </row>
    <row r="1166" customFormat="false" ht="15" hidden="false" customHeight="false" outlineLevel="0" collapsed="false">
      <c r="A1166" s="2" t="s">
        <v>10251</v>
      </c>
      <c r="B1166" s="2" t="s">
        <v>4049</v>
      </c>
      <c r="C1166" s="2" t="s">
        <v>9092</v>
      </c>
      <c r="D1166" s="2" t="n">
        <v>186.05</v>
      </c>
      <c r="E1166" s="13" t="n">
        <v>45417</v>
      </c>
    </row>
    <row r="1167" customFormat="false" ht="15" hidden="false" customHeight="false" outlineLevel="0" collapsed="false">
      <c r="A1167" s="2" t="s">
        <v>10252</v>
      </c>
      <c r="B1167" s="2" t="s">
        <v>4053</v>
      </c>
      <c r="C1167" s="2" t="s">
        <v>9083</v>
      </c>
      <c r="D1167" s="2" t="n">
        <v>186.42</v>
      </c>
      <c r="E1167" s="13" t="n">
        <v>45424</v>
      </c>
    </row>
    <row r="1168" customFormat="false" ht="15" hidden="false" customHeight="false" outlineLevel="0" collapsed="false">
      <c r="A1168" s="2" t="s">
        <v>10253</v>
      </c>
      <c r="B1168" s="2" t="s">
        <v>4055</v>
      </c>
      <c r="C1168" s="2" t="s">
        <v>9092</v>
      </c>
      <c r="D1168" s="2" t="n">
        <v>186.79</v>
      </c>
      <c r="E1168" s="13" t="n">
        <v>45431</v>
      </c>
    </row>
    <row r="1169" customFormat="false" ht="15" hidden="false" customHeight="false" outlineLevel="0" collapsed="false">
      <c r="A1169" s="2" t="s">
        <v>10254</v>
      </c>
      <c r="B1169" s="2" t="s">
        <v>4059</v>
      </c>
      <c r="C1169" s="2" t="s">
        <v>9083</v>
      </c>
      <c r="D1169" s="2" t="n">
        <v>187.16</v>
      </c>
      <c r="E1169" s="13" t="n">
        <v>45438</v>
      </c>
    </row>
    <row r="1170" customFormat="false" ht="15" hidden="false" customHeight="false" outlineLevel="0" collapsed="false">
      <c r="A1170" s="2" t="s">
        <v>10255</v>
      </c>
      <c r="B1170" s="2" t="s">
        <v>4061</v>
      </c>
      <c r="C1170" s="2" t="s">
        <v>9092</v>
      </c>
      <c r="D1170" s="2" t="n">
        <v>187.53</v>
      </c>
      <c r="E1170" s="13" t="n">
        <v>45445</v>
      </c>
    </row>
    <row r="1171" customFormat="false" ht="15" hidden="false" customHeight="false" outlineLevel="0" collapsed="false">
      <c r="A1171" s="2" t="s">
        <v>10256</v>
      </c>
      <c r="B1171" s="2" t="s">
        <v>4063</v>
      </c>
      <c r="C1171" s="2" t="s">
        <v>9092</v>
      </c>
      <c r="D1171" s="2" t="n">
        <v>187.9</v>
      </c>
      <c r="E1171" s="13" t="n">
        <v>45452</v>
      </c>
    </row>
    <row r="1172" customFormat="false" ht="15" hidden="false" customHeight="false" outlineLevel="0" collapsed="false">
      <c r="A1172" s="2" t="s">
        <v>10257</v>
      </c>
      <c r="B1172" s="2" t="s">
        <v>4067</v>
      </c>
      <c r="C1172" s="2" t="s">
        <v>9092</v>
      </c>
      <c r="D1172" s="2" t="n">
        <v>188.27</v>
      </c>
      <c r="E1172" s="13" t="n">
        <v>45459</v>
      </c>
    </row>
    <row r="1173" customFormat="false" ht="15" hidden="false" customHeight="false" outlineLevel="0" collapsed="false">
      <c r="A1173" s="2" t="s">
        <v>10258</v>
      </c>
      <c r="B1173" s="2" t="s">
        <v>4069</v>
      </c>
      <c r="C1173" s="2" t="s">
        <v>9087</v>
      </c>
      <c r="D1173" s="2" t="n">
        <v>188.64</v>
      </c>
      <c r="E1173" s="13" t="n">
        <v>45466</v>
      </c>
    </row>
    <row r="1174" customFormat="false" ht="15" hidden="false" customHeight="false" outlineLevel="0" collapsed="false">
      <c r="A1174" s="2" t="s">
        <v>10259</v>
      </c>
      <c r="B1174" s="2" t="s">
        <v>4071</v>
      </c>
      <c r="C1174" s="2" t="s">
        <v>9092</v>
      </c>
      <c r="D1174" s="2" t="n">
        <v>189.01</v>
      </c>
      <c r="E1174" s="13" t="n">
        <v>45473</v>
      </c>
    </row>
    <row r="1175" customFormat="false" ht="15" hidden="false" customHeight="false" outlineLevel="0" collapsed="false">
      <c r="A1175" s="2" t="s">
        <v>10260</v>
      </c>
      <c r="B1175" s="2" t="s">
        <v>4073</v>
      </c>
      <c r="C1175" s="2" t="s">
        <v>9092</v>
      </c>
      <c r="D1175" s="2" t="n">
        <v>189.38</v>
      </c>
      <c r="E1175" s="13" t="n">
        <v>45480</v>
      </c>
    </row>
    <row r="1176" customFormat="false" ht="15" hidden="false" customHeight="false" outlineLevel="0" collapsed="false">
      <c r="A1176" s="2" t="s">
        <v>10261</v>
      </c>
      <c r="B1176" s="2" t="s">
        <v>4075</v>
      </c>
      <c r="C1176" s="2" t="s">
        <v>9098</v>
      </c>
      <c r="D1176" s="2" t="n">
        <v>189.75</v>
      </c>
      <c r="E1176" s="13" t="n">
        <v>45487</v>
      </c>
    </row>
    <row r="1177" customFormat="false" ht="15" hidden="false" customHeight="false" outlineLevel="0" collapsed="false">
      <c r="A1177" s="2" t="s">
        <v>10262</v>
      </c>
      <c r="B1177" s="2" t="s">
        <v>4079</v>
      </c>
      <c r="C1177" s="2" t="s">
        <v>9092</v>
      </c>
      <c r="D1177" s="2" t="n">
        <v>190.12</v>
      </c>
      <c r="E1177" s="13" t="n">
        <v>45494</v>
      </c>
    </row>
    <row r="1178" customFormat="false" ht="15" hidden="false" customHeight="false" outlineLevel="0" collapsed="false">
      <c r="A1178" s="2" t="s">
        <v>10263</v>
      </c>
      <c r="B1178" s="2" t="s">
        <v>4081</v>
      </c>
      <c r="C1178" s="2" t="s">
        <v>9083</v>
      </c>
      <c r="D1178" s="2" t="n">
        <v>190.49</v>
      </c>
      <c r="E1178" s="13" t="n">
        <v>45501</v>
      </c>
    </row>
    <row r="1179" customFormat="false" ht="15" hidden="false" customHeight="false" outlineLevel="0" collapsed="false">
      <c r="A1179" s="2" t="s">
        <v>10264</v>
      </c>
      <c r="B1179" s="2" t="s">
        <v>4083</v>
      </c>
      <c r="C1179" s="2" t="s">
        <v>9085</v>
      </c>
      <c r="D1179" s="2" t="n">
        <v>190.86</v>
      </c>
      <c r="E1179" s="13" t="n">
        <v>45508</v>
      </c>
    </row>
    <row r="1180" customFormat="false" ht="15" hidden="false" customHeight="false" outlineLevel="0" collapsed="false">
      <c r="A1180" s="2" t="s">
        <v>10265</v>
      </c>
      <c r="B1180" s="2" t="s">
        <v>4087</v>
      </c>
      <c r="C1180" s="2" t="s">
        <v>9087</v>
      </c>
      <c r="D1180" s="2" t="n">
        <v>191.23</v>
      </c>
      <c r="E1180" s="13" t="n">
        <v>45515</v>
      </c>
    </row>
    <row r="1181" customFormat="false" ht="15" hidden="false" customHeight="false" outlineLevel="0" collapsed="false">
      <c r="A1181" s="2" t="s">
        <v>10266</v>
      </c>
      <c r="B1181" s="2" t="s">
        <v>4089</v>
      </c>
      <c r="C1181" s="2" t="s">
        <v>9085</v>
      </c>
      <c r="D1181" s="2" t="n">
        <v>191.6</v>
      </c>
      <c r="E1181" s="13" t="n">
        <v>45522</v>
      </c>
    </row>
    <row r="1182" customFormat="false" ht="15" hidden="false" customHeight="false" outlineLevel="0" collapsed="false">
      <c r="A1182" s="2" t="s">
        <v>10267</v>
      </c>
      <c r="B1182" s="2" t="s">
        <v>4091</v>
      </c>
      <c r="C1182" s="2" t="s">
        <v>9092</v>
      </c>
      <c r="D1182" s="2" t="n">
        <v>191.97</v>
      </c>
      <c r="E1182" s="13" t="n">
        <v>45529</v>
      </c>
    </row>
    <row r="1183" customFormat="false" ht="15" hidden="false" customHeight="false" outlineLevel="0" collapsed="false">
      <c r="A1183" s="2" t="s">
        <v>10268</v>
      </c>
      <c r="B1183" s="2" t="s">
        <v>4095</v>
      </c>
      <c r="C1183" s="2" t="s">
        <v>9092</v>
      </c>
      <c r="D1183" s="2" t="n">
        <v>192.34</v>
      </c>
      <c r="E1183" s="13" t="n">
        <v>45536</v>
      </c>
    </row>
    <row r="1184" customFormat="false" ht="15" hidden="false" customHeight="false" outlineLevel="0" collapsed="false">
      <c r="A1184" s="2" t="s">
        <v>10269</v>
      </c>
      <c r="B1184" s="2" t="s">
        <v>4097</v>
      </c>
      <c r="C1184" s="2" t="s">
        <v>9098</v>
      </c>
      <c r="D1184" s="2" t="n">
        <v>192.71</v>
      </c>
      <c r="E1184" s="13" t="n">
        <v>45543</v>
      </c>
    </row>
    <row r="1185" customFormat="false" ht="15" hidden="false" customHeight="false" outlineLevel="0" collapsed="false">
      <c r="A1185" s="2" t="s">
        <v>10270</v>
      </c>
      <c r="B1185" s="2" t="s">
        <v>4101</v>
      </c>
      <c r="C1185" s="2" t="s">
        <v>9092</v>
      </c>
      <c r="D1185" s="2" t="n">
        <v>193.08</v>
      </c>
      <c r="E1185" s="13" t="n">
        <v>45550</v>
      </c>
    </row>
    <row r="1186" customFormat="false" ht="15" hidden="false" customHeight="false" outlineLevel="0" collapsed="false">
      <c r="A1186" s="2" t="s">
        <v>10271</v>
      </c>
      <c r="B1186" s="2" t="s">
        <v>4103</v>
      </c>
      <c r="C1186" s="2" t="s">
        <v>9092</v>
      </c>
      <c r="D1186" s="2" t="n">
        <v>193.45</v>
      </c>
      <c r="E1186" s="13" t="n">
        <v>45557</v>
      </c>
    </row>
    <row r="1187" customFormat="false" ht="15" hidden="false" customHeight="false" outlineLevel="0" collapsed="false">
      <c r="A1187" s="2" t="s">
        <v>10272</v>
      </c>
      <c r="B1187" s="2" t="s">
        <v>4107</v>
      </c>
      <c r="C1187" s="2" t="s">
        <v>9085</v>
      </c>
      <c r="D1187" s="2" t="n">
        <v>193.82</v>
      </c>
      <c r="E1187" s="13" t="n">
        <v>45564</v>
      </c>
    </row>
    <row r="1188" customFormat="false" ht="15" hidden="false" customHeight="false" outlineLevel="0" collapsed="false">
      <c r="A1188" s="2" t="s">
        <v>10273</v>
      </c>
      <c r="B1188" s="2" t="s">
        <v>4109</v>
      </c>
      <c r="C1188" s="2" t="s">
        <v>9098</v>
      </c>
      <c r="D1188" s="2" t="n">
        <v>194.19</v>
      </c>
      <c r="E1188" s="13" t="n">
        <v>45571</v>
      </c>
    </row>
    <row r="1189" customFormat="false" ht="15" hidden="false" customHeight="false" outlineLevel="0" collapsed="false">
      <c r="A1189" s="2" t="s">
        <v>10274</v>
      </c>
      <c r="B1189" s="2" t="s">
        <v>4113</v>
      </c>
      <c r="C1189" s="2" t="s">
        <v>9087</v>
      </c>
      <c r="D1189" s="2" t="n">
        <v>194.56</v>
      </c>
      <c r="E1189" s="13" t="n">
        <v>45578</v>
      </c>
    </row>
    <row r="1190" customFormat="false" ht="15" hidden="false" customHeight="false" outlineLevel="0" collapsed="false">
      <c r="A1190" s="2" t="s">
        <v>10275</v>
      </c>
      <c r="B1190" s="2" t="s">
        <v>4117</v>
      </c>
      <c r="C1190" s="2" t="s">
        <v>9083</v>
      </c>
      <c r="D1190" s="2" t="n">
        <v>194.93</v>
      </c>
      <c r="E1190" s="13" t="n">
        <v>45585</v>
      </c>
    </row>
    <row r="1191" customFormat="false" ht="15" hidden="false" customHeight="false" outlineLevel="0" collapsed="false">
      <c r="A1191" s="2" t="s">
        <v>10276</v>
      </c>
      <c r="B1191" s="2" t="s">
        <v>4119</v>
      </c>
      <c r="C1191" s="2" t="s">
        <v>9083</v>
      </c>
      <c r="D1191" s="2" t="n">
        <v>195.3</v>
      </c>
      <c r="E1191" s="13" t="n">
        <v>45592</v>
      </c>
    </row>
    <row r="1192" customFormat="false" ht="15" hidden="false" customHeight="false" outlineLevel="0" collapsed="false">
      <c r="A1192" s="2" t="s">
        <v>10277</v>
      </c>
      <c r="B1192" s="2" t="s">
        <v>4123</v>
      </c>
      <c r="C1192" s="2" t="s">
        <v>9092</v>
      </c>
      <c r="D1192" s="2" t="n">
        <v>195.67</v>
      </c>
      <c r="E1192" s="13" t="n">
        <v>45599</v>
      </c>
    </row>
    <row r="1193" customFormat="false" ht="15" hidden="false" customHeight="false" outlineLevel="0" collapsed="false">
      <c r="A1193" s="2" t="s">
        <v>10278</v>
      </c>
      <c r="B1193" s="2" t="s">
        <v>4127</v>
      </c>
      <c r="C1193" s="2" t="s">
        <v>9092</v>
      </c>
      <c r="D1193" s="2" t="n">
        <v>196.04</v>
      </c>
      <c r="E1193" s="13" t="n">
        <v>45606</v>
      </c>
    </row>
    <row r="1194" customFormat="false" ht="15" hidden="false" customHeight="false" outlineLevel="0" collapsed="false">
      <c r="A1194" s="2" t="s">
        <v>10279</v>
      </c>
      <c r="B1194" s="2" t="s">
        <v>4129</v>
      </c>
      <c r="C1194" s="2" t="s">
        <v>9087</v>
      </c>
      <c r="D1194" s="2" t="n">
        <v>196.41</v>
      </c>
      <c r="E1194" s="13" t="n">
        <v>45613</v>
      </c>
    </row>
    <row r="1195" customFormat="false" ht="15" hidden="false" customHeight="false" outlineLevel="0" collapsed="false">
      <c r="A1195" s="2" t="s">
        <v>10280</v>
      </c>
      <c r="B1195" s="2" t="s">
        <v>4133</v>
      </c>
      <c r="C1195" s="2" t="s">
        <v>9087</v>
      </c>
      <c r="D1195" s="2" t="n">
        <v>196.78</v>
      </c>
      <c r="E1195" s="13" t="n">
        <v>45620</v>
      </c>
    </row>
    <row r="1196" customFormat="false" ht="15" hidden="false" customHeight="false" outlineLevel="0" collapsed="false">
      <c r="A1196" s="2" t="s">
        <v>10281</v>
      </c>
      <c r="B1196" s="2" t="s">
        <v>4135</v>
      </c>
      <c r="C1196" s="2" t="s">
        <v>9098</v>
      </c>
      <c r="D1196" s="2" t="n">
        <v>197.15</v>
      </c>
      <c r="E1196" s="13" t="n">
        <v>45627</v>
      </c>
    </row>
    <row r="1197" customFormat="false" ht="15" hidden="false" customHeight="false" outlineLevel="0" collapsed="false">
      <c r="A1197" s="2" t="s">
        <v>10282</v>
      </c>
      <c r="B1197" s="2" t="s">
        <v>4139</v>
      </c>
      <c r="C1197" s="2" t="s">
        <v>9092</v>
      </c>
      <c r="D1197" s="2" t="n">
        <v>197.52</v>
      </c>
      <c r="E1197" s="13" t="n">
        <v>45634</v>
      </c>
    </row>
    <row r="1198" customFormat="false" ht="15" hidden="false" customHeight="false" outlineLevel="0" collapsed="false">
      <c r="A1198" s="2" t="s">
        <v>10283</v>
      </c>
      <c r="B1198" s="2" t="s">
        <v>4141</v>
      </c>
      <c r="C1198" s="2" t="s">
        <v>9083</v>
      </c>
      <c r="D1198" s="2" t="n">
        <v>197.89</v>
      </c>
      <c r="E1198" s="13" t="n">
        <v>45641</v>
      </c>
    </row>
    <row r="1199" customFormat="false" ht="15" hidden="false" customHeight="false" outlineLevel="0" collapsed="false">
      <c r="A1199" s="2" t="s">
        <v>10284</v>
      </c>
      <c r="B1199" s="2" t="s">
        <v>4145</v>
      </c>
      <c r="C1199" s="2" t="s">
        <v>9087</v>
      </c>
      <c r="D1199" s="2" t="n">
        <v>198.26</v>
      </c>
      <c r="E1199" s="13" t="n">
        <v>45648</v>
      </c>
    </row>
    <row r="1200" customFormat="false" ht="15" hidden="false" customHeight="false" outlineLevel="0" collapsed="false">
      <c r="A1200" s="2" t="s">
        <v>10285</v>
      </c>
      <c r="B1200" s="2" t="s">
        <v>4147</v>
      </c>
      <c r="C1200" s="2" t="s">
        <v>9083</v>
      </c>
      <c r="D1200" s="2" t="n">
        <v>198.63</v>
      </c>
      <c r="E1200" s="13" t="n">
        <v>45655</v>
      </c>
    </row>
    <row r="1201" customFormat="false" ht="15" hidden="false" customHeight="false" outlineLevel="0" collapsed="false">
      <c r="A1201" s="2" t="s">
        <v>10286</v>
      </c>
      <c r="B1201" s="2" t="s">
        <v>4151</v>
      </c>
      <c r="C1201" s="2" t="s">
        <v>9092</v>
      </c>
      <c r="D1201" s="2" t="n">
        <v>199</v>
      </c>
      <c r="E1201" s="13" t="n">
        <v>45662</v>
      </c>
    </row>
    <row r="1202" customFormat="false" ht="15" hidden="false" customHeight="false" outlineLevel="0" collapsed="false">
      <c r="A1202" s="2" t="s">
        <v>10287</v>
      </c>
      <c r="B1202" s="2" t="s">
        <v>4153</v>
      </c>
      <c r="C1202" s="2" t="s">
        <v>9083</v>
      </c>
      <c r="D1202" s="2" t="n">
        <v>199.37</v>
      </c>
      <c r="E1202" s="13" t="n">
        <v>45669</v>
      </c>
    </row>
    <row r="1203" customFormat="false" ht="15" hidden="false" customHeight="false" outlineLevel="0" collapsed="false">
      <c r="A1203" s="2" t="s">
        <v>10288</v>
      </c>
      <c r="B1203" s="2" t="s">
        <v>4155</v>
      </c>
      <c r="C1203" s="2" t="s">
        <v>9098</v>
      </c>
      <c r="D1203" s="2" t="n">
        <v>199.74</v>
      </c>
      <c r="E1203" s="13" t="n">
        <v>45676</v>
      </c>
    </row>
    <row r="1204" customFormat="false" ht="15" hidden="false" customHeight="false" outlineLevel="0" collapsed="false">
      <c r="A1204" s="2" t="s">
        <v>10289</v>
      </c>
      <c r="B1204" s="2" t="s">
        <v>4157</v>
      </c>
      <c r="C1204" s="2" t="s">
        <v>9085</v>
      </c>
      <c r="D1204" s="2" t="n">
        <v>200.11</v>
      </c>
      <c r="E1204" s="13" t="n">
        <v>45683</v>
      </c>
    </row>
    <row r="1205" customFormat="false" ht="15" hidden="false" customHeight="false" outlineLevel="0" collapsed="false">
      <c r="A1205" s="2" t="s">
        <v>10290</v>
      </c>
      <c r="B1205" s="2" t="s">
        <v>4161</v>
      </c>
      <c r="C1205" s="2" t="s">
        <v>9098</v>
      </c>
      <c r="D1205" s="2" t="n">
        <v>200.48</v>
      </c>
      <c r="E1205" s="13" t="n">
        <v>45690</v>
      </c>
    </row>
    <row r="1206" customFormat="false" ht="15" hidden="false" customHeight="false" outlineLevel="0" collapsed="false">
      <c r="A1206" s="2" t="s">
        <v>10291</v>
      </c>
      <c r="B1206" s="2" t="s">
        <v>4165</v>
      </c>
      <c r="C1206" s="2" t="s">
        <v>9083</v>
      </c>
      <c r="D1206" s="2" t="n">
        <v>200.85</v>
      </c>
      <c r="E1206" s="13" t="n">
        <v>45697</v>
      </c>
    </row>
    <row r="1207" customFormat="false" ht="15" hidden="false" customHeight="false" outlineLevel="0" collapsed="false">
      <c r="A1207" s="2" t="s">
        <v>10292</v>
      </c>
      <c r="B1207" s="2" t="s">
        <v>4167</v>
      </c>
      <c r="C1207" s="2" t="s">
        <v>9083</v>
      </c>
      <c r="D1207" s="2" t="n">
        <v>201.22</v>
      </c>
      <c r="E1207" s="13" t="n">
        <v>45704</v>
      </c>
    </row>
    <row r="1208" customFormat="false" ht="15" hidden="false" customHeight="false" outlineLevel="0" collapsed="false">
      <c r="A1208" s="2" t="s">
        <v>10293</v>
      </c>
      <c r="B1208" s="2" t="s">
        <v>4169</v>
      </c>
      <c r="C1208" s="2" t="s">
        <v>9087</v>
      </c>
      <c r="D1208" s="2" t="n">
        <v>201.59</v>
      </c>
      <c r="E1208" s="13" t="n">
        <v>45711</v>
      </c>
    </row>
    <row r="1209" customFormat="false" ht="15" hidden="false" customHeight="false" outlineLevel="0" collapsed="false">
      <c r="A1209" s="2" t="s">
        <v>10294</v>
      </c>
      <c r="B1209" s="2" t="s">
        <v>4171</v>
      </c>
      <c r="C1209" s="2" t="s">
        <v>9092</v>
      </c>
      <c r="D1209" s="2" t="n">
        <v>201.96</v>
      </c>
      <c r="E1209" s="13" t="n">
        <v>45718</v>
      </c>
    </row>
    <row r="1210" customFormat="false" ht="15" hidden="false" customHeight="false" outlineLevel="0" collapsed="false">
      <c r="A1210" s="2" t="s">
        <v>10295</v>
      </c>
      <c r="B1210" s="2" t="s">
        <v>4173</v>
      </c>
      <c r="C1210" s="2" t="s">
        <v>9092</v>
      </c>
      <c r="D1210" s="2" t="n">
        <v>202.33</v>
      </c>
      <c r="E1210" s="13" t="n">
        <v>45725</v>
      </c>
    </row>
    <row r="1211" customFormat="false" ht="15" hidden="false" customHeight="false" outlineLevel="0" collapsed="false">
      <c r="A1211" s="2" t="s">
        <v>10296</v>
      </c>
      <c r="B1211" s="2" t="s">
        <v>4177</v>
      </c>
      <c r="C1211" s="2" t="s">
        <v>9083</v>
      </c>
      <c r="D1211" s="2" t="n">
        <v>202.7</v>
      </c>
      <c r="E1211" s="13" t="n">
        <v>45732</v>
      </c>
    </row>
    <row r="1212" customFormat="false" ht="15" hidden="false" customHeight="false" outlineLevel="0" collapsed="false">
      <c r="A1212" s="2" t="s">
        <v>10297</v>
      </c>
      <c r="B1212" s="2" t="s">
        <v>4179</v>
      </c>
      <c r="C1212" s="2" t="s">
        <v>9085</v>
      </c>
      <c r="D1212" s="2" t="n">
        <v>203.07</v>
      </c>
      <c r="E1212" s="13" t="n">
        <v>45739</v>
      </c>
    </row>
    <row r="1213" customFormat="false" ht="15" hidden="false" customHeight="false" outlineLevel="0" collapsed="false">
      <c r="A1213" s="2" t="s">
        <v>10298</v>
      </c>
      <c r="B1213" s="2" t="s">
        <v>4181</v>
      </c>
      <c r="C1213" s="2" t="s">
        <v>9085</v>
      </c>
      <c r="D1213" s="2" t="n">
        <v>203.44</v>
      </c>
      <c r="E1213" s="13" t="n">
        <v>45746</v>
      </c>
    </row>
    <row r="1214" customFormat="false" ht="15" hidden="false" customHeight="false" outlineLevel="0" collapsed="false">
      <c r="A1214" s="2" t="s">
        <v>10299</v>
      </c>
      <c r="B1214" s="2" t="s">
        <v>4183</v>
      </c>
      <c r="C1214" s="2" t="s">
        <v>9087</v>
      </c>
      <c r="D1214" s="2" t="n">
        <v>203.81</v>
      </c>
      <c r="E1214" s="13" t="n">
        <v>45753</v>
      </c>
    </row>
    <row r="1215" customFormat="false" ht="15" hidden="false" customHeight="false" outlineLevel="0" collapsed="false">
      <c r="A1215" s="2" t="s">
        <v>10300</v>
      </c>
      <c r="B1215" s="2" t="s">
        <v>4185</v>
      </c>
      <c r="C1215" s="2" t="s">
        <v>9083</v>
      </c>
      <c r="D1215" s="2" t="n">
        <v>204.18</v>
      </c>
      <c r="E1215" s="13" t="n">
        <v>45760</v>
      </c>
    </row>
    <row r="1216" customFormat="false" ht="15" hidden="false" customHeight="false" outlineLevel="0" collapsed="false">
      <c r="A1216" s="2" t="s">
        <v>10301</v>
      </c>
      <c r="B1216" s="2" t="s">
        <v>4187</v>
      </c>
      <c r="C1216" s="2" t="s">
        <v>9098</v>
      </c>
      <c r="D1216" s="2" t="n">
        <v>204.55</v>
      </c>
      <c r="E1216" s="13" t="n">
        <v>45767</v>
      </c>
    </row>
    <row r="1217" customFormat="false" ht="15" hidden="false" customHeight="false" outlineLevel="0" collapsed="false">
      <c r="A1217" s="2" t="s">
        <v>10302</v>
      </c>
      <c r="B1217" s="2" t="s">
        <v>4189</v>
      </c>
      <c r="C1217" s="2" t="s">
        <v>9083</v>
      </c>
      <c r="D1217" s="2" t="n">
        <v>204.92</v>
      </c>
      <c r="E1217" s="13" t="n">
        <v>45774</v>
      </c>
    </row>
    <row r="1218" customFormat="false" ht="15" hidden="false" customHeight="false" outlineLevel="0" collapsed="false">
      <c r="A1218" s="2" t="s">
        <v>10303</v>
      </c>
      <c r="B1218" s="2" t="s">
        <v>4191</v>
      </c>
      <c r="C1218" s="2" t="s">
        <v>9085</v>
      </c>
      <c r="D1218" s="2" t="n">
        <v>205.29</v>
      </c>
      <c r="E1218" s="13" t="n">
        <v>45781</v>
      </c>
    </row>
    <row r="1219" customFormat="false" ht="15" hidden="false" customHeight="false" outlineLevel="0" collapsed="false">
      <c r="A1219" s="2" t="s">
        <v>10304</v>
      </c>
      <c r="B1219" s="2" t="s">
        <v>4193</v>
      </c>
      <c r="C1219" s="2" t="s">
        <v>9083</v>
      </c>
      <c r="D1219" s="2" t="n">
        <v>205.66</v>
      </c>
      <c r="E1219" s="13" t="n">
        <v>45788</v>
      </c>
    </row>
    <row r="1220" customFormat="false" ht="15" hidden="false" customHeight="false" outlineLevel="0" collapsed="false">
      <c r="A1220" s="2" t="s">
        <v>10305</v>
      </c>
      <c r="B1220" s="2" t="s">
        <v>4195</v>
      </c>
      <c r="C1220" s="2" t="s">
        <v>9085</v>
      </c>
      <c r="D1220" s="2" t="n">
        <v>206.03</v>
      </c>
      <c r="E1220" s="13" t="n">
        <v>45795</v>
      </c>
    </row>
    <row r="1221" customFormat="false" ht="15" hidden="false" customHeight="false" outlineLevel="0" collapsed="false">
      <c r="A1221" s="2" t="s">
        <v>10306</v>
      </c>
      <c r="B1221" s="2" t="s">
        <v>4199</v>
      </c>
      <c r="C1221" s="2" t="s">
        <v>9083</v>
      </c>
      <c r="D1221" s="2" t="n">
        <v>206.4</v>
      </c>
      <c r="E1221" s="13" t="n">
        <v>45802</v>
      </c>
    </row>
    <row r="1222" customFormat="false" ht="15" hidden="false" customHeight="false" outlineLevel="0" collapsed="false">
      <c r="A1222" s="2" t="s">
        <v>10307</v>
      </c>
      <c r="B1222" s="2" t="s">
        <v>4201</v>
      </c>
      <c r="C1222" s="2" t="s">
        <v>9098</v>
      </c>
      <c r="D1222" s="2" t="n">
        <v>206.77</v>
      </c>
      <c r="E1222" s="13" t="n">
        <v>45809</v>
      </c>
    </row>
    <row r="1223" customFormat="false" ht="15" hidden="false" customHeight="false" outlineLevel="0" collapsed="false">
      <c r="A1223" s="2" t="s">
        <v>10308</v>
      </c>
      <c r="B1223" s="2" t="s">
        <v>4203</v>
      </c>
      <c r="C1223" s="2" t="s">
        <v>9092</v>
      </c>
      <c r="D1223" s="2" t="n">
        <v>207.14</v>
      </c>
      <c r="E1223" s="13" t="n">
        <v>45816</v>
      </c>
    </row>
    <row r="1224" customFormat="false" ht="15" hidden="false" customHeight="false" outlineLevel="0" collapsed="false">
      <c r="A1224" s="2" t="s">
        <v>10309</v>
      </c>
      <c r="B1224" s="2" t="s">
        <v>4207</v>
      </c>
      <c r="C1224" s="2" t="s">
        <v>9092</v>
      </c>
      <c r="D1224" s="2" t="n">
        <v>207.51</v>
      </c>
      <c r="E1224" s="13" t="n">
        <v>45823</v>
      </c>
    </row>
    <row r="1225" customFormat="false" ht="15" hidden="false" customHeight="false" outlineLevel="0" collapsed="false">
      <c r="A1225" s="2" t="s">
        <v>10310</v>
      </c>
      <c r="B1225" s="2" t="s">
        <v>4209</v>
      </c>
      <c r="C1225" s="2" t="s">
        <v>9087</v>
      </c>
      <c r="D1225" s="2" t="n">
        <v>207.88</v>
      </c>
      <c r="E1225" s="13" t="n">
        <v>45830</v>
      </c>
    </row>
    <row r="1226" customFormat="false" ht="15" hidden="false" customHeight="false" outlineLevel="0" collapsed="false">
      <c r="A1226" s="2" t="s">
        <v>10311</v>
      </c>
      <c r="B1226" s="2" t="s">
        <v>4211</v>
      </c>
      <c r="C1226" s="2" t="s">
        <v>9085</v>
      </c>
      <c r="D1226" s="2" t="n">
        <v>208.25</v>
      </c>
      <c r="E1226" s="13" t="n">
        <v>45837</v>
      </c>
    </row>
    <row r="1227" customFormat="false" ht="15" hidden="false" customHeight="false" outlineLevel="0" collapsed="false">
      <c r="A1227" s="2" t="s">
        <v>10312</v>
      </c>
      <c r="B1227" s="2" t="s">
        <v>4215</v>
      </c>
      <c r="C1227" s="2" t="s">
        <v>9098</v>
      </c>
      <c r="D1227" s="2" t="n">
        <v>208.62</v>
      </c>
      <c r="E1227" s="13" t="n">
        <v>45844</v>
      </c>
    </row>
    <row r="1228" customFormat="false" ht="15" hidden="false" customHeight="false" outlineLevel="0" collapsed="false">
      <c r="A1228" s="2" t="s">
        <v>10313</v>
      </c>
      <c r="B1228" s="2" t="s">
        <v>4219</v>
      </c>
      <c r="C1228" s="2" t="s">
        <v>9092</v>
      </c>
      <c r="D1228" s="2" t="n">
        <v>208.99</v>
      </c>
      <c r="E1228" s="13" t="n">
        <v>45851</v>
      </c>
    </row>
    <row r="1229" customFormat="false" ht="15" hidden="false" customHeight="false" outlineLevel="0" collapsed="false">
      <c r="A1229" s="2" t="s">
        <v>10314</v>
      </c>
      <c r="B1229" s="2" t="s">
        <v>4221</v>
      </c>
      <c r="C1229" s="2" t="s">
        <v>9085</v>
      </c>
      <c r="D1229" s="2" t="n">
        <v>209.36</v>
      </c>
      <c r="E1229" s="13" t="n">
        <v>45858</v>
      </c>
    </row>
    <row r="1230" customFormat="false" ht="15" hidden="false" customHeight="false" outlineLevel="0" collapsed="false">
      <c r="A1230" s="2" t="s">
        <v>10315</v>
      </c>
      <c r="B1230" s="2" t="s">
        <v>4223</v>
      </c>
      <c r="C1230" s="2" t="s">
        <v>9083</v>
      </c>
      <c r="D1230" s="2" t="n">
        <v>209.73</v>
      </c>
      <c r="E1230" s="13" t="n">
        <v>45865</v>
      </c>
    </row>
    <row r="1231" customFormat="false" ht="15" hidden="false" customHeight="false" outlineLevel="0" collapsed="false">
      <c r="A1231" s="2" t="s">
        <v>10316</v>
      </c>
      <c r="B1231" s="2" t="s">
        <v>4225</v>
      </c>
      <c r="C1231" s="2" t="s">
        <v>9085</v>
      </c>
      <c r="D1231" s="2" t="n">
        <v>210.1</v>
      </c>
      <c r="E1231" s="13" t="n">
        <v>45872</v>
      </c>
    </row>
    <row r="1232" customFormat="false" ht="15" hidden="false" customHeight="false" outlineLevel="0" collapsed="false">
      <c r="A1232" s="2" t="s">
        <v>10317</v>
      </c>
      <c r="B1232" s="2" t="s">
        <v>4227</v>
      </c>
      <c r="C1232" s="2" t="s">
        <v>9085</v>
      </c>
      <c r="D1232" s="2" t="n">
        <v>210.47</v>
      </c>
      <c r="E1232" s="13" t="n">
        <v>45879</v>
      </c>
    </row>
    <row r="1233" customFormat="false" ht="15" hidden="false" customHeight="false" outlineLevel="0" collapsed="false">
      <c r="A1233" s="2" t="s">
        <v>10318</v>
      </c>
      <c r="B1233" s="2" t="s">
        <v>4229</v>
      </c>
      <c r="C1233" s="2" t="s">
        <v>9087</v>
      </c>
      <c r="D1233" s="2" t="n">
        <v>210.84</v>
      </c>
      <c r="E1233" s="13" t="n">
        <v>45886</v>
      </c>
    </row>
    <row r="1234" customFormat="false" ht="15" hidden="false" customHeight="false" outlineLevel="0" collapsed="false">
      <c r="A1234" s="2" t="s">
        <v>10319</v>
      </c>
      <c r="B1234" s="2" t="s">
        <v>4233</v>
      </c>
      <c r="C1234" s="2" t="s">
        <v>9085</v>
      </c>
      <c r="D1234" s="2" t="n">
        <v>211.21</v>
      </c>
      <c r="E1234" s="13" t="n">
        <v>45893</v>
      </c>
    </row>
    <row r="1235" customFormat="false" ht="15" hidden="false" customHeight="false" outlineLevel="0" collapsed="false">
      <c r="A1235" s="2" t="s">
        <v>10320</v>
      </c>
      <c r="B1235" s="2" t="s">
        <v>4235</v>
      </c>
      <c r="C1235" s="2" t="s">
        <v>9083</v>
      </c>
      <c r="D1235" s="2" t="n">
        <v>211.58</v>
      </c>
      <c r="E1235" s="13" t="n">
        <v>45900</v>
      </c>
    </row>
    <row r="1236" customFormat="false" ht="15" hidden="false" customHeight="false" outlineLevel="0" collapsed="false">
      <c r="A1236" s="2" t="s">
        <v>10321</v>
      </c>
      <c r="B1236" s="2" t="s">
        <v>4237</v>
      </c>
      <c r="C1236" s="2" t="s">
        <v>9085</v>
      </c>
      <c r="D1236" s="2" t="n">
        <v>211.95</v>
      </c>
      <c r="E1236" s="13" t="n">
        <v>45907</v>
      </c>
    </row>
    <row r="1237" customFormat="false" ht="15" hidden="false" customHeight="false" outlineLevel="0" collapsed="false">
      <c r="A1237" s="2" t="s">
        <v>10322</v>
      </c>
      <c r="B1237" s="2" t="s">
        <v>4239</v>
      </c>
      <c r="C1237" s="2" t="s">
        <v>9085</v>
      </c>
      <c r="D1237" s="2" t="n">
        <v>212.32</v>
      </c>
      <c r="E1237" s="13" t="n">
        <v>45914</v>
      </c>
    </row>
    <row r="1238" customFormat="false" ht="15" hidden="false" customHeight="false" outlineLevel="0" collapsed="false">
      <c r="A1238" s="2" t="s">
        <v>10323</v>
      </c>
      <c r="B1238" s="2" t="s">
        <v>4241</v>
      </c>
      <c r="C1238" s="2" t="s">
        <v>9083</v>
      </c>
      <c r="D1238" s="2" t="n">
        <v>212.69</v>
      </c>
      <c r="E1238" s="13" t="n">
        <v>45921</v>
      </c>
    </row>
    <row r="1239" customFormat="false" ht="15" hidden="false" customHeight="false" outlineLevel="0" collapsed="false">
      <c r="A1239" s="2" t="s">
        <v>10324</v>
      </c>
      <c r="B1239" s="2" t="s">
        <v>4243</v>
      </c>
      <c r="C1239" s="2" t="s">
        <v>9092</v>
      </c>
      <c r="D1239" s="2" t="n">
        <v>213.06</v>
      </c>
      <c r="E1239" s="13" t="n">
        <v>45928</v>
      </c>
    </row>
    <row r="1240" customFormat="false" ht="15" hidden="false" customHeight="false" outlineLevel="0" collapsed="false">
      <c r="A1240" s="2" t="s">
        <v>10325</v>
      </c>
      <c r="B1240" s="2" t="s">
        <v>4245</v>
      </c>
      <c r="C1240" s="2" t="s">
        <v>9092</v>
      </c>
      <c r="D1240" s="2" t="n">
        <v>213.43</v>
      </c>
      <c r="E1240" s="13" t="n">
        <v>45935</v>
      </c>
    </row>
    <row r="1241" customFormat="false" ht="15" hidden="false" customHeight="false" outlineLevel="0" collapsed="false">
      <c r="A1241" s="2" t="s">
        <v>10326</v>
      </c>
      <c r="B1241" s="2" t="s">
        <v>4249</v>
      </c>
      <c r="C1241" s="2" t="s">
        <v>9098</v>
      </c>
      <c r="D1241" s="2" t="n">
        <v>213.8</v>
      </c>
      <c r="E1241" s="13" t="n">
        <v>45942</v>
      </c>
    </row>
    <row r="1242" customFormat="false" ht="15" hidden="false" customHeight="false" outlineLevel="0" collapsed="false">
      <c r="A1242" s="2" t="s">
        <v>10327</v>
      </c>
      <c r="B1242" s="2" t="s">
        <v>4251</v>
      </c>
      <c r="C1242" s="2" t="s">
        <v>9085</v>
      </c>
      <c r="D1242" s="2" t="n">
        <v>214.17</v>
      </c>
      <c r="E1242" s="13" t="n">
        <v>45949</v>
      </c>
    </row>
    <row r="1243" customFormat="false" ht="15" hidden="false" customHeight="false" outlineLevel="0" collapsed="false">
      <c r="A1243" s="2" t="s">
        <v>10328</v>
      </c>
      <c r="B1243" s="2" t="s">
        <v>4255</v>
      </c>
      <c r="C1243" s="2" t="s">
        <v>9098</v>
      </c>
      <c r="D1243" s="2" t="n">
        <v>214.54</v>
      </c>
      <c r="E1243" s="13" t="n">
        <v>45956</v>
      </c>
    </row>
    <row r="1244" customFormat="false" ht="15" hidden="false" customHeight="false" outlineLevel="0" collapsed="false">
      <c r="A1244" s="2" t="s">
        <v>10329</v>
      </c>
      <c r="B1244" s="2" t="s">
        <v>4259</v>
      </c>
      <c r="C1244" s="2" t="s">
        <v>9083</v>
      </c>
      <c r="D1244" s="2" t="n">
        <v>214.91</v>
      </c>
      <c r="E1244" s="13" t="n">
        <v>45963</v>
      </c>
    </row>
    <row r="1245" customFormat="false" ht="15" hidden="false" customHeight="false" outlineLevel="0" collapsed="false">
      <c r="A1245" s="2" t="s">
        <v>10330</v>
      </c>
      <c r="B1245" s="2" t="s">
        <v>4261</v>
      </c>
      <c r="C1245" s="2" t="s">
        <v>9098</v>
      </c>
      <c r="D1245" s="2" t="n">
        <v>215.28</v>
      </c>
      <c r="E1245" s="13" t="n">
        <v>45970</v>
      </c>
    </row>
    <row r="1246" customFormat="false" ht="15" hidden="false" customHeight="false" outlineLevel="0" collapsed="false">
      <c r="A1246" s="2" t="s">
        <v>10331</v>
      </c>
      <c r="B1246" s="2" t="s">
        <v>4263</v>
      </c>
      <c r="C1246" s="2" t="s">
        <v>9083</v>
      </c>
      <c r="D1246" s="2" t="n">
        <v>215.65</v>
      </c>
      <c r="E1246" s="13" t="n">
        <v>45977</v>
      </c>
    </row>
    <row r="1247" customFormat="false" ht="15" hidden="false" customHeight="false" outlineLevel="0" collapsed="false">
      <c r="A1247" s="2" t="s">
        <v>10332</v>
      </c>
      <c r="B1247" s="2" t="s">
        <v>4265</v>
      </c>
      <c r="C1247" s="2" t="s">
        <v>9092</v>
      </c>
      <c r="D1247" s="2" t="n">
        <v>216.02</v>
      </c>
      <c r="E1247" s="13" t="n">
        <v>45984</v>
      </c>
    </row>
    <row r="1248" customFormat="false" ht="15" hidden="false" customHeight="false" outlineLevel="0" collapsed="false">
      <c r="A1248" s="2" t="s">
        <v>10333</v>
      </c>
      <c r="B1248" s="2" t="s">
        <v>4267</v>
      </c>
      <c r="C1248" s="2" t="s">
        <v>9092</v>
      </c>
      <c r="D1248" s="2" t="n">
        <v>216.39</v>
      </c>
      <c r="E1248" s="13" t="n">
        <v>45991</v>
      </c>
    </row>
    <row r="1249" customFormat="false" ht="15" hidden="false" customHeight="false" outlineLevel="0" collapsed="false">
      <c r="A1249" s="2" t="s">
        <v>10334</v>
      </c>
      <c r="B1249" s="2" t="s">
        <v>4269</v>
      </c>
      <c r="C1249" s="2" t="s">
        <v>9087</v>
      </c>
      <c r="D1249" s="2" t="n">
        <v>216.76</v>
      </c>
      <c r="E1249" s="13" t="n">
        <v>45998</v>
      </c>
    </row>
    <row r="1250" customFormat="false" ht="15" hidden="false" customHeight="false" outlineLevel="0" collapsed="false">
      <c r="A1250" s="2" t="s">
        <v>10335</v>
      </c>
      <c r="B1250" s="2" t="s">
        <v>4271</v>
      </c>
      <c r="C1250" s="2" t="s">
        <v>9087</v>
      </c>
      <c r="D1250" s="2" t="n">
        <v>217.13</v>
      </c>
      <c r="E1250" s="13" t="n">
        <v>46005</v>
      </c>
    </row>
    <row r="1251" customFormat="false" ht="15" hidden="false" customHeight="false" outlineLevel="0" collapsed="false">
      <c r="A1251" s="2" t="s">
        <v>10336</v>
      </c>
      <c r="B1251" s="2" t="s">
        <v>4273</v>
      </c>
      <c r="C1251" s="2" t="s">
        <v>9085</v>
      </c>
      <c r="D1251" s="2" t="n">
        <v>217.5</v>
      </c>
      <c r="E1251" s="13" t="n">
        <v>46012</v>
      </c>
    </row>
    <row r="1252" customFormat="false" ht="15" hidden="false" customHeight="false" outlineLevel="0" collapsed="false">
      <c r="A1252" s="2" t="s">
        <v>10337</v>
      </c>
      <c r="B1252" s="2" t="s">
        <v>4275</v>
      </c>
      <c r="C1252" s="2" t="s">
        <v>9087</v>
      </c>
      <c r="D1252" s="2" t="n">
        <v>217.87</v>
      </c>
      <c r="E1252" s="13" t="n">
        <v>46019</v>
      </c>
    </row>
    <row r="1253" customFormat="false" ht="15" hidden="false" customHeight="false" outlineLevel="0" collapsed="false">
      <c r="A1253" s="2" t="s">
        <v>10338</v>
      </c>
      <c r="B1253" s="2" t="s">
        <v>4277</v>
      </c>
      <c r="C1253" s="2" t="s">
        <v>9085</v>
      </c>
      <c r="D1253" s="2" t="n">
        <v>218.24</v>
      </c>
      <c r="E1253" s="13" t="n">
        <v>45296</v>
      </c>
    </row>
    <row r="1254" customFormat="false" ht="15" hidden="false" customHeight="false" outlineLevel="0" collapsed="false">
      <c r="A1254" s="2" t="s">
        <v>10339</v>
      </c>
      <c r="B1254" s="2" t="s">
        <v>4279</v>
      </c>
      <c r="C1254" s="2" t="s">
        <v>9085</v>
      </c>
      <c r="D1254" s="2" t="n">
        <v>218.61</v>
      </c>
      <c r="E1254" s="13" t="n">
        <v>45303</v>
      </c>
    </row>
    <row r="1255" customFormat="false" ht="15" hidden="false" customHeight="false" outlineLevel="0" collapsed="false">
      <c r="A1255" s="2" t="s">
        <v>10340</v>
      </c>
      <c r="B1255" s="2" t="s">
        <v>4283</v>
      </c>
      <c r="C1255" s="2" t="s">
        <v>9092</v>
      </c>
      <c r="D1255" s="2" t="n">
        <v>218.98</v>
      </c>
      <c r="E1255" s="13" t="n">
        <v>45310</v>
      </c>
    </row>
    <row r="1256" customFormat="false" ht="15" hidden="false" customHeight="false" outlineLevel="0" collapsed="false">
      <c r="A1256" s="2" t="s">
        <v>10341</v>
      </c>
      <c r="B1256" s="2" t="s">
        <v>4285</v>
      </c>
      <c r="C1256" s="2" t="s">
        <v>9098</v>
      </c>
      <c r="D1256" s="2" t="n">
        <v>219.35</v>
      </c>
      <c r="E1256" s="13" t="n">
        <v>45317</v>
      </c>
    </row>
    <row r="1257" customFormat="false" ht="15" hidden="false" customHeight="false" outlineLevel="0" collapsed="false">
      <c r="A1257" s="2" t="s">
        <v>10342</v>
      </c>
      <c r="B1257" s="2" t="s">
        <v>4289</v>
      </c>
      <c r="C1257" s="2" t="s">
        <v>9087</v>
      </c>
      <c r="D1257" s="2" t="n">
        <v>219.72</v>
      </c>
      <c r="E1257" s="13" t="n">
        <v>45324</v>
      </c>
    </row>
    <row r="1258" customFormat="false" ht="15" hidden="false" customHeight="false" outlineLevel="0" collapsed="false">
      <c r="A1258" s="2" t="s">
        <v>10343</v>
      </c>
      <c r="B1258" s="2" t="s">
        <v>4293</v>
      </c>
      <c r="C1258" s="2" t="s">
        <v>9085</v>
      </c>
      <c r="D1258" s="2" t="n">
        <v>220.09</v>
      </c>
      <c r="E1258" s="13" t="n">
        <v>45331</v>
      </c>
    </row>
    <row r="1259" customFormat="false" ht="15" hidden="false" customHeight="false" outlineLevel="0" collapsed="false">
      <c r="A1259" s="2" t="s">
        <v>10344</v>
      </c>
      <c r="B1259" s="2" t="s">
        <v>4295</v>
      </c>
      <c r="C1259" s="2" t="s">
        <v>9083</v>
      </c>
      <c r="D1259" s="2" t="n">
        <v>220.46</v>
      </c>
      <c r="E1259" s="13" t="n">
        <v>45338</v>
      </c>
    </row>
    <row r="1260" customFormat="false" ht="15" hidden="false" customHeight="false" outlineLevel="0" collapsed="false">
      <c r="A1260" s="2" t="s">
        <v>10345</v>
      </c>
      <c r="B1260" s="2" t="s">
        <v>4297</v>
      </c>
      <c r="C1260" s="2" t="s">
        <v>9083</v>
      </c>
      <c r="D1260" s="2" t="n">
        <v>220.83</v>
      </c>
      <c r="E1260" s="13" t="n">
        <v>45345</v>
      </c>
    </row>
    <row r="1261" customFormat="false" ht="15" hidden="false" customHeight="false" outlineLevel="0" collapsed="false">
      <c r="A1261" s="2" t="s">
        <v>10346</v>
      </c>
      <c r="B1261" s="2" t="s">
        <v>4299</v>
      </c>
      <c r="C1261" s="2" t="s">
        <v>9085</v>
      </c>
      <c r="D1261" s="2" t="n">
        <v>221.2</v>
      </c>
      <c r="E1261" s="13" t="n">
        <v>45352</v>
      </c>
    </row>
    <row r="1262" customFormat="false" ht="15" hidden="false" customHeight="false" outlineLevel="0" collapsed="false">
      <c r="A1262" s="2" t="s">
        <v>10347</v>
      </c>
      <c r="B1262" s="2" t="s">
        <v>4303</v>
      </c>
      <c r="C1262" s="2" t="s">
        <v>9083</v>
      </c>
      <c r="D1262" s="2" t="n">
        <v>221.57</v>
      </c>
      <c r="E1262" s="13" t="n">
        <v>45359</v>
      </c>
    </row>
    <row r="1263" customFormat="false" ht="15" hidden="false" customHeight="false" outlineLevel="0" collapsed="false">
      <c r="A1263" s="2" t="s">
        <v>10348</v>
      </c>
      <c r="B1263" s="2" t="s">
        <v>4305</v>
      </c>
      <c r="C1263" s="2" t="s">
        <v>9092</v>
      </c>
      <c r="D1263" s="2" t="n">
        <v>221.94</v>
      </c>
      <c r="E1263" s="13" t="n">
        <v>45366</v>
      </c>
    </row>
    <row r="1264" customFormat="false" ht="15" hidden="false" customHeight="false" outlineLevel="0" collapsed="false">
      <c r="A1264" s="2" t="s">
        <v>10349</v>
      </c>
      <c r="B1264" s="2" t="s">
        <v>4307</v>
      </c>
      <c r="C1264" s="2" t="s">
        <v>9087</v>
      </c>
      <c r="D1264" s="2" t="n">
        <v>222.31</v>
      </c>
      <c r="E1264" s="13" t="n">
        <v>45373</v>
      </c>
    </row>
    <row r="1265" customFormat="false" ht="15" hidden="false" customHeight="false" outlineLevel="0" collapsed="false">
      <c r="A1265" s="2" t="s">
        <v>10350</v>
      </c>
      <c r="B1265" s="2" t="s">
        <v>4311</v>
      </c>
      <c r="C1265" s="2" t="s">
        <v>9085</v>
      </c>
      <c r="D1265" s="2" t="n">
        <v>222.68</v>
      </c>
      <c r="E1265" s="13" t="n">
        <v>45380</v>
      </c>
    </row>
    <row r="1266" customFormat="false" ht="15" hidden="false" customHeight="false" outlineLevel="0" collapsed="false">
      <c r="A1266" s="2" t="s">
        <v>10351</v>
      </c>
      <c r="B1266" s="2" t="s">
        <v>4313</v>
      </c>
      <c r="C1266" s="2" t="s">
        <v>9098</v>
      </c>
      <c r="D1266" s="2" t="n">
        <v>223.05</v>
      </c>
      <c r="E1266" s="13" t="n">
        <v>45387</v>
      </c>
    </row>
    <row r="1267" customFormat="false" ht="15" hidden="false" customHeight="false" outlineLevel="0" collapsed="false">
      <c r="A1267" s="2" t="s">
        <v>10352</v>
      </c>
      <c r="B1267" s="2" t="s">
        <v>4315</v>
      </c>
      <c r="C1267" s="2" t="s">
        <v>9087</v>
      </c>
      <c r="D1267" s="2" t="n">
        <v>223.42</v>
      </c>
      <c r="E1267" s="13" t="n">
        <v>45394</v>
      </c>
    </row>
    <row r="1268" customFormat="false" ht="15" hidden="false" customHeight="false" outlineLevel="0" collapsed="false">
      <c r="A1268" s="2" t="s">
        <v>10353</v>
      </c>
      <c r="B1268" s="2" t="s">
        <v>4317</v>
      </c>
      <c r="C1268" s="2" t="s">
        <v>9098</v>
      </c>
      <c r="D1268" s="2" t="n">
        <v>223.79</v>
      </c>
      <c r="E1268" s="13" t="n">
        <v>45401</v>
      </c>
    </row>
    <row r="1269" customFormat="false" ht="15" hidden="false" customHeight="false" outlineLevel="0" collapsed="false">
      <c r="A1269" s="2" t="s">
        <v>10354</v>
      </c>
      <c r="B1269" s="2" t="s">
        <v>4319</v>
      </c>
      <c r="C1269" s="2" t="s">
        <v>9087</v>
      </c>
      <c r="D1269" s="2" t="n">
        <v>224.16</v>
      </c>
      <c r="E1269" s="13" t="n">
        <v>45408</v>
      </c>
    </row>
    <row r="1270" customFormat="false" ht="15" hidden="false" customHeight="false" outlineLevel="0" collapsed="false">
      <c r="A1270" s="2" t="s">
        <v>10355</v>
      </c>
      <c r="B1270" s="2" t="s">
        <v>4321</v>
      </c>
      <c r="C1270" s="2" t="s">
        <v>9098</v>
      </c>
      <c r="D1270" s="2" t="n">
        <v>224.53</v>
      </c>
      <c r="E1270" s="13" t="n">
        <v>45415</v>
      </c>
    </row>
    <row r="1271" customFormat="false" ht="15" hidden="false" customHeight="false" outlineLevel="0" collapsed="false">
      <c r="A1271" s="2" t="s">
        <v>10356</v>
      </c>
      <c r="B1271" s="2" t="s">
        <v>4323</v>
      </c>
      <c r="C1271" s="2" t="s">
        <v>9085</v>
      </c>
      <c r="D1271" s="2" t="n">
        <v>224.9</v>
      </c>
      <c r="E1271" s="13" t="n">
        <v>45422</v>
      </c>
    </row>
    <row r="1272" customFormat="false" ht="15" hidden="false" customHeight="false" outlineLevel="0" collapsed="false">
      <c r="A1272" s="2" t="s">
        <v>10357</v>
      </c>
      <c r="B1272" s="2" t="s">
        <v>4325</v>
      </c>
      <c r="C1272" s="2" t="s">
        <v>9098</v>
      </c>
      <c r="D1272" s="2" t="n">
        <v>225.27</v>
      </c>
      <c r="E1272" s="13" t="n">
        <v>45429</v>
      </c>
    </row>
    <row r="1273" customFormat="false" ht="15" hidden="false" customHeight="false" outlineLevel="0" collapsed="false">
      <c r="A1273" s="2" t="s">
        <v>10358</v>
      </c>
      <c r="B1273" s="2" t="s">
        <v>4327</v>
      </c>
      <c r="C1273" s="2" t="s">
        <v>9087</v>
      </c>
      <c r="D1273" s="2" t="n">
        <v>225.64</v>
      </c>
      <c r="E1273" s="13" t="n">
        <v>45436</v>
      </c>
    </row>
    <row r="1274" customFormat="false" ht="15" hidden="false" customHeight="false" outlineLevel="0" collapsed="false">
      <c r="A1274" s="2" t="s">
        <v>10359</v>
      </c>
      <c r="B1274" s="2" t="s">
        <v>4329</v>
      </c>
      <c r="C1274" s="2" t="s">
        <v>9098</v>
      </c>
      <c r="D1274" s="2" t="n">
        <v>226.01</v>
      </c>
      <c r="E1274" s="13" t="n">
        <v>45443</v>
      </c>
    </row>
    <row r="1275" customFormat="false" ht="15" hidden="false" customHeight="false" outlineLevel="0" collapsed="false">
      <c r="A1275" s="2" t="s">
        <v>10360</v>
      </c>
      <c r="B1275" s="2" t="s">
        <v>4333</v>
      </c>
      <c r="C1275" s="2" t="s">
        <v>9083</v>
      </c>
      <c r="D1275" s="2" t="n">
        <v>226.38</v>
      </c>
      <c r="E1275" s="13" t="n">
        <v>45450</v>
      </c>
    </row>
    <row r="1276" customFormat="false" ht="15" hidden="false" customHeight="false" outlineLevel="0" collapsed="false">
      <c r="A1276" s="2" t="s">
        <v>10361</v>
      </c>
      <c r="B1276" s="2" t="s">
        <v>4335</v>
      </c>
      <c r="C1276" s="2" t="s">
        <v>9085</v>
      </c>
      <c r="D1276" s="2" t="n">
        <v>226.75</v>
      </c>
      <c r="E1276" s="13" t="n">
        <v>45457</v>
      </c>
    </row>
    <row r="1277" customFormat="false" ht="15" hidden="false" customHeight="false" outlineLevel="0" collapsed="false">
      <c r="A1277" s="2" t="s">
        <v>10362</v>
      </c>
      <c r="B1277" s="2" t="s">
        <v>4337</v>
      </c>
      <c r="C1277" s="2" t="s">
        <v>9085</v>
      </c>
      <c r="D1277" s="2" t="n">
        <v>227.12</v>
      </c>
      <c r="E1277" s="13" t="n">
        <v>45464</v>
      </c>
    </row>
    <row r="1278" customFormat="false" ht="15" hidden="false" customHeight="false" outlineLevel="0" collapsed="false">
      <c r="A1278" s="2" t="s">
        <v>10363</v>
      </c>
      <c r="B1278" s="2" t="s">
        <v>4339</v>
      </c>
      <c r="C1278" s="2" t="s">
        <v>9092</v>
      </c>
      <c r="D1278" s="2" t="n">
        <v>227.49</v>
      </c>
      <c r="E1278" s="13" t="n">
        <v>45471</v>
      </c>
    </row>
    <row r="1279" customFormat="false" ht="15" hidden="false" customHeight="false" outlineLevel="0" collapsed="false">
      <c r="A1279" s="2" t="s">
        <v>10364</v>
      </c>
      <c r="B1279" s="2" t="s">
        <v>4343</v>
      </c>
      <c r="C1279" s="2" t="s">
        <v>9083</v>
      </c>
      <c r="D1279" s="2" t="n">
        <v>227.86</v>
      </c>
      <c r="E1279" s="13" t="n">
        <v>45478</v>
      </c>
    </row>
    <row r="1280" customFormat="false" ht="15" hidden="false" customHeight="false" outlineLevel="0" collapsed="false">
      <c r="A1280" s="2" t="s">
        <v>10365</v>
      </c>
      <c r="B1280" s="2" t="s">
        <v>4347</v>
      </c>
      <c r="C1280" s="2" t="s">
        <v>9087</v>
      </c>
      <c r="D1280" s="2" t="n">
        <v>228.23</v>
      </c>
      <c r="E1280" s="13" t="n">
        <v>45485</v>
      </c>
    </row>
    <row r="1281" customFormat="false" ht="15" hidden="false" customHeight="false" outlineLevel="0" collapsed="false">
      <c r="A1281" s="2" t="s">
        <v>10366</v>
      </c>
      <c r="B1281" s="2" t="s">
        <v>4349</v>
      </c>
      <c r="C1281" s="2" t="s">
        <v>9098</v>
      </c>
      <c r="D1281" s="2" t="n">
        <v>228.6</v>
      </c>
      <c r="E1281" s="13" t="n">
        <v>45492</v>
      </c>
    </row>
    <row r="1282" customFormat="false" ht="15" hidden="false" customHeight="false" outlineLevel="0" collapsed="false">
      <c r="A1282" s="2" t="s">
        <v>10367</v>
      </c>
      <c r="B1282" s="2" t="s">
        <v>4351</v>
      </c>
      <c r="C1282" s="2" t="s">
        <v>9087</v>
      </c>
      <c r="D1282" s="2" t="n">
        <v>228.97</v>
      </c>
      <c r="E1282" s="13" t="n">
        <v>45499</v>
      </c>
    </row>
    <row r="1283" customFormat="false" ht="15" hidden="false" customHeight="false" outlineLevel="0" collapsed="false">
      <c r="A1283" s="2" t="s">
        <v>10368</v>
      </c>
      <c r="B1283" s="2" t="s">
        <v>4355</v>
      </c>
      <c r="C1283" s="2" t="s">
        <v>9092</v>
      </c>
      <c r="D1283" s="2" t="n">
        <v>229.34</v>
      </c>
      <c r="E1283" s="13" t="n">
        <v>45506</v>
      </c>
    </row>
    <row r="1284" customFormat="false" ht="15" hidden="false" customHeight="false" outlineLevel="0" collapsed="false">
      <c r="A1284" s="2" t="s">
        <v>10369</v>
      </c>
      <c r="B1284" s="2" t="s">
        <v>4357</v>
      </c>
      <c r="C1284" s="2" t="s">
        <v>9098</v>
      </c>
      <c r="D1284" s="2" t="n">
        <v>229.71</v>
      </c>
      <c r="E1284" s="13" t="n">
        <v>45513</v>
      </c>
    </row>
    <row r="1285" customFormat="false" ht="15" hidden="false" customHeight="false" outlineLevel="0" collapsed="false">
      <c r="A1285" s="2" t="s">
        <v>10370</v>
      </c>
      <c r="B1285" s="2" t="s">
        <v>4361</v>
      </c>
      <c r="C1285" s="2" t="s">
        <v>9098</v>
      </c>
      <c r="D1285" s="2" t="n">
        <v>230.08</v>
      </c>
      <c r="E1285" s="13" t="n">
        <v>45520</v>
      </c>
    </row>
    <row r="1286" customFormat="false" ht="15" hidden="false" customHeight="false" outlineLevel="0" collapsed="false">
      <c r="A1286" s="2" t="s">
        <v>10371</v>
      </c>
      <c r="B1286" s="2" t="s">
        <v>4363</v>
      </c>
      <c r="C1286" s="2" t="s">
        <v>9098</v>
      </c>
      <c r="D1286" s="2" t="n">
        <v>230.45</v>
      </c>
      <c r="E1286" s="13" t="n">
        <v>45527</v>
      </c>
    </row>
    <row r="1287" customFormat="false" ht="15" hidden="false" customHeight="false" outlineLevel="0" collapsed="false">
      <c r="A1287" s="2" t="s">
        <v>10372</v>
      </c>
      <c r="B1287" s="2" t="s">
        <v>4365</v>
      </c>
      <c r="C1287" s="2" t="s">
        <v>9098</v>
      </c>
      <c r="D1287" s="2" t="n">
        <v>230.82</v>
      </c>
      <c r="E1287" s="13" t="n">
        <v>45534</v>
      </c>
    </row>
    <row r="1288" customFormat="false" ht="15" hidden="false" customHeight="false" outlineLevel="0" collapsed="false">
      <c r="A1288" s="2" t="s">
        <v>10373</v>
      </c>
      <c r="B1288" s="2" t="s">
        <v>4369</v>
      </c>
      <c r="C1288" s="2" t="s">
        <v>9083</v>
      </c>
      <c r="D1288" s="2" t="n">
        <v>231.19</v>
      </c>
      <c r="E1288" s="13" t="n">
        <v>45541</v>
      </c>
    </row>
    <row r="1289" customFormat="false" ht="15" hidden="false" customHeight="false" outlineLevel="0" collapsed="false">
      <c r="A1289" s="2" t="s">
        <v>10374</v>
      </c>
      <c r="B1289" s="2" t="s">
        <v>4373</v>
      </c>
      <c r="C1289" s="2" t="s">
        <v>9098</v>
      </c>
      <c r="D1289" s="2" t="n">
        <v>231.56</v>
      </c>
      <c r="E1289" s="13" t="n">
        <v>45548</v>
      </c>
    </row>
    <row r="1290" customFormat="false" ht="15" hidden="false" customHeight="false" outlineLevel="0" collapsed="false">
      <c r="A1290" s="2" t="s">
        <v>10375</v>
      </c>
      <c r="B1290" s="2" t="s">
        <v>4375</v>
      </c>
      <c r="C1290" s="2" t="s">
        <v>9092</v>
      </c>
      <c r="D1290" s="2" t="n">
        <v>231.93</v>
      </c>
      <c r="E1290" s="13" t="n">
        <v>45555</v>
      </c>
    </row>
    <row r="1291" customFormat="false" ht="15" hidden="false" customHeight="false" outlineLevel="0" collapsed="false">
      <c r="A1291" s="2" t="s">
        <v>10376</v>
      </c>
      <c r="B1291" s="2" t="s">
        <v>4377</v>
      </c>
      <c r="C1291" s="2" t="s">
        <v>9083</v>
      </c>
      <c r="D1291" s="2" t="n">
        <v>232.3</v>
      </c>
      <c r="E1291" s="13" t="n">
        <v>45562</v>
      </c>
    </row>
    <row r="1292" customFormat="false" ht="15" hidden="false" customHeight="false" outlineLevel="0" collapsed="false">
      <c r="A1292" s="2" t="s">
        <v>10377</v>
      </c>
      <c r="B1292" s="2" t="s">
        <v>4379</v>
      </c>
      <c r="C1292" s="2" t="s">
        <v>9085</v>
      </c>
      <c r="D1292" s="2" t="n">
        <v>232.67</v>
      </c>
      <c r="E1292" s="13" t="n">
        <v>45569</v>
      </c>
    </row>
    <row r="1293" customFormat="false" ht="15" hidden="false" customHeight="false" outlineLevel="0" collapsed="false">
      <c r="A1293" s="2" t="s">
        <v>10378</v>
      </c>
      <c r="B1293" s="2" t="s">
        <v>4381</v>
      </c>
      <c r="C1293" s="2" t="s">
        <v>9083</v>
      </c>
      <c r="D1293" s="2" t="n">
        <v>233.04</v>
      </c>
      <c r="E1293" s="13" t="n">
        <v>45576</v>
      </c>
    </row>
    <row r="1294" customFormat="false" ht="15" hidden="false" customHeight="false" outlineLevel="0" collapsed="false">
      <c r="A1294" s="2" t="s">
        <v>10379</v>
      </c>
      <c r="B1294" s="2" t="s">
        <v>4383</v>
      </c>
      <c r="C1294" s="2" t="s">
        <v>9098</v>
      </c>
      <c r="D1294" s="2" t="n">
        <v>233.41</v>
      </c>
      <c r="E1294" s="13" t="n">
        <v>45583</v>
      </c>
    </row>
    <row r="1295" customFormat="false" ht="15" hidden="false" customHeight="false" outlineLevel="0" collapsed="false">
      <c r="A1295" s="2" t="s">
        <v>10380</v>
      </c>
      <c r="B1295" s="2" t="s">
        <v>4387</v>
      </c>
      <c r="C1295" s="2" t="s">
        <v>9087</v>
      </c>
      <c r="D1295" s="2" t="n">
        <v>233.78</v>
      </c>
      <c r="E1295" s="13" t="n">
        <v>45590</v>
      </c>
    </row>
    <row r="1296" customFormat="false" ht="15" hidden="false" customHeight="false" outlineLevel="0" collapsed="false">
      <c r="A1296" s="2" t="s">
        <v>10381</v>
      </c>
      <c r="B1296" s="2" t="s">
        <v>4389</v>
      </c>
      <c r="C1296" s="2" t="s">
        <v>9092</v>
      </c>
      <c r="D1296" s="2" t="n">
        <v>234.15</v>
      </c>
      <c r="E1296" s="13" t="n">
        <v>45597</v>
      </c>
    </row>
    <row r="1297" customFormat="false" ht="15" hidden="false" customHeight="false" outlineLevel="0" collapsed="false">
      <c r="A1297" s="2" t="s">
        <v>10382</v>
      </c>
      <c r="B1297" s="2" t="s">
        <v>4391</v>
      </c>
      <c r="C1297" s="2" t="s">
        <v>9087</v>
      </c>
      <c r="D1297" s="2" t="n">
        <v>234.52</v>
      </c>
      <c r="E1297" s="13" t="n">
        <v>45604</v>
      </c>
    </row>
    <row r="1298" customFormat="false" ht="15" hidden="false" customHeight="false" outlineLevel="0" collapsed="false">
      <c r="A1298" s="2" t="s">
        <v>10383</v>
      </c>
      <c r="B1298" s="2" t="s">
        <v>4395</v>
      </c>
      <c r="C1298" s="2" t="s">
        <v>9098</v>
      </c>
      <c r="D1298" s="2" t="n">
        <v>234.89</v>
      </c>
      <c r="E1298" s="13" t="n">
        <v>45611</v>
      </c>
    </row>
    <row r="1299" customFormat="false" ht="15" hidden="false" customHeight="false" outlineLevel="0" collapsed="false">
      <c r="A1299" s="2" t="s">
        <v>10384</v>
      </c>
      <c r="B1299" s="2" t="s">
        <v>4399</v>
      </c>
      <c r="C1299" s="2" t="s">
        <v>9092</v>
      </c>
      <c r="D1299" s="2" t="n">
        <v>235.26</v>
      </c>
      <c r="E1299" s="13" t="n">
        <v>45618</v>
      </c>
    </row>
    <row r="1300" customFormat="false" ht="15" hidden="false" customHeight="false" outlineLevel="0" collapsed="false">
      <c r="A1300" s="2" t="s">
        <v>10385</v>
      </c>
      <c r="B1300" s="2" t="s">
        <v>4401</v>
      </c>
      <c r="C1300" s="2" t="s">
        <v>9098</v>
      </c>
      <c r="D1300" s="2" t="n">
        <v>235.63</v>
      </c>
      <c r="E1300" s="13" t="n">
        <v>45625</v>
      </c>
    </row>
    <row r="1301" customFormat="false" ht="15" hidden="false" customHeight="false" outlineLevel="0" collapsed="false">
      <c r="A1301" s="2" t="s">
        <v>10386</v>
      </c>
      <c r="B1301" s="2" t="s">
        <v>4403</v>
      </c>
      <c r="C1301" s="2" t="s">
        <v>9092</v>
      </c>
      <c r="D1301" s="2" t="n">
        <v>236</v>
      </c>
      <c r="E1301" s="13" t="n">
        <v>45632</v>
      </c>
    </row>
    <row r="1302" customFormat="false" ht="15" hidden="false" customHeight="false" outlineLevel="0" collapsed="false">
      <c r="A1302" s="2" t="s">
        <v>10387</v>
      </c>
      <c r="B1302" s="2" t="s">
        <v>4407</v>
      </c>
      <c r="C1302" s="2" t="s">
        <v>9092</v>
      </c>
      <c r="D1302" s="2" t="n">
        <v>236.37</v>
      </c>
      <c r="E1302" s="13" t="n">
        <v>45639</v>
      </c>
    </row>
    <row r="1303" customFormat="false" ht="15" hidden="false" customHeight="false" outlineLevel="0" collapsed="false">
      <c r="A1303" s="2" t="s">
        <v>10388</v>
      </c>
      <c r="B1303" s="2" t="s">
        <v>4409</v>
      </c>
      <c r="C1303" s="2" t="s">
        <v>9087</v>
      </c>
      <c r="D1303" s="2" t="n">
        <v>236.74</v>
      </c>
      <c r="E1303" s="13" t="n">
        <v>45646</v>
      </c>
    </row>
    <row r="1304" customFormat="false" ht="15" hidden="false" customHeight="false" outlineLevel="0" collapsed="false">
      <c r="A1304" s="2" t="s">
        <v>10389</v>
      </c>
      <c r="B1304" s="2" t="s">
        <v>4413</v>
      </c>
      <c r="C1304" s="2" t="s">
        <v>9092</v>
      </c>
      <c r="D1304" s="2" t="n">
        <v>237.11</v>
      </c>
      <c r="E1304" s="13" t="n">
        <v>45653</v>
      </c>
    </row>
    <row r="1305" customFormat="false" ht="15" hidden="false" customHeight="false" outlineLevel="0" collapsed="false">
      <c r="A1305" s="2" t="s">
        <v>10390</v>
      </c>
      <c r="B1305" s="2" t="s">
        <v>4415</v>
      </c>
      <c r="C1305" s="2" t="s">
        <v>9092</v>
      </c>
      <c r="D1305" s="2" t="n">
        <v>237.48</v>
      </c>
      <c r="E1305" s="13" t="n">
        <v>45660</v>
      </c>
    </row>
    <row r="1306" customFormat="false" ht="15" hidden="false" customHeight="false" outlineLevel="0" collapsed="false">
      <c r="A1306" s="2" t="s">
        <v>10391</v>
      </c>
      <c r="B1306" s="2" t="s">
        <v>4417</v>
      </c>
      <c r="C1306" s="2" t="s">
        <v>9083</v>
      </c>
      <c r="D1306" s="2" t="n">
        <v>237.85</v>
      </c>
      <c r="E1306" s="13" t="n">
        <v>45667</v>
      </c>
    </row>
    <row r="1307" customFormat="false" ht="15" hidden="false" customHeight="false" outlineLevel="0" collapsed="false">
      <c r="A1307" s="2" t="s">
        <v>10392</v>
      </c>
      <c r="B1307" s="2" t="s">
        <v>4421</v>
      </c>
      <c r="C1307" s="2" t="s">
        <v>9098</v>
      </c>
      <c r="D1307" s="2" t="n">
        <v>238.22</v>
      </c>
      <c r="E1307" s="13" t="n">
        <v>45674</v>
      </c>
    </row>
    <row r="1308" customFormat="false" ht="15" hidden="false" customHeight="false" outlineLevel="0" collapsed="false">
      <c r="A1308" s="2" t="s">
        <v>10393</v>
      </c>
      <c r="B1308" s="2" t="s">
        <v>4425</v>
      </c>
      <c r="C1308" s="2" t="s">
        <v>9092</v>
      </c>
      <c r="D1308" s="2" t="n">
        <v>238.59</v>
      </c>
      <c r="E1308" s="13" t="n">
        <v>45681</v>
      </c>
    </row>
    <row r="1309" customFormat="false" ht="15" hidden="false" customHeight="false" outlineLevel="0" collapsed="false">
      <c r="A1309" s="2" t="s">
        <v>10394</v>
      </c>
      <c r="B1309" s="2" t="s">
        <v>4427</v>
      </c>
      <c r="C1309" s="2" t="s">
        <v>9098</v>
      </c>
      <c r="D1309" s="2" t="n">
        <v>238.96</v>
      </c>
      <c r="E1309" s="13" t="n">
        <v>45688</v>
      </c>
    </row>
    <row r="1310" customFormat="false" ht="15" hidden="false" customHeight="false" outlineLevel="0" collapsed="false">
      <c r="A1310" s="2" t="s">
        <v>10395</v>
      </c>
      <c r="B1310" s="2" t="s">
        <v>4429</v>
      </c>
      <c r="C1310" s="2" t="s">
        <v>9085</v>
      </c>
      <c r="D1310" s="2" t="n">
        <v>239.33</v>
      </c>
      <c r="E1310" s="13" t="n">
        <v>45695</v>
      </c>
    </row>
    <row r="1311" customFormat="false" ht="15" hidden="false" customHeight="false" outlineLevel="0" collapsed="false">
      <c r="A1311" s="2" t="s">
        <v>10396</v>
      </c>
      <c r="B1311" s="2" t="s">
        <v>4431</v>
      </c>
      <c r="C1311" s="2" t="s">
        <v>9083</v>
      </c>
      <c r="D1311" s="2" t="n">
        <v>239.7</v>
      </c>
      <c r="E1311" s="13" t="n">
        <v>45702</v>
      </c>
    </row>
    <row r="1312" customFormat="false" ht="15" hidden="false" customHeight="false" outlineLevel="0" collapsed="false">
      <c r="A1312" s="2" t="s">
        <v>10397</v>
      </c>
      <c r="B1312" s="2" t="s">
        <v>4433</v>
      </c>
      <c r="C1312" s="2" t="s">
        <v>9092</v>
      </c>
      <c r="D1312" s="2" t="n">
        <v>240.07</v>
      </c>
      <c r="E1312" s="13" t="n">
        <v>45709</v>
      </c>
    </row>
    <row r="1313" customFormat="false" ht="15" hidden="false" customHeight="false" outlineLevel="0" collapsed="false">
      <c r="A1313" s="2" t="s">
        <v>10398</v>
      </c>
      <c r="B1313" s="2" t="s">
        <v>4435</v>
      </c>
      <c r="C1313" s="2" t="s">
        <v>9098</v>
      </c>
      <c r="D1313" s="2" t="n">
        <v>240.44</v>
      </c>
      <c r="E1313" s="13" t="n">
        <v>45716</v>
      </c>
    </row>
    <row r="1314" customFormat="false" ht="15" hidden="false" customHeight="false" outlineLevel="0" collapsed="false">
      <c r="A1314" s="2" t="s">
        <v>10399</v>
      </c>
      <c r="B1314" s="2" t="s">
        <v>4439</v>
      </c>
      <c r="C1314" s="2" t="s">
        <v>9098</v>
      </c>
      <c r="D1314" s="2" t="n">
        <v>240.81</v>
      </c>
      <c r="E1314" s="13" t="n">
        <v>45723</v>
      </c>
    </row>
    <row r="1315" customFormat="false" ht="15" hidden="false" customHeight="false" outlineLevel="0" collapsed="false">
      <c r="A1315" s="2" t="s">
        <v>10400</v>
      </c>
      <c r="B1315" s="2" t="s">
        <v>4441</v>
      </c>
      <c r="C1315" s="2" t="s">
        <v>9098</v>
      </c>
      <c r="D1315" s="2" t="n">
        <v>241.18</v>
      </c>
      <c r="E1315" s="13" t="n">
        <v>45730</v>
      </c>
    </row>
    <row r="1316" customFormat="false" ht="15" hidden="false" customHeight="false" outlineLevel="0" collapsed="false">
      <c r="A1316" s="2" t="s">
        <v>10401</v>
      </c>
      <c r="B1316" s="2" t="s">
        <v>4443</v>
      </c>
      <c r="C1316" s="2" t="s">
        <v>9098</v>
      </c>
      <c r="D1316" s="2" t="n">
        <v>241.55</v>
      </c>
      <c r="E1316" s="13" t="n">
        <v>45737</v>
      </c>
    </row>
    <row r="1317" customFormat="false" ht="15" hidden="false" customHeight="false" outlineLevel="0" collapsed="false">
      <c r="A1317" s="2" t="s">
        <v>10402</v>
      </c>
      <c r="B1317" s="2" t="s">
        <v>4447</v>
      </c>
      <c r="C1317" s="2" t="s">
        <v>9085</v>
      </c>
      <c r="D1317" s="2" t="n">
        <v>241.92</v>
      </c>
      <c r="E1317" s="13" t="n">
        <v>45744</v>
      </c>
    </row>
    <row r="1318" customFormat="false" ht="15" hidden="false" customHeight="false" outlineLevel="0" collapsed="false">
      <c r="A1318" s="2" t="s">
        <v>10403</v>
      </c>
      <c r="B1318" s="2" t="s">
        <v>4449</v>
      </c>
      <c r="C1318" s="2" t="s">
        <v>9087</v>
      </c>
      <c r="D1318" s="2" t="n">
        <v>242.29</v>
      </c>
      <c r="E1318" s="13" t="n">
        <v>45751</v>
      </c>
    </row>
    <row r="1319" customFormat="false" ht="15" hidden="false" customHeight="false" outlineLevel="0" collapsed="false">
      <c r="A1319" s="2" t="s">
        <v>10404</v>
      </c>
      <c r="B1319" s="2" t="s">
        <v>4453</v>
      </c>
      <c r="C1319" s="2" t="s">
        <v>9092</v>
      </c>
      <c r="D1319" s="2" t="n">
        <v>242.66</v>
      </c>
      <c r="E1319" s="13" t="n">
        <v>45758</v>
      </c>
    </row>
    <row r="1320" customFormat="false" ht="15" hidden="false" customHeight="false" outlineLevel="0" collapsed="false">
      <c r="A1320" s="2" t="s">
        <v>10405</v>
      </c>
      <c r="B1320" s="2" t="s">
        <v>4455</v>
      </c>
      <c r="C1320" s="2" t="s">
        <v>9092</v>
      </c>
      <c r="D1320" s="2" t="n">
        <v>243.03</v>
      </c>
      <c r="E1320" s="13" t="n">
        <v>45765</v>
      </c>
    </row>
    <row r="1321" customFormat="false" ht="15" hidden="false" customHeight="false" outlineLevel="0" collapsed="false">
      <c r="A1321" s="2" t="s">
        <v>10406</v>
      </c>
      <c r="B1321" s="2" t="s">
        <v>4459</v>
      </c>
      <c r="C1321" s="2" t="s">
        <v>9083</v>
      </c>
      <c r="D1321" s="2" t="n">
        <v>243.4</v>
      </c>
      <c r="E1321" s="13" t="n">
        <v>45772</v>
      </c>
    </row>
    <row r="1322" customFormat="false" ht="15" hidden="false" customHeight="false" outlineLevel="0" collapsed="false">
      <c r="A1322" s="2" t="s">
        <v>10407</v>
      </c>
      <c r="B1322" s="2" t="s">
        <v>4461</v>
      </c>
      <c r="C1322" s="2" t="s">
        <v>9098</v>
      </c>
      <c r="D1322" s="2" t="n">
        <v>243.77</v>
      </c>
      <c r="E1322" s="13" t="n">
        <v>45779</v>
      </c>
    </row>
    <row r="1323" customFormat="false" ht="15" hidden="false" customHeight="false" outlineLevel="0" collapsed="false">
      <c r="A1323" s="2" t="s">
        <v>10408</v>
      </c>
      <c r="B1323" s="2" t="s">
        <v>4465</v>
      </c>
      <c r="C1323" s="2" t="s">
        <v>9083</v>
      </c>
      <c r="D1323" s="2" t="n">
        <v>244.14</v>
      </c>
      <c r="E1323" s="13" t="n">
        <v>45786</v>
      </c>
    </row>
    <row r="1324" customFormat="false" ht="15" hidden="false" customHeight="false" outlineLevel="0" collapsed="false">
      <c r="A1324" s="2" t="s">
        <v>10409</v>
      </c>
      <c r="B1324" s="2" t="s">
        <v>4469</v>
      </c>
      <c r="C1324" s="2" t="s">
        <v>9092</v>
      </c>
      <c r="D1324" s="2" t="n">
        <v>244.51</v>
      </c>
      <c r="E1324" s="13" t="n">
        <v>45793</v>
      </c>
    </row>
    <row r="1325" customFormat="false" ht="15" hidden="false" customHeight="false" outlineLevel="0" collapsed="false">
      <c r="A1325" s="2" t="s">
        <v>10410</v>
      </c>
      <c r="B1325" s="2" t="s">
        <v>4471</v>
      </c>
      <c r="C1325" s="2" t="s">
        <v>9098</v>
      </c>
      <c r="D1325" s="2" t="n">
        <v>244.88</v>
      </c>
      <c r="E1325" s="13" t="n">
        <v>45800</v>
      </c>
    </row>
    <row r="1326" customFormat="false" ht="15" hidden="false" customHeight="false" outlineLevel="0" collapsed="false">
      <c r="A1326" s="2" t="s">
        <v>10411</v>
      </c>
      <c r="B1326" s="2" t="s">
        <v>4475</v>
      </c>
      <c r="C1326" s="2" t="s">
        <v>9098</v>
      </c>
      <c r="D1326" s="2" t="n">
        <v>245.25</v>
      </c>
      <c r="E1326" s="13" t="n">
        <v>45807</v>
      </c>
    </row>
    <row r="1327" customFormat="false" ht="15" hidden="false" customHeight="false" outlineLevel="0" collapsed="false">
      <c r="A1327" s="2" t="s">
        <v>10412</v>
      </c>
      <c r="B1327" s="2" t="s">
        <v>4479</v>
      </c>
      <c r="C1327" s="2" t="s">
        <v>9085</v>
      </c>
      <c r="D1327" s="2" t="n">
        <v>245.62</v>
      </c>
      <c r="E1327" s="13" t="n">
        <v>45814</v>
      </c>
    </row>
    <row r="1328" customFormat="false" ht="15" hidden="false" customHeight="false" outlineLevel="0" collapsed="false">
      <c r="A1328" s="2" t="s">
        <v>10413</v>
      </c>
      <c r="B1328" s="2" t="s">
        <v>4481</v>
      </c>
      <c r="C1328" s="2" t="s">
        <v>9092</v>
      </c>
      <c r="D1328" s="2" t="n">
        <v>245.99</v>
      </c>
      <c r="E1328" s="13" t="n">
        <v>45821</v>
      </c>
    </row>
    <row r="1329" customFormat="false" ht="15" hidden="false" customHeight="false" outlineLevel="0" collapsed="false">
      <c r="A1329" s="2" t="s">
        <v>10414</v>
      </c>
      <c r="B1329" s="2" t="s">
        <v>4483</v>
      </c>
      <c r="C1329" s="2" t="s">
        <v>9085</v>
      </c>
      <c r="D1329" s="2" t="n">
        <v>246.36</v>
      </c>
      <c r="E1329" s="13" t="n">
        <v>45828</v>
      </c>
    </row>
    <row r="1330" customFormat="false" ht="15" hidden="false" customHeight="false" outlineLevel="0" collapsed="false">
      <c r="A1330" s="2" t="s">
        <v>10415</v>
      </c>
      <c r="B1330" s="2" t="s">
        <v>4487</v>
      </c>
      <c r="C1330" s="2" t="s">
        <v>9098</v>
      </c>
      <c r="D1330" s="2" t="n">
        <v>246.73</v>
      </c>
      <c r="E1330" s="13" t="n">
        <v>45835</v>
      </c>
    </row>
    <row r="1331" customFormat="false" ht="15" hidden="false" customHeight="false" outlineLevel="0" collapsed="false">
      <c r="A1331" s="2" t="s">
        <v>10416</v>
      </c>
      <c r="B1331" s="2" t="s">
        <v>4489</v>
      </c>
      <c r="C1331" s="2" t="s">
        <v>9083</v>
      </c>
      <c r="D1331" s="2" t="n">
        <v>247.1</v>
      </c>
      <c r="E1331" s="13" t="n">
        <v>45842</v>
      </c>
    </row>
    <row r="1332" customFormat="false" ht="15" hidden="false" customHeight="false" outlineLevel="0" collapsed="false">
      <c r="A1332" s="2" t="s">
        <v>10417</v>
      </c>
      <c r="B1332" s="2" t="s">
        <v>4491</v>
      </c>
      <c r="C1332" s="2" t="s">
        <v>9083</v>
      </c>
      <c r="D1332" s="2" t="n">
        <v>247.47</v>
      </c>
      <c r="E1332" s="13" t="n">
        <v>45849</v>
      </c>
    </row>
    <row r="1333" customFormat="false" ht="15" hidden="false" customHeight="false" outlineLevel="0" collapsed="false">
      <c r="A1333" s="2" t="s">
        <v>10418</v>
      </c>
      <c r="B1333" s="2" t="s">
        <v>4493</v>
      </c>
      <c r="C1333" s="2" t="s">
        <v>9087</v>
      </c>
      <c r="D1333" s="2" t="n">
        <v>247.84</v>
      </c>
      <c r="E1333" s="13" t="n">
        <v>45856</v>
      </c>
    </row>
    <row r="1334" customFormat="false" ht="15" hidden="false" customHeight="false" outlineLevel="0" collapsed="false">
      <c r="A1334" s="2" t="s">
        <v>10419</v>
      </c>
      <c r="B1334" s="2" t="s">
        <v>4497</v>
      </c>
      <c r="C1334" s="2" t="s">
        <v>9083</v>
      </c>
      <c r="D1334" s="2" t="n">
        <v>248.21</v>
      </c>
      <c r="E1334" s="13" t="n">
        <v>45863</v>
      </c>
    </row>
    <row r="1335" customFormat="false" ht="15" hidden="false" customHeight="false" outlineLevel="0" collapsed="false">
      <c r="A1335" s="2" t="s">
        <v>10420</v>
      </c>
      <c r="B1335" s="2" t="s">
        <v>4499</v>
      </c>
      <c r="C1335" s="2" t="s">
        <v>9085</v>
      </c>
      <c r="D1335" s="2" t="n">
        <v>248.58</v>
      </c>
      <c r="E1335" s="13" t="n">
        <v>45870</v>
      </c>
    </row>
    <row r="1336" customFormat="false" ht="15" hidden="false" customHeight="false" outlineLevel="0" collapsed="false">
      <c r="A1336" s="2" t="s">
        <v>10421</v>
      </c>
      <c r="B1336" s="2" t="s">
        <v>4501</v>
      </c>
      <c r="C1336" s="2" t="s">
        <v>9087</v>
      </c>
      <c r="D1336" s="2" t="n">
        <v>248.95</v>
      </c>
      <c r="E1336" s="13" t="n">
        <v>45877</v>
      </c>
    </row>
    <row r="1337" customFormat="false" ht="15" hidden="false" customHeight="false" outlineLevel="0" collapsed="false">
      <c r="A1337" s="2" t="s">
        <v>10422</v>
      </c>
      <c r="B1337" s="2" t="s">
        <v>4505</v>
      </c>
      <c r="C1337" s="2" t="s">
        <v>9098</v>
      </c>
      <c r="D1337" s="2" t="n">
        <v>249.32</v>
      </c>
      <c r="E1337" s="13" t="n">
        <v>45884</v>
      </c>
    </row>
    <row r="1338" customFormat="false" ht="15" hidden="false" customHeight="false" outlineLevel="0" collapsed="false">
      <c r="A1338" s="2" t="s">
        <v>10423</v>
      </c>
      <c r="B1338" s="2" t="s">
        <v>4507</v>
      </c>
      <c r="C1338" s="2" t="s">
        <v>9085</v>
      </c>
      <c r="D1338" s="2" t="n">
        <v>249.69</v>
      </c>
      <c r="E1338" s="13" t="n">
        <v>45891</v>
      </c>
    </row>
    <row r="1339" customFormat="false" ht="15" hidden="false" customHeight="false" outlineLevel="0" collapsed="false">
      <c r="A1339" s="2" t="s">
        <v>10424</v>
      </c>
      <c r="B1339" s="2" t="s">
        <v>4509</v>
      </c>
      <c r="C1339" s="2" t="s">
        <v>9083</v>
      </c>
      <c r="D1339" s="2" t="n">
        <v>250.06</v>
      </c>
      <c r="E1339" s="13" t="n">
        <v>45898</v>
      </c>
    </row>
    <row r="1340" customFormat="false" ht="15" hidden="false" customHeight="false" outlineLevel="0" collapsed="false">
      <c r="A1340" s="2" t="s">
        <v>10425</v>
      </c>
      <c r="B1340" s="2" t="s">
        <v>4511</v>
      </c>
      <c r="C1340" s="2" t="s">
        <v>9085</v>
      </c>
      <c r="D1340" s="2" t="n">
        <v>250.43</v>
      </c>
      <c r="E1340" s="13" t="n">
        <v>45905</v>
      </c>
    </row>
    <row r="1341" customFormat="false" ht="15" hidden="false" customHeight="false" outlineLevel="0" collapsed="false">
      <c r="A1341" s="2" t="s">
        <v>10426</v>
      </c>
      <c r="B1341" s="2" t="s">
        <v>4513</v>
      </c>
      <c r="C1341" s="2" t="s">
        <v>9087</v>
      </c>
      <c r="D1341" s="2" t="n">
        <v>250.8</v>
      </c>
      <c r="E1341" s="13" t="n">
        <v>45912</v>
      </c>
    </row>
    <row r="1342" customFormat="false" ht="15" hidden="false" customHeight="false" outlineLevel="0" collapsed="false">
      <c r="A1342" s="2" t="s">
        <v>10427</v>
      </c>
      <c r="B1342" s="2" t="s">
        <v>4517</v>
      </c>
      <c r="C1342" s="2" t="s">
        <v>9083</v>
      </c>
      <c r="D1342" s="2" t="n">
        <v>251.17</v>
      </c>
      <c r="E1342" s="13" t="n">
        <v>45919</v>
      </c>
    </row>
    <row r="1343" customFormat="false" ht="15" hidden="false" customHeight="false" outlineLevel="0" collapsed="false">
      <c r="A1343" s="2" t="s">
        <v>10428</v>
      </c>
      <c r="B1343" s="2" t="s">
        <v>4519</v>
      </c>
      <c r="C1343" s="2" t="s">
        <v>9098</v>
      </c>
      <c r="D1343" s="2" t="n">
        <v>251.54</v>
      </c>
      <c r="E1343" s="13" t="n">
        <v>45926</v>
      </c>
    </row>
    <row r="1344" customFormat="false" ht="15" hidden="false" customHeight="false" outlineLevel="0" collapsed="false">
      <c r="A1344" s="2" t="s">
        <v>10429</v>
      </c>
      <c r="B1344" s="2" t="s">
        <v>4521</v>
      </c>
      <c r="C1344" s="2" t="s">
        <v>9092</v>
      </c>
      <c r="D1344" s="2" t="n">
        <v>251.91</v>
      </c>
      <c r="E1344" s="13" t="n">
        <v>45933</v>
      </c>
    </row>
    <row r="1345" customFormat="false" ht="15" hidden="false" customHeight="false" outlineLevel="0" collapsed="false">
      <c r="A1345" s="2" t="s">
        <v>10430</v>
      </c>
      <c r="B1345" s="2" t="s">
        <v>4523</v>
      </c>
      <c r="C1345" s="2" t="s">
        <v>9085</v>
      </c>
      <c r="D1345" s="2" t="n">
        <v>252.28</v>
      </c>
      <c r="E1345" s="13" t="n">
        <v>45940</v>
      </c>
    </row>
    <row r="1346" customFormat="false" ht="15" hidden="false" customHeight="false" outlineLevel="0" collapsed="false">
      <c r="A1346" s="2" t="s">
        <v>10431</v>
      </c>
      <c r="B1346" s="2" t="s">
        <v>4525</v>
      </c>
      <c r="C1346" s="2" t="s">
        <v>9098</v>
      </c>
      <c r="D1346" s="2" t="n">
        <v>252.65</v>
      </c>
      <c r="E1346" s="13" t="n">
        <v>45947</v>
      </c>
    </row>
    <row r="1347" customFormat="false" ht="15" hidden="false" customHeight="false" outlineLevel="0" collapsed="false">
      <c r="A1347" s="2" t="s">
        <v>10432</v>
      </c>
      <c r="B1347" s="2" t="s">
        <v>4527</v>
      </c>
      <c r="C1347" s="2" t="s">
        <v>9092</v>
      </c>
      <c r="D1347" s="2" t="n">
        <v>253.02</v>
      </c>
      <c r="E1347" s="13" t="n">
        <v>45954</v>
      </c>
    </row>
    <row r="1348" customFormat="false" ht="15" hidden="false" customHeight="false" outlineLevel="0" collapsed="false">
      <c r="A1348" s="2" t="s">
        <v>10433</v>
      </c>
      <c r="B1348" s="2" t="s">
        <v>4531</v>
      </c>
      <c r="C1348" s="2" t="s">
        <v>9087</v>
      </c>
      <c r="D1348" s="2" t="n">
        <v>253.39</v>
      </c>
      <c r="E1348" s="13" t="n">
        <v>45961</v>
      </c>
    </row>
    <row r="1349" customFormat="false" ht="15" hidden="false" customHeight="false" outlineLevel="0" collapsed="false">
      <c r="A1349" s="2" t="s">
        <v>10434</v>
      </c>
      <c r="B1349" s="2" t="s">
        <v>4535</v>
      </c>
      <c r="C1349" s="2" t="s">
        <v>9087</v>
      </c>
      <c r="D1349" s="2" t="n">
        <v>253.76</v>
      </c>
      <c r="E1349" s="13" t="n">
        <v>45968</v>
      </c>
    </row>
    <row r="1350" customFormat="false" ht="15" hidden="false" customHeight="false" outlineLevel="0" collapsed="false">
      <c r="A1350" s="2" t="s">
        <v>10435</v>
      </c>
      <c r="B1350" s="2" t="s">
        <v>4537</v>
      </c>
      <c r="C1350" s="2" t="s">
        <v>9092</v>
      </c>
      <c r="D1350" s="2" t="n">
        <v>254.13</v>
      </c>
      <c r="E1350" s="13" t="n">
        <v>45975</v>
      </c>
    </row>
    <row r="1351" customFormat="false" ht="15" hidden="false" customHeight="false" outlineLevel="0" collapsed="false">
      <c r="A1351" s="2" t="s">
        <v>10436</v>
      </c>
      <c r="B1351" s="2" t="s">
        <v>4539</v>
      </c>
      <c r="C1351" s="2" t="s">
        <v>9083</v>
      </c>
      <c r="D1351" s="2" t="n">
        <v>254.5</v>
      </c>
      <c r="E1351" s="13" t="n">
        <v>45982</v>
      </c>
    </row>
    <row r="1352" customFormat="false" ht="15" hidden="false" customHeight="false" outlineLevel="0" collapsed="false">
      <c r="A1352" s="2" t="s">
        <v>10437</v>
      </c>
      <c r="B1352" s="2" t="s">
        <v>4541</v>
      </c>
      <c r="C1352" s="2" t="s">
        <v>9087</v>
      </c>
      <c r="D1352" s="2" t="n">
        <v>254.87</v>
      </c>
      <c r="E1352" s="13" t="n">
        <v>45989</v>
      </c>
    </row>
    <row r="1353" customFormat="false" ht="15" hidden="false" customHeight="false" outlineLevel="0" collapsed="false">
      <c r="A1353" s="2" t="s">
        <v>10438</v>
      </c>
      <c r="B1353" s="2" t="s">
        <v>4543</v>
      </c>
      <c r="C1353" s="2" t="s">
        <v>9083</v>
      </c>
      <c r="D1353" s="2" t="n">
        <v>5.24</v>
      </c>
      <c r="E1353" s="13" t="n">
        <v>45996</v>
      </c>
    </row>
    <row r="1354" customFormat="false" ht="15" hidden="false" customHeight="false" outlineLevel="0" collapsed="false">
      <c r="A1354" s="2" t="s">
        <v>10439</v>
      </c>
      <c r="B1354" s="2" t="s">
        <v>4547</v>
      </c>
      <c r="C1354" s="2" t="s">
        <v>9098</v>
      </c>
      <c r="D1354" s="2" t="n">
        <v>5.61</v>
      </c>
      <c r="E1354" s="13" t="n">
        <v>46003</v>
      </c>
    </row>
    <row r="1355" customFormat="false" ht="15" hidden="false" customHeight="false" outlineLevel="0" collapsed="false">
      <c r="A1355" s="2" t="s">
        <v>10440</v>
      </c>
      <c r="B1355" s="2" t="s">
        <v>4549</v>
      </c>
      <c r="C1355" s="2" t="s">
        <v>9098</v>
      </c>
      <c r="D1355" s="2" t="n">
        <v>5.98</v>
      </c>
      <c r="E1355" s="13" t="n">
        <v>46010</v>
      </c>
    </row>
    <row r="1356" customFormat="false" ht="15" hidden="false" customHeight="false" outlineLevel="0" collapsed="false">
      <c r="A1356" s="2" t="s">
        <v>10441</v>
      </c>
      <c r="B1356" s="2" t="s">
        <v>4551</v>
      </c>
      <c r="C1356" s="2" t="s">
        <v>9083</v>
      </c>
      <c r="D1356" s="2" t="n">
        <v>6.35</v>
      </c>
      <c r="E1356" s="13" t="n">
        <v>46017</v>
      </c>
    </row>
    <row r="1357" customFormat="false" ht="15" hidden="false" customHeight="false" outlineLevel="0" collapsed="false">
      <c r="A1357" s="2" t="s">
        <v>10442</v>
      </c>
      <c r="B1357" s="2" t="s">
        <v>4553</v>
      </c>
      <c r="C1357" s="2" t="s">
        <v>9083</v>
      </c>
      <c r="D1357" s="2" t="n">
        <v>6.72</v>
      </c>
      <c r="E1357" s="13" t="n">
        <v>45294</v>
      </c>
    </row>
    <row r="1358" customFormat="false" ht="15" hidden="false" customHeight="false" outlineLevel="0" collapsed="false">
      <c r="A1358" s="2" t="s">
        <v>10443</v>
      </c>
      <c r="B1358" s="2" t="s">
        <v>4555</v>
      </c>
      <c r="C1358" s="2" t="s">
        <v>9085</v>
      </c>
      <c r="D1358" s="2" t="n">
        <v>7.09</v>
      </c>
      <c r="E1358" s="13" t="n">
        <v>45301</v>
      </c>
    </row>
    <row r="1359" customFormat="false" ht="15" hidden="false" customHeight="false" outlineLevel="0" collapsed="false">
      <c r="A1359" s="2" t="s">
        <v>10444</v>
      </c>
      <c r="B1359" s="2" t="s">
        <v>4557</v>
      </c>
      <c r="C1359" s="2" t="s">
        <v>9098</v>
      </c>
      <c r="D1359" s="2" t="n">
        <v>7.46</v>
      </c>
      <c r="E1359" s="13" t="n">
        <v>45308</v>
      </c>
    </row>
    <row r="1360" customFormat="false" ht="15" hidden="false" customHeight="false" outlineLevel="0" collapsed="false">
      <c r="A1360" s="2" t="s">
        <v>10445</v>
      </c>
      <c r="B1360" s="2" t="s">
        <v>4561</v>
      </c>
      <c r="C1360" s="2" t="s">
        <v>9087</v>
      </c>
      <c r="D1360" s="2" t="n">
        <v>7.83</v>
      </c>
      <c r="E1360" s="13" t="n">
        <v>45315</v>
      </c>
    </row>
    <row r="1361" customFormat="false" ht="15" hidden="false" customHeight="false" outlineLevel="0" collapsed="false">
      <c r="A1361" s="2" t="s">
        <v>10446</v>
      </c>
      <c r="B1361" s="2" t="s">
        <v>4563</v>
      </c>
      <c r="C1361" s="2" t="s">
        <v>9092</v>
      </c>
      <c r="D1361" s="2" t="n">
        <v>8.2</v>
      </c>
      <c r="E1361" s="13" t="n">
        <v>45322</v>
      </c>
    </row>
    <row r="1362" customFormat="false" ht="15" hidden="false" customHeight="false" outlineLevel="0" collapsed="false">
      <c r="A1362" s="2" t="s">
        <v>10447</v>
      </c>
      <c r="B1362" s="2" t="s">
        <v>4567</v>
      </c>
      <c r="C1362" s="2" t="s">
        <v>9098</v>
      </c>
      <c r="D1362" s="2" t="n">
        <v>8.57</v>
      </c>
      <c r="E1362" s="13" t="n">
        <v>45329</v>
      </c>
    </row>
    <row r="1363" customFormat="false" ht="15" hidden="false" customHeight="false" outlineLevel="0" collapsed="false">
      <c r="A1363" s="2" t="s">
        <v>10448</v>
      </c>
      <c r="B1363" s="2" t="s">
        <v>4571</v>
      </c>
      <c r="C1363" s="2" t="s">
        <v>9087</v>
      </c>
      <c r="D1363" s="2" t="n">
        <v>8.94</v>
      </c>
      <c r="E1363" s="13" t="n">
        <v>45336</v>
      </c>
    </row>
    <row r="1364" customFormat="false" ht="15" hidden="false" customHeight="false" outlineLevel="0" collapsed="false">
      <c r="A1364" s="2" t="s">
        <v>10449</v>
      </c>
      <c r="B1364" s="2" t="s">
        <v>4575</v>
      </c>
      <c r="C1364" s="2" t="s">
        <v>9092</v>
      </c>
      <c r="D1364" s="2" t="n">
        <v>9.31</v>
      </c>
      <c r="E1364" s="13" t="n">
        <v>45343</v>
      </c>
    </row>
    <row r="1365" customFormat="false" ht="15" hidden="false" customHeight="false" outlineLevel="0" collapsed="false">
      <c r="A1365" s="2" t="s">
        <v>10450</v>
      </c>
      <c r="B1365" s="2" t="s">
        <v>4577</v>
      </c>
      <c r="C1365" s="2" t="s">
        <v>9087</v>
      </c>
      <c r="D1365" s="2" t="n">
        <v>9.68</v>
      </c>
      <c r="E1365" s="13" t="n">
        <v>45350</v>
      </c>
    </row>
    <row r="1366" customFormat="false" ht="15" hidden="false" customHeight="false" outlineLevel="0" collapsed="false">
      <c r="A1366" s="2" t="s">
        <v>10451</v>
      </c>
      <c r="B1366" s="2" t="s">
        <v>4581</v>
      </c>
      <c r="C1366" s="2" t="s">
        <v>9085</v>
      </c>
      <c r="D1366" s="2" t="n">
        <v>10.05</v>
      </c>
      <c r="E1366" s="13" t="n">
        <v>45357</v>
      </c>
    </row>
    <row r="1367" customFormat="false" ht="15" hidden="false" customHeight="false" outlineLevel="0" collapsed="false">
      <c r="A1367" s="2" t="s">
        <v>10452</v>
      </c>
      <c r="B1367" s="2" t="s">
        <v>4583</v>
      </c>
      <c r="C1367" s="2" t="s">
        <v>9098</v>
      </c>
      <c r="D1367" s="2" t="n">
        <v>10.42</v>
      </c>
      <c r="E1367" s="13" t="n">
        <v>45364</v>
      </c>
    </row>
    <row r="1368" customFormat="false" ht="15" hidden="false" customHeight="false" outlineLevel="0" collapsed="false">
      <c r="A1368" s="2" t="s">
        <v>10453</v>
      </c>
      <c r="B1368" s="2" t="s">
        <v>4585</v>
      </c>
      <c r="C1368" s="2" t="s">
        <v>9085</v>
      </c>
      <c r="D1368" s="2" t="n">
        <v>10.79</v>
      </c>
      <c r="E1368" s="13" t="n">
        <v>45371</v>
      </c>
    </row>
    <row r="1369" customFormat="false" ht="15" hidden="false" customHeight="false" outlineLevel="0" collapsed="false">
      <c r="A1369" s="2" t="s">
        <v>10454</v>
      </c>
      <c r="B1369" s="2" t="s">
        <v>4587</v>
      </c>
      <c r="C1369" s="2" t="s">
        <v>9087</v>
      </c>
      <c r="D1369" s="2" t="n">
        <v>11.16</v>
      </c>
      <c r="E1369" s="13" t="n">
        <v>45378</v>
      </c>
    </row>
    <row r="1370" customFormat="false" ht="15" hidden="false" customHeight="false" outlineLevel="0" collapsed="false">
      <c r="A1370" s="2" t="s">
        <v>10455</v>
      </c>
      <c r="B1370" s="2" t="s">
        <v>4591</v>
      </c>
      <c r="C1370" s="2" t="s">
        <v>9087</v>
      </c>
      <c r="D1370" s="2" t="n">
        <v>11.53</v>
      </c>
      <c r="E1370" s="13" t="n">
        <v>45385</v>
      </c>
    </row>
    <row r="1371" customFormat="false" ht="15" hidden="false" customHeight="false" outlineLevel="0" collapsed="false">
      <c r="A1371" s="2" t="s">
        <v>10456</v>
      </c>
      <c r="B1371" s="2" t="s">
        <v>4595</v>
      </c>
      <c r="C1371" s="2" t="s">
        <v>9092</v>
      </c>
      <c r="D1371" s="2" t="n">
        <v>11.9</v>
      </c>
      <c r="E1371" s="13" t="n">
        <v>45392</v>
      </c>
    </row>
    <row r="1372" customFormat="false" ht="15" hidden="false" customHeight="false" outlineLevel="0" collapsed="false">
      <c r="A1372" s="2" t="s">
        <v>10457</v>
      </c>
      <c r="B1372" s="2" t="s">
        <v>4599</v>
      </c>
      <c r="C1372" s="2" t="s">
        <v>9098</v>
      </c>
      <c r="D1372" s="2" t="n">
        <v>12.27</v>
      </c>
      <c r="E1372" s="13" t="n">
        <v>45399</v>
      </c>
    </row>
    <row r="1373" customFormat="false" ht="15" hidden="false" customHeight="false" outlineLevel="0" collapsed="false">
      <c r="A1373" s="2" t="s">
        <v>10458</v>
      </c>
      <c r="B1373" s="2" t="s">
        <v>4601</v>
      </c>
      <c r="C1373" s="2" t="s">
        <v>9098</v>
      </c>
      <c r="D1373" s="2" t="n">
        <v>12.64</v>
      </c>
      <c r="E1373" s="13" t="n">
        <v>45406</v>
      </c>
    </row>
    <row r="1374" customFormat="false" ht="15" hidden="false" customHeight="false" outlineLevel="0" collapsed="false">
      <c r="A1374" s="2" t="s">
        <v>10459</v>
      </c>
      <c r="B1374" s="2" t="s">
        <v>4603</v>
      </c>
      <c r="C1374" s="2" t="s">
        <v>9092</v>
      </c>
      <c r="D1374" s="2" t="n">
        <v>13.01</v>
      </c>
      <c r="E1374" s="13" t="n">
        <v>45413</v>
      </c>
    </row>
    <row r="1375" customFormat="false" ht="15" hidden="false" customHeight="false" outlineLevel="0" collapsed="false">
      <c r="A1375" s="2" t="s">
        <v>10460</v>
      </c>
      <c r="B1375" s="2" t="s">
        <v>4607</v>
      </c>
      <c r="C1375" s="2" t="s">
        <v>9098</v>
      </c>
      <c r="D1375" s="2" t="n">
        <v>13.38</v>
      </c>
      <c r="E1375" s="13" t="n">
        <v>45420</v>
      </c>
    </row>
    <row r="1376" customFormat="false" ht="15" hidden="false" customHeight="false" outlineLevel="0" collapsed="false">
      <c r="A1376" s="2" t="s">
        <v>10461</v>
      </c>
      <c r="B1376" s="2" t="s">
        <v>4611</v>
      </c>
      <c r="C1376" s="2" t="s">
        <v>9087</v>
      </c>
      <c r="D1376" s="2" t="n">
        <v>13.75</v>
      </c>
      <c r="E1376" s="13" t="n">
        <v>45427</v>
      </c>
    </row>
    <row r="1377" customFormat="false" ht="15" hidden="false" customHeight="false" outlineLevel="0" collapsed="false">
      <c r="A1377" s="2" t="s">
        <v>10462</v>
      </c>
      <c r="B1377" s="2" t="s">
        <v>4613</v>
      </c>
      <c r="C1377" s="2" t="s">
        <v>9098</v>
      </c>
      <c r="D1377" s="2" t="n">
        <v>14.12</v>
      </c>
      <c r="E1377" s="13" t="n">
        <v>45434</v>
      </c>
    </row>
    <row r="1378" customFormat="false" ht="15" hidden="false" customHeight="false" outlineLevel="0" collapsed="false">
      <c r="A1378" s="2" t="s">
        <v>10463</v>
      </c>
      <c r="B1378" s="2" t="s">
        <v>4615</v>
      </c>
      <c r="C1378" s="2" t="s">
        <v>9098</v>
      </c>
      <c r="D1378" s="2" t="n">
        <v>14.49</v>
      </c>
      <c r="E1378" s="13" t="n">
        <v>45441</v>
      </c>
    </row>
    <row r="1379" customFormat="false" ht="15" hidden="false" customHeight="false" outlineLevel="0" collapsed="false">
      <c r="A1379" s="2" t="s">
        <v>10464</v>
      </c>
      <c r="B1379" s="2" t="s">
        <v>4617</v>
      </c>
      <c r="C1379" s="2" t="s">
        <v>9092</v>
      </c>
      <c r="D1379" s="2" t="n">
        <v>14.86</v>
      </c>
      <c r="E1379" s="13" t="n">
        <v>45448</v>
      </c>
    </row>
    <row r="1380" customFormat="false" ht="15" hidden="false" customHeight="false" outlineLevel="0" collapsed="false">
      <c r="A1380" s="2" t="s">
        <v>10465</v>
      </c>
      <c r="B1380" s="2" t="s">
        <v>4619</v>
      </c>
      <c r="C1380" s="2" t="s">
        <v>9085</v>
      </c>
      <c r="D1380" s="2" t="n">
        <v>15.23</v>
      </c>
      <c r="E1380" s="13" t="n">
        <v>45455</v>
      </c>
    </row>
    <row r="1381" customFormat="false" ht="15" hidden="false" customHeight="false" outlineLevel="0" collapsed="false">
      <c r="A1381" s="2" t="s">
        <v>10466</v>
      </c>
      <c r="B1381" s="2" t="s">
        <v>4621</v>
      </c>
      <c r="C1381" s="2" t="s">
        <v>9083</v>
      </c>
      <c r="D1381" s="2" t="n">
        <v>15.6</v>
      </c>
      <c r="E1381" s="13" t="n">
        <v>45462</v>
      </c>
    </row>
    <row r="1382" customFormat="false" ht="15" hidden="false" customHeight="false" outlineLevel="0" collapsed="false">
      <c r="A1382" s="2" t="s">
        <v>10467</v>
      </c>
      <c r="B1382" s="2" t="s">
        <v>4623</v>
      </c>
      <c r="C1382" s="2" t="s">
        <v>9085</v>
      </c>
      <c r="D1382" s="2" t="n">
        <v>15.97</v>
      </c>
      <c r="E1382" s="13" t="n">
        <v>45469</v>
      </c>
    </row>
    <row r="1383" customFormat="false" ht="15" hidden="false" customHeight="false" outlineLevel="0" collapsed="false">
      <c r="A1383" s="2" t="s">
        <v>10468</v>
      </c>
      <c r="B1383" s="2" t="s">
        <v>4625</v>
      </c>
      <c r="C1383" s="2" t="s">
        <v>9085</v>
      </c>
      <c r="D1383" s="2" t="n">
        <v>16.34</v>
      </c>
      <c r="E1383" s="13" t="n">
        <v>45476</v>
      </c>
    </row>
    <row r="1384" customFormat="false" ht="15" hidden="false" customHeight="false" outlineLevel="0" collapsed="false">
      <c r="A1384" s="2" t="s">
        <v>10469</v>
      </c>
      <c r="B1384" s="2" t="s">
        <v>4629</v>
      </c>
      <c r="C1384" s="2" t="s">
        <v>9098</v>
      </c>
      <c r="D1384" s="2" t="n">
        <v>16.71</v>
      </c>
      <c r="E1384" s="13" t="n">
        <v>45483</v>
      </c>
    </row>
    <row r="1385" customFormat="false" ht="15" hidden="false" customHeight="false" outlineLevel="0" collapsed="false">
      <c r="A1385" s="2" t="s">
        <v>10470</v>
      </c>
      <c r="B1385" s="2" t="s">
        <v>4631</v>
      </c>
      <c r="C1385" s="2" t="s">
        <v>9083</v>
      </c>
      <c r="D1385" s="2" t="n">
        <v>17.08</v>
      </c>
      <c r="E1385" s="13" t="n">
        <v>45490</v>
      </c>
    </row>
    <row r="1386" customFormat="false" ht="15" hidden="false" customHeight="false" outlineLevel="0" collapsed="false">
      <c r="A1386" s="2" t="s">
        <v>10471</v>
      </c>
      <c r="B1386" s="2" t="s">
        <v>4633</v>
      </c>
      <c r="C1386" s="2" t="s">
        <v>9087</v>
      </c>
      <c r="D1386" s="2" t="n">
        <v>17.45</v>
      </c>
      <c r="E1386" s="13" t="n">
        <v>45497</v>
      </c>
    </row>
    <row r="1387" customFormat="false" ht="15" hidden="false" customHeight="false" outlineLevel="0" collapsed="false">
      <c r="A1387" s="2" t="s">
        <v>10472</v>
      </c>
      <c r="B1387" s="2" t="s">
        <v>4635</v>
      </c>
      <c r="C1387" s="2" t="s">
        <v>9098</v>
      </c>
      <c r="D1387" s="2" t="n">
        <v>17.82</v>
      </c>
      <c r="E1387" s="13" t="n">
        <v>45504</v>
      </c>
    </row>
    <row r="1388" customFormat="false" ht="15" hidden="false" customHeight="false" outlineLevel="0" collapsed="false">
      <c r="A1388" s="2" t="s">
        <v>10473</v>
      </c>
      <c r="B1388" s="2" t="s">
        <v>4637</v>
      </c>
      <c r="C1388" s="2" t="s">
        <v>9087</v>
      </c>
      <c r="D1388" s="2" t="n">
        <v>18.19</v>
      </c>
      <c r="E1388" s="13" t="n">
        <v>45511</v>
      </c>
    </row>
    <row r="1389" customFormat="false" ht="15" hidden="false" customHeight="false" outlineLevel="0" collapsed="false">
      <c r="A1389" s="2" t="s">
        <v>10474</v>
      </c>
      <c r="B1389" s="2" t="s">
        <v>4639</v>
      </c>
      <c r="C1389" s="2" t="s">
        <v>9085</v>
      </c>
      <c r="D1389" s="2" t="n">
        <v>18.56</v>
      </c>
      <c r="E1389" s="13" t="n">
        <v>45518</v>
      </c>
    </row>
    <row r="1390" customFormat="false" ht="15" hidden="false" customHeight="false" outlineLevel="0" collapsed="false">
      <c r="A1390" s="2" t="s">
        <v>10475</v>
      </c>
      <c r="B1390" s="2" t="s">
        <v>4641</v>
      </c>
      <c r="C1390" s="2" t="s">
        <v>9098</v>
      </c>
      <c r="D1390" s="2" t="n">
        <v>18.93</v>
      </c>
      <c r="E1390" s="13" t="n">
        <v>45525</v>
      </c>
    </row>
    <row r="1391" customFormat="false" ht="15" hidden="false" customHeight="false" outlineLevel="0" collapsed="false">
      <c r="A1391" s="2" t="s">
        <v>10476</v>
      </c>
      <c r="B1391" s="2" t="s">
        <v>4643</v>
      </c>
      <c r="C1391" s="2" t="s">
        <v>9092</v>
      </c>
      <c r="D1391" s="2" t="n">
        <v>19.3</v>
      </c>
      <c r="E1391" s="13" t="n">
        <v>45532</v>
      </c>
    </row>
    <row r="1392" customFormat="false" ht="15" hidden="false" customHeight="false" outlineLevel="0" collapsed="false">
      <c r="A1392" s="2" t="s">
        <v>10477</v>
      </c>
      <c r="B1392" s="2" t="s">
        <v>4645</v>
      </c>
      <c r="C1392" s="2" t="s">
        <v>9087</v>
      </c>
      <c r="D1392" s="2" t="n">
        <v>19.67</v>
      </c>
      <c r="E1392" s="13" t="n">
        <v>45539</v>
      </c>
    </row>
    <row r="1393" customFormat="false" ht="15" hidden="false" customHeight="false" outlineLevel="0" collapsed="false">
      <c r="A1393" s="2" t="s">
        <v>10478</v>
      </c>
      <c r="B1393" s="2" t="s">
        <v>4647</v>
      </c>
      <c r="C1393" s="2" t="s">
        <v>9085</v>
      </c>
      <c r="D1393" s="2" t="n">
        <v>20.04</v>
      </c>
      <c r="E1393" s="13" t="n">
        <v>45546</v>
      </c>
    </row>
    <row r="1394" customFormat="false" ht="15" hidden="false" customHeight="false" outlineLevel="0" collapsed="false">
      <c r="A1394" s="2" t="s">
        <v>10479</v>
      </c>
      <c r="B1394" s="2" t="s">
        <v>4649</v>
      </c>
      <c r="C1394" s="2" t="s">
        <v>9087</v>
      </c>
      <c r="D1394" s="2" t="n">
        <v>20.41</v>
      </c>
      <c r="E1394" s="13" t="n">
        <v>45553</v>
      </c>
    </row>
    <row r="1395" customFormat="false" ht="15" hidden="false" customHeight="false" outlineLevel="0" collapsed="false">
      <c r="A1395" s="2" t="s">
        <v>10480</v>
      </c>
      <c r="B1395" s="2" t="s">
        <v>4653</v>
      </c>
      <c r="C1395" s="2" t="s">
        <v>9098</v>
      </c>
      <c r="D1395" s="2" t="n">
        <v>20.78</v>
      </c>
      <c r="E1395" s="13" t="n">
        <v>45560</v>
      </c>
    </row>
    <row r="1396" customFormat="false" ht="15" hidden="false" customHeight="false" outlineLevel="0" collapsed="false">
      <c r="A1396" s="2" t="s">
        <v>10481</v>
      </c>
      <c r="B1396" s="2" t="s">
        <v>4655</v>
      </c>
      <c r="C1396" s="2" t="s">
        <v>9092</v>
      </c>
      <c r="D1396" s="2" t="n">
        <v>21.15</v>
      </c>
      <c r="E1396" s="13" t="n">
        <v>45567</v>
      </c>
    </row>
    <row r="1397" customFormat="false" ht="15" hidden="false" customHeight="false" outlineLevel="0" collapsed="false">
      <c r="A1397" s="2" t="s">
        <v>10482</v>
      </c>
      <c r="B1397" s="2" t="s">
        <v>4657</v>
      </c>
      <c r="C1397" s="2" t="s">
        <v>9085</v>
      </c>
      <c r="D1397" s="2" t="n">
        <v>21.52</v>
      </c>
      <c r="E1397" s="13" t="n">
        <v>45574</v>
      </c>
    </row>
    <row r="1398" customFormat="false" ht="15" hidden="false" customHeight="false" outlineLevel="0" collapsed="false">
      <c r="A1398" s="2" t="s">
        <v>10483</v>
      </c>
      <c r="B1398" s="2" t="s">
        <v>4661</v>
      </c>
      <c r="C1398" s="2" t="s">
        <v>9083</v>
      </c>
      <c r="D1398" s="2" t="n">
        <v>21.89</v>
      </c>
      <c r="E1398" s="13" t="n">
        <v>45581</v>
      </c>
    </row>
    <row r="1399" customFormat="false" ht="15" hidden="false" customHeight="false" outlineLevel="0" collapsed="false">
      <c r="A1399" s="2" t="s">
        <v>10484</v>
      </c>
      <c r="B1399" s="2" t="s">
        <v>4665</v>
      </c>
      <c r="C1399" s="2" t="s">
        <v>9083</v>
      </c>
      <c r="D1399" s="2" t="n">
        <v>22.26</v>
      </c>
      <c r="E1399" s="13" t="n">
        <v>45588</v>
      </c>
    </row>
    <row r="1400" customFormat="false" ht="15" hidden="false" customHeight="false" outlineLevel="0" collapsed="false">
      <c r="A1400" s="2" t="s">
        <v>10485</v>
      </c>
      <c r="B1400" s="2" t="s">
        <v>4667</v>
      </c>
      <c r="C1400" s="2" t="s">
        <v>9083</v>
      </c>
      <c r="D1400" s="2" t="n">
        <v>22.63</v>
      </c>
      <c r="E1400" s="13" t="n">
        <v>45595</v>
      </c>
    </row>
    <row r="1401" customFormat="false" ht="15" hidden="false" customHeight="false" outlineLevel="0" collapsed="false">
      <c r="A1401" s="2" t="s">
        <v>10486</v>
      </c>
      <c r="B1401" s="2" t="s">
        <v>4669</v>
      </c>
      <c r="C1401" s="2" t="s">
        <v>9087</v>
      </c>
      <c r="D1401" s="2" t="n">
        <v>23</v>
      </c>
      <c r="E1401" s="13" t="n">
        <v>45602</v>
      </c>
    </row>
    <row r="1402" customFormat="false" ht="15" hidden="false" customHeight="false" outlineLevel="0" collapsed="false">
      <c r="A1402" s="2" t="s">
        <v>10487</v>
      </c>
      <c r="B1402" s="2" t="s">
        <v>4671</v>
      </c>
      <c r="C1402" s="2" t="s">
        <v>9092</v>
      </c>
      <c r="D1402" s="2" t="n">
        <v>23.37</v>
      </c>
      <c r="E1402" s="13" t="n">
        <v>45609</v>
      </c>
    </row>
    <row r="1403" customFormat="false" ht="15" hidden="false" customHeight="false" outlineLevel="0" collapsed="false">
      <c r="A1403" s="2" t="s">
        <v>10488</v>
      </c>
      <c r="B1403" s="2" t="s">
        <v>4673</v>
      </c>
      <c r="C1403" s="2" t="s">
        <v>9085</v>
      </c>
      <c r="D1403" s="2" t="n">
        <v>23.74</v>
      </c>
      <c r="E1403" s="13" t="n">
        <v>45616</v>
      </c>
    </row>
    <row r="1404" customFormat="false" ht="15" hidden="false" customHeight="false" outlineLevel="0" collapsed="false">
      <c r="A1404" s="2" t="s">
        <v>10489</v>
      </c>
      <c r="B1404" s="2" t="s">
        <v>4675</v>
      </c>
      <c r="C1404" s="2" t="s">
        <v>9085</v>
      </c>
      <c r="D1404" s="2" t="n">
        <v>24.11</v>
      </c>
      <c r="E1404" s="13" t="n">
        <v>45623</v>
      </c>
    </row>
    <row r="1405" customFormat="false" ht="15" hidden="false" customHeight="false" outlineLevel="0" collapsed="false">
      <c r="A1405" s="2" t="s">
        <v>10490</v>
      </c>
      <c r="B1405" s="2" t="s">
        <v>4677</v>
      </c>
      <c r="C1405" s="2" t="s">
        <v>9087</v>
      </c>
      <c r="D1405" s="2" t="n">
        <v>24.48</v>
      </c>
      <c r="E1405" s="13" t="n">
        <v>45630</v>
      </c>
    </row>
    <row r="1406" customFormat="false" ht="15" hidden="false" customHeight="false" outlineLevel="0" collapsed="false">
      <c r="A1406" s="2" t="s">
        <v>10491</v>
      </c>
      <c r="B1406" s="2" t="s">
        <v>4679</v>
      </c>
      <c r="C1406" s="2" t="s">
        <v>9098</v>
      </c>
      <c r="D1406" s="2" t="n">
        <v>24.85</v>
      </c>
      <c r="E1406" s="13" t="n">
        <v>45637</v>
      </c>
    </row>
    <row r="1407" customFormat="false" ht="15" hidden="false" customHeight="false" outlineLevel="0" collapsed="false">
      <c r="A1407" s="2" t="s">
        <v>10492</v>
      </c>
      <c r="B1407" s="2" t="s">
        <v>4681</v>
      </c>
      <c r="C1407" s="2" t="s">
        <v>9092</v>
      </c>
      <c r="D1407" s="2" t="n">
        <v>25.22</v>
      </c>
      <c r="E1407" s="13" t="n">
        <v>45644</v>
      </c>
    </row>
    <row r="1408" customFormat="false" ht="15" hidden="false" customHeight="false" outlineLevel="0" collapsed="false">
      <c r="A1408" s="2" t="s">
        <v>10493</v>
      </c>
      <c r="B1408" s="2" t="s">
        <v>4683</v>
      </c>
      <c r="C1408" s="2" t="s">
        <v>9092</v>
      </c>
      <c r="D1408" s="2" t="n">
        <v>25.59</v>
      </c>
      <c r="E1408" s="13" t="n">
        <v>45651</v>
      </c>
    </row>
    <row r="1409" customFormat="false" ht="15" hidden="false" customHeight="false" outlineLevel="0" collapsed="false">
      <c r="A1409" s="2" t="s">
        <v>10494</v>
      </c>
      <c r="B1409" s="2" t="s">
        <v>4687</v>
      </c>
      <c r="C1409" s="2" t="s">
        <v>9085</v>
      </c>
      <c r="D1409" s="2" t="n">
        <v>25.96</v>
      </c>
      <c r="E1409" s="13" t="n">
        <v>45658</v>
      </c>
    </row>
    <row r="1410" customFormat="false" ht="15" hidden="false" customHeight="false" outlineLevel="0" collapsed="false">
      <c r="A1410" s="2" t="s">
        <v>10495</v>
      </c>
      <c r="B1410" s="2" t="s">
        <v>4689</v>
      </c>
      <c r="C1410" s="2" t="s">
        <v>9098</v>
      </c>
      <c r="D1410" s="2" t="n">
        <v>26.33</v>
      </c>
      <c r="E1410" s="13" t="n">
        <v>45665</v>
      </c>
    </row>
    <row r="1411" customFormat="false" ht="15" hidden="false" customHeight="false" outlineLevel="0" collapsed="false">
      <c r="A1411" s="2" t="s">
        <v>10496</v>
      </c>
      <c r="B1411" s="2" t="s">
        <v>4691</v>
      </c>
      <c r="C1411" s="2" t="s">
        <v>9098</v>
      </c>
      <c r="D1411" s="2" t="n">
        <v>26.7</v>
      </c>
      <c r="E1411" s="13" t="n">
        <v>45672</v>
      </c>
    </row>
    <row r="1412" customFormat="false" ht="15" hidden="false" customHeight="false" outlineLevel="0" collapsed="false">
      <c r="A1412" s="2" t="s">
        <v>10497</v>
      </c>
      <c r="B1412" s="2" t="s">
        <v>4693</v>
      </c>
      <c r="C1412" s="2" t="s">
        <v>9083</v>
      </c>
      <c r="D1412" s="2" t="n">
        <v>27.07</v>
      </c>
      <c r="E1412" s="13" t="n">
        <v>45679</v>
      </c>
    </row>
    <row r="1413" customFormat="false" ht="15" hidden="false" customHeight="false" outlineLevel="0" collapsed="false">
      <c r="A1413" s="2" t="s">
        <v>10498</v>
      </c>
      <c r="B1413" s="2" t="s">
        <v>4697</v>
      </c>
      <c r="C1413" s="2" t="s">
        <v>9087</v>
      </c>
      <c r="D1413" s="2" t="n">
        <v>27.44</v>
      </c>
      <c r="E1413" s="13" t="n">
        <v>45686</v>
      </c>
    </row>
    <row r="1414" customFormat="false" ht="15" hidden="false" customHeight="false" outlineLevel="0" collapsed="false">
      <c r="A1414" s="2" t="s">
        <v>10499</v>
      </c>
      <c r="B1414" s="2" t="s">
        <v>4699</v>
      </c>
      <c r="C1414" s="2" t="s">
        <v>9083</v>
      </c>
      <c r="D1414" s="2" t="n">
        <v>27.81</v>
      </c>
      <c r="E1414" s="13" t="n">
        <v>45693</v>
      </c>
    </row>
    <row r="1415" customFormat="false" ht="15" hidden="false" customHeight="false" outlineLevel="0" collapsed="false">
      <c r="A1415" s="2" t="s">
        <v>10500</v>
      </c>
      <c r="B1415" s="2" t="s">
        <v>4703</v>
      </c>
      <c r="C1415" s="2" t="s">
        <v>9092</v>
      </c>
      <c r="D1415" s="2" t="n">
        <v>28.18</v>
      </c>
      <c r="E1415" s="13" t="n">
        <v>45700</v>
      </c>
    </row>
    <row r="1416" customFormat="false" ht="15" hidden="false" customHeight="false" outlineLevel="0" collapsed="false">
      <c r="A1416" s="2" t="s">
        <v>10501</v>
      </c>
      <c r="B1416" s="2" t="s">
        <v>4705</v>
      </c>
      <c r="C1416" s="2" t="s">
        <v>9087</v>
      </c>
      <c r="D1416" s="2" t="n">
        <v>28.55</v>
      </c>
      <c r="E1416" s="13" t="n">
        <v>45707</v>
      </c>
    </row>
    <row r="1417" customFormat="false" ht="15" hidden="false" customHeight="false" outlineLevel="0" collapsed="false">
      <c r="A1417" s="2" t="s">
        <v>10502</v>
      </c>
      <c r="B1417" s="2" t="s">
        <v>4707</v>
      </c>
      <c r="C1417" s="2" t="s">
        <v>9092</v>
      </c>
      <c r="D1417" s="2" t="n">
        <v>28.92</v>
      </c>
      <c r="E1417" s="13" t="n">
        <v>45714</v>
      </c>
    </row>
    <row r="1418" customFormat="false" ht="15" hidden="false" customHeight="false" outlineLevel="0" collapsed="false">
      <c r="A1418" s="2" t="s">
        <v>10503</v>
      </c>
      <c r="B1418" s="2" t="s">
        <v>4709</v>
      </c>
      <c r="C1418" s="2" t="s">
        <v>9087</v>
      </c>
      <c r="D1418" s="2" t="n">
        <v>29.29</v>
      </c>
      <c r="E1418" s="13" t="n">
        <v>45721</v>
      </c>
    </row>
    <row r="1419" customFormat="false" ht="15" hidden="false" customHeight="false" outlineLevel="0" collapsed="false">
      <c r="A1419" s="2" t="s">
        <v>10504</v>
      </c>
      <c r="B1419" s="2" t="s">
        <v>4711</v>
      </c>
      <c r="C1419" s="2" t="s">
        <v>9092</v>
      </c>
      <c r="D1419" s="2" t="n">
        <v>29.66</v>
      </c>
      <c r="E1419" s="13" t="n">
        <v>45728</v>
      </c>
    </row>
    <row r="1420" customFormat="false" ht="15" hidden="false" customHeight="false" outlineLevel="0" collapsed="false">
      <c r="A1420" s="2" t="s">
        <v>10505</v>
      </c>
      <c r="B1420" s="2" t="s">
        <v>4713</v>
      </c>
      <c r="C1420" s="2" t="s">
        <v>9098</v>
      </c>
      <c r="D1420" s="2" t="n">
        <v>30.03</v>
      </c>
      <c r="E1420" s="13" t="n">
        <v>45735</v>
      </c>
    </row>
    <row r="1421" customFormat="false" ht="15" hidden="false" customHeight="false" outlineLevel="0" collapsed="false">
      <c r="A1421" s="2" t="s">
        <v>10506</v>
      </c>
      <c r="B1421" s="2" t="s">
        <v>4715</v>
      </c>
      <c r="C1421" s="2" t="s">
        <v>9085</v>
      </c>
      <c r="D1421" s="2" t="n">
        <v>30.4</v>
      </c>
      <c r="E1421" s="13" t="n">
        <v>45742</v>
      </c>
    </row>
    <row r="1422" customFormat="false" ht="15" hidden="false" customHeight="false" outlineLevel="0" collapsed="false">
      <c r="A1422" s="2" t="s">
        <v>10507</v>
      </c>
      <c r="B1422" s="2" t="s">
        <v>4717</v>
      </c>
      <c r="C1422" s="2" t="s">
        <v>9087</v>
      </c>
      <c r="D1422" s="2" t="n">
        <v>30.77</v>
      </c>
      <c r="E1422" s="13" t="n">
        <v>45749</v>
      </c>
    </row>
    <row r="1423" customFormat="false" ht="15" hidden="false" customHeight="false" outlineLevel="0" collapsed="false">
      <c r="A1423" s="2" t="s">
        <v>10508</v>
      </c>
      <c r="B1423" s="2" t="s">
        <v>4719</v>
      </c>
      <c r="C1423" s="2" t="s">
        <v>9098</v>
      </c>
      <c r="D1423" s="2" t="n">
        <v>31.14</v>
      </c>
      <c r="E1423" s="13" t="n">
        <v>45756</v>
      </c>
    </row>
    <row r="1424" customFormat="false" ht="15" hidden="false" customHeight="false" outlineLevel="0" collapsed="false">
      <c r="A1424" s="2" t="s">
        <v>10509</v>
      </c>
      <c r="B1424" s="2" t="s">
        <v>4723</v>
      </c>
      <c r="C1424" s="2" t="s">
        <v>9083</v>
      </c>
      <c r="D1424" s="2" t="n">
        <v>31.51</v>
      </c>
      <c r="E1424" s="13" t="n">
        <v>45763</v>
      </c>
    </row>
    <row r="1425" customFormat="false" ht="15" hidden="false" customHeight="false" outlineLevel="0" collapsed="false">
      <c r="A1425" s="2" t="s">
        <v>10510</v>
      </c>
      <c r="B1425" s="2" t="s">
        <v>4727</v>
      </c>
      <c r="C1425" s="2" t="s">
        <v>9098</v>
      </c>
      <c r="D1425" s="2" t="n">
        <v>31.88</v>
      </c>
      <c r="E1425" s="13" t="n">
        <v>45770</v>
      </c>
    </row>
    <row r="1426" customFormat="false" ht="15" hidden="false" customHeight="false" outlineLevel="0" collapsed="false">
      <c r="A1426" s="2" t="s">
        <v>10511</v>
      </c>
      <c r="B1426" s="2" t="s">
        <v>4729</v>
      </c>
      <c r="C1426" s="2" t="s">
        <v>9083</v>
      </c>
      <c r="D1426" s="2" t="n">
        <v>32.25</v>
      </c>
      <c r="E1426" s="13" t="n">
        <v>45777</v>
      </c>
    </row>
    <row r="1427" customFormat="false" ht="15" hidden="false" customHeight="false" outlineLevel="0" collapsed="false">
      <c r="A1427" s="2" t="s">
        <v>10512</v>
      </c>
      <c r="B1427" s="2" t="s">
        <v>4731</v>
      </c>
      <c r="C1427" s="2" t="s">
        <v>9087</v>
      </c>
      <c r="D1427" s="2" t="n">
        <v>32.62</v>
      </c>
      <c r="E1427" s="13" t="n">
        <v>45784</v>
      </c>
    </row>
    <row r="1428" customFormat="false" ht="15" hidden="false" customHeight="false" outlineLevel="0" collapsed="false">
      <c r="A1428" s="2" t="s">
        <v>10513</v>
      </c>
      <c r="B1428" s="2" t="s">
        <v>4733</v>
      </c>
      <c r="C1428" s="2" t="s">
        <v>9085</v>
      </c>
      <c r="D1428" s="2" t="n">
        <v>32.99</v>
      </c>
      <c r="E1428" s="13" t="n">
        <v>45791</v>
      </c>
    </row>
    <row r="1429" customFormat="false" ht="15" hidden="false" customHeight="false" outlineLevel="0" collapsed="false">
      <c r="A1429" s="2" t="s">
        <v>10514</v>
      </c>
      <c r="B1429" s="2" t="s">
        <v>4735</v>
      </c>
      <c r="C1429" s="2" t="s">
        <v>9083</v>
      </c>
      <c r="D1429" s="2" t="n">
        <v>33.36</v>
      </c>
      <c r="E1429" s="13" t="n">
        <v>45798</v>
      </c>
    </row>
    <row r="1430" customFormat="false" ht="15" hidden="false" customHeight="false" outlineLevel="0" collapsed="false">
      <c r="A1430" s="2" t="s">
        <v>10515</v>
      </c>
      <c r="B1430" s="2" t="s">
        <v>4737</v>
      </c>
      <c r="C1430" s="2" t="s">
        <v>9083</v>
      </c>
      <c r="D1430" s="2" t="n">
        <v>33.73</v>
      </c>
      <c r="E1430" s="13" t="n">
        <v>45805</v>
      </c>
    </row>
    <row r="1431" customFormat="false" ht="15" hidden="false" customHeight="false" outlineLevel="0" collapsed="false">
      <c r="A1431" s="2" t="s">
        <v>10516</v>
      </c>
      <c r="B1431" s="2" t="s">
        <v>4739</v>
      </c>
      <c r="C1431" s="2" t="s">
        <v>9087</v>
      </c>
      <c r="D1431" s="2" t="n">
        <v>34.1</v>
      </c>
      <c r="E1431" s="13" t="n">
        <v>45812</v>
      </c>
    </row>
    <row r="1432" customFormat="false" ht="15" hidden="false" customHeight="false" outlineLevel="0" collapsed="false">
      <c r="A1432" s="2" t="s">
        <v>10517</v>
      </c>
      <c r="B1432" s="2" t="s">
        <v>4743</v>
      </c>
      <c r="C1432" s="2" t="s">
        <v>9087</v>
      </c>
      <c r="D1432" s="2" t="n">
        <v>34.47</v>
      </c>
      <c r="E1432" s="13" t="n">
        <v>45819</v>
      </c>
    </row>
    <row r="1433" customFormat="false" ht="15" hidden="false" customHeight="false" outlineLevel="0" collapsed="false">
      <c r="A1433" s="2" t="s">
        <v>10518</v>
      </c>
      <c r="B1433" s="2" t="s">
        <v>4745</v>
      </c>
      <c r="C1433" s="2" t="s">
        <v>9098</v>
      </c>
      <c r="D1433" s="2" t="n">
        <v>34.84</v>
      </c>
      <c r="E1433" s="13" t="n">
        <v>45826</v>
      </c>
    </row>
    <row r="1434" customFormat="false" ht="15" hidden="false" customHeight="false" outlineLevel="0" collapsed="false">
      <c r="A1434" s="2" t="s">
        <v>10519</v>
      </c>
      <c r="B1434" s="2" t="s">
        <v>4747</v>
      </c>
      <c r="C1434" s="2" t="s">
        <v>9098</v>
      </c>
      <c r="D1434" s="2" t="n">
        <v>35.21</v>
      </c>
      <c r="E1434" s="13" t="n">
        <v>45833</v>
      </c>
    </row>
    <row r="1435" customFormat="false" ht="15" hidden="false" customHeight="false" outlineLevel="0" collapsed="false">
      <c r="A1435" s="2" t="s">
        <v>10520</v>
      </c>
      <c r="B1435" s="2" t="s">
        <v>4749</v>
      </c>
      <c r="C1435" s="2" t="s">
        <v>9087</v>
      </c>
      <c r="D1435" s="2" t="n">
        <v>35.58</v>
      </c>
      <c r="E1435" s="13" t="n">
        <v>45840</v>
      </c>
    </row>
    <row r="1436" customFormat="false" ht="15" hidden="false" customHeight="false" outlineLevel="0" collapsed="false">
      <c r="A1436" s="2" t="s">
        <v>10521</v>
      </c>
      <c r="B1436" s="2" t="s">
        <v>4753</v>
      </c>
      <c r="C1436" s="2" t="s">
        <v>9083</v>
      </c>
      <c r="D1436" s="2" t="n">
        <v>35.95</v>
      </c>
      <c r="E1436" s="13" t="n">
        <v>45847</v>
      </c>
    </row>
    <row r="1437" customFormat="false" ht="15" hidden="false" customHeight="false" outlineLevel="0" collapsed="false">
      <c r="A1437" s="2" t="s">
        <v>10522</v>
      </c>
      <c r="B1437" s="2" t="s">
        <v>4757</v>
      </c>
      <c r="C1437" s="2" t="s">
        <v>9085</v>
      </c>
      <c r="D1437" s="2" t="n">
        <v>36.32</v>
      </c>
      <c r="E1437" s="13" t="n">
        <v>45854</v>
      </c>
    </row>
    <row r="1438" customFormat="false" ht="15" hidden="false" customHeight="false" outlineLevel="0" collapsed="false">
      <c r="A1438" s="2" t="s">
        <v>10523</v>
      </c>
      <c r="B1438" s="2" t="s">
        <v>4761</v>
      </c>
      <c r="C1438" s="2" t="s">
        <v>9092</v>
      </c>
      <c r="D1438" s="2" t="n">
        <v>36.69</v>
      </c>
      <c r="E1438" s="13" t="n">
        <v>45861</v>
      </c>
    </row>
    <row r="1439" customFormat="false" ht="15" hidden="false" customHeight="false" outlineLevel="0" collapsed="false">
      <c r="A1439" s="2" t="s">
        <v>10524</v>
      </c>
      <c r="B1439" s="2" t="s">
        <v>4765</v>
      </c>
      <c r="C1439" s="2" t="s">
        <v>9083</v>
      </c>
      <c r="D1439" s="2" t="n">
        <v>37.06</v>
      </c>
      <c r="E1439" s="13" t="n">
        <v>45868</v>
      </c>
    </row>
    <row r="1440" customFormat="false" ht="15" hidden="false" customHeight="false" outlineLevel="0" collapsed="false">
      <c r="A1440" s="2" t="s">
        <v>10525</v>
      </c>
      <c r="B1440" s="2" t="s">
        <v>4767</v>
      </c>
      <c r="C1440" s="2" t="s">
        <v>9087</v>
      </c>
      <c r="D1440" s="2" t="n">
        <v>37.43</v>
      </c>
      <c r="E1440" s="13" t="n">
        <v>45875</v>
      </c>
    </row>
    <row r="1441" customFormat="false" ht="15" hidden="false" customHeight="false" outlineLevel="0" collapsed="false">
      <c r="A1441" s="2" t="s">
        <v>10526</v>
      </c>
      <c r="B1441" s="2" t="s">
        <v>4769</v>
      </c>
      <c r="C1441" s="2" t="s">
        <v>9087</v>
      </c>
      <c r="D1441" s="2" t="n">
        <v>37.8</v>
      </c>
      <c r="E1441" s="13" t="n">
        <v>45882</v>
      </c>
    </row>
    <row r="1442" customFormat="false" ht="15" hidden="false" customHeight="false" outlineLevel="0" collapsed="false">
      <c r="A1442" s="2" t="s">
        <v>10527</v>
      </c>
      <c r="B1442" s="2" t="s">
        <v>4771</v>
      </c>
      <c r="C1442" s="2" t="s">
        <v>9085</v>
      </c>
      <c r="D1442" s="2" t="n">
        <v>38.17</v>
      </c>
      <c r="E1442" s="13" t="n">
        <v>45889</v>
      </c>
    </row>
    <row r="1443" customFormat="false" ht="15" hidden="false" customHeight="false" outlineLevel="0" collapsed="false">
      <c r="A1443" s="2" t="s">
        <v>10528</v>
      </c>
      <c r="B1443" s="2" t="s">
        <v>4773</v>
      </c>
      <c r="C1443" s="2" t="s">
        <v>9083</v>
      </c>
      <c r="D1443" s="2" t="n">
        <v>38.54</v>
      </c>
      <c r="E1443" s="13" t="n">
        <v>45896</v>
      </c>
    </row>
    <row r="1444" customFormat="false" ht="15" hidden="false" customHeight="false" outlineLevel="0" collapsed="false">
      <c r="A1444" s="2" t="s">
        <v>10529</v>
      </c>
      <c r="B1444" s="2" t="s">
        <v>4777</v>
      </c>
      <c r="C1444" s="2" t="s">
        <v>9092</v>
      </c>
      <c r="D1444" s="2" t="n">
        <v>38.91</v>
      </c>
      <c r="E1444" s="13" t="n">
        <v>45903</v>
      </c>
    </row>
    <row r="1445" customFormat="false" ht="15" hidden="false" customHeight="false" outlineLevel="0" collapsed="false">
      <c r="A1445" s="2" t="s">
        <v>10530</v>
      </c>
      <c r="B1445" s="2" t="s">
        <v>4781</v>
      </c>
      <c r="C1445" s="2" t="s">
        <v>9098</v>
      </c>
      <c r="D1445" s="2" t="n">
        <v>39.28</v>
      </c>
      <c r="E1445" s="13" t="n">
        <v>45910</v>
      </c>
    </row>
    <row r="1446" customFormat="false" ht="15" hidden="false" customHeight="false" outlineLevel="0" collapsed="false">
      <c r="A1446" s="2" t="s">
        <v>10531</v>
      </c>
      <c r="B1446" s="2" t="s">
        <v>4783</v>
      </c>
      <c r="C1446" s="2" t="s">
        <v>9083</v>
      </c>
      <c r="D1446" s="2" t="n">
        <v>39.65</v>
      </c>
      <c r="E1446" s="13" t="n">
        <v>45917</v>
      </c>
    </row>
    <row r="1447" customFormat="false" ht="15" hidden="false" customHeight="false" outlineLevel="0" collapsed="false">
      <c r="A1447" s="2" t="s">
        <v>10532</v>
      </c>
      <c r="B1447" s="2" t="s">
        <v>4785</v>
      </c>
      <c r="C1447" s="2" t="s">
        <v>9092</v>
      </c>
      <c r="D1447" s="2" t="n">
        <v>40.02</v>
      </c>
      <c r="E1447" s="13" t="n">
        <v>45924</v>
      </c>
    </row>
    <row r="1448" customFormat="false" ht="15" hidden="false" customHeight="false" outlineLevel="0" collapsed="false">
      <c r="A1448" s="2" t="s">
        <v>10533</v>
      </c>
      <c r="B1448" s="2" t="s">
        <v>4787</v>
      </c>
      <c r="C1448" s="2" t="s">
        <v>9087</v>
      </c>
      <c r="D1448" s="2" t="n">
        <v>40.39</v>
      </c>
      <c r="E1448" s="13" t="n">
        <v>45931</v>
      </c>
    </row>
    <row r="1449" customFormat="false" ht="15" hidden="false" customHeight="false" outlineLevel="0" collapsed="false">
      <c r="A1449" s="2" t="s">
        <v>10534</v>
      </c>
      <c r="B1449" s="2" t="s">
        <v>4789</v>
      </c>
      <c r="C1449" s="2" t="s">
        <v>9098</v>
      </c>
      <c r="D1449" s="2" t="n">
        <v>40.76</v>
      </c>
      <c r="E1449" s="13" t="n">
        <v>45938</v>
      </c>
    </row>
    <row r="1450" customFormat="false" ht="15" hidden="false" customHeight="false" outlineLevel="0" collapsed="false">
      <c r="A1450" s="2" t="s">
        <v>10535</v>
      </c>
      <c r="B1450" s="2" t="s">
        <v>4791</v>
      </c>
      <c r="C1450" s="2" t="s">
        <v>9083</v>
      </c>
      <c r="D1450" s="2" t="n">
        <v>41.13</v>
      </c>
      <c r="E1450" s="13" t="n">
        <v>45945</v>
      </c>
    </row>
    <row r="1451" customFormat="false" ht="15" hidden="false" customHeight="false" outlineLevel="0" collapsed="false">
      <c r="A1451" s="2" t="s">
        <v>10536</v>
      </c>
      <c r="B1451" s="2" t="s">
        <v>4793</v>
      </c>
      <c r="C1451" s="2" t="s">
        <v>9092</v>
      </c>
      <c r="D1451" s="2" t="n">
        <v>41.5</v>
      </c>
      <c r="E1451" s="13" t="n">
        <v>45952</v>
      </c>
    </row>
    <row r="1452" customFormat="false" ht="15" hidden="false" customHeight="false" outlineLevel="0" collapsed="false">
      <c r="A1452" s="2" t="s">
        <v>10537</v>
      </c>
      <c r="B1452" s="2" t="s">
        <v>4797</v>
      </c>
      <c r="C1452" s="2" t="s">
        <v>9083</v>
      </c>
      <c r="D1452" s="2" t="n">
        <v>41.87</v>
      </c>
      <c r="E1452" s="13" t="n">
        <v>45959</v>
      </c>
    </row>
    <row r="1453" customFormat="false" ht="15" hidden="false" customHeight="false" outlineLevel="0" collapsed="false">
      <c r="A1453" s="2" t="s">
        <v>10538</v>
      </c>
      <c r="B1453" s="2" t="s">
        <v>4799</v>
      </c>
      <c r="C1453" s="2" t="s">
        <v>9083</v>
      </c>
      <c r="D1453" s="2" t="n">
        <v>42.24</v>
      </c>
      <c r="E1453" s="13" t="n">
        <v>45966</v>
      </c>
    </row>
    <row r="1454" customFormat="false" ht="15" hidden="false" customHeight="false" outlineLevel="0" collapsed="false">
      <c r="A1454" s="2" t="s">
        <v>10539</v>
      </c>
      <c r="B1454" s="2" t="s">
        <v>4803</v>
      </c>
      <c r="C1454" s="2" t="s">
        <v>9085</v>
      </c>
      <c r="D1454" s="2" t="n">
        <v>42.61</v>
      </c>
      <c r="E1454" s="13" t="n">
        <v>45973</v>
      </c>
    </row>
    <row r="1455" customFormat="false" ht="15" hidden="false" customHeight="false" outlineLevel="0" collapsed="false">
      <c r="A1455" s="2" t="s">
        <v>10540</v>
      </c>
      <c r="B1455" s="2" t="s">
        <v>4805</v>
      </c>
      <c r="C1455" s="2" t="s">
        <v>9098</v>
      </c>
      <c r="D1455" s="2" t="n">
        <v>42.98</v>
      </c>
      <c r="E1455" s="13" t="n">
        <v>45980</v>
      </c>
    </row>
    <row r="1456" customFormat="false" ht="15" hidden="false" customHeight="false" outlineLevel="0" collapsed="false">
      <c r="A1456" s="2" t="s">
        <v>10541</v>
      </c>
      <c r="B1456" s="2" t="s">
        <v>4807</v>
      </c>
      <c r="C1456" s="2" t="s">
        <v>9092</v>
      </c>
      <c r="D1456" s="2" t="n">
        <v>43.35</v>
      </c>
      <c r="E1456" s="13" t="n">
        <v>45987</v>
      </c>
    </row>
    <row r="1457" customFormat="false" ht="15" hidden="false" customHeight="false" outlineLevel="0" collapsed="false">
      <c r="A1457" s="2" t="s">
        <v>10542</v>
      </c>
      <c r="B1457" s="2" t="s">
        <v>4809</v>
      </c>
      <c r="C1457" s="2" t="s">
        <v>9092</v>
      </c>
      <c r="D1457" s="2" t="n">
        <v>43.72</v>
      </c>
      <c r="E1457" s="13" t="n">
        <v>45994</v>
      </c>
    </row>
    <row r="1458" customFormat="false" ht="15" hidden="false" customHeight="false" outlineLevel="0" collapsed="false">
      <c r="A1458" s="2" t="s">
        <v>10543</v>
      </c>
      <c r="B1458" s="2" t="s">
        <v>4811</v>
      </c>
      <c r="C1458" s="2" t="s">
        <v>9092</v>
      </c>
      <c r="D1458" s="2" t="n">
        <v>44.09</v>
      </c>
      <c r="E1458" s="13" t="n">
        <v>46001</v>
      </c>
    </row>
    <row r="1459" customFormat="false" ht="15" hidden="false" customHeight="false" outlineLevel="0" collapsed="false">
      <c r="A1459" s="2" t="s">
        <v>10544</v>
      </c>
      <c r="B1459" s="2" t="s">
        <v>4813</v>
      </c>
      <c r="C1459" s="2" t="s">
        <v>9087</v>
      </c>
      <c r="D1459" s="2" t="n">
        <v>44.46</v>
      </c>
      <c r="E1459" s="13" t="n">
        <v>46008</v>
      </c>
    </row>
    <row r="1460" customFormat="false" ht="15" hidden="false" customHeight="false" outlineLevel="0" collapsed="false">
      <c r="A1460" s="2" t="s">
        <v>10545</v>
      </c>
      <c r="B1460" s="2" t="s">
        <v>4817</v>
      </c>
      <c r="C1460" s="2" t="s">
        <v>9083</v>
      </c>
      <c r="D1460" s="2" t="n">
        <v>44.83</v>
      </c>
      <c r="E1460" s="13" t="n">
        <v>46015</v>
      </c>
    </row>
    <row r="1461" customFormat="false" ht="15" hidden="false" customHeight="false" outlineLevel="0" collapsed="false">
      <c r="A1461" s="2" t="s">
        <v>10546</v>
      </c>
      <c r="B1461" s="2" t="s">
        <v>4819</v>
      </c>
      <c r="C1461" s="2" t="s">
        <v>9083</v>
      </c>
      <c r="D1461" s="2" t="n">
        <v>45.2</v>
      </c>
      <c r="E1461" s="13" t="n">
        <v>45292</v>
      </c>
    </row>
    <row r="1462" customFormat="false" ht="15" hidden="false" customHeight="false" outlineLevel="0" collapsed="false">
      <c r="A1462" s="2" t="s">
        <v>10547</v>
      </c>
      <c r="B1462" s="2" t="s">
        <v>4821</v>
      </c>
      <c r="C1462" s="2" t="s">
        <v>9085</v>
      </c>
      <c r="D1462" s="2" t="n">
        <v>45.57</v>
      </c>
      <c r="E1462" s="13" t="n">
        <v>45299</v>
      </c>
    </row>
    <row r="1463" customFormat="false" ht="15" hidden="false" customHeight="false" outlineLevel="0" collapsed="false">
      <c r="A1463" s="2" t="s">
        <v>10548</v>
      </c>
      <c r="B1463" s="2" t="s">
        <v>4823</v>
      </c>
      <c r="C1463" s="2" t="s">
        <v>9087</v>
      </c>
      <c r="D1463" s="2" t="n">
        <v>45.94</v>
      </c>
      <c r="E1463" s="13" t="n">
        <v>45306</v>
      </c>
    </row>
    <row r="1464" customFormat="false" ht="15" hidden="false" customHeight="false" outlineLevel="0" collapsed="false">
      <c r="A1464" s="2" t="s">
        <v>10549</v>
      </c>
      <c r="B1464" s="2" t="s">
        <v>4825</v>
      </c>
      <c r="C1464" s="2" t="s">
        <v>9083</v>
      </c>
      <c r="D1464" s="2" t="n">
        <v>46.31</v>
      </c>
      <c r="E1464" s="13" t="n">
        <v>45313</v>
      </c>
    </row>
    <row r="1465" customFormat="false" ht="15" hidden="false" customHeight="false" outlineLevel="0" collapsed="false">
      <c r="A1465" s="2" t="s">
        <v>10550</v>
      </c>
      <c r="B1465" s="2" t="s">
        <v>4827</v>
      </c>
      <c r="C1465" s="2" t="s">
        <v>9083</v>
      </c>
      <c r="D1465" s="2" t="n">
        <v>46.68</v>
      </c>
      <c r="E1465" s="13" t="n">
        <v>45320</v>
      </c>
    </row>
    <row r="1466" customFormat="false" ht="15" hidden="false" customHeight="false" outlineLevel="0" collapsed="false">
      <c r="A1466" s="2" t="s">
        <v>10551</v>
      </c>
      <c r="B1466" s="2" t="s">
        <v>4831</v>
      </c>
      <c r="C1466" s="2" t="s">
        <v>9085</v>
      </c>
      <c r="D1466" s="2" t="n">
        <v>47.05</v>
      </c>
      <c r="E1466" s="13" t="n">
        <v>45327</v>
      </c>
    </row>
    <row r="1467" customFormat="false" ht="15" hidden="false" customHeight="false" outlineLevel="0" collapsed="false">
      <c r="A1467" s="2" t="s">
        <v>10552</v>
      </c>
      <c r="B1467" s="2" t="s">
        <v>4835</v>
      </c>
      <c r="C1467" s="2" t="s">
        <v>9087</v>
      </c>
      <c r="D1467" s="2" t="n">
        <v>47.42</v>
      </c>
      <c r="E1467" s="13" t="n">
        <v>45334</v>
      </c>
    </row>
    <row r="1468" customFormat="false" ht="15" hidden="false" customHeight="false" outlineLevel="0" collapsed="false">
      <c r="A1468" s="2" t="s">
        <v>10553</v>
      </c>
      <c r="B1468" s="2" t="s">
        <v>4839</v>
      </c>
      <c r="C1468" s="2" t="s">
        <v>9092</v>
      </c>
      <c r="D1468" s="2" t="n">
        <v>47.79</v>
      </c>
      <c r="E1468" s="13" t="n">
        <v>45341</v>
      </c>
    </row>
    <row r="1469" customFormat="false" ht="15" hidden="false" customHeight="false" outlineLevel="0" collapsed="false">
      <c r="A1469" s="2" t="s">
        <v>10554</v>
      </c>
      <c r="B1469" s="2" t="s">
        <v>4841</v>
      </c>
      <c r="C1469" s="2" t="s">
        <v>9083</v>
      </c>
      <c r="D1469" s="2" t="n">
        <v>48.16</v>
      </c>
      <c r="E1469" s="13" t="n">
        <v>45348</v>
      </c>
    </row>
    <row r="1470" customFormat="false" ht="15" hidden="false" customHeight="false" outlineLevel="0" collapsed="false">
      <c r="A1470" s="2" t="s">
        <v>10555</v>
      </c>
      <c r="B1470" s="2" t="s">
        <v>4843</v>
      </c>
      <c r="C1470" s="2" t="s">
        <v>9083</v>
      </c>
      <c r="D1470" s="2" t="n">
        <v>48.53</v>
      </c>
      <c r="E1470" s="13" t="n">
        <v>45355</v>
      </c>
    </row>
    <row r="1471" customFormat="false" ht="15" hidden="false" customHeight="false" outlineLevel="0" collapsed="false">
      <c r="A1471" s="2" t="s">
        <v>10556</v>
      </c>
      <c r="B1471" s="2" t="s">
        <v>4845</v>
      </c>
      <c r="C1471" s="2" t="s">
        <v>9083</v>
      </c>
      <c r="D1471" s="2" t="n">
        <v>48.9</v>
      </c>
      <c r="E1471" s="13" t="n">
        <v>45362</v>
      </c>
    </row>
    <row r="1472" customFormat="false" ht="15" hidden="false" customHeight="false" outlineLevel="0" collapsed="false">
      <c r="A1472" s="2" t="s">
        <v>10557</v>
      </c>
      <c r="B1472" s="2" t="s">
        <v>4847</v>
      </c>
      <c r="C1472" s="2" t="s">
        <v>9083</v>
      </c>
      <c r="D1472" s="2" t="n">
        <v>49.27</v>
      </c>
      <c r="E1472" s="13" t="n">
        <v>45369</v>
      </c>
    </row>
    <row r="1473" customFormat="false" ht="15" hidden="false" customHeight="false" outlineLevel="0" collapsed="false">
      <c r="A1473" s="2" t="s">
        <v>10558</v>
      </c>
      <c r="B1473" s="2" t="s">
        <v>4851</v>
      </c>
      <c r="C1473" s="2" t="s">
        <v>9083</v>
      </c>
      <c r="D1473" s="2" t="n">
        <v>49.64</v>
      </c>
      <c r="E1473" s="13" t="n">
        <v>45376</v>
      </c>
    </row>
    <row r="1474" customFormat="false" ht="15" hidden="false" customHeight="false" outlineLevel="0" collapsed="false">
      <c r="A1474" s="2" t="s">
        <v>10559</v>
      </c>
      <c r="B1474" s="2" t="s">
        <v>4853</v>
      </c>
      <c r="C1474" s="2" t="s">
        <v>9092</v>
      </c>
      <c r="D1474" s="2" t="n">
        <v>50.01</v>
      </c>
      <c r="E1474" s="13" t="n">
        <v>45383</v>
      </c>
    </row>
    <row r="1475" customFormat="false" ht="15" hidden="false" customHeight="false" outlineLevel="0" collapsed="false">
      <c r="A1475" s="2" t="s">
        <v>10560</v>
      </c>
      <c r="B1475" s="2" t="s">
        <v>4855</v>
      </c>
      <c r="C1475" s="2" t="s">
        <v>9085</v>
      </c>
      <c r="D1475" s="2" t="n">
        <v>50.38</v>
      </c>
      <c r="E1475" s="13" t="n">
        <v>45390</v>
      </c>
    </row>
    <row r="1476" customFormat="false" ht="15" hidden="false" customHeight="false" outlineLevel="0" collapsed="false">
      <c r="A1476" s="2" t="s">
        <v>10561</v>
      </c>
      <c r="B1476" s="2" t="s">
        <v>4857</v>
      </c>
      <c r="C1476" s="2" t="s">
        <v>9085</v>
      </c>
      <c r="D1476" s="2" t="n">
        <v>50.75</v>
      </c>
      <c r="E1476" s="13" t="n">
        <v>45397</v>
      </c>
    </row>
    <row r="1477" customFormat="false" ht="15" hidden="false" customHeight="false" outlineLevel="0" collapsed="false">
      <c r="A1477" s="2" t="s">
        <v>10562</v>
      </c>
      <c r="B1477" s="2" t="s">
        <v>4859</v>
      </c>
      <c r="C1477" s="2" t="s">
        <v>9083</v>
      </c>
      <c r="D1477" s="2" t="n">
        <v>51.12</v>
      </c>
      <c r="E1477" s="13" t="n">
        <v>45404</v>
      </c>
    </row>
    <row r="1478" customFormat="false" ht="15" hidden="false" customHeight="false" outlineLevel="0" collapsed="false">
      <c r="A1478" s="2" t="s">
        <v>10563</v>
      </c>
      <c r="B1478" s="2" t="s">
        <v>4861</v>
      </c>
      <c r="C1478" s="2" t="s">
        <v>9092</v>
      </c>
      <c r="D1478" s="2" t="n">
        <v>51.49</v>
      </c>
      <c r="E1478" s="13" t="n">
        <v>45411</v>
      </c>
    </row>
    <row r="1479" customFormat="false" ht="15" hidden="false" customHeight="false" outlineLevel="0" collapsed="false">
      <c r="A1479" s="2" t="s">
        <v>10564</v>
      </c>
      <c r="B1479" s="2" t="s">
        <v>4863</v>
      </c>
      <c r="C1479" s="2" t="s">
        <v>9087</v>
      </c>
      <c r="D1479" s="2" t="n">
        <v>51.86</v>
      </c>
      <c r="E1479" s="13" t="n">
        <v>45418</v>
      </c>
    </row>
    <row r="1480" customFormat="false" ht="15" hidden="false" customHeight="false" outlineLevel="0" collapsed="false">
      <c r="A1480" s="2" t="s">
        <v>10565</v>
      </c>
      <c r="B1480" s="2" t="s">
        <v>4867</v>
      </c>
      <c r="C1480" s="2" t="s">
        <v>9098</v>
      </c>
      <c r="D1480" s="2" t="n">
        <v>52.23</v>
      </c>
      <c r="E1480" s="13" t="n">
        <v>45425</v>
      </c>
    </row>
    <row r="1481" customFormat="false" ht="15" hidden="false" customHeight="false" outlineLevel="0" collapsed="false">
      <c r="A1481" s="2" t="s">
        <v>10566</v>
      </c>
      <c r="B1481" s="2" t="s">
        <v>4869</v>
      </c>
      <c r="C1481" s="2" t="s">
        <v>9085</v>
      </c>
      <c r="D1481" s="2" t="n">
        <v>52.6</v>
      </c>
      <c r="E1481" s="13" t="n">
        <v>45432</v>
      </c>
    </row>
    <row r="1482" customFormat="false" ht="15" hidden="false" customHeight="false" outlineLevel="0" collapsed="false">
      <c r="A1482" s="2" t="s">
        <v>10567</v>
      </c>
      <c r="B1482" s="2" t="s">
        <v>4873</v>
      </c>
      <c r="C1482" s="2" t="s">
        <v>9092</v>
      </c>
      <c r="D1482" s="2" t="n">
        <v>52.97</v>
      </c>
      <c r="E1482" s="13" t="n">
        <v>45439</v>
      </c>
    </row>
    <row r="1483" customFormat="false" ht="15" hidden="false" customHeight="false" outlineLevel="0" collapsed="false">
      <c r="A1483" s="2" t="s">
        <v>10568</v>
      </c>
      <c r="B1483" s="2" t="s">
        <v>4877</v>
      </c>
      <c r="C1483" s="2" t="s">
        <v>9087</v>
      </c>
      <c r="D1483" s="2" t="n">
        <v>53.34</v>
      </c>
      <c r="E1483" s="13" t="n">
        <v>45446</v>
      </c>
    </row>
    <row r="1484" customFormat="false" ht="15" hidden="false" customHeight="false" outlineLevel="0" collapsed="false">
      <c r="A1484" s="2" t="s">
        <v>10569</v>
      </c>
      <c r="B1484" s="2" t="s">
        <v>4881</v>
      </c>
      <c r="C1484" s="2" t="s">
        <v>9085</v>
      </c>
      <c r="D1484" s="2" t="n">
        <v>53.71</v>
      </c>
      <c r="E1484" s="13" t="n">
        <v>45453</v>
      </c>
    </row>
    <row r="1485" customFormat="false" ht="15" hidden="false" customHeight="false" outlineLevel="0" collapsed="false">
      <c r="A1485" s="2" t="s">
        <v>10570</v>
      </c>
      <c r="B1485" s="2" t="s">
        <v>4883</v>
      </c>
      <c r="C1485" s="2" t="s">
        <v>9085</v>
      </c>
      <c r="D1485" s="2" t="n">
        <v>54.08</v>
      </c>
      <c r="E1485" s="13" t="n">
        <v>45460</v>
      </c>
    </row>
    <row r="1486" customFormat="false" ht="15" hidden="false" customHeight="false" outlineLevel="0" collapsed="false">
      <c r="A1486" s="2" t="s">
        <v>10571</v>
      </c>
      <c r="B1486" s="2" t="s">
        <v>4885</v>
      </c>
      <c r="C1486" s="2" t="s">
        <v>9083</v>
      </c>
      <c r="D1486" s="2" t="n">
        <v>54.45</v>
      </c>
      <c r="E1486" s="13" t="n">
        <v>45467</v>
      </c>
    </row>
    <row r="1487" customFormat="false" ht="15" hidden="false" customHeight="false" outlineLevel="0" collapsed="false">
      <c r="A1487" s="2" t="s">
        <v>10572</v>
      </c>
      <c r="B1487" s="2" t="s">
        <v>4887</v>
      </c>
      <c r="C1487" s="2" t="s">
        <v>9092</v>
      </c>
      <c r="D1487" s="2" t="n">
        <v>54.82</v>
      </c>
      <c r="E1487" s="13" t="n">
        <v>45474</v>
      </c>
    </row>
    <row r="1488" customFormat="false" ht="15" hidden="false" customHeight="false" outlineLevel="0" collapsed="false">
      <c r="A1488" s="2" t="s">
        <v>10573</v>
      </c>
      <c r="B1488" s="2" t="s">
        <v>4891</v>
      </c>
      <c r="C1488" s="2" t="s">
        <v>9098</v>
      </c>
      <c r="D1488" s="2" t="n">
        <v>55.19</v>
      </c>
      <c r="E1488" s="13" t="n">
        <v>45481</v>
      </c>
    </row>
    <row r="1489" customFormat="false" ht="15" hidden="false" customHeight="false" outlineLevel="0" collapsed="false">
      <c r="A1489" s="2" t="s">
        <v>10574</v>
      </c>
      <c r="B1489" s="2" t="s">
        <v>4895</v>
      </c>
      <c r="C1489" s="2" t="s">
        <v>9098</v>
      </c>
      <c r="D1489" s="2" t="n">
        <v>55.56</v>
      </c>
      <c r="E1489" s="13" t="n">
        <v>45488</v>
      </c>
    </row>
    <row r="1490" customFormat="false" ht="15" hidden="false" customHeight="false" outlineLevel="0" collapsed="false">
      <c r="A1490" s="2" t="s">
        <v>10575</v>
      </c>
      <c r="B1490" s="2" t="s">
        <v>4899</v>
      </c>
      <c r="C1490" s="2" t="s">
        <v>9085</v>
      </c>
      <c r="D1490" s="2" t="n">
        <v>55.93</v>
      </c>
      <c r="E1490" s="13" t="n">
        <v>45495</v>
      </c>
    </row>
    <row r="1491" customFormat="false" ht="15" hidden="false" customHeight="false" outlineLevel="0" collapsed="false">
      <c r="A1491" s="2" t="s">
        <v>10576</v>
      </c>
      <c r="B1491" s="2" t="s">
        <v>4901</v>
      </c>
      <c r="C1491" s="2" t="s">
        <v>9085</v>
      </c>
      <c r="D1491" s="2" t="n">
        <v>56.3</v>
      </c>
      <c r="E1491" s="13" t="n">
        <v>45502</v>
      </c>
    </row>
    <row r="1492" customFormat="false" ht="15" hidden="false" customHeight="false" outlineLevel="0" collapsed="false">
      <c r="A1492" s="2" t="s">
        <v>10577</v>
      </c>
      <c r="B1492" s="2" t="s">
        <v>4905</v>
      </c>
      <c r="C1492" s="2" t="s">
        <v>9083</v>
      </c>
      <c r="D1492" s="2" t="n">
        <v>56.67</v>
      </c>
      <c r="E1492" s="13" t="n">
        <v>45509</v>
      </c>
    </row>
    <row r="1493" customFormat="false" ht="15" hidden="false" customHeight="false" outlineLevel="0" collapsed="false">
      <c r="A1493" s="2" t="s">
        <v>10578</v>
      </c>
      <c r="B1493" s="2" t="s">
        <v>4907</v>
      </c>
      <c r="C1493" s="2" t="s">
        <v>9085</v>
      </c>
      <c r="D1493" s="2" t="n">
        <v>57.04</v>
      </c>
      <c r="E1493" s="13" t="n">
        <v>45516</v>
      </c>
    </row>
    <row r="1494" customFormat="false" ht="15" hidden="false" customHeight="false" outlineLevel="0" collapsed="false">
      <c r="A1494" s="2" t="s">
        <v>10579</v>
      </c>
      <c r="B1494" s="2" t="s">
        <v>4909</v>
      </c>
      <c r="C1494" s="2" t="s">
        <v>9085</v>
      </c>
      <c r="D1494" s="2" t="n">
        <v>57.41</v>
      </c>
      <c r="E1494" s="13" t="n">
        <v>45523</v>
      </c>
    </row>
    <row r="1495" customFormat="false" ht="15" hidden="false" customHeight="false" outlineLevel="0" collapsed="false">
      <c r="A1495" s="2" t="s">
        <v>10580</v>
      </c>
      <c r="B1495" s="2" t="s">
        <v>4911</v>
      </c>
      <c r="C1495" s="2" t="s">
        <v>9087</v>
      </c>
      <c r="D1495" s="2" t="n">
        <v>57.78</v>
      </c>
      <c r="E1495" s="13" t="n">
        <v>45530</v>
      </c>
    </row>
    <row r="1496" customFormat="false" ht="15" hidden="false" customHeight="false" outlineLevel="0" collapsed="false">
      <c r="A1496" s="2" t="s">
        <v>10581</v>
      </c>
      <c r="B1496" s="2" t="s">
        <v>4915</v>
      </c>
      <c r="C1496" s="2" t="s">
        <v>9083</v>
      </c>
      <c r="D1496" s="2" t="n">
        <v>58.15</v>
      </c>
      <c r="E1496" s="13" t="n">
        <v>45537</v>
      </c>
    </row>
    <row r="1497" customFormat="false" ht="15" hidden="false" customHeight="false" outlineLevel="0" collapsed="false">
      <c r="A1497" s="2" t="s">
        <v>10582</v>
      </c>
      <c r="B1497" s="2" t="s">
        <v>4917</v>
      </c>
      <c r="C1497" s="2" t="s">
        <v>9083</v>
      </c>
      <c r="D1497" s="2" t="n">
        <v>58.52</v>
      </c>
      <c r="E1497" s="13" t="n">
        <v>45544</v>
      </c>
    </row>
    <row r="1498" customFormat="false" ht="15" hidden="false" customHeight="false" outlineLevel="0" collapsed="false">
      <c r="A1498" s="2" t="s">
        <v>10583</v>
      </c>
      <c r="B1498" s="2" t="s">
        <v>4919</v>
      </c>
      <c r="C1498" s="2" t="s">
        <v>9092</v>
      </c>
      <c r="D1498" s="2" t="n">
        <v>58.89</v>
      </c>
      <c r="E1498" s="13" t="n">
        <v>45551</v>
      </c>
    </row>
    <row r="1499" customFormat="false" ht="15" hidden="false" customHeight="false" outlineLevel="0" collapsed="false">
      <c r="A1499" s="2" t="s">
        <v>10584</v>
      </c>
      <c r="B1499" s="2" t="s">
        <v>4921</v>
      </c>
      <c r="C1499" s="2" t="s">
        <v>9098</v>
      </c>
      <c r="D1499" s="2" t="n">
        <v>59.26</v>
      </c>
      <c r="E1499" s="13" t="n">
        <v>45558</v>
      </c>
    </row>
    <row r="1500" customFormat="false" ht="15" hidden="false" customHeight="false" outlineLevel="0" collapsed="false">
      <c r="A1500" s="2" t="s">
        <v>10585</v>
      </c>
      <c r="B1500" s="2" t="s">
        <v>4923</v>
      </c>
      <c r="C1500" s="2" t="s">
        <v>9085</v>
      </c>
      <c r="D1500" s="2" t="n">
        <v>59.63</v>
      </c>
      <c r="E1500" s="13" t="n">
        <v>45565</v>
      </c>
    </row>
    <row r="1501" customFormat="false" ht="15" hidden="false" customHeight="false" outlineLevel="0" collapsed="false">
      <c r="A1501" s="2" t="s">
        <v>10586</v>
      </c>
      <c r="B1501" s="2" t="s">
        <v>4925</v>
      </c>
      <c r="C1501" s="2" t="s">
        <v>9083</v>
      </c>
      <c r="D1501" s="2" t="n">
        <v>60</v>
      </c>
      <c r="E1501" s="13" t="n">
        <v>45572</v>
      </c>
    </row>
    <row r="1502" customFormat="false" ht="15" hidden="false" customHeight="false" outlineLevel="0" collapsed="false">
      <c r="A1502" s="2" t="s">
        <v>10587</v>
      </c>
      <c r="B1502" s="2" t="s">
        <v>4927</v>
      </c>
      <c r="C1502" s="2" t="s">
        <v>9085</v>
      </c>
      <c r="D1502" s="2" t="n">
        <v>60.37</v>
      </c>
      <c r="E1502" s="13" t="n">
        <v>45579</v>
      </c>
    </row>
    <row r="1503" customFormat="false" ht="15" hidden="false" customHeight="false" outlineLevel="0" collapsed="false">
      <c r="A1503" s="2" t="s">
        <v>10588</v>
      </c>
      <c r="B1503" s="2" t="s">
        <v>4929</v>
      </c>
      <c r="C1503" s="2" t="s">
        <v>9087</v>
      </c>
      <c r="D1503" s="2" t="n">
        <v>60.74</v>
      </c>
      <c r="E1503" s="13" t="n">
        <v>45586</v>
      </c>
    </row>
    <row r="1504" customFormat="false" ht="15" hidden="false" customHeight="false" outlineLevel="0" collapsed="false">
      <c r="A1504" s="2" t="s">
        <v>10589</v>
      </c>
      <c r="B1504" s="2" t="s">
        <v>4931</v>
      </c>
      <c r="C1504" s="2" t="s">
        <v>9087</v>
      </c>
      <c r="D1504" s="2" t="n">
        <v>61.11</v>
      </c>
      <c r="E1504" s="13" t="n">
        <v>45593</v>
      </c>
    </row>
    <row r="1505" customFormat="false" ht="15" hidden="false" customHeight="false" outlineLevel="0" collapsed="false">
      <c r="A1505" s="2" t="s">
        <v>10590</v>
      </c>
      <c r="B1505" s="2" t="s">
        <v>4933</v>
      </c>
      <c r="C1505" s="2" t="s">
        <v>9087</v>
      </c>
      <c r="D1505" s="2" t="n">
        <v>61.48</v>
      </c>
      <c r="E1505" s="13" t="n">
        <v>45600</v>
      </c>
    </row>
    <row r="1506" customFormat="false" ht="15" hidden="false" customHeight="false" outlineLevel="0" collapsed="false">
      <c r="A1506" s="2" t="s">
        <v>10591</v>
      </c>
      <c r="B1506" s="2" t="s">
        <v>4935</v>
      </c>
      <c r="C1506" s="2" t="s">
        <v>9098</v>
      </c>
      <c r="D1506" s="2" t="n">
        <v>61.85</v>
      </c>
      <c r="E1506" s="13" t="n">
        <v>45607</v>
      </c>
    </row>
    <row r="1507" customFormat="false" ht="15" hidden="false" customHeight="false" outlineLevel="0" collapsed="false">
      <c r="A1507" s="2" t="s">
        <v>10592</v>
      </c>
      <c r="B1507" s="2" t="s">
        <v>4937</v>
      </c>
      <c r="C1507" s="2" t="s">
        <v>9085</v>
      </c>
      <c r="D1507" s="2" t="n">
        <v>62.22</v>
      </c>
      <c r="E1507" s="13" t="n">
        <v>45614</v>
      </c>
    </row>
    <row r="1508" customFormat="false" ht="15" hidden="false" customHeight="false" outlineLevel="0" collapsed="false">
      <c r="A1508" s="2" t="s">
        <v>10593</v>
      </c>
      <c r="B1508" s="2" t="s">
        <v>4939</v>
      </c>
      <c r="C1508" s="2" t="s">
        <v>9092</v>
      </c>
      <c r="D1508" s="2" t="n">
        <v>62.59</v>
      </c>
      <c r="E1508" s="13" t="n">
        <v>45621</v>
      </c>
    </row>
    <row r="1509" customFormat="false" ht="15" hidden="false" customHeight="false" outlineLevel="0" collapsed="false">
      <c r="A1509" s="2" t="s">
        <v>10594</v>
      </c>
      <c r="B1509" s="2" t="s">
        <v>4941</v>
      </c>
      <c r="C1509" s="2" t="s">
        <v>9087</v>
      </c>
      <c r="D1509" s="2" t="n">
        <v>62.96</v>
      </c>
      <c r="E1509" s="13" t="n">
        <v>45628</v>
      </c>
    </row>
    <row r="1510" customFormat="false" ht="15" hidden="false" customHeight="false" outlineLevel="0" collapsed="false">
      <c r="A1510" s="2" t="s">
        <v>10595</v>
      </c>
      <c r="B1510" s="2" t="s">
        <v>4943</v>
      </c>
      <c r="C1510" s="2" t="s">
        <v>9092</v>
      </c>
      <c r="D1510" s="2" t="n">
        <v>63.33</v>
      </c>
      <c r="E1510" s="13" t="n">
        <v>45635</v>
      </c>
    </row>
    <row r="1511" customFormat="false" ht="15" hidden="false" customHeight="false" outlineLevel="0" collapsed="false">
      <c r="A1511" s="2" t="s">
        <v>10596</v>
      </c>
      <c r="B1511" s="2" t="s">
        <v>4945</v>
      </c>
      <c r="C1511" s="2" t="s">
        <v>9087</v>
      </c>
      <c r="D1511" s="2" t="n">
        <v>63.7</v>
      </c>
      <c r="E1511" s="13" t="n">
        <v>45642</v>
      </c>
    </row>
    <row r="1512" customFormat="false" ht="15" hidden="false" customHeight="false" outlineLevel="0" collapsed="false">
      <c r="A1512" s="2" t="s">
        <v>10597</v>
      </c>
      <c r="B1512" s="2" t="s">
        <v>4947</v>
      </c>
      <c r="C1512" s="2" t="s">
        <v>9087</v>
      </c>
      <c r="D1512" s="2" t="n">
        <v>64.07</v>
      </c>
      <c r="E1512" s="13" t="n">
        <v>45649</v>
      </c>
    </row>
    <row r="1513" customFormat="false" ht="15" hidden="false" customHeight="false" outlineLevel="0" collapsed="false">
      <c r="A1513" s="2" t="s">
        <v>10598</v>
      </c>
      <c r="B1513" s="2" t="s">
        <v>4949</v>
      </c>
      <c r="C1513" s="2" t="s">
        <v>9098</v>
      </c>
      <c r="D1513" s="2" t="n">
        <v>64.44</v>
      </c>
      <c r="E1513" s="13" t="n">
        <v>45656</v>
      </c>
    </row>
    <row r="1514" customFormat="false" ht="15" hidden="false" customHeight="false" outlineLevel="0" collapsed="false">
      <c r="A1514" s="2" t="s">
        <v>10599</v>
      </c>
      <c r="B1514" s="2" t="s">
        <v>4951</v>
      </c>
      <c r="C1514" s="2" t="s">
        <v>9083</v>
      </c>
      <c r="D1514" s="2" t="n">
        <v>64.81</v>
      </c>
      <c r="E1514" s="13" t="n">
        <v>45663</v>
      </c>
    </row>
    <row r="1515" customFormat="false" ht="15" hidden="false" customHeight="false" outlineLevel="0" collapsed="false">
      <c r="A1515" s="2" t="s">
        <v>10600</v>
      </c>
      <c r="B1515" s="2" t="s">
        <v>4953</v>
      </c>
      <c r="C1515" s="2" t="s">
        <v>9083</v>
      </c>
      <c r="D1515" s="2" t="n">
        <v>65.18</v>
      </c>
      <c r="E1515" s="13" t="n">
        <v>45670</v>
      </c>
    </row>
    <row r="1516" customFormat="false" ht="15" hidden="false" customHeight="false" outlineLevel="0" collapsed="false">
      <c r="A1516" s="2" t="s">
        <v>10601</v>
      </c>
      <c r="B1516" s="2" t="s">
        <v>4955</v>
      </c>
      <c r="C1516" s="2" t="s">
        <v>9092</v>
      </c>
      <c r="D1516" s="2" t="n">
        <v>65.55</v>
      </c>
      <c r="E1516" s="13" t="n">
        <v>45677</v>
      </c>
    </row>
    <row r="1517" customFormat="false" ht="15" hidden="false" customHeight="false" outlineLevel="0" collapsed="false">
      <c r="A1517" s="2" t="s">
        <v>10602</v>
      </c>
      <c r="B1517" s="2" t="s">
        <v>4957</v>
      </c>
      <c r="C1517" s="2" t="s">
        <v>9092</v>
      </c>
      <c r="D1517" s="2" t="n">
        <v>65.92</v>
      </c>
      <c r="E1517" s="13" t="n">
        <v>45684</v>
      </c>
    </row>
    <row r="1518" customFormat="false" ht="15" hidden="false" customHeight="false" outlineLevel="0" collapsed="false">
      <c r="A1518" s="2" t="s">
        <v>10603</v>
      </c>
      <c r="B1518" s="2" t="s">
        <v>4959</v>
      </c>
      <c r="C1518" s="2" t="s">
        <v>9085</v>
      </c>
      <c r="D1518" s="2" t="n">
        <v>66.29</v>
      </c>
      <c r="E1518" s="13" t="n">
        <v>45691</v>
      </c>
    </row>
    <row r="1519" customFormat="false" ht="15" hidden="false" customHeight="false" outlineLevel="0" collapsed="false">
      <c r="A1519" s="2" t="s">
        <v>10604</v>
      </c>
      <c r="B1519" s="2" t="s">
        <v>4961</v>
      </c>
      <c r="C1519" s="2" t="s">
        <v>9087</v>
      </c>
      <c r="D1519" s="2" t="n">
        <v>66.66</v>
      </c>
      <c r="E1519" s="13" t="n">
        <v>45698</v>
      </c>
    </row>
    <row r="1520" customFormat="false" ht="15" hidden="false" customHeight="false" outlineLevel="0" collapsed="false">
      <c r="A1520" s="2" t="s">
        <v>10605</v>
      </c>
      <c r="B1520" s="2" t="s">
        <v>4963</v>
      </c>
      <c r="C1520" s="2" t="s">
        <v>9092</v>
      </c>
      <c r="D1520" s="2" t="n">
        <v>67.03</v>
      </c>
      <c r="E1520" s="13" t="n">
        <v>45705</v>
      </c>
    </row>
    <row r="1521" customFormat="false" ht="15" hidden="false" customHeight="false" outlineLevel="0" collapsed="false">
      <c r="A1521" s="2" t="s">
        <v>10606</v>
      </c>
      <c r="B1521" s="2" t="s">
        <v>4965</v>
      </c>
      <c r="C1521" s="2" t="s">
        <v>9085</v>
      </c>
      <c r="D1521" s="2" t="n">
        <v>67.4</v>
      </c>
      <c r="E1521" s="13" t="n">
        <v>45712</v>
      </c>
    </row>
    <row r="1522" customFormat="false" ht="15" hidden="false" customHeight="false" outlineLevel="0" collapsed="false">
      <c r="A1522" s="2" t="s">
        <v>10607</v>
      </c>
      <c r="B1522" s="2" t="s">
        <v>4967</v>
      </c>
      <c r="C1522" s="2" t="s">
        <v>9083</v>
      </c>
      <c r="D1522" s="2" t="n">
        <v>67.77</v>
      </c>
      <c r="E1522" s="13" t="n">
        <v>45719</v>
      </c>
    </row>
    <row r="1523" customFormat="false" ht="15" hidden="false" customHeight="false" outlineLevel="0" collapsed="false">
      <c r="A1523" s="2" t="s">
        <v>10608</v>
      </c>
      <c r="B1523" s="2" t="s">
        <v>4969</v>
      </c>
      <c r="C1523" s="2" t="s">
        <v>9092</v>
      </c>
      <c r="D1523" s="2" t="n">
        <v>68.14</v>
      </c>
      <c r="E1523" s="13" t="n">
        <v>45726</v>
      </c>
    </row>
    <row r="1524" customFormat="false" ht="15" hidden="false" customHeight="false" outlineLevel="0" collapsed="false">
      <c r="A1524" s="2" t="s">
        <v>10609</v>
      </c>
      <c r="B1524" s="2" t="s">
        <v>4971</v>
      </c>
      <c r="C1524" s="2" t="s">
        <v>9087</v>
      </c>
      <c r="D1524" s="2" t="n">
        <v>68.51</v>
      </c>
      <c r="E1524" s="13" t="n">
        <v>45733</v>
      </c>
    </row>
    <row r="1525" customFormat="false" ht="15" hidden="false" customHeight="false" outlineLevel="0" collapsed="false">
      <c r="A1525" s="2" t="s">
        <v>10610</v>
      </c>
      <c r="B1525" s="2" t="s">
        <v>4973</v>
      </c>
      <c r="C1525" s="2" t="s">
        <v>9098</v>
      </c>
      <c r="D1525" s="2" t="n">
        <v>68.88</v>
      </c>
      <c r="E1525" s="13" t="n">
        <v>45740</v>
      </c>
    </row>
    <row r="1526" customFormat="false" ht="15" hidden="false" customHeight="false" outlineLevel="0" collapsed="false">
      <c r="A1526" s="2" t="s">
        <v>10611</v>
      </c>
      <c r="B1526" s="2" t="s">
        <v>4975</v>
      </c>
      <c r="C1526" s="2" t="s">
        <v>9085</v>
      </c>
      <c r="D1526" s="2" t="n">
        <v>69.25</v>
      </c>
      <c r="E1526" s="13" t="n">
        <v>45747</v>
      </c>
    </row>
    <row r="1527" customFormat="false" ht="15" hidden="false" customHeight="false" outlineLevel="0" collapsed="false">
      <c r="A1527" s="2" t="s">
        <v>10612</v>
      </c>
      <c r="B1527" s="2" t="s">
        <v>4977</v>
      </c>
      <c r="C1527" s="2" t="s">
        <v>9083</v>
      </c>
      <c r="D1527" s="2" t="n">
        <v>69.62</v>
      </c>
      <c r="E1527" s="13" t="n">
        <v>45754</v>
      </c>
    </row>
    <row r="1528" customFormat="false" ht="15" hidden="false" customHeight="false" outlineLevel="0" collapsed="false">
      <c r="A1528" s="2" t="s">
        <v>10613</v>
      </c>
      <c r="B1528" s="2" t="s">
        <v>4979</v>
      </c>
      <c r="C1528" s="2" t="s">
        <v>9087</v>
      </c>
      <c r="D1528" s="2" t="n">
        <v>69.99</v>
      </c>
      <c r="E1528" s="13" t="n">
        <v>45761</v>
      </c>
    </row>
    <row r="1529" customFormat="false" ht="15" hidden="false" customHeight="false" outlineLevel="0" collapsed="false">
      <c r="A1529" s="2" t="s">
        <v>10614</v>
      </c>
      <c r="B1529" s="2" t="s">
        <v>4981</v>
      </c>
      <c r="C1529" s="2" t="s">
        <v>9083</v>
      </c>
      <c r="D1529" s="2" t="n">
        <v>70.36</v>
      </c>
      <c r="E1529" s="13" t="n">
        <v>45768</v>
      </c>
    </row>
    <row r="1530" customFormat="false" ht="15" hidden="false" customHeight="false" outlineLevel="0" collapsed="false">
      <c r="A1530" s="2" t="s">
        <v>10615</v>
      </c>
      <c r="B1530" s="2" t="s">
        <v>4983</v>
      </c>
      <c r="C1530" s="2" t="s">
        <v>9092</v>
      </c>
      <c r="D1530" s="2" t="n">
        <v>70.73</v>
      </c>
      <c r="E1530" s="13" t="n">
        <v>45775</v>
      </c>
    </row>
    <row r="1531" customFormat="false" ht="15" hidden="false" customHeight="false" outlineLevel="0" collapsed="false">
      <c r="A1531" s="2" t="s">
        <v>10616</v>
      </c>
      <c r="B1531" s="2" t="s">
        <v>4985</v>
      </c>
      <c r="C1531" s="2" t="s">
        <v>9092</v>
      </c>
      <c r="D1531" s="2" t="n">
        <v>71.1</v>
      </c>
      <c r="E1531" s="13" t="n">
        <v>45782</v>
      </c>
    </row>
    <row r="1532" customFormat="false" ht="15" hidden="false" customHeight="false" outlineLevel="0" collapsed="false">
      <c r="A1532" s="2" t="s">
        <v>10617</v>
      </c>
      <c r="B1532" s="2" t="s">
        <v>4987</v>
      </c>
      <c r="C1532" s="2" t="s">
        <v>9092</v>
      </c>
      <c r="D1532" s="2" t="n">
        <v>71.47</v>
      </c>
      <c r="E1532" s="13" t="n">
        <v>45789</v>
      </c>
    </row>
    <row r="1533" customFormat="false" ht="15" hidden="false" customHeight="false" outlineLevel="0" collapsed="false">
      <c r="A1533" s="2" t="s">
        <v>10618</v>
      </c>
      <c r="B1533" s="2" t="s">
        <v>4991</v>
      </c>
      <c r="C1533" s="2" t="s">
        <v>9092</v>
      </c>
      <c r="D1533" s="2" t="n">
        <v>71.84</v>
      </c>
      <c r="E1533" s="13" t="n">
        <v>45796</v>
      </c>
    </row>
    <row r="1534" customFormat="false" ht="15" hidden="false" customHeight="false" outlineLevel="0" collapsed="false">
      <c r="A1534" s="2" t="s">
        <v>10619</v>
      </c>
      <c r="B1534" s="2" t="s">
        <v>4993</v>
      </c>
      <c r="C1534" s="2" t="s">
        <v>9083</v>
      </c>
      <c r="D1534" s="2" t="n">
        <v>72.21</v>
      </c>
      <c r="E1534" s="13" t="n">
        <v>45803</v>
      </c>
    </row>
    <row r="1535" customFormat="false" ht="15" hidden="false" customHeight="false" outlineLevel="0" collapsed="false">
      <c r="A1535" s="2" t="s">
        <v>10620</v>
      </c>
      <c r="B1535" s="2" t="s">
        <v>4995</v>
      </c>
      <c r="C1535" s="2" t="s">
        <v>9085</v>
      </c>
      <c r="D1535" s="2" t="n">
        <v>72.58</v>
      </c>
      <c r="E1535" s="13" t="n">
        <v>45810</v>
      </c>
    </row>
    <row r="1536" customFormat="false" ht="15" hidden="false" customHeight="false" outlineLevel="0" collapsed="false">
      <c r="A1536" s="2" t="s">
        <v>10621</v>
      </c>
      <c r="B1536" s="2" t="s">
        <v>4997</v>
      </c>
      <c r="C1536" s="2" t="s">
        <v>9098</v>
      </c>
      <c r="D1536" s="2" t="n">
        <v>72.95</v>
      </c>
      <c r="E1536" s="13" t="n">
        <v>45817</v>
      </c>
    </row>
    <row r="1537" customFormat="false" ht="15" hidden="false" customHeight="false" outlineLevel="0" collapsed="false">
      <c r="A1537" s="2" t="s">
        <v>10622</v>
      </c>
      <c r="B1537" s="2" t="s">
        <v>4999</v>
      </c>
      <c r="C1537" s="2" t="s">
        <v>9098</v>
      </c>
      <c r="D1537" s="2" t="n">
        <v>73.32</v>
      </c>
      <c r="E1537" s="13" t="n">
        <v>45824</v>
      </c>
    </row>
    <row r="1538" customFormat="false" ht="15" hidden="false" customHeight="false" outlineLevel="0" collapsed="false">
      <c r="A1538" s="2" t="s">
        <v>10623</v>
      </c>
      <c r="B1538" s="2" t="s">
        <v>5001</v>
      </c>
      <c r="C1538" s="2" t="s">
        <v>9092</v>
      </c>
      <c r="D1538" s="2" t="n">
        <v>73.69</v>
      </c>
      <c r="E1538" s="13" t="n">
        <v>45831</v>
      </c>
    </row>
    <row r="1539" customFormat="false" ht="15" hidden="false" customHeight="false" outlineLevel="0" collapsed="false">
      <c r="A1539" s="2" t="s">
        <v>10624</v>
      </c>
      <c r="B1539" s="2" t="s">
        <v>5003</v>
      </c>
      <c r="C1539" s="2" t="s">
        <v>9092</v>
      </c>
      <c r="D1539" s="2" t="n">
        <v>74.06</v>
      </c>
      <c r="E1539" s="13" t="n">
        <v>45838</v>
      </c>
    </row>
    <row r="1540" customFormat="false" ht="15" hidden="false" customHeight="false" outlineLevel="0" collapsed="false">
      <c r="A1540" s="2" t="s">
        <v>10625</v>
      </c>
      <c r="B1540" s="2" t="s">
        <v>5005</v>
      </c>
      <c r="C1540" s="2" t="s">
        <v>9098</v>
      </c>
      <c r="D1540" s="2" t="n">
        <v>74.43</v>
      </c>
      <c r="E1540" s="13" t="n">
        <v>45845</v>
      </c>
    </row>
    <row r="1541" customFormat="false" ht="15" hidden="false" customHeight="false" outlineLevel="0" collapsed="false">
      <c r="A1541" s="2" t="s">
        <v>10626</v>
      </c>
      <c r="B1541" s="2" t="s">
        <v>5009</v>
      </c>
      <c r="C1541" s="2" t="s">
        <v>9092</v>
      </c>
      <c r="D1541" s="2" t="n">
        <v>74.8</v>
      </c>
      <c r="E1541" s="13" t="n">
        <v>45852</v>
      </c>
    </row>
    <row r="1542" customFormat="false" ht="15" hidden="false" customHeight="false" outlineLevel="0" collapsed="false">
      <c r="A1542" s="2" t="s">
        <v>10627</v>
      </c>
      <c r="B1542" s="2" t="s">
        <v>5011</v>
      </c>
      <c r="C1542" s="2" t="s">
        <v>9083</v>
      </c>
      <c r="D1542" s="2" t="n">
        <v>75.17</v>
      </c>
      <c r="E1542" s="13" t="n">
        <v>45859</v>
      </c>
    </row>
    <row r="1543" customFormat="false" ht="15" hidden="false" customHeight="false" outlineLevel="0" collapsed="false">
      <c r="A1543" s="2" t="s">
        <v>10628</v>
      </c>
      <c r="B1543" s="2" t="s">
        <v>5013</v>
      </c>
      <c r="C1543" s="2" t="s">
        <v>9087</v>
      </c>
      <c r="D1543" s="2" t="n">
        <v>75.54</v>
      </c>
      <c r="E1543" s="13" t="n">
        <v>45866</v>
      </c>
    </row>
    <row r="1544" customFormat="false" ht="15" hidden="false" customHeight="false" outlineLevel="0" collapsed="false">
      <c r="A1544" s="2" t="s">
        <v>10629</v>
      </c>
      <c r="B1544" s="2" t="s">
        <v>5015</v>
      </c>
      <c r="C1544" s="2" t="s">
        <v>9085</v>
      </c>
      <c r="D1544" s="2" t="n">
        <v>75.91</v>
      </c>
      <c r="E1544" s="13" t="n">
        <v>45873</v>
      </c>
    </row>
    <row r="1545" customFormat="false" ht="15" hidden="false" customHeight="false" outlineLevel="0" collapsed="false">
      <c r="A1545" s="2" t="s">
        <v>10630</v>
      </c>
      <c r="B1545" s="2" t="s">
        <v>5017</v>
      </c>
      <c r="C1545" s="2" t="s">
        <v>9083</v>
      </c>
      <c r="D1545" s="2" t="n">
        <v>76.28</v>
      </c>
      <c r="E1545" s="13" t="n">
        <v>45880</v>
      </c>
    </row>
    <row r="1546" customFormat="false" ht="15" hidden="false" customHeight="false" outlineLevel="0" collapsed="false">
      <c r="A1546" s="2" t="s">
        <v>10631</v>
      </c>
      <c r="B1546" s="2" t="s">
        <v>5021</v>
      </c>
      <c r="C1546" s="2" t="s">
        <v>9087</v>
      </c>
      <c r="D1546" s="2" t="n">
        <v>76.65</v>
      </c>
      <c r="E1546" s="13" t="n">
        <v>45887</v>
      </c>
    </row>
    <row r="1547" customFormat="false" ht="15" hidden="false" customHeight="false" outlineLevel="0" collapsed="false">
      <c r="A1547" s="2" t="s">
        <v>10632</v>
      </c>
      <c r="B1547" s="2" t="s">
        <v>5023</v>
      </c>
      <c r="C1547" s="2" t="s">
        <v>9087</v>
      </c>
      <c r="D1547" s="2" t="n">
        <v>77.02</v>
      </c>
      <c r="E1547" s="13" t="n">
        <v>45894</v>
      </c>
    </row>
    <row r="1548" customFormat="false" ht="15" hidden="false" customHeight="false" outlineLevel="0" collapsed="false">
      <c r="A1548" s="2" t="s">
        <v>10633</v>
      </c>
      <c r="B1548" s="2" t="s">
        <v>5027</v>
      </c>
      <c r="C1548" s="2" t="s">
        <v>9092</v>
      </c>
      <c r="D1548" s="2" t="n">
        <v>77.39</v>
      </c>
      <c r="E1548" s="13" t="n">
        <v>45901</v>
      </c>
    </row>
    <row r="1549" customFormat="false" ht="15" hidden="false" customHeight="false" outlineLevel="0" collapsed="false">
      <c r="A1549" s="2" t="s">
        <v>10634</v>
      </c>
      <c r="B1549" s="2" t="s">
        <v>5029</v>
      </c>
      <c r="C1549" s="2" t="s">
        <v>9085</v>
      </c>
      <c r="D1549" s="2" t="n">
        <v>77.76</v>
      </c>
      <c r="E1549" s="13" t="n">
        <v>45908</v>
      </c>
    </row>
    <row r="1550" customFormat="false" ht="15" hidden="false" customHeight="false" outlineLevel="0" collapsed="false">
      <c r="A1550" s="2" t="s">
        <v>10635</v>
      </c>
      <c r="B1550" s="2" t="s">
        <v>5031</v>
      </c>
      <c r="C1550" s="2" t="s">
        <v>9083</v>
      </c>
      <c r="D1550" s="2" t="n">
        <v>78.13</v>
      </c>
      <c r="E1550" s="13" t="n">
        <v>45915</v>
      </c>
    </row>
    <row r="1551" customFormat="false" ht="15" hidden="false" customHeight="false" outlineLevel="0" collapsed="false">
      <c r="A1551" s="2" t="s">
        <v>10636</v>
      </c>
      <c r="B1551" s="2" t="s">
        <v>5035</v>
      </c>
      <c r="C1551" s="2" t="s">
        <v>9085</v>
      </c>
      <c r="D1551" s="2" t="n">
        <v>78.5</v>
      </c>
      <c r="E1551" s="13" t="n">
        <v>45922</v>
      </c>
    </row>
    <row r="1552" customFormat="false" ht="15" hidden="false" customHeight="false" outlineLevel="0" collapsed="false">
      <c r="A1552" s="2" t="s">
        <v>10637</v>
      </c>
      <c r="B1552" s="2" t="s">
        <v>5039</v>
      </c>
      <c r="C1552" s="2" t="s">
        <v>9098</v>
      </c>
      <c r="D1552" s="2" t="n">
        <v>78.87</v>
      </c>
      <c r="E1552" s="13" t="n">
        <v>45929</v>
      </c>
    </row>
    <row r="1553" customFormat="false" ht="15" hidden="false" customHeight="false" outlineLevel="0" collapsed="false">
      <c r="A1553" s="2" t="s">
        <v>10638</v>
      </c>
      <c r="B1553" s="2" t="s">
        <v>5043</v>
      </c>
      <c r="C1553" s="2" t="s">
        <v>9083</v>
      </c>
      <c r="D1553" s="2" t="n">
        <v>79.24</v>
      </c>
      <c r="E1553" s="13" t="n">
        <v>45936</v>
      </c>
    </row>
    <row r="1554" customFormat="false" ht="15" hidden="false" customHeight="false" outlineLevel="0" collapsed="false">
      <c r="A1554" s="2" t="s">
        <v>10639</v>
      </c>
      <c r="B1554" s="2" t="s">
        <v>5045</v>
      </c>
      <c r="C1554" s="2" t="s">
        <v>9092</v>
      </c>
      <c r="D1554" s="2" t="n">
        <v>79.61</v>
      </c>
      <c r="E1554" s="13" t="n">
        <v>45943</v>
      </c>
    </row>
    <row r="1555" customFormat="false" ht="15" hidden="false" customHeight="false" outlineLevel="0" collapsed="false">
      <c r="A1555" s="2" t="s">
        <v>10640</v>
      </c>
      <c r="B1555" s="2" t="s">
        <v>5047</v>
      </c>
      <c r="C1555" s="2" t="s">
        <v>9087</v>
      </c>
      <c r="D1555" s="2" t="n">
        <v>79.98</v>
      </c>
      <c r="E1555" s="13" t="n">
        <v>45950</v>
      </c>
    </row>
    <row r="1556" customFormat="false" ht="15" hidden="false" customHeight="false" outlineLevel="0" collapsed="false">
      <c r="A1556" s="2" t="s">
        <v>10641</v>
      </c>
      <c r="B1556" s="2" t="s">
        <v>5049</v>
      </c>
      <c r="C1556" s="2" t="s">
        <v>9092</v>
      </c>
      <c r="D1556" s="2" t="n">
        <v>80.35</v>
      </c>
      <c r="E1556" s="13" t="n">
        <v>45957</v>
      </c>
    </row>
    <row r="1557" customFormat="false" ht="15" hidden="false" customHeight="false" outlineLevel="0" collapsed="false">
      <c r="A1557" s="2" t="s">
        <v>10642</v>
      </c>
      <c r="B1557" s="2" t="s">
        <v>5051</v>
      </c>
      <c r="C1557" s="2" t="s">
        <v>9085</v>
      </c>
      <c r="D1557" s="2" t="n">
        <v>80.72</v>
      </c>
      <c r="E1557" s="13" t="n">
        <v>45964</v>
      </c>
    </row>
    <row r="1558" customFormat="false" ht="15" hidden="false" customHeight="false" outlineLevel="0" collapsed="false">
      <c r="A1558" s="2" t="s">
        <v>10643</v>
      </c>
      <c r="B1558" s="2" t="s">
        <v>5053</v>
      </c>
      <c r="C1558" s="2" t="s">
        <v>9087</v>
      </c>
      <c r="D1558" s="2" t="n">
        <v>81.09</v>
      </c>
      <c r="E1558" s="13" t="n">
        <v>45971</v>
      </c>
    </row>
    <row r="1559" customFormat="false" ht="15" hidden="false" customHeight="false" outlineLevel="0" collapsed="false">
      <c r="A1559" s="2" t="s">
        <v>10644</v>
      </c>
      <c r="B1559" s="2" t="s">
        <v>5055</v>
      </c>
      <c r="C1559" s="2" t="s">
        <v>9085</v>
      </c>
      <c r="D1559" s="2" t="n">
        <v>81.46</v>
      </c>
      <c r="E1559" s="13" t="n">
        <v>45978</v>
      </c>
    </row>
    <row r="1560" customFormat="false" ht="15" hidden="false" customHeight="false" outlineLevel="0" collapsed="false">
      <c r="A1560" s="2" t="s">
        <v>10645</v>
      </c>
      <c r="B1560" s="2" t="s">
        <v>5057</v>
      </c>
      <c r="C1560" s="2" t="s">
        <v>9085</v>
      </c>
      <c r="D1560" s="2" t="n">
        <v>81.83</v>
      </c>
      <c r="E1560" s="13" t="n">
        <v>45985</v>
      </c>
    </row>
    <row r="1561" customFormat="false" ht="15" hidden="false" customHeight="false" outlineLevel="0" collapsed="false">
      <c r="A1561" s="2" t="s">
        <v>10646</v>
      </c>
      <c r="B1561" s="2" t="s">
        <v>5059</v>
      </c>
      <c r="C1561" s="2" t="s">
        <v>9087</v>
      </c>
      <c r="D1561" s="2" t="n">
        <v>82.2</v>
      </c>
      <c r="E1561" s="13" t="n">
        <v>45992</v>
      </c>
    </row>
    <row r="1562" customFormat="false" ht="15" hidden="false" customHeight="false" outlineLevel="0" collapsed="false">
      <c r="A1562" s="2" t="s">
        <v>10647</v>
      </c>
      <c r="B1562" s="2" t="s">
        <v>5063</v>
      </c>
      <c r="C1562" s="2" t="s">
        <v>9098</v>
      </c>
      <c r="D1562" s="2" t="n">
        <v>82.57</v>
      </c>
      <c r="E1562" s="13" t="n">
        <v>45999</v>
      </c>
    </row>
    <row r="1563" customFormat="false" ht="15" hidden="false" customHeight="false" outlineLevel="0" collapsed="false">
      <c r="A1563" s="2" t="s">
        <v>10648</v>
      </c>
      <c r="B1563" s="2" t="s">
        <v>5067</v>
      </c>
      <c r="C1563" s="2" t="s">
        <v>9087</v>
      </c>
      <c r="D1563" s="2" t="n">
        <v>82.94</v>
      </c>
      <c r="E1563" s="13" t="n">
        <v>46006</v>
      </c>
    </row>
    <row r="1564" customFormat="false" ht="15" hidden="false" customHeight="false" outlineLevel="0" collapsed="false">
      <c r="A1564" s="2" t="s">
        <v>10649</v>
      </c>
      <c r="B1564" s="2" t="s">
        <v>5069</v>
      </c>
      <c r="C1564" s="2" t="s">
        <v>9087</v>
      </c>
      <c r="D1564" s="2" t="n">
        <v>83.31</v>
      </c>
      <c r="E1564" s="13" t="n">
        <v>46013</v>
      </c>
    </row>
    <row r="1565" customFormat="false" ht="15" hidden="false" customHeight="false" outlineLevel="0" collapsed="false">
      <c r="A1565" s="2" t="s">
        <v>10650</v>
      </c>
      <c r="B1565" s="2" t="s">
        <v>5071</v>
      </c>
      <c r="C1565" s="2" t="s">
        <v>9098</v>
      </c>
      <c r="D1565" s="2" t="n">
        <v>83.68</v>
      </c>
      <c r="E1565" s="13" t="n">
        <v>46020</v>
      </c>
    </row>
    <row r="1566" customFormat="false" ht="15" hidden="false" customHeight="false" outlineLevel="0" collapsed="false">
      <c r="A1566" s="2" t="s">
        <v>10651</v>
      </c>
      <c r="B1566" s="2" t="s">
        <v>5073</v>
      </c>
      <c r="C1566" s="2" t="s">
        <v>9098</v>
      </c>
      <c r="D1566" s="2" t="n">
        <v>84.05</v>
      </c>
      <c r="E1566" s="13" t="n">
        <v>45297</v>
      </c>
    </row>
    <row r="1567" customFormat="false" ht="15" hidden="false" customHeight="false" outlineLevel="0" collapsed="false">
      <c r="A1567" s="2" t="s">
        <v>10652</v>
      </c>
      <c r="B1567" s="2" t="s">
        <v>5077</v>
      </c>
      <c r="C1567" s="2" t="s">
        <v>9098</v>
      </c>
      <c r="D1567" s="2" t="n">
        <v>84.42</v>
      </c>
      <c r="E1567" s="13" t="n">
        <v>45304</v>
      </c>
    </row>
    <row r="1568" customFormat="false" ht="15" hidden="false" customHeight="false" outlineLevel="0" collapsed="false">
      <c r="A1568" s="2" t="s">
        <v>10653</v>
      </c>
      <c r="B1568" s="2" t="s">
        <v>5079</v>
      </c>
      <c r="C1568" s="2" t="s">
        <v>9087</v>
      </c>
      <c r="D1568" s="2" t="n">
        <v>84.79</v>
      </c>
      <c r="E1568" s="13" t="n">
        <v>45311</v>
      </c>
    </row>
    <row r="1569" customFormat="false" ht="15" hidden="false" customHeight="false" outlineLevel="0" collapsed="false">
      <c r="A1569" s="2" t="s">
        <v>10654</v>
      </c>
      <c r="B1569" s="2" t="s">
        <v>5081</v>
      </c>
      <c r="C1569" s="2" t="s">
        <v>9085</v>
      </c>
      <c r="D1569" s="2" t="n">
        <v>85.16</v>
      </c>
      <c r="E1569" s="13" t="n">
        <v>45318</v>
      </c>
    </row>
    <row r="1570" customFormat="false" ht="15" hidden="false" customHeight="false" outlineLevel="0" collapsed="false">
      <c r="A1570" s="2" t="s">
        <v>10655</v>
      </c>
      <c r="B1570" s="2" t="s">
        <v>5085</v>
      </c>
      <c r="C1570" s="2" t="s">
        <v>9085</v>
      </c>
      <c r="D1570" s="2" t="n">
        <v>85.53</v>
      </c>
      <c r="E1570" s="13" t="n">
        <v>45325</v>
      </c>
    </row>
    <row r="1571" customFormat="false" ht="15" hidden="false" customHeight="false" outlineLevel="0" collapsed="false">
      <c r="A1571" s="2" t="s">
        <v>10656</v>
      </c>
      <c r="B1571" s="2" t="s">
        <v>5087</v>
      </c>
      <c r="C1571" s="2" t="s">
        <v>9098</v>
      </c>
      <c r="D1571" s="2" t="n">
        <v>85.9</v>
      </c>
      <c r="E1571" s="13" t="n">
        <v>45332</v>
      </c>
    </row>
    <row r="1572" customFormat="false" ht="15" hidden="false" customHeight="false" outlineLevel="0" collapsed="false">
      <c r="A1572" s="2" t="s">
        <v>10657</v>
      </c>
      <c r="B1572" s="2" t="s">
        <v>5089</v>
      </c>
      <c r="C1572" s="2" t="s">
        <v>9092</v>
      </c>
      <c r="D1572" s="2" t="n">
        <v>86.27</v>
      </c>
      <c r="E1572" s="13" t="n">
        <v>45339</v>
      </c>
    </row>
    <row r="1573" customFormat="false" ht="15" hidden="false" customHeight="false" outlineLevel="0" collapsed="false">
      <c r="A1573" s="2" t="s">
        <v>10658</v>
      </c>
      <c r="B1573" s="2" t="s">
        <v>5091</v>
      </c>
      <c r="C1573" s="2" t="s">
        <v>9083</v>
      </c>
      <c r="D1573" s="2" t="n">
        <v>86.64</v>
      </c>
      <c r="E1573" s="13" t="n">
        <v>45346</v>
      </c>
    </row>
    <row r="1574" customFormat="false" ht="15" hidden="false" customHeight="false" outlineLevel="0" collapsed="false">
      <c r="A1574" s="2" t="s">
        <v>10659</v>
      </c>
      <c r="B1574" s="2" t="s">
        <v>5093</v>
      </c>
      <c r="C1574" s="2" t="s">
        <v>9083</v>
      </c>
      <c r="D1574" s="2" t="n">
        <v>87.01</v>
      </c>
      <c r="E1574" s="13" t="n">
        <v>45353</v>
      </c>
    </row>
    <row r="1575" customFormat="false" ht="15" hidden="false" customHeight="false" outlineLevel="0" collapsed="false">
      <c r="A1575" s="2" t="s">
        <v>10660</v>
      </c>
      <c r="B1575" s="2" t="s">
        <v>5095</v>
      </c>
      <c r="C1575" s="2" t="s">
        <v>9087</v>
      </c>
      <c r="D1575" s="2" t="n">
        <v>87.38</v>
      </c>
      <c r="E1575" s="13" t="n">
        <v>45360</v>
      </c>
    </row>
    <row r="1576" customFormat="false" ht="15" hidden="false" customHeight="false" outlineLevel="0" collapsed="false">
      <c r="A1576" s="2" t="s">
        <v>10661</v>
      </c>
      <c r="B1576" s="2" t="s">
        <v>5097</v>
      </c>
      <c r="C1576" s="2" t="s">
        <v>9092</v>
      </c>
      <c r="D1576" s="2" t="n">
        <v>87.75</v>
      </c>
      <c r="E1576" s="13" t="n">
        <v>45367</v>
      </c>
    </row>
    <row r="1577" customFormat="false" ht="15" hidden="false" customHeight="false" outlineLevel="0" collapsed="false">
      <c r="A1577" s="2" t="s">
        <v>10662</v>
      </c>
      <c r="B1577" s="2" t="s">
        <v>5099</v>
      </c>
      <c r="C1577" s="2" t="s">
        <v>9087</v>
      </c>
      <c r="D1577" s="2" t="n">
        <v>88.12</v>
      </c>
      <c r="E1577" s="13" t="n">
        <v>45374</v>
      </c>
    </row>
    <row r="1578" customFormat="false" ht="15" hidden="false" customHeight="false" outlineLevel="0" collapsed="false">
      <c r="A1578" s="2" t="s">
        <v>10663</v>
      </c>
      <c r="B1578" s="2" t="s">
        <v>5101</v>
      </c>
      <c r="C1578" s="2" t="s">
        <v>9092</v>
      </c>
      <c r="D1578" s="2" t="n">
        <v>88.49</v>
      </c>
      <c r="E1578" s="13" t="n">
        <v>45381</v>
      </c>
    </row>
    <row r="1579" customFormat="false" ht="15" hidden="false" customHeight="false" outlineLevel="0" collapsed="false">
      <c r="A1579" s="2" t="s">
        <v>10664</v>
      </c>
      <c r="B1579" s="2" t="s">
        <v>5105</v>
      </c>
      <c r="C1579" s="2" t="s">
        <v>9083</v>
      </c>
      <c r="D1579" s="2" t="n">
        <v>88.86</v>
      </c>
      <c r="E1579" s="13" t="n">
        <v>45388</v>
      </c>
    </row>
    <row r="1580" customFormat="false" ht="15" hidden="false" customHeight="false" outlineLevel="0" collapsed="false">
      <c r="A1580" s="2" t="s">
        <v>10665</v>
      </c>
      <c r="B1580" s="2" t="s">
        <v>5107</v>
      </c>
      <c r="C1580" s="2" t="s">
        <v>9098</v>
      </c>
      <c r="D1580" s="2" t="n">
        <v>89.23</v>
      </c>
      <c r="E1580" s="13" t="n">
        <v>45395</v>
      </c>
    </row>
    <row r="1581" customFormat="false" ht="15" hidden="false" customHeight="false" outlineLevel="0" collapsed="false">
      <c r="A1581" s="2" t="s">
        <v>10666</v>
      </c>
      <c r="B1581" s="2" t="s">
        <v>5109</v>
      </c>
      <c r="C1581" s="2" t="s">
        <v>9083</v>
      </c>
      <c r="D1581" s="2" t="n">
        <v>89.6</v>
      </c>
      <c r="E1581" s="13" t="n">
        <v>45402</v>
      </c>
    </row>
    <row r="1582" customFormat="false" ht="15" hidden="false" customHeight="false" outlineLevel="0" collapsed="false">
      <c r="A1582" s="2" t="s">
        <v>10667</v>
      </c>
      <c r="B1582" s="2" t="s">
        <v>5111</v>
      </c>
      <c r="C1582" s="2" t="s">
        <v>9083</v>
      </c>
      <c r="D1582" s="2" t="n">
        <v>89.97</v>
      </c>
      <c r="E1582" s="13" t="n">
        <v>45409</v>
      </c>
    </row>
    <row r="1583" customFormat="false" ht="15" hidden="false" customHeight="false" outlineLevel="0" collapsed="false">
      <c r="A1583" s="2" t="s">
        <v>10668</v>
      </c>
      <c r="B1583" s="2" t="s">
        <v>5113</v>
      </c>
      <c r="C1583" s="2" t="s">
        <v>9083</v>
      </c>
      <c r="D1583" s="2" t="n">
        <v>90.34</v>
      </c>
      <c r="E1583" s="13" t="n">
        <v>45416</v>
      </c>
    </row>
    <row r="1584" customFormat="false" ht="15" hidden="false" customHeight="false" outlineLevel="0" collapsed="false">
      <c r="A1584" s="2" t="s">
        <v>10669</v>
      </c>
      <c r="B1584" s="2" t="s">
        <v>5115</v>
      </c>
      <c r="C1584" s="2" t="s">
        <v>9085</v>
      </c>
      <c r="D1584" s="2" t="n">
        <v>90.71</v>
      </c>
      <c r="E1584" s="13" t="n">
        <v>45423</v>
      </c>
    </row>
    <row r="1585" customFormat="false" ht="15" hidden="false" customHeight="false" outlineLevel="0" collapsed="false">
      <c r="A1585" s="2" t="s">
        <v>10670</v>
      </c>
      <c r="B1585" s="2" t="s">
        <v>5117</v>
      </c>
      <c r="C1585" s="2" t="s">
        <v>9087</v>
      </c>
      <c r="D1585" s="2" t="n">
        <v>91.08</v>
      </c>
      <c r="E1585" s="13" t="n">
        <v>45430</v>
      </c>
    </row>
    <row r="1586" customFormat="false" ht="15" hidden="false" customHeight="false" outlineLevel="0" collapsed="false">
      <c r="A1586" s="2" t="s">
        <v>10671</v>
      </c>
      <c r="B1586" s="2" t="s">
        <v>5119</v>
      </c>
      <c r="C1586" s="2" t="s">
        <v>9085</v>
      </c>
      <c r="D1586" s="2" t="n">
        <v>91.45</v>
      </c>
      <c r="E1586" s="13" t="n">
        <v>45437</v>
      </c>
    </row>
    <row r="1587" customFormat="false" ht="15" hidden="false" customHeight="false" outlineLevel="0" collapsed="false">
      <c r="A1587" s="2" t="s">
        <v>10672</v>
      </c>
      <c r="B1587" s="2" t="s">
        <v>5123</v>
      </c>
      <c r="C1587" s="2" t="s">
        <v>9085</v>
      </c>
      <c r="D1587" s="2" t="n">
        <v>91.82</v>
      </c>
      <c r="E1587" s="13" t="n">
        <v>45444</v>
      </c>
    </row>
    <row r="1588" customFormat="false" ht="15" hidden="false" customHeight="false" outlineLevel="0" collapsed="false">
      <c r="A1588" s="2" t="s">
        <v>10673</v>
      </c>
      <c r="B1588" s="2" t="s">
        <v>5125</v>
      </c>
      <c r="C1588" s="2" t="s">
        <v>9092</v>
      </c>
      <c r="D1588" s="2" t="n">
        <v>92.19</v>
      </c>
      <c r="E1588" s="13" t="n">
        <v>45451</v>
      </c>
    </row>
    <row r="1589" customFormat="false" ht="15" hidden="false" customHeight="false" outlineLevel="0" collapsed="false">
      <c r="A1589" s="2" t="s">
        <v>10674</v>
      </c>
      <c r="B1589" s="2" t="s">
        <v>5129</v>
      </c>
      <c r="C1589" s="2" t="s">
        <v>9087</v>
      </c>
      <c r="D1589" s="2" t="n">
        <v>92.56</v>
      </c>
      <c r="E1589" s="13" t="n">
        <v>45458</v>
      </c>
    </row>
    <row r="1590" customFormat="false" ht="15" hidden="false" customHeight="false" outlineLevel="0" collapsed="false">
      <c r="A1590" s="2" t="s">
        <v>10675</v>
      </c>
      <c r="B1590" s="2" t="s">
        <v>5131</v>
      </c>
      <c r="C1590" s="2" t="s">
        <v>9092</v>
      </c>
      <c r="D1590" s="2" t="n">
        <v>92.93</v>
      </c>
      <c r="E1590" s="13" t="n">
        <v>45465</v>
      </c>
    </row>
    <row r="1591" customFormat="false" ht="15" hidden="false" customHeight="false" outlineLevel="0" collapsed="false">
      <c r="A1591" s="2" t="s">
        <v>10676</v>
      </c>
      <c r="B1591" s="2" t="s">
        <v>5135</v>
      </c>
      <c r="C1591" s="2" t="s">
        <v>9085</v>
      </c>
      <c r="D1591" s="2" t="n">
        <v>93.3</v>
      </c>
      <c r="E1591" s="13" t="n">
        <v>45472</v>
      </c>
    </row>
    <row r="1592" customFormat="false" ht="15" hidden="false" customHeight="false" outlineLevel="0" collapsed="false">
      <c r="A1592" s="2" t="s">
        <v>10677</v>
      </c>
      <c r="B1592" s="2" t="s">
        <v>5137</v>
      </c>
      <c r="C1592" s="2" t="s">
        <v>9098</v>
      </c>
      <c r="D1592" s="2" t="n">
        <v>93.67</v>
      </c>
      <c r="E1592" s="13" t="n">
        <v>45479</v>
      </c>
    </row>
    <row r="1593" customFormat="false" ht="15" hidden="false" customHeight="false" outlineLevel="0" collapsed="false">
      <c r="A1593" s="2" t="s">
        <v>10678</v>
      </c>
      <c r="B1593" s="2" t="s">
        <v>5139</v>
      </c>
      <c r="C1593" s="2" t="s">
        <v>9083</v>
      </c>
      <c r="D1593" s="2" t="n">
        <v>94.04</v>
      </c>
      <c r="E1593" s="13" t="n">
        <v>45486</v>
      </c>
    </row>
    <row r="1594" customFormat="false" ht="15" hidden="false" customHeight="false" outlineLevel="0" collapsed="false">
      <c r="A1594" s="2" t="s">
        <v>10679</v>
      </c>
      <c r="B1594" s="2" t="s">
        <v>5141</v>
      </c>
      <c r="C1594" s="2" t="s">
        <v>9098</v>
      </c>
      <c r="D1594" s="2" t="n">
        <v>94.41</v>
      </c>
      <c r="E1594" s="13" t="n">
        <v>45493</v>
      </c>
    </row>
    <row r="1595" customFormat="false" ht="15" hidden="false" customHeight="false" outlineLevel="0" collapsed="false">
      <c r="A1595" s="2" t="s">
        <v>10680</v>
      </c>
      <c r="B1595" s="2" t="s">
        <v>5143</v>
      </c>
      <c r="C1595" s="2" t="s">
        <v>9085</v>
      </c>
      <c r="D1595" s="2" t="n">
        <v>94.78</v>
      </c>
      <c r="E1595" s="13" t="n">
        <v>45500</v>
      </c>
    </row>
    <row r="1596" customFormat="false" ht="15" hidden="false" customHeight="false" outlineLevel="0" collapsed="false">
      <c r="A1596" s="2" t="s">
        <v>10681</v>
      </c>
      <c r="B1596" s="2" t="s">
        <v>5145</v>
      </c>
      <c r="C1596" s="2" t="s">
        <v>9092</v>
      </c>
      <c r="D1596" s="2" t="n">
        <v>95.15</v>
      </c>
      <c r="E1596" s="13" t="n">
        <v>45507</v>
      </c>
    </row>
    <row r="1597" customFormat="false" ht="15" hidden="false" customHeight="false" outlineLevel="0" collapsed="false">
      <c r="A1597" s="2" t="s">
        <v>10682</v>
      </c>
      <c r="B1597" s="2" t="s">
        <v>5147</v>
      </c>
      <c r="C1597" s="2" t="s">
        <v>9083</v>
      </c>
      <c r="D1597" s="2" t="n">
        <v>95.52</v>
      </c>
      <c r="E1597" s="13" t="n">
        <v>45514</v>
      </c>
    </row>
    <row r="1598" customFormat="false" ht="15" hidden="false" customHeight="false" outlineLevel="0" collapsed="false">
      <c r="A1598" s="2" t="s">
        <v>10683</v>
      </c>
      <c r="B1598" s="2" t="s">
        <v>5149</v>
      </c>
      <c r="C1598" s="2" t="s">
        <v>9098</v>
      </c>
      <c r="D1598" s="2" t="n">
        <v>95.89</v>
      </c>
      <c r="E1598" s="13" t="n">
        <v>45521</v>
      </c>
    </row>
    <row r="1599" customFormat="false" ht="15" hidden="false" customHeight="false" outlineLevel="0" collapsed="false">
      <c r="A1599" s="2" t="s">
        <v>10684</v>
      </c>
      <c r="B1599" s="2" t="s">
        <v>5151</v>
      </c>
      <c r="C1599" s="2" t="s">
        <v>9092</v>
      </c>
      <c r="D1599" s="2" t="n">
        <v>96.26</v>
      </c>
      <c r="E1599" s="13" t="n">
        <v>45528</v>
      </c>
    </row>
    <row r="1600" customFormat="false" ht="15" hidden="false" customHeight="false" outlineLevel="0" collapsed="false">
      <c r="A1600" s="2" t="s">
        <v>10685</v>
      </c>
      <c r="B1600" s="2" t="s">
        <v>5155</v>
      </c>
      <c r="C1600" s="2" t="s">
        <v>9087</v>
      </c>
      <c r="D1600" s="2" t="n">
        <v>96.63</v>
      </c>
      <c r="E1600" s="13" t="n">
        <v>45535</v>
      </c>
    </row>
    <row r="1601" customFormat="false" ht="15" hidden="false" customHeight="false" outlineLevel="0" collapsed="false">
      <c r="A1601" s="2" t="s">
        <v>10686</v>
      </c>
      <c r="B1601" s="2" t="s">
        <v>5157</v>
      </c>
      <c r="C1601" s="2" t="s">
        <v>9085</v>
      </c>
      <c r="D1601" s="2" t="n">
        <v>97</v>
      </c>
      <c r="E1601" s="13" t="n">
        <v>45542</v>
      </c>
    </row>
    <row r="1602" customFormat="false" ht="15" hidden="false" customHeight="false" outlineLevel="0" collapsed="false">
      <c r="A1602" s="2" t="s">
        <v>10687</v>
      </c>
      <c r="B1602" s="2" t="s">
        <v>5159</v>
      </c>
      <c r="C1602" s="2" t="s">
        <v>9085</v>
      </c>
      <c r="D1602" s="2" t="n">
        <v>97.37</v>
      </c>
      <c r="E1602" s="13" t="n">
        <v>45549</v>
      </c>
    </row>
    <row r="1603" customFormat="false" ht="15" hidden="false" customHeight="false" outlineLevel="0" collapsed="false">
      <c r="A1603" s="2" t="s">
        <v>10688</v>
      </c>
      <c r="B1603" s="2" t="s">
        <v>5161</v>
      </c>
      <c r="C1603" s="2" t="s">
        <v>9087</v>
      </c>
      <c r="D1603" s="2" t="n">
        <v>97.74</v>
      </c>
      <c r="E1603" s="13" t="n">
        <v>45556</v>
      </c>
    </row>
    <row r="1604" customFormat="false" ht="15" hidden="false" customHeight="false" outlineLevel="0" collapsed="false">
      <c r="A1604" s="2" t="s">
        <v>10689</v>
      </c>
      <c r="B1604" s="2" t="s">
        <v>5163</v>
      </c>
      <c r="C1604" s="2" t="s">
        <v>9083</v>
      </c>
      <c r="D1604" s="2" t="n">
        <v>98.11</v>
      </c>
      <c r="E1604" s="13" t="n">
        <v>45563</v>
      </c>
    </row>
    <row r="1605" customFormat="false" ht="15" hidden="false" customHeight="false" outlineLevel="0" collapsed="false">
      <c r="A1605" s="2" t="s">
        <v>10690</v>
      </c>
      <c r="B1605" s="2" t="s">
        <v>5165</v>
      </c>
      <c r="C1605" s="2" t="s">
        <v>9092</v>
      </c>
      <c r="D1605" s="2" t="n">
        <v>98.48</v>
      </c>
      <c r="E1605" s="13" t="n">
        <v>45570</v>
      </c>
    </row>
    <row r="1606" customFormat="false" ht="15" hidden="false" customHeight="false" outlineLevel="0" collapsed="false">
      <c r="A1606" s="2" t="s">
        <v>10691</v>
      </c>
      <c r="B1606" s="2" t="s">
        <v>5167</v>
      </c>
      <c r="C1606" s="2" t="s">
        <v>9085</v>
      </c>
      <c r="D1606" s="2" t="n">
        <v>98.85</v>
      </c>
      <c r="E1606" s="13" t="n">
        <v>45577</v>
      </c>
    </row>
    <row r="1607" customFormat="false" ht="15" hidden="false" customHeight="false" outlineLevel="0" collapsed="false">
      <c r="A1607" s="2" t="s">
        <v>10692</v>
      </c>
      <c r="B1607" s="2" t="s">
        <v>5169</v>
      </c>
      <c r="C1607" s="2" t="s">
        <v>9098</v>
      </c>
      <c r="D1607" s="2" t="n">
        <v>99.22</v>
      </c>
      <c r="E1607" s="13" t="n">
        <v>45584</v>
      </c>
    </row>
    <row r="1608" customFormat="false" ht="15" hidden="false" customHeight="false" outlineLevel="0" collapsed="false">
      <c r="A1608" s="2" t="s">
        <v>10693</v>
      </c>
      <c r="B1608" s="2" t="s">
        <v>5173</v>
      </c>
      <c r="C1608" s="2" t="s">
        <v>9083</v>
      </c>
      <c r="D1608" s="2" t="n">
        <v>99.59</v>
      </c>
      <c r="E1608" s="13" t="n">
        <v>45591</v>
      </c>
    </row>
    <row r="1609" customFormat="false" ht="15" hidden="false" customHeight="false" outlineLevel="0" collapsed="false">
      <c r="A1609" s="2" t="s">
        <v>10694</v>
      </c>
      <c r="B1609" s="2" t="s">
        <v>5177</v>
      </c>
      <c r="C1609" s="2" t="s">
        <v>9098</v>
      </c>
      <c r="D1609" s="2" t="n">
        <v>99.96</v>
      </c>
      <c r="E1609" s="13" t="n">
        <v>45598</v>
      </c>
    </row>
    <row r="1610" customFormat="false" ht="15" hidden="false" customHeight="false" outlineLevel="0" collapsed="false">
      <c r="A1610" s="2" t="s">
        <v>10695</v>
      </c>
      <c r="B1610" s="2" t="s">
        <v>5181</v>
      </c>
      <c r="C1610" s="2" t="s">
        <v>9083</v>
      </c>
      <c r="D1610" s="2" t="n">
        <v>100.33</v>
      </c>
      <c r="E1610" s="13" t="n">
        <v>45605</v>
      </c>
    </row>
    <row r="1611" customFormat="false" ht="15" hidden="false" customHeight="false" outlineLevel="0" collapsed="false">
      <c r="A1611" s="2" t="s">
        <v>10696</v>
      </c>
      <c r="B1611" s="2" t="s">
        <v>5185</v>
      </c>
      <c r="C1611" s="2" t="s">
        <v>9098</v>
      </c>
      <c r="D1611" s="2" t="n">
        <v>100.7</v>
      </c>
      <c r="E1611" s="13" t="n">
        <v>45612</v>
      </c>
    </row>
    <row r="1612" customFormat="false" ht="15" hidden="false" customHeight="false" outlineLevel="0" collapsed="false">
      <c r="A1612" s="2" t="s">
        <v>10697</v>
      </c>
      <c r="B1612" s="2" t="s">
        <v>5187</v>
      </c>
      <c r="C1612" s="2" t="s">
        <v>9083</v>
      </c>
      <c r="D1612" s="2" t="n">
        <v>101.07</v>
      </c>
      <c r="E1612" s="13" t="n">
        <v>45619</v>
      </c>
    </row>
    <row r="1613" customFormat="false" ht="15" hidden="false" customHeight="false" outlineLevel="0" collapsed="false">
      <c r="A1613" s="2" t="s">
        <v>10698</v>
      </c>
      <c r="B1613" s="2" t="s">
        <v>5189</v>
      </c>
      <c r="C1613" s="2" t="s">
        <v>9085</v>
      </c>
      <c r="D1613" s="2" t="n">
        <v>101.44</v>
      </c>
      <c r="E1613" s="13" t="n">
        <v>45626</v>
      </c>
    </row>
    <row r="1614" customFormat="false" ht="15" hidden="false" customHeight="false" outlineLevel="0" collapsed="false">
      <c r="A1614" s="2" t="s">
        <v>10699</v>
      </c>
      <c r="B1614" s="2" t="s">
        <v>5191</v>
      </c>
      <c r="C1614" s="2" t="s">
        <v>9098</v>
      </c>
      <c r="D1614" s="2" t="n">
        <v>101.81</v>
      </c>
      <c r="E1614" s="13" t="n">
        <v>45633</v>
      </c>
    </row>
    <row r="1615" customFormat="false" ht="15" hidden="false" customHeight="false" outlineLevel="0" collapsed="false">
      <c r="A1615" s="2" t="s">
        <v>10700</v>
      </c>
      <c r="B1615" s="2" t="s">
        <v>5193</v>
      </c>
      <c r="C1615" s="2" t="s">
        <v>9092</v>
      </c>
      <c r="D1615" s="2" t="n">
        <v>102.18</v>
      </c>
      <c r="E1615" s="13" t="n">
        <v>45640</v>
      </c>
    </row>
    <row r="1616" customFormat="false" ht="15" hidden="false" customHeight="false" outlineLevel="0" collapsed="false">
      <c r="A1616" s="2" t="s">
        <v>10701</v>
      </c>
      <c r="B1616" s="2" t="s">
        <v>5197</v>
      </c>
      <c r="C1616" s="2" t="s">
        <v>9098</v>
      </c>
      <c r="D1616" s="2" t="n">
        <v>102.55</v>
      </c>
      <c r="E1616" s="13" t="n">
        <v>45647</v>
      </c>
    </row>
    <row r="1617" customFormat="false" ht="15" hidden="false" customHeight="false" outlineLevel="0" collapsed="false">
      <c r="A1617" s="2" t="s">
        <v>10702</v>
      </c>
      <c r="B1617" s="2" t="s">
        <v>5199</v>
      </c>
      <c r="C1617" s="2" t="s">
        <v>9098</v>
      </c>
      <c r="D1617" s="2" t="n">
        <v>102.92</v>
      </c>
      <c r="E1617" s="13" t="n">
        <v>45654</v>
      </c>
    </row>
    <row r="1618" customFormat="false" ht="15" hidden="false" customHeight="false" outlineLevel="0" collapsed="false">
      <c r="A1618" s="2" t="s">
        <v>10703</v>
      </c>
      <c r="B1618" s="2" t="s">
        <v>5201</v>
      </c>
      <c r="C1618" s="2" t="s">
        <v>9087</v>
      </c>
      <c r="D1618" s="2" t="n">
        <v>103.29</v>
      </c>
      <c r="E1618" s="13" t="n">
        <v>45661</v>
      </c>
    </row>
    <row r="1619" customFormat="false" ht="15" hidden="false" customHeight="false" outlineLevel="0" collapsed="false">
      <c r="A1619" s="2" t="s">
        <v>10704</v>
      </c>
      <c r="B1619" s="2" t="s">
        <v>5205</v>
      </c>
      <c r="C1619" s="2" t="s">
        <v>9092</v>
      </c>
      <c r="D1619" s="2" t="n">
        <v>103.66</v>
      </c>
      <c r="E1619" s="13" t="n">
        <v>45668</v>
      </c>
    </row>
    <row r="1620" customFormat="false" ht="15" hidden="false" customHeight="false" outlineLevel="0" collapsed="false">
      <c r="A1620" s="2" t="s">
        <v>10705</v>
      </c>
      <c r="B1620" s="2" t="s">
        <v>5207</v>
      </c>
      <c r="C1620" s="2" t="s">
        <v>9087</v>
      </c>
      <c r="D1620" s="2" t="n">
        <v>104.03</v>
      </c>
      <c r="E1620" s="13" t="n">
        <v>45675</v>
      </c>
    </row>
    <row r="1621" customFormat="false" ht="15" hidden="false" customHeight="false" outlineLevel="0" collapsed="false">
      <c r="A1621" s="2" t="s">
        <v>10706</v>
      </c>
      <c r="B1621" s="2" t="s">
        <v>5211</v>
      </c>
      <c r="C1621" s="2" t="s">
        <v>9085</v>
      </c>
      <c r="D1621" s="2" t="n">
        <v>104.4</v>
      </c>
      <c r="E1621" s="13" t="n">
        <v>45682</v>
      </c>
    </row>
    <row r="1622" customFormat="false" ht="15" hidden="false" customHeight="false" outlineLevel="0" collapsed="false">
      <c r="A1622" s="2" t="s">
        <v>10707</v>
      </c>
      <c r="B1622" s="2" t="s">
        <v>5215</v>
      </c>
      <c r="C1622" s="2" t="s">
        <v>9085</v>
      </c>
      <c r="D1622" s="2" t="n">
        <v>104.77</v>
      </c>
      <c r="E1622" s="13" t="n">
        <v>45689</v>
      </c>
    </row>
    <row r="1623" customFormat="false" ht="15" hidden="false" customHeight="false" outlineLevel="0" collapsed="false">
      <c r="A1623" s="2" t="s">
        <v>10708</v>
      </c>
      <c r="B1623" s="2" t="s">
        <v>5217</v>
      </c>
      <c r="C1623" s="2" t="s">
        <v>9087</v>
      </c>
      <c r="D1623" s="2" t="n">
        <v>105.14</v>
      </c>
      <c r="E1623" s="13" t="n">
        <v>45696</v>
      </c>
    </row>
    <row r="1624" customFormat="false" ht="15" hidden="false" customHeight="false" outlineLevel="0" collapsed="false">
      <c r="A1624" s="2" t="s">
        <v>10709</v>
      </c>
      <c r="B1624" s="2" t="s">
        <v>5219</v>
      </c>
      <c r="C1624" s="2" t="s">
        <v>9098</v>
      </c>
      <c r="D1624" s="2" t="n">
        <v>105.51</v>
      </c>
      <c r="E1624" s="13" t="n">
        <v>45703</v>
      </c>
    </row>
    <row r="1625" customFormat="false" ht="15" hidden="false" customHeight="false" outlineLevel="0" collapsed="false">
      <c r="A1625" s="2" t="s">
        <v>10710</v>
      </c>
      <c r="B1625" s="2" t="s">
        <v>5221</v>
      </c>
      <c r="C1625" s="2" t="s">
        <v>9083</v>
      </c>
      <c r="D1625" s="2" t="n">
        <v>105.88</v>
      </c>
      <c r="E1625" s="13" t="n">
        <v>45710</v>
      </c>
    </row>
    <row r="1626" customFormat="false" ht="15" hidden="false" customHeight="false" outlineLevel="0" collapsed="false">
      <c r="A1626" s="2" t="s">
        <v>10711</v>
      </c>
      <c r="B1626" s="2" t="s">
        <v>5223</v>
      </c>
      <c r="C1626" s="2" t="s">
        <v>9083</v>
      </c>
      <c r="D1626" s="2" t="n">
        <v>106.25</v>
      </c>
      <c r="E1626" s="13" t="n">
        <v>45717</v>
      </c>
    </row>
    <row r="1627" customFormat="false" ht="15" hidden="false" customHeight="false" outlineLevel="0" collapsed="false">
      <c r="A1627" s="2" t="s">
        <v>10712</v>
      </c>
      <c r="B1627" s="2" t="s">
        <v>5225</v>
      </c>
      <c r="C1627" s="2" t="s">
        <v>9098</v>
      </c>
      <c r="D1627" s="2" t="n">
        <v>106.62</v>
      </c>
      <c r="E1627" s="13" t="n">
        <v>45724</v>
      </c>
    </row>
    <row r="1628" customFormat="false" ht="15" hidden="false" customHeight="false" outlineLevel="0" collapsed="false">
      <c r="A1628" s="2" t="s">
        <v>10713</v>
      </c>
      <c r="B1628" s="2" t="s">
        <v>5227</v>
      </c>
      <c r="C1628" s="2" t="s">
        <v>9087</v>
      </c>
      <c r="D1628" s="2" t="n">
        <v>106.99</v>
      </c>
      <c r="E1628" s="13" t="n">
        <v>45731</v>
      </c>
    </row>
    <row r="1629" customFormat="false" ht="15" hidden="false" customHeight="false" outlineLevel="0" collapsed="false">
      <c r="A1629" s="2" t="s">
        <v>10714</v>
      </c>
      <c r="B1629" s="2" t="s">
        <v>5229</v>
      </c>
      <c r="C1629" s="2" t="s">
        <v>9085</v>
      </c>
      <c r="D1629" s="2" t="n">
        <v>107.36</v>
      </c>
      <c r="E1629" s="13" t="n">
        <v>45738</v>
      </c>
    </row>
    <row r="1630" customFormat="false" ht="15" hidden="false" customHeight="false" outlineLevel="0" collapsed="false">
      <c r="A1630" s="2" t="s">
        <v>10715</v>
      </c>
      <c r="B1630" s="2" t="s">
        <v>5231</v>
      </c>
      <c r="C1630" s="2" t="s">
        <v>9092</v>
      </c>
      <c r="D1630" s="2" t="n">
        <v>107.73</v>
      </c>
      <c r="E1630" s="13" t="n">
        <v>45745</v>
      </c>
    </row>
    <row r="1631" customFormat="false" ht="15" hidden="false" customHeight="false" outlineLevel="0" collapsed="false">
      <c r="A1631" s="2" t="s">
        <v>10716</v>
      </c>
      <c r="B1631" s="2" t="s">
        <v>5233</v>
      </c>
      <c r="C1631" s="2" t="s">
        <v>9098</v>
      </c>
      <c r="D1631" s="2" t="n">
        <v>108.1</v>
      </c>
      <c r="E1631" s="13" t="n">
        <v>45752</v>
      </c>
    </row>
    <row r="1632" customFormat="false" ht="15" hidden="false" customHeight="false" outlineLevel="0" collapsed="false">
      <c r="A1632" s="2" t="s">
        <v>10717</v>
      </c>
      <c r="B1632" s="2" t="s">
        <v>5237</v>
      </c>
      <c r="C1632" s="2" t="s">
        <v>9085</v>
      </c>
      <c r="D1632" s="2" t="n">
        <v>108.47</v>
      </c>
      <c r="E1632" s="13" t="n">
        <v>45759</v>
      </c>
    </row>
    <row r="1633" customFormat="false" ht="15" hidden="false" customHeight="false" outlineLevel="0" collapsed="false">
      <c r="A1633" s="2" t="s">
        <v>10718</v>
      </c>
      <c r="B1633" s="2" t="s">
        <v>5241</v>
      </c>
      <c r="C1633" s="2" t="s">
        <v>9098</v>
      </c>
      <c r="D1633" s="2" t="n">
        <v>108.84</v>
      </c>
      <c r="E1633" s="13" t="n">
        <v>45766</v>
      </c>
    </row>
    <row r="1634" customFormat="false" ht="15" hidden="false" customHeight="false" outlineLevel="0" collapsed="false">
      <c r="A1634" s="2" t="s">
        <v>10719</v>
      </c>
      <c r="B1634" s="2" t="s">
        <v>5243</v>
      </c>
      <c r="C1634" s="2" t="s">
        <v>9085</v>
      </c>
      <c r="D1634" s="2" t="n">
        <v>109.21</v>
      </c>
      <c r="E1634" s="13" t="n">
        <v>45773</v>
      </c>
    </row>
    <row r="1635" customFormat="false" ht="15" hidden="false" customHeight="false" outlineLevel="0" collapsed="false">
      <c r="A1635" s="2" t="s">
        <v>10720</v>
      </c>
      <c r="B1635" s="2" t="s">
        <v>5245</v>
      </c>
      <c r="C1635" s="2" t="s">
        <v>9085</v>
      </c>
      <c r="D1635" s="2" t="n">
        <v>109.58</v>
      </c>
      <c r="E1635" s="13" t="n">
        <v>45780</v>
      </c>
    </row>
    <row r="1636" customFormat="false" ht="15" hidden="false" customHeight="false" outlineLevel="0" collapsed="false">
      <c r="A1636" s="2" t="s">
        <v>10721</v>
      </c>
      <c r="B1636" s="2" t="s">
        <v>5247</v>
      </c>
      <c r="C1636" s="2" t="s">
        <v>9085</v>
      </c>
      <c r="D1636" s="2" t="n">
        <v>109.95</v>
      </c>
      <c r="E1636" s="13" t="n">
        <v>45787</v>
      </c>
    </row>
    <row r="1637" customFormat="false" ht="15" hidden="false" customHeight="false" outlineLevel="0" collapsed="false">
      <c r="A1637" s="2" t="s">
        <v>10722</v>
      </c>
      <c r="B1637" s="2" t="s">
        <v>5249</v>
      </c>
      <c r="C1637" s="2" t="s">
        <v>9087</v>
      </c>
      <c r="D1637" s="2" t="n">
        <v>110.32</v>
      </c>
      <c r="E1637" s="13" t="n">
        <v>45794</v>
      </c>
    </row>
    <row r="1638" customFormat="false" ht="15" hidden="false" customHeight="false" outlineLevel="0" collapsed="false">
      <c r="A1638" s="2" t="s">
        <v>10723</v>
      </c>
      <c r="B1638" s="2" t="s">
        <v>5251</v>
      </c>
      <c r="C1638" s="2" t="s">
        <v>9085</v>
      </c>
      <c r="D1638" s="2" t="n">
        <v>110.69</v>
      </c>
      <c r="E1638" s="13" t="n">
        <v>45801</v>
      </c>
    </row>
    <row r="1639" customFormat="false" ht="15" hidden="false" customHeight="false" outlineLevel="0" collapsed="false">
      <c r="A1639" s="2" t="s">
        <v>10724</v>
      </c>
      <c r="B1639" s="2" t="s">
        <v>5253</v>
      </c>
      <c r="C1639" s="2" t="s">
        <v>9083</v>
      </c>
      <c r="D1639" s="2" t="n">
        <v>111.06</v>
      </c>
      <c r="E1639" s="13" t="n">
        <v>45808</v>
      </c>
    </row>
    <row r="1640" customFormat="false" ht="15" hidden="false" customHeight="false" outlineLevel="0" collapsed="false">
      <c r="A1640" s="2" t="s">
        <v>10725</v>
      </c>
      <c r="B1640" s="2" t="s">
        <v>5255</v>
      </c>
      <c r="C1640" s="2" t="s">
        <v>9098</v>
      </c>
      <c r="D1640" s="2" t="n">
        <v>111.43</v>
      </c>
      <c r="E1640" s="13" t="n">
        <v>45815</v>
      </c>
    </row>
    <row r="1641" customFormat="false" ht="15" hidden="false" customHeight="false" outlineLevel="0" collapsed="false">
      <c r="A1641" s="2" t="s">
        <v>10726</v>
      </c>
      <c r="B1641" s="2" t="s">
        <v>5257</v>
      </c>
      <c r="C1641" s="2" t="s">
        <v>9092</v>
      </c>
      <c r="D1641" s="2" t="n">
        <v>111.8</v>
      </c>
      <c r="E1641" s="13" t="n">
        <v>45822</v>
      </c>
    </row>
    <row r="1642" customFormat="false" ht="15" hidden="false" customHeight="false" outlineLevel="0" collapsed="false">
      <c r="A1642" s="2" t="s">
        <v>10727</v>
      </c>
      <c r="B1642" s="2" t="s">
        <v>5259</v>
      </c>
      <c r="C1642" s="2" t="s">
        <v>9085</v>
      </c>
      <c r="D1642" s="2" t="n">
        <v>112.17</v>
      </c>
      <c r="E1642" s="13" t="n">
        <v>45829</v>
      </c>
    </row>
    <row r="1643" customFormat="false" ht="15" hidden="false" customHeight="false" outlineLevel="0" collapsed="false">
      <c r="A1643" s="2" t="s">
        <v>10728</v>
      </c>
      <c r="B1643" s="2" t="s">
        <v>5261</v>
      </c>
      <c r="C1643" s="2" t="s">
        <v>9083</v>
      </c>
      <c r="D1643" s="2" t="n">
        <v>112.54</v>
      </c>
      <c r="E1643" s="13" t="n">
        <v>45836</v>
      </c>
    </row>
    <row r="1644" customFormat="false" ht="15" hidden="false" customHeight="false" outlineLevel="0" collapsed="false">
      <c r="A1644" s="2" t="s">
        <v>10729</v>
      </c>
      <c r="B1644" s="2" t="s">
        <v>5265</v>
      </c>
      <c r="C1644" s="2" t="s">
        <v>9098</v>
      </c>
      <c r="D1644" s="2" t="n">
        <v>112.91</v>
      </c>
      <c r="E1644" s="13" t="n">
        <v>45843</v>
      </c>
    </row>
    <row r="1645" customFormat="false" ht="15" hidden="false" customHeight="false" outlineLevel="0" collapsed="false">
      <c r="A1645" s="2" t="s">
        <v>10730</v>
      </c>
      <c r="B1645" s="2" t="s">
        <v>5267</v>
      </c>
      <c r="C1645" s="2" t="s">
        <v>9087</v>
      </c>
      <c r="D1645" s="2" t="n">
        <v>113.28</v>
      </c>
      <c r="E1645" s="13" t="n">
        <v>45850</v>
      </c>
    </row>
    <row r="1646" customFormat="false" ht="15" hidden="false" customHeight="false" outlineLevel="0" collapsed="false">
      <c r="A1646" s="2" t="s">
        <v>10731</v>
      </c>
      <c r="B1646" s="2" t="s">
        <v>5269</v>
      </c>
      <c r="C1646" s="2" t="s">
        <v>9087</v>
      </c>
      <c r="D1646" s="2" t="n">
        <v>113.65</v>
      </c>
      <c r="E1646" s="13" t="n">
        <v>45857</v>
      </c>
    </row>
    <row r="1647" customFormat="false" ht="15" hidden="false" customHeight="false" outlineLevel="0" collapsed="false">
      <c r="A1647" s="2" t="s">
        <v>10732</v>
      </c>
      <c r="B1647" s="2" t="s">
        <v>5273</v>
      </c>
      <c r="C1647" s="2" t="s">
        <v>9098</v>
      </c>
      <c r="D1647" s="2" t="n">
        <v>114.02</v>
      </c>
      <c r="E1647" s="13" t="n">
        <v>45864</v>
      </c>
    </row>
    <row r="1648" customFormat="false" ht="15" hidden="false" customHeight="false" outlineLevel="0" collapsed="false">
      <c r="A1648" s="2" t="s">
        <v>10733</v>
      </c>
      <c r="B1648" s="2" t="s">
        <v>5275</v>
      </c>
      <c r="C1648" s="2" t="s">
        <v>9092</v>
      </c>
      <c r="D1648" s="2" t="n">
        <v>114.39</v>
      </c>
      <c r="E1648" s="13" t="n">
        <v>45871</v>
      </c>
    </row>
    <row r="1649" customFormat="false" ht="15" hidden="false" customHeight="false" outlineLevel="0" collapsed="false">
      <c r="A1649" s="2" t="s">
        <v>10734</v>
      </c>
      <c r="B1649" s="2" t="s">
        <v>5279</v>
      </c>
      <c r="C1649" s="2" t="s">
        <v>9087</v>
      </c>
      <c r="D1649" s="2" t="n">
        <v>114.76</v>
      </c>
      <c r="E1649" s="13" t="n">
        <v>45878</v>
      </c>
    </row>
    <row r="1650" customFormat="false" ht="15" hidden="false" customHeight="false" outlineLevel="0" collapsed="false">
      <c r="A1650" s="2" t="s">
        <v>10735</v>
      </c>
      <c r="B1650" s="2" t="s">
        <v>5283</v>
      </c>
      <c r="C1650" s="2" t="s">
        <v>9087</v>
      </c>
      <c r="D1650" s="2" t="n">
        <v>115.13</v>
      </c>
      <c r="E1650" s="13" t="n">
        <v>45885</v>
      </c>
    </row>
    <row r="1651" customFormat="false" ht="15" hidden="false" customHeight="false" outlineLevel="0" collapsed="false">
      <c r="A1651" s="2" t="s">
        <v>10736</v>
      </c>
      <c r="B1651" s="2" t="s">
        <v>5287</v>
      </c>
      <c r="C1651" s="2" t="s">
        <v>9098</v>
      </c>
      <c r="D1651" s="2" t="n">
        <v>115.5</v>
      </c>
      <c r="E1651" s="13" t="n">
        <v>45892</v>
      </c>
    </row>
    <row r="1652" customFormat="false" ht="15" hidden="false" customHeight="false" outlineLevel="0" collapsed="false">
      <c r="A1652" s="2" t="s">
        <v>10737</v>
      </c>
      <c r="B1652" s="2" t="s">
        <v>5289</v>
      </c>
      <c r="C1652" s="2" t="s">
        <v>9083</v>
      </c>
      <c r="D1652" s="2" t="n">
        <v>115.87</v>
      </c>
      <c r="E1652" s="13" t="n">
        <v>45899</v>
      </c>
    </row>
    <row r="1653" customFormat="false" ht="15" hidden="false" customHeight="false" outlineLevel="0" collapsed="false">
      <c r="A1653" s="2" t="s">
        <v>10738</v>
      </c>
      <c r="B1653" s="2" t="s">
        <v>5291</v>
      </c>
      <c r="C1653" s="2" t="s">
        <v>9092</v>
      </c>
      <c r="D1653" s="2" t="n">
        <v>116.24</v>
      </c>
      <c r="E1653" s="13" t="n">
        <v>45906</v>
      </c>
    </row>
    <row r="1654" customFormat="false" ht="15" hidden="false" customHeight="false" outlineLevel="0" collapsed="false">
      <c r="A1654" s="2" t="s">
        <v>10739</v>
      </c>
      <c r="B1654" s="2" t="s">
        <v>5295</v>
      </c>
      <c r="C1654" s="2" t="s">
        <v>9087</v>
      </c>
      <c r="D1654" s="2" t="n">
        <v>116.61</v>
      </c>
      <c r="E1654" s="13" t="n">
        <v>45913</v>
      </c>
    </row>
    <row r="1655" customFormat="false" ht="15" hidden="false" customHeight="false" outlineLevel="0" collapsed="false">
      <c r="A1655" s="2" t="s">
        <v>10740</v>
      </c>
      <c r="B1655" s="2" t="s">
        <v>5297</v>
      </c>
      <c r="C1655" s="2" t="s">
        <v>9087</v>
      </c>
      <c r="D1655" s="2" t="n">
        <v>116.98</v>
      </c>
      <c r="E1655" s="13" t="n">
        <v>45920</v>
      </c>
    </row>
    <row r="1656" customFormat="false" ht="15" hidden="false" customHeight="false" outlineLevel="0" collapsed="false">
      <c r="A1656" s="2" t="s">
        <v>10741</v>
      </c>
      <c r="B1656" s="2" t="s">
        <v>5299</v>
      </c>
      <c r="C1656" s="2" t="s">
        <v>9085</v>
      </c>
      <c r="D1656" s="2" t="n">
        <v>117.35</v>
      </c>
      <c r="E1656" s="13" t="n">
        <v>45927</v>
      </c>
    </row>
    <row r="1657" customFormat="false" ht="15" hidden="false" customHeight="false" outlineLevel="0" collapsed="false">
      <c r="A1657" s="2" t="s">
        <v>10742</v>
      </c>
      <c r="B1657" s="2" t="s">
        <v>5301</v>
      </c>
      <c r="C1657" s="2" t="s">
        <v>9092</v>
      </c>
      <c r="D1657" s="2" t="n">
        <v>117.72</v>
      </c>
      <c r="E1657" s="13" t="n">
        <v>45934</v>
      </c>
    </row>
    <row r="1658" customFormat="false" ht="15" hidden="false" customHeight="false" outlineLevel="0" collapsed="false">
      <c r="A1658" s="2" t="s">
        <v>10743</v>
      </c>
      <c r="B1658" s="2" t="s">
        <v>5303</v>
      </c>
      <c r="C1658" s="2" t="s">
        <v>9092</v>
      </c>
      <c r="D1658" s="2" t="n">
        <v>118.09</v>
      </c>
      <c r="E1658" s="13" t="n">
        <v>45941</v>
      </c>
    </row>
    <row r="1659" customFormat="false" ht="15" hidden="false" customHeight="false" outlineLevel="0" collapsed="false">
      <c r="A1659" s="2" t="s">
        <v>10744</v>
      </c>
      <c r="B1659" s="2" t="s">
        <v>5305</v>
      </c>
      <c r="C1659" s="2" t="s">
        <v>9092</v>
      </c>
      <c r="D1659" s="2" t="n">
        <v>118.46</v>
      </c>
      <c r="E1659" s="13" t="n">
        <v>45948</v>
      </c>
    </row>
    <row r="1660" customFormat="false" ht="15" hidden="false" customHeight="false" outlineLevel="0" collapsed="false">
      <c r="A1660" s="2" t="s">
        <v>10745</v>
      </c>
      <c r="B1660" s="2" t="s">
        <v>5307</v>
      </c>
      <c r="C1660" s="2" t="s">
        <v>9083</v>
      </c>
      <c r="D1660" s="2" t="n">
        <v>118.83</v>
      </c>
      <c r="E1660" s="13" t="n">
        <v>45955</v>
      </c>
    </row>
    <row r="1661" customFormat="false" ht="15" hidden="false" customHeight="false" outlineLevel="0" collapsed="false">
      <c r="A1661" s="2" t="s">
        <v>10746</v>
      </c>
      <c r="B1661" s="2" t="s">
        <v>5309</v>
      </c>
      <c r="C1661" s="2" t="s">
        <v>9092</v>
      </c>
      <c r="D1661" s="2" t="n">
        <v>119.2</v>
      </c>
      <c r="E1661" s="13" t="n">
        <v>45962</v>
      </c>
    </row>
    <row r="1662" customFormat="false" ht="15" hidden="false" customHeight="false" outlineLevel="0" collapsed="false">
      <c r="A1662" s="2" t="s">
        <v>10747</v>
      </c>
      <c r="B1662" s="2" t="s">
        <v>5311</v>
      </c>
      <c r="C1662" s="2" t="s">
        <v>9087</v>
      </c>
      <c r="D1662" s="2" t="n">
        <v>119.57</v>
      </c>
      <c r="E1662" s="13" t="n">
        <v>45969</v>
      </c>
    </row>
    <row r="1663" customFormat="false" ht="15" hidden="false" customHeight="false" outlineLevel="0" collapsed="false">
      <c r="A1663" s="2" t="s">
        <v>10748</v>
      </c>
      <c r="B1663" s="2" t="s">
        <v>5313</v>
      </c>
      <c r="C1663" s="2" t="s">
        <v>9087</v>
      </c>
      <c r="D1663" s="2" t="n">
        <v>119.94</v>
      </c>
      <c r="E1663" s="13" t="n">
        <v>45976</v>
      </c>
    </row>
    <row r="1664" customFormat="false" ht="15" hidden="false" customHeight="false" outlineLevel="0" collapsed="false">
      <c r="A1664" s="2" t="s">
        <v>10749</v>
      </c>
      <c r="B1664" s="2" t="s">
        <v>5315</v>
      </c>
      <c r="C1664" s="2" t="s">
        <v>9085</v>
      </c>
      <c r="D1664" s="2" t="n">
        <v>120.31</v>
      </c>
      <c r="E1664" s="13" t="n">
        <v>45983</v>
      </c>
    </row>
    <row r="1665" customFormat="false" ht="15" hidden="false" customHeight="false" outlineLevel="0" collapsed="false">
      <c r="A1665" s="2" t="s">
        <v>10750</v>
      </c>
      <c r="B1665" s="2" t="s">
        <v>5319</v>
      </c>
      <c r="C1665" s="2" t="s">
        <v>9098</v>
      </c>
      <c r="D1665" s="2" t="n">
        <v>120.68</v>
      </c>
      <c r="E1665" s="13" t="n">
        <v>45990</v>
      </c>
    </row>
    <row r="1666" customFormat="false" ht="15" hidden="false" customHeight="false" outlineLevel="0" collapsed="false">
      <c r="A1666" s="2" t="s">
        <v>10751</v>
      </c>
      <c r="B1666" s="2" t="s">
        <v>5321</v>
      </c>
      <c r="C1666" s="2" t="s">
        <v>9087</v>
      </c>
      <c r="D1666" s="2" t="n">
        <v>121.05</v>
      </c>
      <c r="E1666" s="13" t="n">
        <v>45997</v>
      </c>
    </row>
    <row r="1667" customFormat="false" ht="15" hidden="false" customHeight="false" outlineLevel="0" collapsed="false">
      <c r="A1667" s="2" t="s">
        <v>10752</v>
      </c>
      <c r="B1667" s="2" t="s">
        <v>5323</v>
      </c>
      <c r="C1667" s="2" t="s">
        <v>9085</v>
      </c>
      <c r="D1667" s="2" t="n">
        <v>121.42</v>
      </c>
      <c r="E1667" s="13" t="n">
        <v>46004</v>
      </c>
    </row>
    <row r="1668" customFormat="false" ht="15" hidden="false" customHeight="false" outlineLevel="0" collapsed="false">
      <c r="A1668" s="2" t="s">
        <v>10753</v>
      </c>
      <c r="B1668" s="2" t="s">
        <v>5325</v>
      </c>
      <c r="C1668" s="2" t="s">
        <v>9083</v>
      </c>
      <c r="D1668" s="2" t="n">
        <v>121.79</v>
      </c>
      <c r="E1668" s="13" t="n">
        <v>46011</v>
      </c>
    </row>
    <row r="1669" customFormat="false" ht="15" hidden="false" customHeight="false" outlineLevel="0" collapsed="false">
      <c r="A1669" s="2" t="s">
        <v>10754</v>
      </c>
      <c r="B1669" s="2" t="s">
        <v>5327</v>
      </c>
      <c r="C1669" s="2" t="s">
        <v>9087</v>
      </c>
      <c r="D1669" s="2" t="n">
        <v>122.16</v>
      </c>
      <c r="E1669" s="13" t="n">
        <v>46018</v>
      </c>
    </row>
    <row r="1670" customFormat="false" ht="15" hidden="false" customHeight="false" outlineLevel="0" collapsed="false">
      <c r="A1670" s="2" t="s">
        <v>10755</v>
      </c>
      <c r="B1670" s="2" t="s">
        <v>5329</v>
      </c>
      <c r="C1670" s="2" t="s">
        <v>9092</v>
      </c>
      <c r="D1670" s="2" t="n">
        <v>122.53</v>
      </c>
      <c r="E1670" s="13" t="n">
        <v>45295</v>
      </c>
    </row>
    <row r="1671" customFormat="false" ht="15" hidden="false" customHeight="false" outlineLevel="0" collapsed="false">
      <c r="A1671" s="2" t="s">
        <v>10756</v>
      </c>
      <c r="B1671" s="2" t="s">
        <v>5331</v>
      </c>
      <c r="C1671" s="2" t="s">
        <v>9098</v>
      </c>
      <c r="D1671" s="2" t="n">
        <v>122.9</v>
      </c>
      <c r="E1671" s="13" t="n">
        <v>45302</v>
      </c>
    </row>
    <row r="1672" customFormat="false" ht="15" hidden="false" customHeight="false" outlineLevel="0" collapsed="false">
      <c r="A1672" s="2" t="s">
        <v>10757</v>
      </c>
      <c r="B1672" s="2" t="s">
        <v>5333</v>
      </c>
      <c r="C1672" s="2" t="s">
        <v>9083</v>
      </c>
      <c r="D1672" s="2" t="n">
        <v>123.27</v>
      </c>
      <c r="E1672" s="13" t="n">
        <v>45309</v>
      </c>
    </row>
    <row r="1673" customFormat="false" ht="15" hidden="false" customHeight="false" outlineLevel="0" collapsed="false">
      <c r="A1673" s="2" t="s">
        <v>10758</v>
      </c>
      <c r="B1673" s="2" t="s">
        <v>5337</v>
      </c>
      <c r="C1673" s="2" t="s">
        <v>9087</v>
      </c>
      <c r="D1673" s="2" t="n">
        <v>123.64</v>
      </c>
      <c r="E1673" s="13" t="n">
        <v>45316</v>
      </c>
    </row>
    <row r="1674" customFormat="false" ht="15" hidden="false" customHeight="false" outlineLevel="0" collapsed="false">
      <c r="A1674" s="2" t="s">
        <v>10759</v>
      </c>
      <c r="B1674" s="2" t="s">
        <v>5339</v>
      </c>
      <c r="C1674" s="2" t="s">
        <v>9087</v>
      </c>
      <c r="D1674" s="2" t="n">
        <v>124.01</v>
      </c>
      <c r="E1674" s="13" t="n">
        <v>45323</v>
      </c>
    </row>
    <row r="1675" customFormat="false" ht="15" hidden="false" customHeight="false" outlineLevel="0" collapsed="false">
      <c r="A1675" s="2" t="s">
        <v>10760</v>
      </c>
      <c r="B1675" s="2" t="s">
        <v>5341</v>
      </c>
      <c r="C1675" s="2" t="s">
        <v>9092</v>
      </c>
      <c r="D1675" s="2" t="n">
        <v>124.38</v>
      </c>
      <c r="E1675" s="13" t="n">
        <v>45330</v>
      </c>
    </row>
    <row r="1676" customFormat="false" ht="15" hidden="false" customHeight="false" outlineLevel="0" collapsed="false">
      <c r="A1676" s="2" t="s">
        <v>10761</v>
      </c>
      <c r="B1676" s="2" t="s">
        <v>5343</v>
      </c>
      <c r="C1676" s="2" t="s">
        <v>9092</v>
      </c>
      <c r="D1676" s="2" t="n">
        <v>124.75</v>
      </c>
      <c r="E1676" s="13" t="n">
        <v>45337</v>
      </c>
    </row>
    <row r="1677" customFormat="false" ht="15" hidden="false" customHeight="false" outlineLevel="0" collapsed="false">
      <c r="A1677" s="2" t="s">
        <v>10762</v>
      </c>
      <c r="B1677" s="2" t="s">
        <v>5345</v>
      </c>
      <c r="C1677" s="2" t="s">
        <v>9085</v>
      </c>
      <c r="D1677" s="2" t="n">
        <v>125.12</v>
      </c>
      <c r="E1677" s="13" t="n">
        <v>45344</v>
      </c>
    </row>
    <row r="1678" customFormat="false" ht="15" hidden="false" customHeight="false" outlineLevel="0" collapsed="false">
      <c r="A1678" s="2" t="s">
        <v>10763</v>
      </c>
      <c r="B1678" s="2" t="s">
        <v>5349</v>
      </c>
      <c r="C1678" s="2" t="s">
        <v>9083</v>
      </c>
      <c r="D1678" s="2" t="n">
        <v>125.49</v>
      </c>
      <c r="E1678" s="13" t="n">
        <v>45351</v>
      </c>
    </row>
    <row r="1679" customFormat="false" ht="15" hidden="false" customHeight="false" outlineLevel="0" collapsed="false">
      <c r="A1679" s="2" t="s">
        <v>10764</v>
      </c>
      <c r="B1679" s="2" t="s">
        <v>5351</v>
      </c>
      <c r="C1679" s="2" t="s">
        <v>9098</v>
      </c>
      <c r="D1679" s="2" t="n">
        <v>125.86</v>
      </c>
      <c r="E1679" s="13" t="n">
        <v>45358</v>
      </c>
    </row>
    <row r="1680" customFormat="false" ht="15" hidden="false" customHeight="false" outlineLevel="0" collapsed="false">
      <c r="A1680" s="2" t="s">
        <v>10765</v>
      </c>
      <c r="B1680" s="2" t="s">
        <v>5353</v>
      </c>
      <c r="C1680" s="2" t="s">
        <v>9085</v>
      </c>
      <c r="D1680" s="2" t="n">
        <v>126.23</v>
      </c>
      <c r="E1680" s="13" t="n">
        <v>45365</v>
      </c>
    </row>
    <row r="1681" customFormat="false" ht="15" hidden="false" customHeight="false" outlineLevel="0" collapsed="false">
      <c r="A1681" s="2" t="s">
        <v>10766</v>
      </c>
      <c r="B1681" s="2" t="s">
        <v>5355</v>
      </c>
      <c r="C1681" s="2" t="s">
        <v>9085</v>
      </c>
      <c r="D1681" s="2" t="n">
        <v>126.6</v>
      </c>
      <c r="E1681" s="13" t="n">
        <v>45372</v>
      </c>
    </row>
    <row r="1682" customFormat="false" ht="15" hidden="false" customHeight="false" outlineLevel="0" collapsed="false">
      <c r="A1682" s="2" t="s">
        <v>10767</v>
      </c>
      <c r="B1682" s="2" t="s">
        <v>5359</v>
      </c>
      <c r="C1682" s="2" t="s">
        <v>9092</v>
      </c>
      <c r="D1682" s="2" t="n">
        <v>126.97</v>
      </c>
      <c r="E1682" s="13" t="n">
        <v>45379</v>
      </c>
    </row>
    <row r="1683" customFormat="false" ht="15" hidden="false" customHeight="false" outlineLevel="0" collapsed="false">
      <c r="A1683" s="2" t="s">
        <v>10768</v>
      </c>
      <c r="B1683" s="2" t="s">
        <v>5361</v>
      </c>
      <c r="C1683" s="2" t="s">
        <v>9085</v>
      </c>
      <c r="D1683" s="2" t="n">
        <v>127.34</v>
      </c>
      <c r="E1683" s="13" t="n">
        <v>45386</v>
      </c>
    </row>
    <row r="1684" customFormat="false" ht="15" hidden="false" customHeight="false" outlineLevel="0" collapsed="false">
      <c r="A1684" s="2" t="s">
        <v>10769</v>
      </c>
      <c r="B1684" s="2" t="s">
        <v>5363</v>
      </c>
      <c r="C1684" s="2" t="s">
        <v>9098</v>
      </c>
      <c r="D1684" s="2" t="n">
        <v>127.71</v>
      </c>
      <c r="E1684" s="13" t="n">
        <v>45393</v>
      </c>
    </row>
    <row r="1685" customFormat="false" ht="15" hidden="false" customHeight="false" outlineLevel="0" collapsed="false">
      <c r="A1685" s="2" t="s">
        <v>10770</v>
      </c>
      <c r="B1685" s="2" t="s">
        <v>5365</v>
      </c>
      <c r="C1685" s="2" t="s">
        <v>9085</v>
      </c>
      <c r="D1685" s="2" t="n">
        <v>128.08</v>
      </c>
      <c r="E1685" s="13" t="n">
        <v>45400</v>
      </c>
    </row>
    <row r="1686" customFormat="false" ht="15" hidden="false" customHeight="false" outlineLevel="0" collapsed="false">
      <c r="A1686" s="2" t="s">
        <v>10771</v>
      </c>
      <c r="B1686" s="2" t="s">
        <v>5369</v>
      </c>
      <c r="C1686" s="2" t="s">
        <v>9092</v>
      </c>
      <c r="D1686" s="2" t="n">
        <v>128.45</v>
      </c>
      <c r="E1686" s="13" t="n">
        <v>45407</v>
      </c>
    </row>
    <row r="1687" customFormat="false" ht="15" hidden="false" customHeight="false" outlineLevel="0" collapsed="false">
      <c r="A1687" s="2" t="s">
        <v>10772</v>
      </c>
      <c r="B1687" s="2" t="s">
        <v>5371</v>
      </c>
      <c r="C1687" s="2" t="s">
        <v>9098</v>
      </c>
      <c r="D1687" s="2" t="n">
        <v>128.82</v>
      </c>
      <c r="E1687" s="13" t="n">
        <v>45414</v>
      </c>
    </row>
    <row r="1688" customFormat="false" ht="15" hidden="false" customHeight="false" outlineLevel="0" collapsed="false">
      <c r="A1688" s="2" t="s">
        <v>10773</v>
      </c>
      <c r="B1688" s="2" t="s">
        <v>5373</v>
      </c>
      <c r="C1688" s="2" t="s">
        <v>9098</v>
      </c>
      <c r="D1688" s="2" t="n">
        <v>129.19</v>
      </c>
      <c r="E1688" s="13" t="n">
        <v>45421</v>
      </c>
    </row>
    <row r="1689" customFormat="false" ht="15" hidden="false" customHeight="false" outlineLevel="0" collapsed="false">
      <c r="A1689" s="2" t="s">
        <v>10774</v>
      </c>
      <c r="B1689" s="2" t="s">
        <v>5375</v>
      </c>
      <c r="C1689" s="2" t="s">
        <v>9087</v>
      </c>
      <c r="D1689" s="2" t="n">
        <v>129.56</v>
      </c>
      <c r="E1689" s="13" t="n">
        <v>45428</v>
      </c>
    </row>
    <row r="1690" customFormat="false" ht="15" hidden="false" customHeight="false" outlineLevel="0" collapsed="false">
      <c r="A1690" s="2" t="s">
        <v>10775</v>
      </c>
      <c r="B1690" s="2" t="s">
        <v>5377</v>
      </c>
      <c r="C1690" s="2" t="s">
        <v>9098</v>
      </c>
      <c r="D1690" s="2" t="n">
        <v>129.93</v>
      </c>
      <c r="E1690" s="13" t="n">
        <v>45435</v>
      </c>
    </row>
    <row r="1691" customFormat="false" ht="15" hidden="false" customHeight="false" outlineLevel="0" collapsed="false">
      <c r="A1691" s="2" t="s">
        <v>10776</v>
      </c>
      <c r="B1691" s="2" t="s">
        <v>5381</v>
      </c>
      <c r="C1691" s="2" t="s">
        <v>9087</v>
      </c>
      <c r="D1691" s="2" t="n">
        <v>130.3</v>
      </c>
      <c r="E1691" s="13" t="n">
        <v>45442</v>
      </c>
    </row>
    <row r="1692" customFormat="false" ht="15" hidden="false" customHeight="false" outlineLevel="0" collapsed="false">
      <c r="A1692" s="2" t="s">
        <v>10777</v>
      </c>
      <c r="B1692" s="2" t="s">
        <v>5385</v>
      </c>
      <c r="C1692" s="2" t="s">
        <v>9087</v>
      </c>
      <c r="D1692" s="2" t="n">
        <v>130.67</v>
      </c>
      <c r="E1692" s="13" t="n">
        <v>45449</v>
      </c>
    </row>
    <row r="1693" customFormat="false" ht="15" hidden="false" customHeight="false" outlineLevel="0" collapsed="false">
      <c r="A1693" s="2" t="s">
        <v>10778</v>
      </c>
      <c r="B1693" s="2" t="s">
        <v>5387</v>
      </c>
      <c r="C1693" s="2" t="s">
        <v>9085</v>
      </c>
      <c r="D1693" s="2" t="n">
        <v>131.04</v>
      </c>
      <c r="E1693" s="13" t="n">
        <v>45456</v>
      </c>
    </row>
    <row r="1694" customFormat="false" ht="15" hidden="false" customHeight="false" outlineLevel="0" collapsed="false">
      <c r="A1694" s="2" t="s">
        <v>10779</v>
      </c>
      <c r="B1694" s="2" t="s">
        <v>5391</v>
      </c>
      <c r="C1694" s="2" t="s">
        <v>9098</v>
      </c>
      <c r="D1694" s="2" t="n">
        <v>131.41</v>
      </c>
      <c r="E1694" s="13" t="n">
        <v>45463</v>
      </c>
    </row>
    <row r="1695" customFormat="false" ht="15" hidden="false" customHeight="false" outlineLevel="0" collapsed="false">
      <c r="A1695" s="2" t="s">
        <v>10780</v>
      </c>
      <c r="B1695" s="2" t="s">
        <v>5395</v>
      </c>
      <c r="C1695" s="2" t="s">
        <v>9098</v>
      </c>
      <c r="D1695" s="2" t="n">
        <v>131.78</v>
      </c>
      <c r="E1695" s="13" t="n">
        <v>45470</v>
      </c>
    </row>
    <row r="1696" customFormat="false" ht="15" hidden="false" customHeight="false" outlineLevel="0" collapsed="false">
      <c r="A1696" s="2" t="s">
        <v>10781</v>
      </c>
      <c r="B1696" s="2" t="s">
        <v>5397</v>
      </c>
      <c r="C1696" s="2" t="s">
        <v>9092</v>
      </c>
      <c r="D1696" s="2" t="n">
        <v>132.15</v>
      </c>
      <c r="E1696" s="13" t="n">
        <v>45477</v>
      </c>
    </row>
    <row r="1697" customFormat="false" ht="15" hidden="false" customHeight="false" outlineLevel="0" collapsed="false">
      <c r="A1697" s="2" t="s">
        <v>10782</v>
      </c>
      <c r="B1697" s="2" t="s">
        <v>5399</v>
      </c>
      <c r="C1697" s="2" t="s">
        <v>9092</v>
      </c>
      <c r="D1697" s="2" t="n">
        <v>132.52</v>
      </c>
      <c r="E1697" s="13" t="n">
        <v>45484</v>
      </c>
    </row>
    <row r="1698" customFormat="false" ht="15" hidden="false" customHeight="false" outlineLevel="0" collapsed="false">
      <c r="A1698" s="2" t="s">
        <v>10783</v>
      </c>
      <c r="B1698" s="2" t="s">
        <v>5401</v>
      </c>
      <c r="C1698" s="2" t="s">
        <v>9092</v>
      </c>
      <c r="D1698" s="2" t="n">
        <v>132.89</v>
      </c>
      <c r="E1698" s="13" t="n">
        <v>45491</v>
      </c>
    </row>
    <row r="1699" customFormat="false" ht="15" hidden="false" customHeight="false" outlineLevel="0" collapsed="false">
      <c r="A1699" s="2" t="s">
        <v>10784</v>
      </c>
      <c r="B1699" s="2" t="s">
        <v>5403</v>
      </c>
      <c r="C1699" s="2" t="s">
        <v>9098</v>
      </c>
      <c r="D1699" s="2" t="n">
        <v>133.26</v>
      </c>
      <c r="E1699" s="13" t="n">
        <v>45498</v>
      </c>
    </row>
    <row r="1700" customFormat="false" ht="15" hidden="false" customHeight="false" outlineLevel="0" collapsed="false">
      <c r="A1700" s="2" t="s">
        <v>10785</v>
      </c>
      <c r="B1700" s="2" t="s">
        <v>5405</v>
      </c>
      <c r="C1700" s="2" t="s">
        <v>9092</v>
      </c>
      <c r="D1700" s="2" t="n">
        <v>133.63</v>
      </c>
      <c r="E1700" s="13" t="n">
        <v>45505</v>
      </c>
    </row>
    <row r="1701" customFormat="false" ht="15" hidden="false" customHeight="false" outlineLevel="0" collapsed="false">
      <c r="A1701" s="2" t="s">
        <v>10786</v>
      </c>
      <c r="B1701" s="2" t="s">
        <v>5407</v>
      </c>
      <c r="C1701" s="2" t="s">
        <v>9087</v>
      </c>
      <c r="D1701" s="2" t="n">
        <v>134</v>
      </c>
      <c r="E1701" s="13" t="n">
        <v>45512</v>
      </c>
    </row>
    <row r="1702" customFormat="false" ht="15" hidden="false" customHeight="false" outlineLevel="0" collapsed="false">
      <c r="A1702" s="2" t="s">
        <v>10787</v>
      </c>
      <c r="B1702" s="2" t="s">
        <v>5409</v>
      </c>
      <c r="C1702" s="2" t="s">
        <v>9098</v>
      </c>
      <c r="D1702" s="2" t="n">
        <v>134.37</v>
      </c>
      <c r="E1702" s="13" t="n">
        <v>45519</v>
      </c>
    </row>
    <row r="1703" customFormat="false" ht="15" hidden="false" customHeight="false" outlineLevel="0" collapsed="false">
      <c r="A1703" s="2" t="s">
        <v>10788</v>
      </c>
      <c r="B1703" s="2" t="s">
        <v>5411</v>
      </c>
      <c r="C1703" s="2" t="s">
        <v>9098</v>
      </c>
      <c r="D1703" s="2" t="n">
        <v>134.74</v>
      </c>
      <c r="E1703" s="13" t="n">
        <v>45526</v>
      </c>
    </row>
    <row r="1704" customFormat="false" ht="15" hidden="false" customHeight="false" outlineLevel="0" collapsed="false">
      <c r="A1704" s="2" t="s">
        <v>10789</v>
      </c>
      <c r="B1704" s="2" t="s">
        <v>5415</v>
      </c>
      <c r="C1704" s="2" t="s">
        <v>9083</v>
      </c>
      <c r="D1704" s="2" t="n">
        <v>135.11</v>
      </c>
      <c r="E1704" s="13" t="n">
        <v>45533</v>
      </c>
    </row>
    <row r="1705" customFormat="false" ht="15" hidden="false" customHeight="false" outlineLevel="0" collapsed="false">
      <c r="A1705" s="2" t="s">
        <v>10790</v>
      </c>
      <c r="B1705" s="2" t="s">
        <v>5419</v>
      </c>
      <c r="C1705" s="2" t="s">
        <v>9092</v>
      </c>
      <c r="D1705" s="2" t="n">
        <v>135.48</v>
      </c>
      <c r="E1705" s="13" t="n">
        <v>45540</v>
      </c>
    </row>
    <row r="1706" customFormat="false" ht="15" hidden="false" customHeight="false" outlineLevel="0" collapsed="false">
      <c r="A1706" s="2" t="s">
        <v>10791</v>
      </c>
      <c r="B1706" s="2" t="s">
        <v>5421</v>
      </c>
      <c r="C1706" s="2" t="s">
        <v>9092</v>
      </c>
      <c r="D1706" s="2" t="n">
        <v>135.85</v>
      </c>
      <c r="E1706" s="13" t="n">
        <v>45547</v>
      </c>
    </row>
    <row r="1707" customFormat="false" ht="15" hidden="false" customHeight="false" outlineLevel="0" collapsed="false">
      <c r="A1707" s="2" t="s">
        <v>10792</v>
      </c>
      <c r="B1707" s="2" t="s">
        <v>5423</v>
      </c>
      <c r="C1707" s="2" t="s">
        <v>9085</v>
      </c>
      <c r="D1707" s="2" t="n">
        <v>136.22</v>
      </c>
      <c r="E1707" s="13" t="n">
        <v>45554</v>
      </c>
    </row>
    <row r="1708" customFormat="false" ht="15" hidden="false" customHeight="false" outlineLevel="0" collapsed="false">
      <c r="A1708" s="2" t="s">
        <v>10793</v>
      </c>
      <c r="B1708" s="2" t="s">
        <v>5425</v>
      </c>
      <c r="C1708" s="2" t="s">
        <v>9083</v>
      </c>
      <c r="D1708" s="2" t="n">
        <v>136.59</v>
      </c>
      <c r="E1708" s="13" t="n">
        <v>45561</v>
      </c>
    </row>
    <row r="1709" customFormat="false" ht="15" hidden="false" customHeight="false" outlineLevel="0" collapsed="false">
      <c r="A1709" s="2" t="s">
        <v>10794</v>
      </c>
      <c r="B1709" s="2" t="s">
        <v>5427</v>
      </c>
      <c r="C1709" s="2" t="s">
        <v>9087</v>
      </c>
      <c r="D1709" s="2" t="n">
        <v>136.96</v>
      </c>
      <c r="E1709" s="13" t="n">
        <v>45568</v>
      </c>
    </row>
    <row r="1710" customFormat="false" ht="15" hidden="false" customHeight="false" outlineLevel="0" collapsed="false">
      <c r="A1710" s="2" t="s">
        <v>10795</v>
      </c>
      <c r="B1710" s="2" t="s">
        <v>5429</v>
      </c>
      <c r="C1710" s="2" t="s">
        <v>9087</v>
      </c>
      <c r="D1710" s="2" t="n">
        <v>137.33</v>
      </c>
      <c r="E1710" s="13" t="n">
        <v>45575</v>
      </c>
    </row>
    <row r="1711" customFormat="false" ht="15" hidden="false" customHeight="false" outlineLevel="0" collapsed="false">
      <c r="A1711" s="2" t="s">
        <v>10796</v>
      </c>
      <c r="B1711" s="2" t="s">
        <v>5431</v>
      </c>
      <c r="C1711" s="2" t="s">
        <v>9092</v>
      </c>
      <c r="D1711" s="2" t="n">
        <v>137.7</v>
      </c>
      <c r="E1711" s="13" t="n">
        <v>45582</v>
      </c>
    </row>
    <row r="1712" customFormat="false" ht="15" hidden="false" customHeight="false" outlineLevel="0" collapsed="false">
      <c r="A1712" s="2" t="s">
        <v>10797</v>
      </c>
      <c r="B1712" s="2" t="s">
        <v>5433</v>
      </c>
      <c r="C1712" s="2" t="s">
        <v>9085</v>
      </c>
      <c r="D1712" s="2" t="n">
        <v>138.07</v>
      </c>
      <c r="E1712" s="13" t="n">
        <v>45589</v>
      </c>
    </row>
    <row r="1713" customFormat="false" ht="15" hidden="false" customHeight="false" outlineLevel="0" collapsed="false">
      <c r="A1713" s="2" t="s">
        <v>10798</v>
      </c>
      <c r="B1713" s="2" t="s">
        <v>5435</v>
      </c>
      <c r="C1713" s="2" t="s">
        <v>9098</v>
      </c>
      <c r="D1713" s="2" t="n">
        <v>138.44</v>
      </c>
      <c r="E1713" s="13" t="n">
        <v>45596</v>
      </c>
    </row>
    <row r="1714" customFormat="false" ht="15" hidden="false" customHeight="false" outlineLevel="0" collapsed="false">
      <c r="A1714" s="2" t="s">
        <v>10799</v>
      </c>
      <c r="B1714" s="2" t="s">
        <v>5437</v>
      </c>
      <c r="C1714" s="2" t="s">
        <v>9092</v>
      </c>
      <c r="D1714" s="2" t="n">
        <v>138.81</v>
      </c>
      <c r="E1714" s="13" t="n">
        <v>45603</v>
      </c>
    </row>
    <row r="1715" customFormat="false" ht="15" hidden="false" customHeight="false" outlineLevel="0" collapsed="false">
      <c r="A1715" s="2" t="s">
        <v>10800</v>
      </c>
      <c r="B1715" s="2" t="s">
        <v>5439</v>
      </c>
      <c r="C1715" s="2" t="s">
        <v>9087</v>
      </c>
      <c r="D1715" s="2" t="n">
        <v>139.18</v>
      </c>
      <c r="E1715" s="13" t="n">
        <v>45610</v>
      </c>
    </row>
    <row r="1716" customFormat="false" ht="15" hidden="false" customHeight="false" outlineLevel="0" collapsed="false">
      <c r="A1716" s="2" t="s">
        <v>10801</v>
      </c>
      <c r="B1716" s="2" t="s">
        <v>5441</v>
      </c>
      <c r="C1716" s="2" t="s">
        <v>9098</v>
      </c>
      <c r="D1716" s="2" t="n">
        <v>139.55</v>
      </c>
      <c r="E1716" s="13" t="n">
        <v>45617</v>
      </c>
    </row>
    <row r="1717" customFormat="false" ht="15" hidden="false" customHeight="false" outlineLevel="0" collapsed="false">
      <c r="A1717" s="2" t="s">
        <v>10802</v>
      </c>
      <c r="B1717" s="2" t="s">
        <v>5443</v>
      </c>
      <c r="C1717" s="2" t="s">
        <v>9092</v>
      </c>
      <c r="D1717" s="2" t="n">
        <v>139.92</v>
      </c>
      <c r="E1717" s="13" t="n">
        <v>45624</v>
      </c>
    </row>
    <row r="1718" customFormat="false" ht="15" hidden="false" customHeight="false" outlineLevel="0" collapsed="false">
      <c r="A1718" s="2" t="s">
        <v>10803</v>
      </c>
      <c r="B1718" s="2" t="s">
        <v>5445</v>
      </c>
      <c r="C1718" s="2" t="s">
        <v>9092</v>
      </c>
      <c r="D1718" s="2" t="n">
        <v>140.29</v>
      </c>
      <c r="E1718" s="13" t="n">
        <v>45631</v>
      </c>
    </row>
    <row r="1719" customFormat="false" ht="15" hidden="false" customHeight="false" outlineLevel="0" collapsed="false">
      <c r="A1719" s="2" t="s">
        <v>10804</v>
      </c>
      <c r="B1719" s="2" t="s">
        <v>5449</v>
      </c>
      <c r="C1719" s="2" t="s">
        <v>9092</v>
      </c>
      <c r="D1719" s="2" t="n">
        <v>140.66</v>
      </c>
      <c r="E1719" s="13" t="n">
        <v>45638</v>
      </c>
    </row>
    <row r="1720" customFormat="false" ht="15" hidden="false" customHeight="false" outlineLevel="0" collapsed="false">
      <c r="A1720" s="2" t="s">
        <v>10805</v>
      </c>
      <c r="B1720" s="2" t="s">
        <v>5451</v>
      </c>
      <c r="C1720" s="2" t="s">
        <v>9085</v>
      </c>
      <c r="D1720" s="2" t="n">
        <v>141.03</v>
      </c>
      <c r="E1720" s="13" t="n">
        <v>45645</v>
      </c>
    </row>
    <row r="1721" customFormat="false" ht="15" hidden="false" customHeight="false" outlineLevel="0" collapsed="false">
      <c r="A1721" s="2" t="s">
        <v>10806</v>
      </c>
      <c r="B1721" s="2" t="s">
        <v>5453</v>
      </c>
      <c r="C1721" s="2" t="s">
        <v>9085</v>
      </c>
      <c r="D1721" s="2" t="n">
        <v>141.4</v>
      </c>
      <c r="E1721" s="13" t="n">
        <v>45652</v>
      </c>
    </row>
    <row r="1722" customFormat="false" ht="15" hidden="false" customHeight="false" outlineLevel="0" collapsed="false">
      <c r="A1722" s="2" t="s">
        <v>10807</v>
      </c>
      <c r="B1722" s="2" t="s">
        <v>5455</v>
      </c>
      <c r="C1722" s="2" t="s">
        <v>9085</v>
      </c>
      <c r="D1722" s="2" t="n">
        <v>141.77</v>
      </c>
      <c r="E1722" s="13" t="n">
        <v>45659</v>
      </c>
    </row>
    <row r="1723" customFormat="false" ht="15" hidden="false" customHeight="false" outlineLevel="0" collapsed="false">
      <c r="A1723" s="2" t="s">
        <v>10808</v>
      </c>
      <c r="B1723" s="2" t="s">
        <v>5457</v>
      </c>
      <c r="C1723" s="2" t="s">
        <v>9098</v>
      </c>
      <c r="D1723" s="2" t="n">
        <v>142.14</v>
      </c>
      <c r="E1723" s="13" t="n">
        <v>45666</v>
      </c>
    </row>
    <row r="1724" customFormat="false" ht="15" hidden="false" customHeight="false" outlineLevel="0" collapsed="false">
      <c r="A1724" s="2" t="s">
        <v>10809</v>
      </c>
      <c r="B1724" s="2" t="s">
        <v>5459</v>
      </c>
      <c r="C1724" s="2" t="s">
        <v>9085</v>
      </c>
      <c r="D1724" s="2" t="n">
        <v>142.51</v>
      </c>
      <c r="E1724" s="13" t="n">
        <v>45673</v>
      </c>
    </row>
    <row r="1725" customFormat="false" ht="15" hidden="false" customHeight="false" outlineLevel="0" collapsed="false">
      <c r="A1725" s="2" t="s">
        <v>10810</v>
      </c>
      <c r="B1725" s="2" t="s">
        <v>5461</v>
      </c>
      <c r="C1725" s="2" t="s">
        <v>9092</v>
      </c>
      <c r="D1725" s="2" t="n">
        <v>142.88</v>
      </c>
      <c r="E1725" s="13" t="n">
        <v>45680</v>
      </c>
    </row>
    <row r="1726" customFormat="false" ht="15" hidden="false" customHeight="false" outlineLevel="0" collapsed="false">
      <c r="A1726" s="2" t="s">
        <v>10811</v>
      </c>
      <c r="B1726" s="2" t="s">
        <v>5463</v>
      </c>
      <c r="C1726" s="2" t="s">
        <v>9083</v>
      </c>
      <c r="D1726" s="2" t="n">
        <v>143.25</v>
      </c>
      <c r="E1726" s="13" t="n">
        <v>45687</v>
      </c>
    </row>
    <row r="1727" customFormat="false" ht="15" hidden="false" customHeight="false" outlineLevel="0" collapsed="false">
      <c r="A1727" s="2" t="s">
        <v>10812</v>
      </c>
      <c r="B1727" s="2" t="s">
        <v>5465</v>
      </c>
      <c r="C1727" s="2" t="s">
        <v>9085</v>
      </c>
      <c r="D1727" s="2" t="n">
        <v>143.62</v>
      </c>
      <c r="E1727" s="13" t="n">
        <v>45694</v>
      </c>
    </row>
    <row r="1728" customFormat="false" ht="15" hidden="false" customHeight="false" outlineLevel="0" collapsed="false">
      <c r="A1728" s="2" t="s">
        <v>10813</v>
      </c>
      <c r="B1728" s="2" t="s">
        <v>5467</v>
      </c>
      <c r="C1728" s="2" t="s">
        <v>9098</v>
      </c>
      <c r="D1728" s="2" t="n">
        <v>143.99</v>
      </c>
      <c r="E1728" s="13" t="n">
        <v>45701</v>
      </c>
    </row>
    <row r="1729" customFormat="false" ht="15" hidden="false" customHeight="false" outlineLevel="0" collapsed="false">
      <c r="A1729" s="2" t="s">
        <v>10814</v>
      </c>
      <c r="B1729" s="2" t="s">
        <v>5469</v>
      </c>
      <c r="C1729" s="2" t="s">
        <v>9085</v>
      </c>
      <c r="D1729" s="2" t="n">
        <v>144.36</v>
      </c>
      <c r="E1729" s="13" t="n">
        <v>45708</v>
      </c>
    </row>
    <row r="1730" customFormat="false" ht="15" hidden="false" customHeight="false" outlineLevel="0" collapsed="false">
      <c r="A1730" s="2" t="s">
        <v>10815</v>
      </c>
      <c r="B1730" s="2" t="s">
        <v>5471</v>
      </c>
      <c r="C1730" s="2" t="s">
        <v>9087</v>
      </c>
      <c r="D1730" s="2" t="n">
        <v>144.73</v>
      </c>
      <c r="E1730" s="13" t="n">
        <v>45715</v>
      </c>
    </row>
    <row r="1731" customFormat="false" ht="15" hidden="false" customHeight="false" outlineLevel="0" collapsed="false">
      <c r="A1731" s="2" t="s">
        <v>10816</v>
      </c>
      <c r="B1731" s="2" t="s">
        <v>5473</v>
      </c>
      <c r="C1731" s="2" t="s">
        <v>9083</v>
      </c>
      <c r="D1731" s="2" t="n">
        <v>145.1</v>
      </c>
      <c r="E1731" s="13" t="n">
        <v>45722</v>
      </c>
    </row>
    <row r="1732" customFormat="false" ht="15" hidden="false" customHeight="false" outlineLevel="0" collapsed="false">
      <c r="A1732" s="2" t="s">
        <v>10817</v>
      </c>
      <c r="B1732" s="2" t="s">
        <v>5475</v>
      </c>
      <c r="C1732" s="2" t="s">
        <v>9092</v>
      </c>
      <c r="D1732" s="2" t="n">
        <v>145.47</v>
      </c>
      <c r="E1732" s="13" t="n">
        <v>45729</v>
      </c>
    </row>
    <row r="1733" customFormat="false" ht="15" hidden="false" customHeight="false" outlineLevel="0" collapsed="false">
      <c r="A1733" s="2" t="s">
        <v>10818</v>
      </c>
      <c r="B1733" s="2" t="s">
        <v>5477</v>
      </c>
      <c r="C1733" s="2" t="s">
        <v>9085</v>
      </c>
      <c r="D1733" s="2" t="n">
        <v>145.84</v>
      </c>
      <c r="E1733" s="13" t="n">
        <v>45736</v>
      </c>
    </row>
    <row r="1734" customFormat="false" ht="15" hidden="false" customHeight="false" outlineLevel="0" collapsed="false">
      <c r="A1734" s="2" t="s">
        <v>10819</v>
      </c>
      <c r="B1734" s="2" t="s">
        <v>5479</v>
      </c>
      <c r="C1734" s="2" t="s">
        <v>9085</v>
      </c>
      <c r="D1734" s="2" t="n">
        <v>146.21</v>
      </c>
      <c r="E1734" s="13" t="n">
        <v>45743</v>
      </c>
    </row>
    <row r="1735" customFormat="false" ht="15" hidden="false" customHeight="false" outlineLevel="0" collapsed="false">
      <c r="A1735" s="2" t="s">
        <v>10820</v>
      </c>
      <c r="B1735" s="2" t="s">
        <v>5483</v>
      </c>
      <c r="C1735" s="2" t="s">
        <v>9085</v>
      </c>
      <c r="D1735" s="2" t="n">
        <v>146.58</v>
      </c>
      <c r="E1735" s="13" t="n">
        <v>45750</v>
      </c>
    </row>
    <row r="1736" customFormat="false" ht="15" hidden="false" customHeight="false" outlineLevel="0" collapsed="false">
      <c r="A1736" s="2" t="s">
        <v>10821</v>
      </c>
      <c r="B1736" s="2" t="s">
        <v>5485</v>
      </c>
      <c r="C1736" s="2" t="s">
        <v>9092</v>
      </c>
      <c r="D1736" s="2" t="n">
        <v>146.95</v>
      </c>
      <c r="E1736" s="13" t="n">
        <v>45757</v>
      </c>
    </row>
    <row r="1737" customFormat="false" ht="15" hidden="false" customHeight="false" outlineLevel="0" collapsed="false">
      <c r="A1737" s="2" t="s">
        <v>10822</v>
      </c>
      <c r="B1737" s="2" t="s">
        <v>5489</v>
      </c>
      <c r="C1737" s="2" t="s">
        <v>9085</v>
      </c>
      <c r="D1737" s="2" t="n">
        <v>147.32</v>
      </c>
      <c r="E1737" s="13" t="n">
        <v>45764</v>
      </c>
    </row>
    <row r="1738" customFormat="false" ht="15" hidden="false" customHeight="false" outlineLevel="0" collapsed="false">
      <c r="A1738" s="2" t="s">
        <v>10823</v>
      </c>
      <c r="B1738" s="2" t="s">
        <v>5491</v>
      </c>
      <c r="C1738" s="2" t="s">
        <v>9083</v>
      </c>
      <c r="D1738" s="2" t="n">
        <v>147.69</v>
      </c>
      <c r="E1738" s="13" t="n">
        <v>45771</v>
      </c>
    </row>
    <row r="1739" customFormat="false" ht="15" hidden="false" customHeight="false" outlineLevel="0" collapsed="false">
      <c r="A1739" s="2" t="s">
        <v>10824</v>
      </c>
      <c r="B1739" s="2" t="s">
        <v>5493</v>
      </c>
      <c r="C1739" s="2" t="s">
        <v>9092</v>
      </c>
      <c r="D1739" s="2" t="n">
        <v>148.06</v>
      </c>
      <c r="E1739" s="13" t="n">
        <v>45778</v>
      </c>
    </row>
    <row r="1740" customFormat="false" ht="15" hidden="false" customHeight="false" outlineLevel="0" collapsed="false">
      <c r="A1740" s="2" t="s">
        <v>10825</v>
      </c>
      <c r="B1740" s="2" t="s">
        <v>5495</v>
      </c>
      <c r="C1740" s="2" t="s">
        <v>9085</v>
      </c>
      <c r="D1740" s="2" t="n">
        <v>148.43</v>
      </c>
      <c r="E1740" s="13" t="n">
        <v>45785</v>
      </c>
    </row>
    <row r="1741" customFormat="false" ht="15" hidden="false" customHeight="false" outlineLevel="0" collapsed="false">
      <c r="A1741" s="2" t="s">
        <v>10826</v>
      </c>
      <c r="B1741" s="2" t="s">
        <v>5497</v>
      </c>
      <c r="C1741" s="2" t="s">
        <v>9083</v>
      </c>
      <c r="D1741" s="2" t="n">
        <v>148.8</v>
      </c>
      <c r="E1741" s="13" t="n">
        <v>45792</v>
      </c>
    </row>
    <row r="1742" customFormat="false" ht="15" hidden="false" customHeight="false" outlineLevel="0" collapsed="false">
      <c r="A1742" s="2" t="s">
        <v>10827</v>
      </c>
      <c r="B1742" s="2" t="s">
        <v>5499</v>
      </c>
      <c r="C1742" s="2" t="s">
        <v>9087</v>
      </c>
      <c r="D1742" s="2" t="n">
        <v>149.17</v>
      </c>
      <c r="E1742" s="13" t="n">
        <v>45799</v>
      </c>
    </row>
    <row r="1743" customFormat="false" ht="15" hidden="false" customHeight="false" outlineLevel="0" collapsed="false">
      <c r="A1743" s="2" t="s">
        <v>10828</v>
      </c>
      <c r="B1743" s="2" t="s">
        <v>5501</v>
      </c>
      <c r="C1743" s="2" t="s">
        <v>9092</v>
      </c>
      <c r="D1743" s="2" t="n">
        <v>149.54</v>
      </c>
      <c r="E1743" s="13" t="n">
        <v>45806</v>
      </c>
    </row>
    <row r="1744" customFormat="false" ht="15" hidden="false" customHeight="false" outlineLevel="0" collapsed="false">
      <c r="A1744" s="2" t="s">
        <v>10829</v>
      </c>
      <c r="B1744" s="2" t="s">
        <v>5503</v>
      </c>
      <c r="C1744" s="2" t="s">
        <v>9083</v>
      </c>
      <c r="D1744" s="2" t="n">
        <v>149.91</v>
      </c>
      <c r="E1744" s="13" t="n">
        <v>45813</v>
      </c>
    </row>
    <row r="1745" customFormat="false" ht="15" hidden="false" customHeight="false" outlineLevel="0" collapsed="false">
      <c r="A1745" s="2" t="s">
        <v>10830</v>
      </c>
      <c r="B1745" s="2" t="s">
        <v>5505</v>
      </c>
      <c r="C1745" s="2" t="s">
        <v>9085</v>
      </c>
      <c r="D1745" s="2" t="n">
        <v>150.28</v>
      </c>
      <c r="E1745" s="13" t="n">
        <v>45820</v>
      </c>
    </row>
    <row r="1746" customFormat="false" ht="15" hidden="false" customHeight="false" outlineLevel="0" collapsed="false">
      <c r="A1746" s="2" t="s">
        <v>10831</v>
      </c>
      <c r="B1746" s="2" t="s">
        <v>5507</v>
      </c>
      <c r="C1746" s="2" t="s">
        <v>9092</v>
      </c>
      <c r="D1746" s="2" t="n">
        <v>150.65</v>
      </c>
      <c r="E1746" s="13" t="n">
        <v>45827</v>
      </c>
    </row>
    <row r="1747" customFormat="false" ht="15" hidden="false" customHeight="false" outlineLevel="0" collapsed="false">
      <c r="A1747" s="2" t="s">
        <v>10832</v>
      </c>
      <c r="B1747" s="2" t="s">
        <v>5509</v>
      </c>
      <c r="C1747" s="2" t="s">
        <v>9087</v>
      </c>
      <c r="D1747" s="2" t="n">
        <v>151.02</v>
      </c>
      <c r="E1747" s="13" t="n">
        <v>45834</v>
      </c>
    </row>
    <row r="1748" customFormat="false" ht="15" hidden="false" customHeight="false" outlineLevel="0" collapsed="false">
      <c r="A1748" s="2" t="s">
        <v>10833</v>
      </c>
      <c r="B1748" s="2" t="s">
        <v>5511</v>
      </c>
      <c r="C1748" s="2" t="s">
        <v>9085</v>
      </c>
      <c r="D1748" s="2" t="n">
        <v>151.39</v>
      </c>
      <c r="E1748" s="13" t="n">
        <v>45841</v>
      </c>
    </row>
    <row r="1749" customFormat="false" ht="15" hidden="false" customHeight="false" outlineLevel="0" collapsed="false">
      <c r="A1749" s="2" t="s">
        <v>10834</v>
      </c>
      <c r="B1749" s="2" t="s">
        <v>5513</v>
      </c>
      <c r="C1749" s="2" t="s">
        <v>9087</v>
      </c>
      <c r="D1749" s="2" t="n">
        <v>151.76</v>
      </c>
      <c r="E1749" s="13" t="n">
        <v>45848</v>
      </c>
    </row>
    <row r="1750" customFormat="false" ht="15" hidden="false" customHeight="false" outlineLevel="0" collapsed="false">
      <c r="A1750" s="2" t="s">
        <v>10835</v>
      </c>
      <c r="B1750" s="2" t="s">
        <v>5515</v>
      </c>
      <c r="C1750" s="2" t="s">
        <v>9092</v>
      </c>
      <c r="D1750" s="2" t="n">
        <v>152.13</v>
      </c>
      <c r="E1750" s="13" t="n">
        <v>45855</v>
      </c>
    </row>
    <row r="1751" customFormat="false" ht="15" hidden="false" customHeight="false" outlineLevel="0" collapsed="false">
      <c r="A1751" s="2" t="s">
        <v>10836</v>
      </c>
      <c r="B1751" s="2" t="s">
        <v>5519</v>
      </c>
      <c r="C1751" s="2" t="s">
        <v>9085</v>
      </c>
      <c r="D1751" s="2" t="n">
        <v>152.5</v>
      </c>
      <c r="E1751" s="13" t="n">
        <v>45862</v>
      </c>
    </row>
    <row r="1752" customFormat="false" ht="15" hidden="false" customHeight="false" outlineLevel="0" collapsed="false">
      <c r="A1752" s="2" t="s">
        <v>10837</v>
      </c>
      <c r="B1752" s="2" t="s">
        <v>5523</v>
      </c>
      <c r="C1752" s="2" t="s">
        <v>9098</v>
      </c>
      <c r="D1752" s="2" t="n">
        <v>152.87</v>
      </c>
      <c r="E1752" s="13" t="n">
        <v>45869</v>
      </c>
    </row>
    <row r="1753" customFormat="false" ht="15" hidden="false" customHeight="false" outlineLevel="0" collapsed="false">
      <c r="A1753" s="2" t="s">
        <v>10838</v>
      </c>
      <c r="B1753" s="2" t="s">
        <v>5525</v>
      </c>
      <c r="C1753" s="2" t="s">
        <v>9092</v>
      </c>
      <c r="D1753" s="2" t="n">
        <v>153.24</v>
      </c>
      <c r="E1753" s="13" t="n">
        <v>45876</v>
      </c>
    </row>
    <row r="1754" customFormat="false" ht="15" hidden="false" customHeight="false" outlineLevel="0" collapsed="false">
      <c r="A1754" s="2" t="s">
        <v>10839</v>
      </c>
      <c r="B1754" s="2" t="s">
        <v>5527</v>
      </c>
      <c r="C1754" s="2" t="s">
        <v>9098</v>
      </c>
      <c r="D1754" s="2" t="n">
        <v>153.61</v>
      </c>
      <c r="E1754" s="13" t="n">
        <v>45883</v>
      </c>
    </row>
    <row r="1755" customFormat="false" ht="15" hidden="false" customHeight="false" outlineLevel="0" collapsed="false">
      <c r="A1755" s="2" t="s">
        <v>10840</v>
      </c>
      <c r="B1755" s="2" t="s">
        <v>5529</v>
      </c>
      <c r="C1755" s="2" t="s">
        <v>9098</v>
      </c>
      <c r="D1755" s="2" t="n">
        <v>153.98</v>
      </c>
      <c r="E1755" s="13" t="n">
        <v>45890</v>
      </c>
    </row>
    <row r="1756" customFormat="false" ht="15" hidden="false" customHeight="false" outlineLevel="0" collapsed="false">
      <c r="A1756" s="2" t="s">
        <v>10841</v>
      </c>
      <c r="B1756" s="2" t="s">
        <v>5531</v>
      </c>
      <c r="C1756" s="2" t="s">
        <v>9098</v>
      </c>
      <c r="D1756" s="2" t="n">
        <v>154.35</v>
      </c>
      <c r="E1756" s="13" t="n">
        <v>45897</v>
      </c>
    </row>
    <row r="1757" customFormat="false" ht="15" hidden="false" customHeight="false" outlineLevel="0" collapsed="false">
      <c r="A1757" s="2" t="s">
        <v>10842</v>
      </c>
      <c r="B1757" s="2" t="s">
        <v>5535</v>
      </c>
      <c r="C1757" s="2" t="s">
        <v>9085</v>
      </c>
      <c r="D1757" s="2" t="n">
        <v>154.72</v>
      </c>
      <c r="E1757" s="13" t="n">
        <v>45904</v>
      </c>
    </row>
    <row r="1758" customFormat="false" ht="15" hidden="false" customHeight="false" outlineLevel="0" collapsed="false">
      <c r="A1758" s="2" t="s">
        <v>10843</v>
      </c>
      <c r="B1758" s="2" t="s">
        <v>5537</v>
      </c>
      <c r="C1758" s="2" t="s">
        <v>9085</v>
      </c>
      <c r="D1758" s="2" t="n">
        <v>155.09</v>
      </c>
      <c r="E1758" s="13" t="n">
        <v>45911</v>
      </c>
    </row>
    <row r="1759" customFormat="false" ht="15" hidden="false" customHeight="false" outlineLevel="0" collapsed="false">
      <c r="A1759" s="2" t="s">
        <v>10844</v>
      </c>
      <c r="B1759" s="2" t="s">
        <v>5539</v>
      </c>
      <c r="C1759" s="2" t="s">
        <v>9098</v>
      </c>
      <c r="D1759" s="2" t="n">
        <v>155.46</v>
      </c>
      <c r="E1759" s="13" t="n">
        <v>45918</v>
      </c>
    </row>
    <row r="1760" customFormat="false" ht="15" hidden="false" customHeight="false" outlineLevel="0" collapsed="false">
      <c r="A1760" s="2" t="s">
        <v>10845</v>
      </c>
      <c r="B1760" s="2" t="s">
        <v>5541</v>
      </c>
      <c r="C1760" s="2" t="s">
        <v>9087</v>
      </c>
      <c r="D1760" s="2" t="n">
        <v>155.83</v>
      </c>
      <c r="E1760" s="13" t="n">
        <v>45925</v>
      </c>
    </row>
    <row r="1761" customFormat="false" ht="15" hidden="false" customHeight="false" outlineLevel="0" collapsed="false">
      <c r="A1761" s="2" t="s">
        <v>10846</v>
      </c>
      <c r="B1761" s="2" t="s">
        <v>5543</v>
      </c>
      <c r="C1761" s="2" t="s">
        <v>9098</v>
      </c>
      <c r="D1761" s="2" t="n">
        <v>156.2</v>
      </c>
      <c r="E1761" s="13" t="n">
        <v>45932</v>
      </c>
    </row>
    <row r="1762" customFormat="false" ht="15" hidden="false" customHeight="false" outlineLevel="0" collapsed="false">
      <c r="A1762" s="2" t="s">
        <v>10847</v>
      </c>
      <c r="B1762" s="2" t="s">
        <v>5545</v>
      </c>
      <c r="C1762" s="2" t="s">
        <v>9092</v>
      </c>
      <c r="D1762" s="2" t="n">
        <v>156.57</v>
      </c>
      <c r="E1762" s="13" t="n">
        <v>45939</v>
      </c>
    </row>
    <row r="1763" customFormat="false" ht="15" hidden="false" customHeight="false" outlineLevel="0" collapsed="false">
      <c r="A1763" s="2" t="s">
        <v>10848</v>
      </c>
      <c r="B1763" s="2" t="s">
        <v>5547</v>
      </c>
      <c r="C1763" s="2" t="s">
        <v>9087</v>
      </c>
      <c r="D1763" s="2" t="n">
        <v>156.94</v>
      </c>
      <c r="E1763" s="13" t="n">
        <v>45946</v>
      </c>
    </row>
    <row r="1764" customFormat="false" ht="15" hidden="false" customHeight="false" outlineLevel="0" collapsed="false">
      <c r="A1764" s="2" t="s">
        <v>10849</v>
      </c>
      <c r="B1764" s="2" t="s">
        <v>5549</v>
      </c>
      <c r="C1764" s="2" t="s">
        <v>9085</v>
      </c>
      <c r="D1764" s="2" t="n">
        <v>157.31</v>
      </c>
      <c r="E1764" s="13" t="n">
        <v>45953</v>
      </c>
    </row>
    <row r="1765" customFormat="false" ht="15" hidden="false" customHeight="false" outlineLevel="0" collapsed="false">
      <c r="A1765" s="2" t="s">
        <v>10850</v>
      </c>
      <c r="B1765" s="2" t="s">
        <v>5551</v>
      </c>
      <c r="C1765" s="2" t="s">
        <v>9098</v>
      </c>
      <c r="D1765" s="2" t="n">
        <v>157.68</v>
      </c>
      <c r="E1765" s="13" t="n">
        <v>45960</v>
      </c>
    </row>
    <row r="1766" customFormat="false" ht="15" hidden="false" customHeight="false" outlineLevel="0" collapsed="false">
      <c r="A1766" s="2" t="s">
        <v>10851</v>
      </c>
      <c r="B1766" s="2" t="s">
        <v>5553</v>
      </c>
      <c r="C1766" s="2" t="s">
        <v>9098</v>
      </c>
      <c r="D1766" s="2" t="n">
        <v>158.05</v>
      </c>
      <c r="E1766" s="13" t="n">
        <v>45967</v>
      </c>
    </row>
    <row r="1767" customFormat="false" ht="15" hidden="false" customHeight="false" outlineLevel="0" collapsed="false">
      <c r="A1767" s="2" t="s">
        <v>10852</v>
      </c>
      <c r="B1767" s="2" t="s">
        <v>5557</v>
      </c>
      <c r="C1767" s="2" t="s">
        <v>9085</v>
      </c>
      <c r="D1767" s="2" t="n">
        <v>158.42</v>
      </c>
      <c r="E1767" s="13" t="n">
        <v>45974</v>
      </c>
    </row>
    <row r="1768" customFormat="false" ht="15" hidden="false" customHeight="false" outlineLevel="0" collapsed="false">
      <c r="A1768" s="2" t="s">
        <v>10853</v>
      </c>
      <c r="B1768" s="2" t="s">
        <v>5559</v>
      </c>
      <c r="C1768" s="2" t="s">
        <v>9085</v>
      </c>
      <c r="D1768" s="2" t="n">
        <v>158.79</v>
      </c>
      <c r="E1768" s="13" t="n">
        <v>45981</v>
      </c>
    </row>
    <row r="1769" customFormat="false" ht="15" hidden="false" customHeight="false" outlineLevel="0" collapsed="false">
      <c r="A1769" s="2" t="s">
        <v>10854</v>
      </c>
      <c r="B1769" s="2" t="s">
        <v>5561</v>
      </c>
      <c r="C1769" s="2" t="s">
        <v>9092</v>
      </c>
      <c r="D1769" s="2" t="n">
        <v>159.16</v>
      </c>
      <c r="E1769" s="13" t="n">
        <v>45988</v>
      </c>
    </row>
    <row r="1770" customFormat="false" ht="15" hidden="false" customHeight="false" outlineLevel="0" collapsed="false">
      <c r="A1770" s="2" t="s">
        <v>10855</v>
      </c>
      <c r="B1770" s="2" t="s">
        <v>5563</v>
      </c>
      <c r="C1770" s="2" t="s">
        <v>9083</v>
      </c>
      <c r="D1770" s="2" t="n">
        <v>159.53</v>
      </c>
      <c r="E1770" s="13" t="n">
        <v>45995</v>
      </c>
    </row>
    <row r="1771" customFormat="false" ht="15" hidden="false" customHeight="false" outlineLevel="0" collapsed="false">
      <c r="A1771" s="2" t="s">
        <v>10856</v>
      </c>
      <c r="B1771" s="2" t="s">
        <v>5567</v>
      </c>
      <c r="C1771" s="2" t="s">
        <v>9083</v>
      </c>
      <c r="D1771" s="2" t="n">
        <v>159.9</v>
      </c>
      <c r="E1771" s="13" t="n">
        <v>46002</v>
      </c>
    </row>
    <row r="1772" customFormat="false" ht="15" hidden="false" customHeight="false" outlineLevel="0" collapsed="false">
      <c r="A1772" s="2" t="s">
        <v>10857</v>
      </c>
      <c r="B1772" s="2" t="s">
        <v>5569</v>
      </c>
      <c r="C1772" s="2" t="s">
        <v>9083</v>
      </c>
      <c r="D1772" s="2" t="n">
        <v>160.27</v>
      </c>
      <c r="E1772" s="13" t="n">
        <v>46009</v>
      </c>
    </row>
    <row r="1773" customFormat="false" ht="15" hidden="false" customHeight="false" outlineLevel="0" collapsed="false">
      <c r="A1773" s="2" t="s">
        <v>10858</v>
      </c>
      <c r="B1773" s="2" t="s">
        <v>5571</v>
      </c>
      <c r="C1773" s="2" t="s">
        <v>9083</v>
      </c>
      <c r="D1773" s="2" t="n">
        <v>160.64</v>
      </c>
      <c r="E1773" s="13" t="n">
        <v>46016</v>
      </c>
    </row>
    <row r="1774" customFormat="false" ht="15" hidden="false" customHeight="false" outlineLevel="0" collapsed="false">
      <c r="A1774" s="2" t="s">
        <v>10859</v>
      </c>
      <c r="B1774" s="2" t="s">
        <v>5573</v>
      </c>
      <c r="C1774" s="2" t="s">
        <v>9098</v>
      </c>
      <c r="D1774" s="2" t="n">
        <v>161.01</v>
      </c>
      <c r="E1774" s="13" t="n">
        <v>45293</v>
      </c>
    </row>
    <row r="1775" customFormat="false" ht="15" hidden="false" customHeight="false" outlineLevel="0" collapsed="false">
      <c r="A1775" s="2" t="s">
        <v>10860</v>
      </c>
      <c r="B1775" s="2" t="s">
        <v>5575</v>
      </c>
      <c r="C1775" s="2" t="s">
        <v>9092</v>
      </c>
      <c r="D1775" s="2" t="n">
        <v>161.38</v>
      </c>
      <c r="E1775" s="13" t="n">
        <v>45300</v>
      </c>
    </row>
    <row r="1776" customFormat="false" ht="15" hidden="false" customHeight="false" outlineLevel="0" collapsed="false">
      <c r="A1776" s="2" t="s">
        <v>10861</v>
      </c>
      <c r="B1776" s="2" t="s">
        <v>5579</v>
      </c>
      <c r="C1776" s="2" t="s">
        <v>9087</v>
      </c>
      <c r="D1776" s="2" t="n">
        <v>161.75</v>
      </c>
      <c r="E1776" s="13" t="n">
        <v>45307</v>
      </c>
    </row>
    <row r="1777" customFormat="false" ht="15" hidden="false" customHeight="false" outlineLevel="0" collapsed="false">
      <c r="A1777" s="2" t="s">
        <v>10862</v>
      </c>
      <c r="B1777" s="2" t="s">
        <v>5581</v>
      </c>
      <c r="C1777" s="2" t="s">
        <v>9087</v>
      </c>
      <c r="D1777" s="2" t="n">
        <v>162.12</v>
      </c>
      <c r="E1777" s="13" t="n">
        <v>45314</v>
      </c>
    </row>
    <row r="1778" customFormat="false" ht="15" hidden="false" customHeight="false" outlineLevel="0" collapsed="false">
      <c r="A1778" s="2" t="s">
        <v>10863</v>
      </c>
      <c r="B1778" s="2" t="s">
        <v>5583</v>
      </c>
      <c r="C1778" s="2" t="s">
        <v>9092</v>
      </c>
      <c r="D1778" s="2" t="n">
        <v>162.49</v>
      </c>
      <c r="E1778" s="13" t="n">
        <v>45321</v>
      </c>
    </row>
    <row r="1779" customFormat="false" ht="15" hidden="false" customHeight="false" outlineLevel="0" collapsed="false">
      <c r="A1779" s="2" t="s">
        <v>10864</v>
      </c>
      <c r="B1779" s="2" t="s">
        <v>5585</v>
      </c>
      <c r="C1779" s="2" t="s">
        <v>9092</v>
      </c>
      <c r="D1779" s="2" t="n">
        <v>162.86</v>
      </c>
      <c r="E1779" s="13" t="n">
        <v>45328</v>
      </c>
    </row>
    <row r="1780" customFormat="false" ht="15" hidden="false" customHeight="false" outlineLevel="0" collapsed="false">
      <c r="A1780" s="2" t="s">
        <v>10865</v>
      </c>
      <c r="B1780" s="2" t="s">
        <v>5587</v>
      </c>
      <c r="C1780" s="2" t="s">
        <v>9087</v>
      </c>
      <c r="D1780" s="2" t="n">
        <v>163.23</v>
      </c>
      <c r="E1780" s="13" t="n">
        <v>45335</v>
      </c>
    </row>
    <row r="1781" customFormat="false" ht="15" hidden="false" customHeight="false" outlineLevel="0" collapsed="false">
      <c r="A1781" s="2" t="s">
        <v>10866</v>
      </c>
      <c r="B1781" s="2" t="s">
        <v>5589</v>
      </c>
      <c r="C1781" s="2" t="s">
        <v>9098</v>
      </c>
      <c r="D1781" s="2" t="n">
        <v>163.6</v>
      </c>
      <c r="E1781" s="13" t="n">
        <v>45342</v>
      </c>
    </row>
    <row r="1782" customFormat="false" ht="15" hidden="false" customHeight="false" outlineLevel="0" collapsed="false">
      <c r="A1782" s="2" t="s">
        <v>10867</v>
      </c>
      <c r="B1782" s="2" t="s">
        <v>5591</v>
      </c>
      <c r="C1782" s="2" t="s">
        <v>9085</v>
      </c>
      <c r="D1782" s="2" t="n">
        <v>163.97</v>
      </c>
      <c r="E1782" s="13" t="n">
        <v>45349</v>
      </c>
    </row>
    <row r="1783" customFormat="false" ht="15" hidden="false" customHeight="false" outlineLevel="0" collapsed="false">
      <c r="A1783" s="2" t="s">
        <v>10868</v>
      </c>
      <c r="B1783" s="2" t="s">
        <v>5593</v>
      </c>
      <c r="C1783" s="2" t="s">
        <v>9085</v>
      </c>
      <c r="D1783" s="2" t="n">
        <v>164.34</v>
      </c>
      <c r="E1783" s="13" t="n">
        <v>45356</v>
      </c>
    </row>
    <row r="1784" customFormat="false" ht="15" hidden="false" customHeight="false" outlineLevel="0" collapsed="false">
      <c r="A1784" s="2" t="s">
        <v>10869</v>
      </c>
      <c r="B1784" s="2" t="s">
        <v>5597</v>
      </c>
      <c r="C1784" s="2" t="s">
        <v>9092</v>
      </c>
      <c r="D1784" s="2" t="n">
        <v>164.71</v>
      </c>
      <c r="E1784" s="13" t="n">
        <v>45363</v>
      </c>
    </row>
    <row r="1785" customFormat="false" ht="15" hidden="false" customHeight="false" outlineLevel="0" collapsed="false">
      <c r="A1785" s="2" t="s">
        <v>10870</v>
      </c>
      <c r="B1785" s="2" t="s">
        <v>5601</v>
      </c>
      <c r="C1785" s="2" t="s">
        <v>9087</v>
      </c>
      <c r="D1785" s="2" t="n">
        <v>165.08</v>
      </c>
      <c r="E1785" s="13" t="n">
        <v>45370</v>
      </c>
    </row>
    <row r="1786" customFormat="false" ht="15" hidden="false" customHeight="false" outlineLevel="0" collapsed="false">
      <c r="A1786" s="2" t="s">
        <v>10871</v>
      </c>
      <c r="B1786" s="2" t="s">
        <v>5603</v>
      </c>
      <c r="C1786" s="2" t="s">
        <v>9098</v>
      </c>
      <c r="D1786" s="2" t="n">
        <v>165.45</v>
      </c>
      <c r="E1786" s="13" t="n">
        <v>45377</v>
      </c>
    </row>
    <row r="1787" customFormat="false" ht="15" hidden="false" customHeight="false" outlineLevel="0" collapsed="false">
      <c r="A1787" s="2" t="s">
        <v>10872</v>
      </c>
      <c r="B1787" s="2" t="s">
        <v>5607</v>
      </c>
      <c r="C1787" s="2" t="s">
        <v>9083</v>
      </c>
      <c r="D1787" s="2" t="n">
        <v>165.82</v>
      </c>
      <c r="E1787" s="13" t="n">
        <v>45384</v>
      </c>
    </row>
    <row r="1788" customFormat="false" ht="15" hidden="false" customHeight="false" outlineLevel="0" collapsed="false">
      <c r="A1788" s="2" t="s">
        <v>10873</v>
      </c>
      <c r="B1788" s="2" t="s">
        <v>5609</v>
      </c>
      <c r="C1788" s="2" t="s">
        <v>9098</v>
      </c>
      <c r="D1788" s="2" t="n">
        <v>166.19</v>
      </c>
      <c r="E1788" s="13" t="n">
        <v>45391</v>
      </c>
    </row>
    <row r="1789" customFormat="false" ht="15" hidden="false" customHeight="false" outlineLevel="0" collapsed="false">
      <c r="A1789" s="2" t="s">
        <v>10874</v>
      </c>
      <c r="B1789" s="2" t="s">
        <v>5611</v>
      </c>
      <c r="C1789" s="2" t="s">
        <v>9087</v>
      </c>
      <c r="D1789" s="2" t="n">
        <v>166.56</v>
      </c>
      <c r="E1789" s="13" t="n">
        <v>45398</v>
      </c>
    </row>
    <row r="1790" customFormat="false" ht="15" hidden="false" customHeight="false" outlineLevel="0" collapsed="false">
      <c r="A1790" s="2" t="s">
        <v>10875</v>
      </c>
      <c r="B1790" s="2" t="s">
        <v>5613</v>
      </c>
      <c r="C1790" s="2" t="s">
        <v>9092</v>
      </c>
      <c r="D1790" s="2" t="n">
        <v>166.93</v>
      </c>
      <c r="E1790" s="13" t="n">
        <v>45405</v>
      </c>
    </row>
    <row r="1791" customFormat="false" ht="15" hidden="false" customHeight="false" outlineLevel="0" collapsed="false">
      <c r="A1791" s="2" t="s">
        <v>10876</v>
      </c>
      <c r="B1791" s="2" t="s">
        <v>5615</v>
      </c>
      <c r="C1791" s="2" t="s">
        <v>9092</v>
      </c>
      <c r="D1791" s="2" t="n">
        <v>167.3</v>
      </c>
      <c r="E1791" s="13" t="n">
        <v>45412</v>
      </c>
    </row>
    <row r="1792" customFormat="false" ht="15" hidden="false" customHeight="false" outlineLevel="0" collapsed="false">
      <c r="A1792" s="2" t="s">
        <v>10877</v>
      </c>
      <c r="B1792" s="2" t="s">
        <v>5617</v>
      </c>
      <c r="C1792" s="2" t="s">
        <v>9092</v>
      </c>
      <c r="D1792" s="2" t="n">
        <v>167.67</v>
      </c>
      <c r="E1792" s="13" t="n">
        <v>45419</v>
      </c>
    </row>
    <row r="1793" customFormat="false" ht="15" hidden="false" customHeight="false" outlineLevel="0" collapsed="false">
      <c r="A1793" s="2" t="s">
        <v>10878</v>
      </c>
      <c r="B1793" s="2" t="s">
        <v>5621</v>
      </c>
      <c r="C1793" s="2" t="s">
        <v>9085</v>
      </c>
      <c r="D1793" s="2" t="n">
        <v>168.04</v>
      </c>
      <c r="E1793" s="13" t="n">
        <v>45426</v>
      </c>
    </row>
    <row r="1794" customFormat="false" ht="15" hidden="false" customHeight="false" outlineLevel="0" collapsed="false">
      <c r="A1794" s="2" t="s">
        <v>10879</v>
      </c>
      <c r="B1794" s="2" t="s">
        <v>5623</v>
      </c>
      <c r="C1794" s="2" t="s">
        <v>9083</v>
      </c>
      <c r="D1794" s="2" t="n">
        <v>168.41</v>
      </c>
      <c r="E1794" s="13" t="n">
        <v>45433</v>
      </c>
    </row>
    <row r="1795" customFormat="false" ht="15" hidden="false" customHeight="false" outlineLevel="0" collapsed="false">
      <c r="A1795" s="2" t="s">
        <v>10880</v>
      </c>
      <c r="B1795" s="2" t="s">
        <v>5625</v>
      </c>
      <c r="C1795" s="2" t="s">
        <v>9098</v>
      </c>
      <c r="D1795" s="2" t="n">
        <v>168.78</v>
      </c>
      <c r="E1795" s="13" t="n">
        <v>45440</v>
      </c>
    </row>
    <row r="1796" customFormat="false" ht="15" hidden="false" customHeight="false" outlineLevel="0" collapsed="false">
      <c r="A1796" s="2" t="s">
        <v>10881</v>
      </c>
      <c r="B1796" s="2" t="s">
        <v>5627</v>
      </c>
      <c r="C1796" s="2" t="s">
        <v>9098</v>
      </c>
      <c r="D1796" s="2" t="n">
        <v>169.15</v>
      </c>
      <c r="E1796" s="13" t="n">
        <v>45447</v>
      </c>
    </row>
    <row r="1797" customFormat="false" ht="15" hidden="false" customHeight="false" outlineLevel="0" collapsed="false">
      <c r="A1797" s="2" t="s">
        <v>10882</v>
      </c>
      <c r="B1797" s="2" t="s">
        <v>5631</v>
      </c>
      <c r="C1797" s="2" t="s">
        <v>9098</v>
      </c>
      <c r="D1797" s="2" t="n">
        <v>169.52</v>
      </c>
      <c r="E1797" s="13" t="n">
        <v>45454</v>
      </c>
    </row>
    <row r="1798" customFormat="false" ht="15" hidden="false" customHeight="false" outlineLevel="0" collapsed="false">
      <c r="A1798" s="2" t="s">
        <v>10883</v>
      </c>
      <c r="B1798" s="2" t="s">
        <v>5633</v>
      </c>
      <c r="C1798" s="2" t="s">
        <v>9085</v>
      </c>
      <c r="D1798" s="2" t="n">
        <v>169.89</v>
      </c>
      <c r="E1798" s="13" t="n">
        <v>45461</v>
      </c>
    </row>
    <row r="1799" customFormat="false" ht="15" hidden="false" customHeight="false" outlineLevel="0" collapsed="false">
      <c r="A1799" s="2" t="s">
        <v>10884</v>
      </c>
      <c r="B1799" s="2" t="s">
        <v>5635</v>
      </c>
      <c r="C1799" s="2" t="s">
        <v>9085</v>
      </c>
      <c r="D1799" s="2" t="n">
        <v>170.26</v>
      </c>
      <c r="E1799" s="13" t="n">
        <v>45468</v>
      </c>
    </row>
    <row r="1800" customFormat="false" ht="15" hidden="false" customHeight="false" outlineLevel="0" collapsed="false">
      <c r="A1800" s="2" t="s">
        <v>10885</v>
      </c>
      <c r="B1800" s="2" t="s">
        <v>5637</v>
      </c>
      <c r="C1800" s="2" t="s">
        <v>9083</v>
      </c>
      <c r="D1800" s="2" t="n">
        <v>170.63</v>
      </c>
      <c r="E1800" s="13" t="n">
        <v>45475</v>
      </c>
    </row>
    <row r="1801" customFormat="false" ht="15" hidden="false" customHeight="false" outlineLevel="0" collapsed="false">
      <c r="A1801" s="2" t="s">
        <v>10886</v>
      </c>
      <c r="B1801" s="2" t="s">
        <v>5639</v>
      </c>
      <c r="C1801" s="2" t="s">
        <v>9085</v>
      </c>
      <c r="D1801" s="2" t="n">
        <v>171</v>
      </c>
      <c r="E1801" s="13" t="n">
        <v>45482</v>
      </c>
    </row>
    <row r="1802" customFormat="false" ht="15" hidden="false" customHeight="false" outlineLevel="0" collapsed="false">
      <c r="A1802" s="2" t="s">
        <v>10887</v>
      </c>
      <c r="B1802" s="2" t="s">
        <v>5643</v>
      </c>
      <c r="C1802" s="2" t="s">
        <v>9083</v>
      </c>
      <c r="D1802" s="2" t="n">
        <v>171.37</v>
      </c>
      <c r="E1802" s="13" t="n">
        <v>45489</v>
      </c>
    </row>
    <row r="1803" customFormat="false" ht="15" hidden="false" customHeight="false" outlineLevel="0" collapsed="false">
      <c r="A1803" s="2" t="s">
        <v>10888</v>
      </c>
      <c r="B1803" s="2" t="s">
        <v>5645</v>
      </c>
      <c r="C1803" s="2" t="s">
        <v>9092</v>
      </c>
      <c r="D1803" s="2" t="n">
        <v>171.74</v>
      </c>
      <c r="E1803" s="13" t="n">
        <v>45496</v>
      </c>
    </row>
    <row r="1804" customFormat="false" ht="15" hidden="false" customHeight="false" outlineLevel="0" collapsed="false">
      <c r="A1804" s="2" t="s">
        <v>10889</v>
      </c>
      <c r="B1804" s="2" t="s">
        <v>5647</v>
      </c>
      <c r="C1804" s="2" t="s">
        <v>9087</v>
      </c>
      <c r="D1804" s="2" t="n">
        <v>172.11</v>
      </c>
      <c r="E1804" s="13" t="n">
        <v>45503</v>
      </c>
    </row>
    <row r="1805" customFormat="false" ht="15" hidden="false" customHeight="false" outlineLevel="0" collapsed="false">
      <c r="A1805" s="2" t="s">
        <v>10890</v>
      </c>
      <c r="B1805" s="2" t="s">
        <v>5649</v>
      </c>
      <c r="C1805" s="2" t="s">
        <v>9085</v>
      </c>
      <c r="D1805" s="2" t="n">
        <v>172.48</v>
      </c>
      <c r="E1805" s="13" t="n">
        <v>45510</v>
      </c>
    </row>
    <row r="1806" customFormat="false" ht="15" hidden="false" customHeight="false" outlineLevel="0" collapsed="false">
      <c r="A1806" s="2" t="s">
        <v>10891</v>
      </c>
      <c r="B1806" s="2" t="s">
        <v>5651</v>
      </c>
      <c r="C1806" s="2" t="s">
        <v>9098</v>
      </c>
      <c r="D1806" s="2" t="n">
        <v>172.85</v>
      </c>
      <c r="E1806" s="13" t="n">
        <v>45517</v>
      </c>
    </row>
    <row r="1807" customFormat="false" ht="15" hidden="false" customHeight="false" outlineLevel="0" collapsed="false">
      <c r="A1807" s="2" t="s">
        <v>10892</v>
      </c>
      <c r="B1807" s="2" t="s">
        <v>5653</v>
      </c>
      <c r="C1807" s="2" t="s">
        <v>9098</v>
      </c>
      <c r="D1807" s="2" t="n">
        <v>173.22</v>
      </c>
      <c r="E1807" s="13" t="n">
        <v>45524</v>
      </c>
    </row>
    <row r="1808" customFormat="false" ht="15" hidden="false" customHeight="false" outlineLevel="0" collapsed="false">
      <c r="A1808" s="2" t="s">
        <v>10893</v>
      </c>
      <c r="B1808" s="2" t="s">
        <v>5655</v>
      </c>
      <c r="C1808" s="2" t="s">
        <v>9098</v>
      </c>
      <c r="D1808" s="2" t="n">
        <v>173.59</v>
      </c>
      <c r="E1808" s="13" t="n">
        <v>45531</v>
      </c>
    </row>
    <row r="1809" customFormat="false" ht="15" hidden="false" customHeight="false" outlineLevel="0" collapsed="false">
      <c r="A1809" s="2" t="s">
        <v>10894</v>
      </c>
      <c r="B1809" s="2" t="s">
        <v>5659</v>
      </c>
      <c r="C1809" s="2" t="s">
        <v>9083</v>
      </c>
      <c r="D1809" s="2" t="n">
        <v>173.96</v>
      </c>
      <c r="E1809" s="13" t="n">
        <v>45538</v>
      </c>
    </row>
    <row r="1810" customFormat="false" ht="15" hidden="false" customHeight="false" outlineLevel="0" collapsed="false">
      <c r="A1810" s="2" t="s">
        <v>10895</v>
      </c>
      <c r="B1810" s="2" t="s">
        <v>5661</v>
      </c>
      <c r="C1810" s="2" t="s">
        <v>9087</v>
      </c>
      <c r="D1810" s="2" t="n">
        <v>174.33</v>
      </c>
      <c r="E1810" s="13" t="n">
        <v>45545</v>
      </c>
    </row>
    <row r="1811" customFormat="false" ht="15" hidden="false" customHeight="false" outlineLevel="0" collapsed="false">
      <c r="A1811" s="2" t="s">
        <v>10896</v>
      </c>
      <c r="B1811" s="2" t="s">
        <v>5663</v>
      </c>
      <c r="C1811" s="2" t="s">
        <v>9087</v>
      </c>
      <c r="D1811" s="2" t="n">
        <v>174.7</v>
      </c>
      <c r="E1811" s="13" t="n">
        <v>45552</v>
      </c>
    </row>
    <row r="1812" customFormat="false" ht="15" hidden="false" customHeight="false" outlineLevel="0" collapsed="false">
      <c r="A1812" s="2" t="s">
        <v>10897</v>
      </c>
      <c r="B1812" s="2" t="s">
        <v>5667</v>
      </c>
      <c r="C1812" s="2" t="s">
        <v>9098</v>
      </c>
      <c r="D1812" s="2" t="n">
        <v>175.07</v>
      </c>
      <c r="E1812" s="13" t="n">
        <v>45559</v>
      </c>
    </row>
    <row r="1813" customFormat="false" ht="15" hidden="false" customHeight="false" outlineLevel="0" collapsed="false">
      <c r="A1813" s="2" t="s">
        <v>10898</v>
      </c>
      <c r="B1813" s="2" t="s">
        <v>5669</v>
      </c>
      <c r="C1813" s="2" t="s">
        <v>9085</v>
      </c>
      <c r="D1813" s="2" t="n">
        <v>175.44</v>
      </c>
      <c r="E1813" s="13" t="n">
        <v>45566</v>
      </c>
    </row>
    <row r="1814" customFormat="false" ht="15" hidden="false" customHeight="false" outlineLevel="0" collapsed="false">
      <c r="A1814" s="2" t="s">
        <v>10899</v>
      </c>
      <c r="B1814" s="2" t="s">
        <v>5671</v>
      </c>
      <c r="C1814" s="2" t="s">
        <v>9083</v>
      </c>
      <c r="D1814" s="2" t="n">
        <v>175.81</v>
      </c>
      <c r="E1814" s="13" t="n">
        <v>45573</v>
      </c>
    </row>
    <row r="1815" customFormat="false" ht="15" hidden="false" customHeight="false" outlineLevel="0" collapsed="false">
      <c r="A1815" s="2" t="s">
        <v>10900</v>
      </c>
      <c r="B1815" s="2" t="s">
        <v>5673</v>
      </c>
      <c r="C1815" s="2" t="s">
        <v>9092</v>
      </c>
      <c r="D1815" s="2" t="n">
        <v>176.18</v>
      </c>
      <c r="E1815" s="13" t="n">
        <v>45580</v>
      </c>
    </row>
    <row r="1816" customFormat="false" ht="15" hidden="false" customHeight="false" outlineLevel="0" collapsed="false">
      <c r="A1816" s="2" t="s">
        <v>10901</v>
      </c>
      <c r="B1816" s="2" t="s">
        <v>5677</v>
      </c>
      <c r="C1816" s="2" t="s">
        <v>9087</v>
      </c>
      <c r="D1816" s="2" t="n">
        <v>176.55</v>
      </c>
      <c r="E1816" s="13" t="n">
        <v>45587</v>
      </c>
    </row>
    <row r="1817" customFormat="false" ht="15" hidden="false" customHeight="false" outlineLevel="0" collapsed="false">
      <c r="A1817" s="2" t="s">
        <v>10902</v>
      </c>
      <c r="B1817" s="2" t="s">
        <v>5679</v>
      </c>
      <c r="C1817" s="2" t="s">
        <v>9085</v>
      </c>
      <c r="D1817" s="2" t="n">
        <v>176.92</v>
      </c>
      <c r="E1817" s="13" t="n">
        <v>45594</v>
      </c>
    </row>
    <row r="1818" customFormat="false" ht="15" hidden="false" customHeight="false" outlineLevel="0" collapsed="false">
      <c r="A1818" s="2" t="s">
        <v>10903</v>
      </c>
      <c r="B1818" s="2" t="s">
        <v>5681</v>
      </c>
      <c r="C1818" s="2" t="s">
        <v>9087</v>
      </c>
      <c r="D1818" s="2" t="n">
        <v>177.29</v>
      </c>
      <c r="E1818" s="13" t="n">
        <v>45601</v>
      </c>
    </row>
    <row r="1819" customFormat="false" ht="15" hidden="false" customHeight="false" outlineLevel="0" collapsed="false">
      <c r="A1819" s="2" t="s">
        <v>10904</v>
      </c>
      <c r="B1819" s="2" t="s">
        <v>5683</v>
      </c>
      <c r="C1819" s="2" t="s">
        <v>9083</v>
      </c>
      <c r="D1819" s="2" t="n">
        <v>177.66</v>
      </c>
      <c r="E1819" s="13" t="n">
        <v>45608</v>
      </c>
    </row>
    <row r="1820" customFormat="false" ht="15" hidden="false" customHeight="false" outlineLevel="0" collapsed="false">
      <c r="A1820" s="2" t="s">
        <v>10905</v>
      </c>
      <c r="B1820" s="2" t="s">
        <v>5685</v>
      </c>
      <c r="C1820" s="2" t="s">
        <v>9085</v>
      </c>
      <c r="D1820" s="2" t="n">
        <v>178.03</v>
      </c>
      <c r="E1820" s="13" t="n">
        <v>45615</v>
      </c>
    </row>
    <row r="1821" customFormat="false" ht="15" hidden="false" customHeight="false" outlineLevel="0" collapsed="false">
      <c r="A1821" s="2" t="s">
        <v>10906</v>
      </c>
      <c r="B1821" s="2" t="s">
        <v>5687</v>
      </c>
      <c r="C1821" s="2" t="s">
        <v>9098</v>
      </c>
      <c r="D1821" s="2" t="n">
        <v>178.4</v>
      </c>
      <c r="E1821" s="13" t="n">
        <v>45622</v>
      </c>
    </row>
    <row r="1822" customFormat="false" ht="15" hidden="false" customHeight="false" outlineLevel="0" collapsed="false">
      <c r="A1822" s="2" t="s">
        <v>10907</v>
      </c>
      <c r="B1822" s="2" t="s">
        <v>5689</v>
      </c>
      <c r="C1822" s="2" t="s">
        <v>9087</v>
      </c>
      <c r="D1822" s="2" t="n">
        <v>178.77</v>
      </c>
      <c r="E1822" s="13" t="n">
        <v>45629</v>
      </c>
    </row>
    <row r="1823" customFormat="false" ht="15" hidden="false" customHeight="false" outlineLevel="0" collapsed="false">
      <c r="A1823" s="2" t="s">
        <v>10908</v>
      </c>
      <c r="B1823" s="2" t="s">
        <v>5691</v>
      </c>
      <c r="C1823" s="2" t="s">
        <v>9085</v>
      </c>
      <c r="D1823" s="2" t="n">
        <v>179.14</v>
      </c>
      <c r="E1823" s="13" t="n">
        <v>45636</v>
      </c>
    </row>
    <row r="1824" customFormat="false" ht="15" hidden="false" customHeight="false" outlineLevel="0" collapsed="false">
      <c r="A1824" s="2" t="s">
        <v>10909</v>
      </c>
      <c r="B1824" s="2" t="s">
        <v>5693</v>
      </c>
      <c r="C1824" s="2" t="s">
        <v>9087</v>
      </c>
      <c r="D1824" s="2" t="n">
        <v>179.51</v>
      </c>
      <c r="E1824" s="13" t="n">
        <v>45643</v>
      </c>
    </row>
    <row r="1825" customFormat="false" ht="15" hidden="false" customHeight="false" outlineLevel="0" collapsed="false">
      <c r="A1825" s="2" t="s">
        <v>10910</v>
      </c>
      <c r="B1825" s="2" t="s">
        <v>5695</v>
      </c>
      <c r="C1825" s="2" t="s">
        <v>9085</v>
      </c>
      <c r="D1825" s="2" t="n">
        <v>179.88</v>
      </c>
      <c r="E1825" s="13" t="n">
        <v>45650</v>
      </c>
    </row>
    <row r="1826" customFormat="false" ht="15" hidden="false" customHeight="false" outlineLevel="0" collapsed="false">
      <c r="A1826" s="2" t="s">
        <v>10911</v>
      </c>
      <c r="B1826" s="2" t="s">
        <v>5699</v>
      </c>
      <c r="C1826" s="2" t="s">
        <v>9087</v>
      </c>
      <c r="D1826" s="2" t="n">
        <v>180.25</v>
      </c>
      <c r="E1826" s="13" t="n">
        <v>45657</v>
      </c>
    </row>
    <row r="1827" customFormat="false" ht="15" hidden="false" customHeight="false" outlineLevel="0" collapsed="false">
      <c r="A1827" s="2" t="s">
        <v>10912</v>
      </c>
      <c r="B1827" s="2" t="s">
        <v>5703</v>
      </c>
      <c r="C1827" s="2" t="s">
        <v>9092</v>
      </c>
      <c r="D1827" s="2" t="n">
        <v>180.62</v>
      </c>
      <c r="E1827" s="13" t="n">
        <v>45664</v>
      </c>
    </row>
    <row r="1828" customFormat="false" ht="15" hidden="false" customHeight="false" outlineLevel="0" collapsed="false">
      <c r="A1828" s="2" t="s">
        <v>10913</v>
      </c>
      <c r="B1828" s="2" t="s">
        <v>5705</v>
      </c>
      <c r="C1828" s="2" t="s">
        <v>9087</v>
      </c>
      <c r="D1828" s="2" t="n">
        <v>180.99</v>
      </c>
      <c r="E1828" s="13" t="n">
        <v>45671</v>
      </c>
    </row>
    <row r="1829" customFormat="false" ht="15" hidden="false" customHeight="false" outlineLevel="0" collapsed="false">
      <c r="A1829" s="2" t="s">
        <v>10914</v>
      </c>
      <c r="B1829" s="2" t="s">
        <v>5707</v>
      </c>
      <c r="C1829" s="2" t="s">
        <v>9085</v>
      </c>
      <c r="D1829" s="2" t="n">
        <v>181.36</v>
      </c>
      <c r="E1829" s="13" t="n">
        <v>45678</v>
      </c>
    </row>
    <row r="1830" customFormat="false" ht="15" hidden="false" customHeight="false" outlineLevel="0" collapsed="false">
      <c r="A1830" s="2" t="s">
        <v>10915</v>
      </c>
      <c r="B1830" s="2" t="s">
        <v>5709</v>
      </c>
      <c r="C1830" s="2" t="s">
        <v>9098</v>
      </c>
      <c r="D1830" s="2" t="n">
        <v>181.73</v>
      </c>
      <c r="E1830" s="13" t="n">
        <v>45685</v>
      </c>
    </row>
    <row r="1831" customFormat="false" ht="15" hidden="false" customHeight="false" outlineLevel="0" collapsed="false">
      <c r="A1831" s="2" t="s">
        <v>10916</v>
      </c>
      <c r="B1831" s="2" t="s">
        <v>5711</v>
      </c>
      <c r="C1831" s="2" t="s">
        <v>9098</v>
      </c>
      <c r="D1831" s="2" t="n">
        <v>182.1</v>
      </c>
      <c r="E1831" s="13" t="n">
        <v>45692</v>
      </c>
    </row>
    <row r="1832" customFormat="false" ht="15" hidden="false" customHeight="false" outlineLevel="0" collapsed="false">
      <c r="A1832" s="2" t="s">
        <v>10917</v>
      </c>
      <c r="B1832" s="2" t="s">
        <v>5713</v>
      </c>
      <c r="C1832" s="2" t="s">
        <v>9085</v>
      </c>
      <c r="D1832" s="2" t="n">
        <v>182.47</v>
      </c>
      <c r="E1832" s="13" t="n">
        <v>45699</v>
      </c>
    </row>
    <row r="1833" customFormat="false" ht="15" hidden="false" customHeight="false" outlineLevel="0" collapsed="false">
      <c r="A1833" s="2" t="s">
        <v>10918</v>
      </c>
      <c r="B1833" s="2" t="s">
        <v>5717</v>
      </c>
      <c r="C1833" s="2" t="s">
        <v>9098</v>
      </c>
      <c r="D1833" s="2" t="n">
        <v>182.84</v>
      </c>
      <c r="E1833" s="13" t="n">
        <v>45706</v>
      </c>
    </row>
    <row r="1834" customFormat="false" ht="15" hidden="false" customHeight="false" outlineLevel="0" collapsed="false">
      <c r="A1834" s="2" t="s">
        <v>10919</v>
      </c>
      <c r="B1834" s="2" t="s">
        <v>5719</v>
      </c>
      <c r="C1834" s="2" t="s">
        <v>9098</v>
      </c>
      <c r="D1834" s="2" t="n">
        <v>183.21</v>
      </c>
      <c r="E1834" s="13" t="n">
        <v>45713</v>
      </c>
    </row>
    <row r="1835" customFormat="false" ht="15" hidden="false" customHeight="false" outlineLevel="0" collapsed="false">
      <c r="A1835" s="2" t="s">
        <v>10920</v>
      </c>
      <c r="B1835" s="2" t="s">
        <v>5721</v>
      </c>
      <c r="C1835" s="2" t="s">
        <v>9098</v>
      </c>
      <c r="D1835" s="2" t="n">
        <v>183.58</v>
      </c>
      <c r="E1835" s="13" t="n">
        <v>45720</v>
      </c>
    </row>
    <row r="1836" customFormat="false" ht="15" hidden="false" customHeight="false" outlineLevel="0" collapsed="false">
      <c r="A1836" s="2" t="s">
        <v>10921</v>
      </c>
      <c r="B1836" s="2" t="s">
        <v>5723</v>
      </c>
      <c r="C1836" s="2" t="s">
        <v>9087</v>
      </c>
      <c r="D1836" s="2" t="n">
        <v>183.95</v>
      </c>
      <c r="E1836" s="13" t="n">
        <v>45727</v>
      </c>
    </row>
    <row r="1837" customFormat="false" ht="15" hidden="false" customHeight="false" outlineLevel="0" collapsed="false">
      <c r="A1837" s="2" t="s">
        <v>10922</v>
      </c>
      <c r="B1837" s="2" t="s">
        <v>5725</v>
      </c>
      <c r="C1837" s="2" t="s">
        <v>9085</v>
      </c>
      <c r="D1837" s="2" t="n">
        <v>184.32</v>
      </c>
      <c r="E1837" s="13" t="n">
        <v>45734</v>
      </c>
    </row>
    <row r="1838" customFormat="false" ht="15" hidden="false" customHeight="false" outlineLevel="0" collapsed="false">
      <c r="A1838" s="2" t="s">
        <v>10923</v>
      </c>
      <c r="B1838" s="2" t="s">
        <v>5729</v>
      </c>
      <c r="C1838" s="2" t="s">
        <v>9083</v>
      </c>
      <c r="D1838" s="2" t="n">
        <v>184.69</v>
      </c>
      <c r="E1838" s="13" t="n">
        <v>45741</v>
      </c>
    </row>
    <row r="1839" customFormat="false" ht="15" hidden="false" customHeight="false" outlineLevel="0" collapsed="false">
      <c r="A1839" s="2" t="s">
        <v>10924</v>
      </c>
      <c r="B1839" s="2" t="s">
        <v>5731</v>
      </c>
      <c r="C1839" s="2" t="s">
        <v>9083</v>
      </c>
      <c r="D1839" s="2" t="n">
        <v>185.06</v>
      </c>
      <c r="E1839" s="13" t="n">
        <v>45748</v>
      </c>
    </row>
    <row r="1840" customFormat="false" ht="15" hidden="false" customHeight="false" outlineLevel="0" collapsed="false">
      <c r="A1840" s="2" t="s">
        <v>10925</v>
      </c>
      <c r="B1840" s="2" t="s">
        <v>5735</v>
      </c>
      <c r="C1840" s="2" t="s">
        <v>9085</v>
      </c>
      <c r="D1840" s="2" t="n">
        <v>185.43</v>
      </c>
      <c r="E1840" s="13" t="n">
        <v>45755</v>
      </c>
    </row>
    <row r="1841" customFormat="false" ht="15" hidden="false" customHeight="false" outlineLevel="0" collapsed="false">
      <c r="A1841" s="2" t="s">
        <v>10926</v>
      </c>
      <c r="B1841" s="2" t="s">
        <v>5737</v>
      </c>
      <c r="C1841" s="2" t="s">
        <v>9087</v>
      </c>
      <c r="D1841" s="2" t="n">
        <v>185.8</v>
      </c>
      <c r="E1841" s="13" t="n">
        <v>45762</v>
      </c>
    </row>
    <row r="1842" customFormat="false" ht="15" hidden="false" customHeight="false" outlineLevel="0" collapsed="false">
      <c r="A1842" s="2" t="s">
        <v>10927</v>
      </c>
      <c r="B1842" s="2" t="s">
        <v>5739</v>
      </c>
      <c r="C1842" s="2" t="s">
        <v>9092</v>
      </c>
      <c r="D1842" s="2" t="n">
        <v>186.17</v>
      </c>
      <c r="E1842" s="13" t="n">
        <v>45769</v>
      </c>
    </row>
    <row r="1843" customFormat="false" ht="15" hidden="false" customHeight="false" outlineLevel="0" collapsed="false">
      <c r="A1843" s="2" t="s">
        <v>10928</v>
      </c>
      <c r="B1843" s="2" t="s">
        <v>5741</v>
      </c>
      <c r="C1843" s="2" t="s">
        <v>9087</v>
      </c>
      <c r="D1843" s="2" t="n">
        <v>186.54</v>
      </c>
      <c r="E1843" s="13" t="n">
        <v>45776</v>
      </c>
    </row>
    <row r="1844" customFormat="false" ht="15" hidden="false" customHeight="false" outlineLevel="0" collapsed="false">
      <c r="A1844" s="2" t="s">
        <v>10929</v>
      </c>
      <c r="B1844" s="2" t="s">
        <v>5743</v>
      </c>
      <c r="C1844" s="2" t="s">
        <v>9098</v>
      </c>
      <c r="D1844" s="2" t="n">
        <v>186.91</v>
      </c>
      <c r="E1844" s="13" t="n">
        <v>45783</v>
      </c>
    </row>
    <row r="1845" customFormat="false" ht="15" hidden="false" customHeight="false" outlineLevel="0" collapsed="false">
      <c r="A1845" s="2" t="s">
        <v>10930</v>
      </c>
      <c r="B1845" s="2" t="s">
        <v>5745</v>
      </c>
      <c r="C1845" s="2" t="s">
        <v>9087</v>
      </c>
      <c r="D1845" s="2" t="n">
        <v>187.28</v>
      </c>
      <c r="E1845" s="13" t="n">
        <v>45790</v>
      </c>
    </row>
    <row r="1846" customFormat="false" ht="15" hidden="false" customHeight="false" outlineLevel="0" collapsed="false">
      <c r="A1846" s="2" t="s">
        <v>10931</v>
      </c>
      <c r="B1846" s="2" t="s">
        <v>5747</v>
      </c>
      <c r="C1846" s="2" t="s">
        <v>9092</v>
      </c>
      <c r="D1846" s="2" t="n">
        <v>187.65</v>
      </c>
      <c r="E1846" s="13" t="n">
        <v>45797</v>
      </c>
    </row>
    <row r="1847" customFormat="false" ht="15" hidden="false" customHeight="false" outlineLevel="0" collapsed="false">
      <c r="A1847" s="2" t="s">
        <v>10932</v>
      </c>
      <c r="B1847" s="2" t="s">
        <v>5749</v>
      </c>
      <c r="C1847" s="2" t="s">
        <v>9085</v>
      </c>
      <c r="D1847" s="2" t="n">
        <v>188.02</v>
      </c>
      <c r="E1847" s="13" t="n">
        <v>45804</v>
      </c>
    </row>
    <row r="1848" customFormat="false" ht="15" hidden="false" customHeight="false" outlineLevel="0" collapsed="false">
      <c r="A1848" s="2" t="s">
        <v>10933</v>
      </c>
      <c r="B1848" s="2" t="s">
        <v>5753</v>
      </c>
      <c r="C1848" s="2" t="s">
        <v>9085</v>
      </c>
      <c r="D1848" s="2" t="n">
        <v>188.39</v>
      </c>
      <c r="E1848" s="13" t="n">
        <v>45811</v>
      </c>
    </row>
    <row r="1849" customFormat="false" ht="15" hidden="false" customHeight="false" outlineLevel="0" collapsed="false">
      <c r="A1849" s="2" t="s">
        <v>10934</v>
      </c>
      <c r="B1849" s="2" t="s">
        <v>5755</v>
      </c>
      <c r="C1849" s="2" t="s">
        <v>9092</v>
      </c>
      <c r="D1849" s="2" t="n">
        <v>188.76</v>
      </c>
      <c r="E1849" s="13" t="n">
        <v>45818</v>
      </c>
    </row>
    <row r="1850" customFormat="false" ht="15" hidden="false" customHeight="false" outlineLevel="0" collapsed="false">
      <c r="A1850" s="2" t="s">
        <v>10935</v>
      </c>
      <c r="B1850" s="2" t="s">
        <v>5757</v>
      </c>
      <c r="C1850" s="2" t="s">
        <v>9092</v>
      </c>
      <c r="D1850" s="2" t="n">
        <v>189.13</v>
      </c>
      <c r="E1850" s="13" t="n">
        <v>45825</v>
      </c>
    </row>
    <row r="1851" customFormat="false" ht="15" hidden="false" customHeight="false" outlineLevel="0" collapsed="false">
      <c r="A1851" s="2" t="s">
        <v>10936</v>
      </c>
      <c r="B1851" s="2" t="s">
        <v>5759</v>
      </c>
      <c r="C1851" s="2" t="s">
        <v>9092</v>
      </c>
      <c r="D1851" s="2" t="n">
        <v>189.5</v>
      </c>
      <c r="E1851" s="13" t="n">
        <v>45832</v>
      </c>
    </row>
    <row r="1852" customFormat="false" ht="15" hidden="false" customHeight="false" outlineLevel="0" collapsed="false">
      <c r="A1852" s="2" t="s">
        <v>10937</v>
      </c>
      <c r="B1852" s="2" t="s">
        <v>5761</v>
      </c>
      <c r="C1852" s="2" t="s">
        <v>9085</v>
      </c>
      <c r="D1852" s="2" t="n">
        <v>189.87</v>
      </c>
      <c r="E1852" s="13" t="n">
        <v>45839</v>
      </c>
    </row>
    <row r="1853" customFormat="false" ht="15" hidden="false" customHeight="false" outlineLevel="0" collapsed="false">
      <c r="A1853" s="2" t="s">
        <v>10938</v>
      </c>
      <c r="B1853" s="2" t="s">
        <v>5765</v>
      </c>
      <c r="C1853" s="2" t="s">
        <v>9098</v>
      </c>
      <c r="D1853" s="2" t="n">
        <v>190.24</v>
      </c>
      <c r="E1853" s="13" t="n">
        <v>45846</v>
      </c>
    </row>
    <row r="1854" customFormat="false" ht="15" hidden="false" customHeight="false" outlineLevel="0" collapsed="false">
      <c r="A1854" s="2" t="s">
        <v>10939</v>
      </c>
      <c r="B1854" s="2" t="s">
        <v>5769</v>
      </c>
      <c r="C1854" s="2" t="s">
        <v>9087</v>
      </c>
      <c r="D1854" s="2" t="n">
        <v>190.61</v>
      </c>
      <c r="E1854" s="13" t="n">
        <v>45853</v>
      </c>
    </row>
    <row r="1855" customFormat="false" ht="15" hidden="false" customHeight="false" outlineLevel="0" collapsed="false">
      <c r="A1855" s="2" t="s">
        <v>10940</v>
      </c>
      <c r="B1855" s="2" t="s">
        <v>5771</v>
      </c>
      <c r="C1855" s="2" t="s">
        <v>9098</v>
      </c>
      <c r="D1855" s="2" t="n">
        <v>190.98</v>
      </c>
      <c r="E1855" s="13" t="n">
        <v>45860</v>
      </c>
    </row>
    <row r="1856" customFormat="false" ht="15" hidden="false" customHeight="false" outlineLevel="0" collapsed="false">
      <c r="A1856" s="2" t="s">
        <v>10941</v>
      </c>
      <c r="B1856" s="2" t="s">
        <v>5773</v>
      </c>
      <c r="C1856" s="2" t="s">
        <v>9087</v>
      </c>
      <c r="D1856" s="2" t="n">
        <v>191.35</v>
      </c>
      <c r="E1856" s="13" t="n">
        <v>45867</v>
      </c>
    </row>
    <row r="1857" customFormat="false" ht="15" hidden="false" customHeight="false" outlineLevel="0" collapsed="false">
      <c r="A1857" s="2" t="s">
        <v>10942</v>
      </c>
      <c r="B1857" s="2" t="s">
        <v>5775</v>
      </c>
      <c r="C1857" s="2" t="s">
        <v>9098</v>
      </c>
      <c r="D1857" s="2" t="n">
        <v>191.72</v>
      </c>
      <c r="E1857" s="13" t="n">
        <v>45874</v>
      </c>
    </row>
    <row r="1858" customFormat="false" ht="15" hidden="false" customHeight="false" outlineLevel="0" collapsed="false">
      <c r="A1858" s="2" t="s">
        <v>10943</v>
      </c>
      <c r="B1858" s="2" t="s">
        <v>5777</v>
      </c>
      <c r="C1858" s="2" t="s">
        <v>9085</v>
      </c>
      <c r="D1858" s="2" t="n">
        <v>192.09</v>
      </c>
      <c r="E1858" s="13" t="n">
        <v>45881</v>
      </c>
    </row>
    <row r="1859" customFormat="false" ht="15" hidden="false" customHeight="false" outlineLevel="0" collapsed="false">
      <c r="A1859" s="2" t="s">
        <v>10944</v>
      </c>
      <c r="B1859" s="2" t="s">
        <v>5779</v>
      </c>
      <c r="C1859" s="2" t="s">
        <v>9087</v>
      </c>
      <c r="D1859" s="2" t="n">
        <v>192.46</v>
      </c>
      <c r="E1859" s="13" t="n">
        <v>45888</v>
      </c>
    </row>
    <row r="1860" customFormat="false" ht="15" hidden="false" customHeight="false" outlineLevel="0" collapsed="false">
      <c r="A1860" s="2" t="s">
        <v>10945</v>
      </c>
      <c r="B1860" s="2" t="s">
        <v>5781</v>
      </c>
      <c r="C1860" s="2" t="s">
        <v>9085</v>
      </c>
      <c r="D1860" s="2" t="n">
        <v>192.83</v>
      </c>
      <c r="E1860" s="13" t="n">
        <v>45895</v>
      </c>
    </row>
    <row r="1861" customFormat="false" ht="15" hidden="false" customHeight="false" outlineLevel="0" collapsed="false">
      <c r="A1861" s="2" t="s">
        <v>10946</v>
      </c>
      <c r="B1861" s="2" t="s">
        <v>5785</v>
      </c>
      <c r="C1861" s="2" t="s">
        <v>9087</v>
      </c>
      <c r="D1861" s="2" t="n">
        <v>193.2</v>
      </c>
      <c r="E1861" s="13" t="n">
        <v>45902</v>
      </c>
    </row>
    <row r="1862" customFormat="false" ht="15" hidden="false" customHeight="false" outlineLevel="0" collapsed="false">
      <c r="A1862" s="2" t="s">
        <v>10947</v>
      </c>
      <c r="B1862" s="2" t="s">
        <v>5787</v>
      </c>
      <c r="C1862" s="2" t="s">
        <v>9083</v>
      </c>
      <c r="D1862" s="2" t="n">
        <v>193.57</v>
      </c>
      <c r="E1862" s="13" t="n">
        <v>45909</v>
      </c>
    </row>
    <row r="1863" customFormat="false" ht="15" hidden="false" customHeight="false" outlineLevel="0" collapsed="false">
      <c r="A1863" s="2" t="s">
        <v>10948</v>
      </c>
      <c r="B1863" s="2" t="s">
        <v>5789</v>
      </c>
      <c r="C1863" s="2" t="s">
        <v>9087</v>
      </c>
      <c r="D1863" s="2" t="n">
        <v>193.94</v>
      </c>
      <c r="E1863" s="13" t="n">
        <v>45916</v>
      </c>
    </row>
    <row r="1864" customFormat="false" ht="15" hidden="false" customHeight="false" outlineLevel="0" collapsed="false">
      <c r="A1864" s="2" t="s">
        <v>10949</v>
      </c>
      <c r="B1864" s="2" t="s">
        <v>5791</v>
      </c>
      <c r="C1864" s="2" t="s">
        <v>9085</v>
      </c>
      <c r="D1864" s="2" t="n">
        <v>194.31</v>
      </c>
      <c r="E1864" s="13" t="n">
        <v>45923</v>
      </c>
    </row>
    <row r="1865" customFormat="false" ht="15" hidden="false" customHeight="false" outlineLevel="0" collapsed="false">
      <c r="A1865" s="2" t="s">
        <v>10950</v>
      </c>
      <c r="B1865" s="2" t="s">
        <v>5795</v>
      </c>
      <c r="C1865" s="2" t="s">
        <v>9083</v>
      </c>
      <c r="D1865" s="2" t="n">
        <v>194.68</v>
      </c>
      <c r="E1865" s="13" t="n">
        <v>45930</v>
      </c>
    </row>
    <row r="1866" customFormat="false" ht="15" hidden="false" customHeight="false" outlineLevel="0" collapsed="false">
      <c r="A1866" s="2" t="s">
        <v>10951</v>
      </c>
      <c r="B1866" s="2" t="s">
        <v>5797</v>
      </c>
      <c r="C1866" s="2" t="s">
        <v>9083</v>
      </c>
      <c r="D1866" s="2" t="n">
        <v>195.05</v>
      </c>
      <c r="E1866" s="13" t="n">
        <v>45937</v>
      </c>
    </row>
    <row r="1867" customFormat="false" ht="15" hidden="false" customHeight="false" outlineLevel="0" collapsed="false">
      <c r="A1867" s="2" t="s">
        <v>10952</v>
      </c>
      <c r="B1867" s="2" t="s">
        <v>5801</v>
      </c>
      <c r="C1867" s="2" t="s">
        <v>9085</v>
      </c>
      <c r="D1867" s="2" t="n">
        <v>195.42</v>
      </c>
      <c r="E1867" s="13" t="n">
        <v>45944</v>
      </c>
    </row>
    <row r="1868" customFormat="false" ht="15" hidden="false" customHeight="false" outlineLevel="0" collapsed="false">
      <c r="A1868" s="2" t="s">
        <v>10953</v>
      </c>
      <c r="B1868" s="2" t="s">
        <v>5805</v>
      </c>
      <c r="C1868" s="2" t="s">
        <v>9098</v>
      </c>
      <c r="D1868" s="2" t="n">
        <v>195.79</v>
      </c>
      <c r="E1868" s="13" t="n">
        <v>45951</v>
      </c>
    </row>
    <row r="1869" customFormat="false" ht="15" hidden="false" customHeight="false" outlineLevel="0" collapsed="false">
      <c r="A1869" s="2" t="s">
        <v>10954</v>
      </c>
      <c r="B1869" s="2" t="s">
        <v>5807</v>
      </c>
      <c r="C1869" s="2" t="s">
        <v>9092</v>
      </c>
      <c r="D1869" s="2" t="n">
        <v>196.16</v>
      </c>
      <c r="E1869" s="13" t="n">
        <v>45958</v>
      </c>
    </row>
    <row r="1870" customFormat="false" ht="15" hidden="false" customHeight="false" outlineLevel="0" collapsed="false">
      <c r="A1870" s="2" t="s">
        <v>10955</v>
      </c>
      <c r="B1870" s="2" t="s">
        <v>5809</v>
      </c>
      <c r="C1870" s="2" t="s">
        <v>9085</v>
      </c>
      <c r="D1870" s="2" t="n">
        <v>196.53</v>
      </c>
      <c r="E1870" s="13" t="n">
        <v>45965</v>
      </c>
    </row>
    <row r="1871" customFormat="false" ht="15" hidden="false" customHeight="false" outlineLevel="0" collapsed="false">
      <c r="A1871" s="2" t="s">
        <v>10956</v>
      </c>
      <c r="B1871" s="2" t="s">
        <v>5813</v>
      </c>
      <c r="C1871" s="2" t="s">
        <v>9098</v>
      </c>
      <c r="D1871" s="2" t="n">
        <v>196.9</v>
      </c>
      <c r="E1871" s="13" t="n">
        <v>45972</v>
      </c>
    </row>
    <row r="1872" customFormat="false" ht="15" hidden="false" customHeight="false" outlineLevel="0" collapsed="false">
      <c r="A1872" s="2" t="s">
        <v>10957</v>
      </c>
      <c r="B1872" s="2" t="s">
        <v>5815</v>
      </c>
      <c r="C1872" s="2" t="s">
        <v>9092</v>
      </c>
      <c r="D1872" s="2" t="n">
        <v>197.27</v>
      </c>
      <c r="E1872" s="13" t="n">
        <v>45979</v>
      </c>
    </row>
    <row r="1873" customFormat="false" ht="15" hidden="false" customHeight="false" outlineLevel="0" collapsed="false">
      <c r="A1873" s="2" t="s">
        <v>10958</v>
      </c>
      <c r="B1873" s="2" t="s">
        <v>5817</v>
      </c>
      <c r="C1873" s="2" t="s">
        <v>9098</v>
      </c>
      <c r="D1873" s="2" t="n">
        <v>197.64</v>
      </c>
      <c r="E1873" s="13" t="n">
        <v>45986</v>
      </c>
    </row>
    <row r="1874" customFormat="false" ht="15" hidden="false" customHeight="false" outlineLevel="0" collapsed="false">
      <c r="A1874" s="2" t="s">
        <v>10959</v>
      </c>
      <c r="B1874" s="2" t="s">
        <v>5819</v>
      </c>
      <c r="C1874" s="2" t="s">
        <v>9087</v>
      </c>
      <c r="D1874" s="2" t="n">
        <v>198.01</v>
      </c>
      <c r="E1874" s="13" t="n">
        <v>45993</v>
      </c>
    </row>
    <row r="1875" customFormat="false" ht="15" hidden="false" customHeight="false" outlineLevel="0" collapsed="false">
      <c r="A1875" s="2" t="s">
        <v>10960</v>
      </c>
      <c r="B1875" s="2" t="s">
        <v>5821</v>
      </c>
      <c r="C1875" s="2" t="s">
        <v>9085</v>
      </c>
      <c r="D1875" s="2" t="n">
        <v>198.38</v>
      </c>
      <c r="E1875" s="13" t="n">
        <v>46000</v>
      </c>
    </row>
    <row r="1876" customFormat="false" ht="15" hidden="false" customHeight="false" outlineLevel="0" collapsed="false">
      <c r="A1876" s="2" t="s">
        <v>10961</v>
      </c>
      <c r="B1876" s="2" t="s">
        <v>5823</v>
      </c>
      <c r="C1876" s="2" t="s">
        <v>9083</v>
      </c>
      <c r="D1876" s="2" t="n">
        <v>198.75</v>
      </c>
      <c r="E1876" s="13" t="n">
        <v>46007</v>
      </c>
    </row>
    <row r="1877" customFormat="false" ht="15" hidden="false" customHeight="false" outlineLevel="0" collapsed="false">
      <c r="A1877" s="2" t="s">
        <v>10962</v>
      </c>
      <c r="B1877" s="2" t="s">
        <v>5827</v>
      </c>
      <c r="C1877" s="2" t="s">
        <v>9085</v>
      </c>
      <c r="D1877" s="2" t="n">
        <v>199.12</v>
      </c>
      <c r="E1877" s="13" t="n">
        <v>46014</v>
      </c>
    </row>
    <row r="1878" customFormat="false" ht="15" hidden="false" customHeight="false" outlineLevel="0" collapsed="false">
      <c r="A1878" s="2" t="s">
        <v>10963</v>
      </c>
      <c r="B1878" s="2" t="s">
        <v>5829</v>
      </c>
      <c r="C1878" s="2" t="s">
        <v>9092</v>
      </c>
      <c r="D1878" s="2" t="n">
        <v>199.49</v>
      </c>
      <c r="E1878" s="13" t="n">
        <v>46021</v>
      </c>
    </row>
    <row r="1879" customFormat="false" ht="15" hidden="false" customHeight="false" outlineLevel="0" collapsed="false">
      <c r="A1879" s="2" t="s">
        <v>10964</v>
      </c>
      <c r="B1879" s="2" t="s">
        <v>5833</v>
      </c>
      <c r="C1879" s="2" t="s">
        <v>9085</v>
      </c>
      <c r="D1879" s="2" t="n">
        <v>199.86</v>
      </c>
      <c r="E1879" s="13" t="n">
        <v>45298</v>
      </c>
    </row>
    <row r="1880" customFormat="false" ht="15" hidden="false" customHeight="false" outlineLevel="0" collapsed="false">
      <c r="A1880" s="2" t="s">
        <v>10965</v>
      </c>
      <c r="B1880" s="2" t="s">
        <v>5837</v>
      </c>
      <c r="C1880" s="2" t="s">
        <v>9087</v>
      </c>
      <c r="D1880" s="2" t="n">
        <v>200.23</v>
      </c>
      <c r="E1880" s="13" t="n">
        <v>45305</v>
      </c>
    </row>
    <row r="1881" customFormat="false" ht="15" hidden="false" customHeight="false" outlineLevel="0" collapsed="false">
      <c r="A1881" s="2" t="s">
        <v>10966</v>
      </c>
      <c r="B1881" s="2" t="s">
        <v>5839</v>
      </c>
      <c r="C1881" s="2" t="s">
        <v>9098</v>
      </c>
      <c r="D1881" s="2" t="n">
        <v>200.6</v>
      </c>
      <c r="E1881" s="13" t="n">
        <v>45312</v>
      </c>
    </row>
    <row r="1882" customFormat="false" ht="15" hidden="false" customHeight="false" outlineLevel="0" collapsed="false">
      <c r="A1882" s="2" t="s">
        <v>10967</v>
      </c>
      <c r="B1882" s="2" t="s">
        <v>5841</v>
      </c>
      <c r="C1882" s="2" t="s">
        <v>9085</v>
      </c>
      <c r="D1882" s="2" t="n">
        <v>200.97</v>
      </c>
      <c r="E1882" s="13" t="n">
        <v>45319</v>
      </c>
    </row>
    <row r="1883" customFormat="false" ht="15" hidden="false" customHeight="false" outlineLevel="0" collapsed="false">
      <c r="A1883" s="2" t="s">
        <v>10968</v>
      </c>
      <c r="B1883" s="2" t="s">
        <v>5845</v>
      </c>
      <c r="C1883" s="2" t="s">
        <v>9085</v>
      </c>
      <c r="D1883" s="2" t="n">
        <v>201.34</v>
      </c>
      <c r="E1883" s="13" t="n">
        <v>45326</v>
      </c>
    </row>
    <row r="1884" customFormat="false" ht="15" hidden="false" customHeight="false" outlineLevel="0" collapsed="false">
      <c r="A1884" s="2" t="s">
        <v>10969</v>
      </c>
      <c r="B1884" s="2" t="s">
        <v>5847</v>
      </c>
      <c r="C1884" s="2" t="s">
        <v>9087</v>
      </c>
      <c r="D1884" s="2" t="n">
        <v>201.71</v>
      </c>
      <c r="E1884" s="13" t="n">
        <v>45333</v>
      </c>
    </row>
    <row r="1885" customFormat="false" ht="15" hidden="false" customHeight="false" outlineLevel="0" collapsed="false">
      <c r="A1885" s="2" t="s">
        <v>10970</v>
      </c>
      <c r="B1885" s="2" t="s">
        <v>5849</v>
      </c>
      <c r="C1885" s="2" t="s">
        <v>9098</v>
      </c>
      <c r="D1885" s="2" t="n">
        <v>202.08</v>
      </c>
      <c r="E1885" s="13" t="n">
        <v>45340</v>
      </c>
    </row>
    <row r="1886" customFormat="false" ht="15" hidden="false" customHeight="false" outlineLevel="0" collapsed="false">
      <c r="A1886" s="2" t="s">
        <v>10971</v>
      </c>
      <c r="B1886" s="2" t="s">
        <v>5851</v>
      </c>
      <c r="C1886" s="2" t="s">
        <v>9085</v>
      </c>
      <c r="D1886" s="2" t="n">
        <v>202.45</v>
      </c>
      <c r="E1886" s="13" t="n">
        <v>45347</v>
      </c>
    </row>
    <row r="1887" customFormat="false" ht="15" hidden="false" customHeight="false" outlineLevel="0" collapsed="false">
      <c r="A1887" s="2" t="s">
        <v>10972</v>
      </c>
      <c r="B1887" s="2" t="s">
        <v>5853</v>
      </c>
      <c r="C1887" s="2" t="s">
        <v>9087</v>
      </c>
      <c r="D1887" s="2" t="n">
        <v>202.82</v>
      </c>
      <c r="E1887" s="13" t="n">
        <v>45354</v>
      </c>
    </row>
    <row r="1888" customFormat="false" ht="15" hidden="false" customHeight="false" outlineLevel="0" collapsed="false">
      <c r="A1888" s="2" t="s">
        <v>10973</v>
      </c>
      <c r="B1888" s="2" t="s">
        <v>5855</v>
      </c>
      <c r="C1888" s="2" t="s">
        <v>9087</v>
      </c>
      <c r="D1888" s="2" t="n">
        <v>203.19</v>
      </c>
      <c r="E1888" s="13" t="n">
        <v>45361</v>
      </c>
    </row>
    <row r="1889" customFormat="false" ht="15" hidden="false" customHeight="false" outlineLevel="0" collapsed="false">
      <c r="A1889" s="2" t="s">
        <v>10974</v>
      </c>
      <c r="B1889" s="2" t="s">
        <v>5857</v>
      </c>
      <c r="C1889" s="2" t="s">
        <v>9087</v>
      </c>
      <c r="D1889" s="2" t="n">
        <v>203.56</v>
      </c>
      <c r="E1889" s="13" t="n">
        <v>45368</v>
      </c>
    </row>
    <row r="1890" customFormat="false" ht="15" hidden="false" customHeight="false" outlineLevel="0" collapsed="false">
      <c r="A1890" s="2" t="s">
        <v>10975</v>
      </c>
      <c r="B1890" s="2" t="s">
        <v>5859</v>
      </c>
      <c r="C1890" s="2" t="s">
        <v>9092</v>
      </c>
      <c r="D1890" s="2" t="n">
        <v>203.93</v>
      </c>
      <c r="E1890" s="13" t="n">
        <v>45375</v>
      </c>
    </row>
    <row r="1891" customFormat="false" ht="15" hidden="false" customHeight="false" outlineLevel="0" collapsed="false">
      <c r="A1891" s="2" t="s">
        <v>10976</v>
      </c>
      <c r="B1891" s="2" t="s">
        <v>5863</v>
      </c>
      <c r="C1891" s="2" t="s">
        <v>9087</v>
      </c>
      <c r="D1891" s="2" t="n">
        <v>204.3</v>
      </c>
      <c r="E1891" s="13" t="n">
        <v>45382</v>
      </c>
    </row>
    <row r="1892" customFormat="false" ht="15" hidden="false" customHeight="false" outlineLevel="0" collapsed="false">
      <c r="A1892" s="2" t="s">
        <v>10977</v>
      </c>
      <c r="B1892" s="2" t="s">
        <v>5865</v>
      </c>
      <c r="C1892" s="2" t="s">
        <v>9085</v>
      </c>
      <c r="D1892" s="2" t="n">
        <v>204.67</v>
      </c>
      <c r="E1892" s="13" t="n">
        <v>45389</v>
      </c>
    </row>
    <row r="1893" customFormat="false" ht="15" hidden="false" customHeight="false" outlineLevel="0" collapsed="false">
      <c r="A1893" s="2" t="s">
        <v>10978</v>
      </c>
      <c r="B1893" s="2" t="s">
        <v>5867</v>
      </c>
      <c r="C1893" s="2" t="s">
        <v>9092</v>
      </c>
      <c r="D1893" s="2" t="n">
        <v>205.04</v>
      </c>
      <c r="E1893" s="13" t="n">
        <v>45396</v>
      </c>
    </row>
    <row r="1894" customFormat="false" ht="15" hidden="false" customHeight="false" outlineLevel="0" collapsed="false">
      <c r="A1894" s="2" t="s">
        <v>10979</v>
      </c>
      <c r="B1894" s="2" t="s">
        <v>5869</v>
      </c>
      <c r="C1894" s="2" t="s">
        <v>9085</v>
      </c>
      <c r="D1894" s="2" t="n">
        <v>205.41</v>
      </c>
      <c r="E1894" s="13" t="n">
        <v>45403</v>
      </c>
    </row>
    <row r="1895" customFormat="false" ht="15" hidden="false" customHeight="false" outlineLevel="0" collapsed="false">
      <c r="A1895" s="2" t="s">
        <v>10980</v>
      </c>
      <c r="B1895" s="2" t="s">
        <v>5871</v>
      </c>
      <c r="C1895" s="2" t="s">
        <v>9098</v>
      </c>
      <c r="D1895" s="2" t="n">
        <v>205.78</v>
      </c>
      <c r="E1895" s="13" t="n">
        <v>45410</v>
      </c>
    </row>
    <row r="1896" customFormat="false" ht="15" hidden="false" customHeight="false" outlineLevel="0" collapsed="false">
      <c r="A1896" s="2" t="s">
        <v>10981</v>
      </c>
      <c r="B1896" s="2" t="s">
        <v>5873</v>
      </c>
      <c r="C1896" s="2" t="s">
        <v>9098</v>
      </c>
      <c r="D1896" s="2" t="n">
        <v>206.15</v>
      </c>
      <c r="E1896" s="13" t="n">
        <v>45417</v>
      </c>
    </row>
    <row r="1897" customFormat="false" ht="15" hidden="false" customHeight="false" outlineLevel="0" collapsed="false">
      <c r="A1897" s="2" t="s">
        <v>10982</v>
      </c>
      <c r="B1897" s="2" t="s">
        <v>5875</v>
      </c>
      <c r="C1897" s="2" t="s">
        <v>9098</v>
      </c>
      <c r="D1897" s="2" t="n">
        <v>206.52</v>
      </c>
      <c r="E1897" s="13" t="n">
        <v>45424</v>
      </c>
    </row>
    <row r="1898" customFormat="false" ht="15" hidden="false" customHeight="false" outlineLevel="0" collapsed="false">
      <c r="A1898" s="2" t="s">
        <v>10983</v>
      </c>
      <c r="B1898" s="2" t="s">
        <v>5877</v>
      </c>
      <c r="C1898" s="2" t="s">
        <v>9085</v>
      </c>
      <c r="D1898" s="2" t="n">
        <v>206.89</v>
      </c>
      <c r="E1898" s="13" t="n">
        <v>45431</v>
      </c>
    </row>
    <row r="1899" customFormat="false" ht="15" hidden="false" customHeight="false" outlineLevel="0" collapsed="false">
      <c r="A1899" s="2" t="s">
        <v>10984</v>
      </c>
      <c r="B1899" s="2" t="s">
        <v>5881</v>
      </c>
      <c r="C1899" s="2" t="s">
        <v>9085</v>
      </c>
      <c r="D1899" s="2" t="n">
        <v>207.26</v>
      </c>
      <c r="E1899" s="13" t="n">
        <v>45438</v>
      </c>
    </row>
    <row r="1900" customFormat="false" ht="15" hidden="false" customHeight="false" outlineLevel="0" collapsed="false">
      <c r="A1900" s="2" t="s">
        <v>10985</v>
      </c>
      <c r="B1900" s="2" t="s">
        <v>5883</v>
      </c>
      <c r="C1900" s="2" t="s">
        <v>9098</v>
      </c>
      <c r="D1900" s="2" t="n">
        <v>207.63</v>
      </c>
      <c r="E1900" s="13" t="n">
        <v>45445</v>
      </c>
    </row>
    <row r="1901" customFormat="false" ht="15" hidden="false" customHeight="false" outlineLevel="0" collapsed="false">
      <c r="A1901" s="2" t="s">
        <v>10986</v>
      </c>
      <c r="B1901" s="2" t="s">
        <v>5885</v>
      </c>
      <c r="C1901" s="2" t="s">
        <v>9085</v>
      </c>
      <c r="D1901" s="2" t="n">
        <v>208</v>
      </c>
      <c r="E1901" s="13" t="n">
        <v>45452</v>
      </c>
    </row>
    <row r="1902" customFormat="false" ht="15" hidden="false" customHeight="false" outlineLevel="0" collapsed="false">
      <c r="A1902" s="2" t="s">
        <v>10987</v>
      </c>
      <c r="B1902" s="2" t="s">
        <v>5887</v>
      </c>
      <c r="C1902" s="2" t="s">
        <v>9098</v>
      </c>
      <c r="D1902" s="2" t="n">
        <v>208.37</v>
      </c>
      <c r="E1902" s="13" t="n">
        <v>45459</v>
      </c>
    </row>
    <row r="1903" customFormat="false" ht="15" hidden="false" customHeight="false" outlineLevel="0" collapsed="false">
      <c r="A1903" s="2" t="s">
        <v>10988</v>
      </c>
      <c r="B1903" s="2" t="s">
        <v>5889</v>
      </c>
      <c r="C1903" s="2" t="s">
        <v>9092</v>
      </c>
      <c r="D1903" s="2" t="n">
        <v>208.74</v>
      </c>
      <c r="E1903" s="13" t="n">
        <v>45466</v>
      </c>
    </row>
    <row r="1904" customFormat="false" ht="15" hidden="false" customHeight="false" outlineLevel="0" collapsed="false">
      <c r="A1904" s="2" t="s">
        <v>10989</v>
      </c>
      <c r="B1904" s="2" t="s">
        <v>5891</v>
      </c>
      <c r="C1904" s="2" t="s">
        <v>9085</v>
      </c>
      <c r="D1904" s="2" t="n">
        <v>209.11</v>
      </c>
      <c r="E1904" s="13" t="n">
        <v>45473</v>
      </c>
    </row>
    <row r="1905" customFormat="false" ht="15" hidden="false" customHeight="false" outlineLevel="0" collapsed="false">
      <c r="A1905" s="2" t="s">
        <v>10990</v>
      </c>
      <c r="B1905" s="2" t="s">
        <v>5893</v>
      </c>
      <c r="C1905" s="2" t="s">
        <v>9092</v>
      </c>
      <c r="D1905" s="2" t="n">
        <v>209.48</v>
      </c>
      <c r="E1905" s="13" t="n">
        <v>45480</v>
      </c>
    </row>
    <row r="1906" customFormat="false" ht="15" hidden="false" customHeight="false" outlineLevel="0" collapsed="false">
      <c r="A1906" s="2" t="s">
        <v>10991</v>
      </c>
      <c r="B1906" s="2" t="s">
        <v>5895</v>
      </c>
      <c r="C1906" s="2" t="s">
        <v>9083</v>
      </c>
      <c r="D1906" s="2" t="n">
        <v>209.85</v>
      </c>
      <c r="E1906" s="13" t="n">
        <v>45487</v>
      </c>
    </row>
    <row r="1907" customFormat="false" ht="15" hidden="false" customHeight="false" outlineLevel="0" collapsed="false">
      <c r="A1907" s="2" t="s">
        <v>10992</v>
      </c>
      <c r="B1907" s="2" t="s">
        <v>5897</v>
      </c>
      <c r="C1907" s="2" t="s">
        <v>9085</v>
      </c>
      <c r="D1907" s="2" t="n">
        <v>210.22</v>
      </c>
      <c r="E1907" s="13" t="n">
        <v>45494</v>
      </c>
    </row>
    <row r="1908" customFormat="false" ht="15" hidden="false" customHeight="false" outlineLevel="0" collapsed="false">
      <c r="A1908" s="2" t="s">
        <v>10993</v>
      </c>
      <c r="B1908" s="2" t="s">
        <v>5899</v>
      </c>
      <c r="C1908" s="2" t="s">
        <v>9083</v>
      </c>
      <c r="D1908" s="2" t="n">
        <v>210.59</v>
      </c>
      <c r="E1908" s="13" t="n">
        <v>45501</v>
      </c>
    </row>
    <row r="1909" customFormat="false" ht="15" hidden="false" customHeight="false" outlineLevel="0" collapsed="false">
      <c r="A1909" s="2" t="s">
        <v>10994</v>
      </c>
      <c r="B1909" s="2" t="s">
        <v>5901</v>
      </c>
      <c r="C1909" s="2" t="s">
        <v>9092</v>
      </c>
      <c r="D1909" s="2" t="n">
        <v>210.96</v>
      </c>
      <c r="E1909" s="13" t="n">
        <v>45508</v>
      </c>
    </row>
    <row r="1910" customFormat="false" ht="15" hidden="false" customHeight="false" outlineLevel="0" collapsed="false">
      <c r="A1910" s="2" t="s">
        <v>10995</v>
      </c>
      <c r="B1910" s="2" t="s">
        <v>5903</v>
      </c>
      <c r="C1910" s="2" t="s">
        <v>9087</v>
      </c>
      <c r="D1910" s="2" t="n">
        <v>211.33</v>
      </c>
      <c r="E1910" s="13" t="n">
        <v>45515</v>
      </c>
    </row>
    <row r="1911" customFormat="false" ht="15" hidden="false" customHeight="false" outlineLevel="0" collapsed="false">
      <c r="A1911" s="2" t="s">
        <v>10996</v>
      </c>
      <c r="B1911" s="2" t="s">
        <v>5905</v>
      </c>
      <c r="C1911" s="2" t="s">
        <v>9083</v>
      </c>
      <c r="D1911" s="2" t="n">
        <v>211.7</v>
      </c>
      <c r="E1911" s="13" t="n">
        <v>45522</v>
      </c>
    </row>
    <row r="1912" customFormat="false" ht="15" hidden="false" customHeight="false" outlineLevel="0" collapsed="false">
      <c r="A1912" s="2" t="s">
        <v>10997</v>
      </c>
      <c r="B1912" s="2" t="s">
        <v>5907</v>
      </c>
      <c r="C1912" s="2" t="s">
        <v>9085</v>
      </c>
      <c r="D1912" s="2" t="n">
        <v>212.07</v>
      </c>
      <c r="E1912" s="13" t="n">
        <v>45529</v>
      </c>
    </row>
    <row r="1913" customFormat="false" ht="15" hidden="false" customHeight="false" outlineLevel="0" collapsed="false">
      <c r="A1913" s="2" t="s">
        <v>10998</v>
      </c>
      <c r="B1913" s="2" t="s">
        <v>5909</v>
      </c>
      <c r="C1913" s="2" t="s">
        <v>9083</v>
      </c>
      <c r="D1913" s="2" t="n">
        <v>212.44</v>
      </c>
      <c r="E1913" s="13" t="n">
        <v>45536</v>
      </c>
    </row>
    <row r="1914" customFormat="false" ht="15" hidden="false" customHeight="false" outlineLevel="0" collapsed="false">
      <c r="A1914" s="2" t="s">
        <v>10999</v>
      </c>
      <c r="B1914" s="2" t="s">
        <v>5911</v>
      </c>
      <c r="C1914" s="2" t="s">
        <v>9087</v>
      </c>
      <c r="D1914" s="2" t="n">
        <v>212.81</v>
      </c>
      <c r="E1914" s="13" t="n">
        <v>45543</v>
      </c>
    </row>
    <row r="1915" customFormat="false" ht="15" hidden="false" customHeight="false" outlineLevel="0" collapsed="false">
      <c r="A1915" s="2" t="s">
        <v>11000</v>
      </c>
      <c r="B1915" s="2" t="s">
        <v>5915</v>
      </c>
      <c r="C1915" s="2" t="s">
        <v>9098</v>
      </c>
      <c r="D1915" s="2" t="n">
        <v>213.18</v>
      </c>
      <c r="E1915" s="13" t="n">
        <v>45550</v>
      </c>
    </row>
    <row r="1916" customFormat="false" ht="15" hidden="false" customHeight="false" outlineLevel="0" collapsed="false">
      <c r="A1916" s="2" t="s">
        <v>11001</v>
      </c>
      <c r="B1916" s="2" t="s">
        <v>5917</v>
      </c>
      <c r="C1916" s="2" t="s">
        <v>9092</v>
      </c>
      <c r="D1916" s="2" t="n">
        <v>213.55</v>
      </c>
      <c r="E1916" s="13" t="n">
        <v>45557</v>
      </c>
    </row>
    <row r="1917" customFormat="false" ht="15" hidden="false" customHeight="false" outlineLevel="0" collapsed="false">
      <c r="A1917" s="2" t="s">
        <v>11002</v>
      </c>
      <c r="B1917" s="2" t="s">
        <v>5919</v>
      </c>
      <c r="C1917" s="2" t="s">
        <v>9087</v>
      </c>
      <c r="D1917" s="2" t="n">
        <v>213.92</v>
      </c>
      <c r="E1917" s="13" t="n">
        <v>45564</v>
      </c>
    </row>
    <row r="1918" customFormat="false" ht="15" hidden="false" customHeight="false" outlineLevel="0" collapsed="false">
      <c r="A1918" s="2" t="s">
        <v>11003</v>
      </c>
      <c r="B1918" s="2" t="s">
        <v>5921</v>
      </c>
      <c r="C1918" s="2" t="s">
        <v>9098</v>
      </c>
      <c r="D1918" s="2" t="n">
        <v>214.29</v>
      </c>
      <c r="E1918" s="13" t="n">
        <v>45571</v>
      </c>
    </row>
    <row r="1919" customFormat="false" ht="15" hidden="false" customHeight="false" outlineLevel="0" collapsed="false">
      <c r="A1919" s="2" t="s">
        <v>11004</v>
      </c>
      <c r="B1919" s="2" t="s">
        <v>5923</v>
      </c>
      <c r="C1919" s="2" t="s">
        <v>9092</v>
      </c>
      <c r="D1919" s="2" t="n">
        <v>214.66</v>
      </c>
      <c r="E1919" s="13" t="n">
        <v>45578</v>
      </c>
    </row>
    <row r="1920" customFormat="false" ht="15" hidden="false" customHeight="false" outlineLevel="0" collapsed="false">
      <c r="A1920" s="2" t="s">
        <v>11005</v>
      </c>
      <c r="B1920" s="2" t="s">
        <v>5925</v>
      </c>
      <c r="C1920" s="2" t="s">
        <v>9085</v>
      </c>
      <c r="D1920" s="2" t="n">
        <v>215.03</v>
      </c>
      <c r="E1920" s="13" t="n">
        <v>45585</v>
      </c>
    </row>
    <row r="1921" customFormat="false" ht="15" hidden="false" customHeight="false" outlineLevel="0" collapsed="false">
      <c r="A1921" s="2" t="s">
        <v>11006</v>
      </c>
      <c r="B1921" s="2" t="s">
        <v>5927</v>
      </c>
      <c r="C1921" s="2" t="s">
        <v>9092</v>
      </c>
      <c r="D1921" s="2" t="n">
        <v>215.4</v>
      </c>
      <c r="E1921" s="13" t="n">
        <v>45592</v>
      </c>
    </row>
    <row r="1922" customFormat="false" ht="15" hidden="false" customHeight="false" outlineLevel="0" collapsed="false">
      <c r="A1922" s="2" t="s">
        <v>11007</v>
      </c>
      <c r="B1922" s="2" t="s">
        <v>5929</v>
      </c>
      <c r="C1922" s="2" t="s">
        <v>9087</v>
      </c>
      <c r="D1922" s="2" t="n">
        <v>215.77</v>
      </c>
      <c r="E1922" s="13" t="n">
        <v>45599</v>
      </c>
    </row>
    <row r="1923" customFormat="false" ht="15" hidden="false" customHeight="false" outlineLevel="0" collapsed="false">
      <c r="A1923" s="2" t="s">
        <v>11008</v>
      </c>
      <c r="B1923" s="2" t="s">
        <v>5931</v>
      </c>
      <c r="C1923" s="2" t="s">
        <v>9098</v>
      </c>
      <c r="D1923" s="2" t="n">
        <v>216.14</v>
      </c>
      <c r="E1923" s="13" t="n">
        <v>45606</v>
      </c>
    </row>
    <row r="1924" customFormat="false" ht="15" hidden="false" customHeight="false" outlineLevel="0" collapsed="false">
      <c r="A1924" s="2" t="s">
        <v>11009</v>
      </c>
      <c r="B1924" s="2" t="s">
        <v>5933</v>
      </c>
      <c r="C1924" s="2" t="s">
        <v>9085</v>
      </c>
      <c r="D1924" s="2" t="n">
        <v>216.51</v>
      </c>
      <c r="E1924" s="13" t="n">
        <v>45613</v>
      </c>
    </row>
    <row r="1925" customFormat="false" ht="15" hidden="false" customHeight="false" outlineLevel="0" collapsed="false">
      <c r="A1925" s="2" t="s">
        <v>11010</v>
      </c>
      <c r="B1925" s="2" t="s">
        <v>5935</v>
      </c>
      <c r="C1925" s="2" t="s">
        <v>9085</v>
      </c>
      <c r="D1925" s="2" t="n">
        <v>216.88</v>
      </c>
      <c r="E1925" s="13" t="n">
        <v>45620</v>
      </c>
    </row>
    <row r="1926" customFormat="false" ht="15" hidden="false" customHeight="false" outlineLevel="0" collapsed="false">
      <c r="A1926" s="2" t="s">
        <v>11011</v>
      </c>
      <c r="B1926" s="2" t="s">
        <v>5937</v>
      </c>
      <c r="C1926" s="2" t="s">
        <v>9083</v>
      </c>
      <c r="D1926" s="2" t="n">
        <v>217.25</v>
      </c>
      <c r="E1926" s="13" t="n">
        <v>45627</v>
      </c>
    </row>
    <row r="1927" customFormat="false" ht="15" hidden="false" customHeight="false" outlineLevel="0" collapsed="false">
      <c r="A1927" s="2" t="s">
        <v>11012</v>
      </c>
      <c r="B1927" s="2" t="s">
        <v>5939</v>
      </c>
      <c r="C1927" s="2" t="s">
        <v>9092</v>
      </c>
      <c r="D1927" s="2" t="n">
        <v>217.62</v>
      </c>
      <c r="E1927" s="13" t="n">
        <v>45634</v>
      </c>
    </row>
    <row r="1928" customFormat="false" ht="15" hidden="false" customHeight="false" outlineLevel="0" collapsed="false">
      <c r="A1928" s="2" t="s">
        <v>11013</v>
      </c>
      <c r="B1928" s="2" t="s">
        <v>5941</v>
      </c>
      <c r="C1928" s="2" t="s">
        <v>9085</v>
      </c>
      <c r="D1928" s="2" t="n">
        <v>217.99</v>
      </c>
      <c r="E1928" s="13" t="n">
        <v>45641</v>
      </c>
    </row>
    <row r="1929" customFormat="false" ht="15" hidden="false" customHeight="false" outlineLevel="0" collapsed="false">
      <c r="A1929" s="2" t="s">
        <v>11014</v>
      </c>
      <c r="B1929" s="2" t="s">
        <v>5943</v>
      </c>
      <c r="C1929" s="2" t="s">
        <v>9085</v>
      </c>
      <c r="D1929" s="2" t="n">
        <v>218.36</v>
      </c>
      <c r="E1929" s="13" t="n">
        <v>45648</v>
      </c>
    </row>
    <row r="1930" customFormat="false" ht="15" hidden="false" customHeight="false" outlineLevel="0" collapsed="false">
      <c r="A1930" s="2" t="s">
        <v>11015</v>
      </c>
      <c r="B1930" s="2" t="s">
        <v>5945</v>
      </c>
      <c r="C1930" s="2" t="s">
        <v>9083</v>
      </c>
      <c r="D1930" s="2" t="n">
        <v>218.73</v>
      </c>
      <c r="E1930" s="13" t="n">
        <v>45655</v>
      </c>
    </row>
    <row r="1931" customFormat="false" ht="15" hidden="false" customHeight="false" outlineLevel="0" collapsed="false">
      <c r="A1931" s="2" t="s">
        <v>11016</v>
      </c>
      <c r="B1931" s="2" t="s">
        <v>5947</v>
      </c>
      <c r="C1931" s="2" t="s">
        <v>9085</v>
      </c>
      <c r="D1931" s="2" t="n">
        <v>219.1</v>
      </c>
      <c r="E1931" s="13" t="n">
        <v>45662</v>
      </c>
    </row>
    <row r="1932" customFormat="false" ht="15" hidden="false" customHeight="false" outlineLevel="0" collapsed="false">
      <c r="A1932" s="2" t="s">
        <v>11017</v>
      </c>
      <c r="B1932" s="2" t="s">
        <v>5949</v>
      </c>
      <c r="C1932" s="2" t="s">
        <v>9098</v>
      </c>
      <c r="D1932" s="2" t="n">
        <v>219.47</v>
      </c>
      <c r="E1932" s="13" t="n">
        <v>45669</v>
      </c>
    </row>
    <row r="1933" customFormat="false" ht="15" hidden="false" customHeight="false" outlineLevel="0" collapsed="false">
      <c r="A1933" s="2" t="s">
        <v>11018</v>
      </c>
      <c r="B1933" s="2" t="s">
        <v>5951</v>
      </c>
      <c r="C1933" s="2" t="s">
        <v>9098</v>
      </c>
      <c r="D1933" s="2" t="n">
        <v>219.84</v>
      </c>
      <c r="E1933" s="13" t="n">
        <v>45676</v>
      </c>
    </row>
    <row r="1934" customFormat="false" ht="15" hidden="false" customHeight="false" outlineLevel="0" collapsed="false">
      <c r="A1934" s="2" t="s">
        <v>11019</v>
      </c>
      <c r="B1934" s="2" t="s">
        <v>5953</v>
      </c>
      <c r="C1934" s="2" t="s">
        <v>9087</v>
      </c>
      <c r="D1934" s="2" t="n">
        <v>220.21</v>
      </c>
      <c r="E1934" s="13" t="n">
        <v>45683</v>
      </c>
    </row>
    <row r="1935" customFormat="false" ht="15" hidden="false" customHeight="false" outlineLevel="0" collapsed="false">
      <c r="A1935" s="2" t="s">
        <v>11020</v>
      </c>
      <c r="B1935" s="2" t="s">
        <v>5955</v>
      </c>
      <c r="C1935" s="2" t="s">
        <v>9087</v>
      </c>
      <c r="D1935" s="2" t="n">
        <v>220.58</v>
      </c>
      <c r="E1935" s="13" t="n">
        <v>45690</v>
      </c>
    </row>
    <row r="1936" customFormat="false" ht="15" hidden="false" customHeight="false" outlineLevel="0" collapsed="false">
      <c r="A1936" s="2" t="s">
        <v>11021</v>
      </c>
      <c r="B1936" s="2" t="s">
        <v>5957</v>
      </c>
      <c r="C1936" s="2" t="s">
        <v>9087</v>
      </c>
      <c r="D1936" s="2" t="n">
        <v>220.95</v>
      </c>
      <c r="E1936" s="13" t="n">
        <v>45697</v>
      </c>
    </row>
    <row r="1937" customFormat="false" ht="15" hidden="false" customHeight="false" outlineLevel="0" collapsed="false">
      <c r="A1937" s="2" t="s">
        <v>11022</v>
      </c>
      <c r="B1937" s="2" t="s">
        <v>5959</v>
      </c>
      <c r="C1937" s="2" t="s">
        <v>9083</v>
      </c>
      <c r="D1937" s="2" t="n">
        <v>221.32</v>
      </c>
      <c r="E1937" s="13" t="n">
        <v>45704</v>
      </c>
    </row>
    <row r="1938" customFormat="false" ht="15" hidden="false" customHeight="false" outlineLevel="0" collapsed="false">
      <c r="A1938" s="2" t="s">
        <v>11023</v>
      </c>
      <c r="B1938" s="2" t="s">
        <v>5961</v>
      </c>
      <c r="C1938" s="2" t="s">
        <v>9085</v>
      </c>
      <c r="D1938" s="2" t="n">
        <v>221.69</v>
      </c>
      <c r="E1938" s="13" t="n">
        <v>45711</v>
      </c>
    </row>
    <row r="1939" customFormat="false" ht="15" hidden="false" customHeight="false" outlineLevel="0" collapsed="false">
      <c r="A1939" s="2" t="s">
        <v>11024</v>
      </c>
      <c r="B1939" s="2" t="s">
        <v>5963</v>
      </c>
      <c r="C1939" s="2" t="s">
        <v>9098</v>
      </c>
      <c r="D1939" s="2" t="n">
        <v>222.06</v>
      </c>
      <c r="E1939" s="13" t="n">
        <v>45718</v>
      </c>
    </row>
    <row r="1940" customFormat="false" ht="15" hidden="false" customHeight="false" outlineLevel="0" collapsed="false">
      <c r="A1940" s="2" t="s">
        <v>11025</v>
      </c>
      <c r="B1940" s="2" t="s">
        <v>5965</v>
      </c>
      <c r="C1940" s="2" t="s">
        <v>9098</v>
      </c>
      <c r="D1940" s="2" t="n">
        <v>222.43</v>
      </c>
      <c r="E1940" s="13" t="n">
        <v>45725</v>
      </c>
    </row>
    <row r="1941" customFormat="false" ht="15" hidden="false" customHeight="false" outlineLevel="0" collapsed="false">
      <c r="A1941" s="2" t="s">
        <v>11026</v>
      </c>
      <c r="B1941" s="2" t="s">
        <v>5967</v>
      </c>
      <c r="C1941" s="2" t="s">
        <v>9098</v>
      </c>
      <c r="D1941" s="2" t="n">
        <v>222.8</v>
      </c>
      <c r="E1941" s="13" t="n">
        <v>45732</v>
      </c>
    </row>
    <row r="1942" customFormat="false" ht="15" hidden="false" customHeight="false" outlineLevel="0" collapsed="false">
      <c r="A1942" s="2" t="s">
        <v>11027</v>
      </c>
      <c r="B1942" s="2" t="s">
        <v>5969</v>
      </c>
      <c r="C1942" s="2" t="s">
        <v>9092</v>
      </c>
      <c r="D1942" s="2" t="n">
        <v>223.17</v>
      </c>
      <c r="E1942" s="13" t="n">
        <v>45739</v>
      </c>
    </row>
    <row r="1943" customFormat="false" ht="15" hidden="false" customHeight="false" outlineLevel="0" collapsed="false">
      <c r="A1943" s="2" t="s">
        <v>11028</v>
      </c>
      <c r="B1943" s="2" t="s">
        <v>5971</v>
      </c>
      <c r="C1943" s="2" t="s">
        <v>9085</v>
      </c>
      <c r="D1943" s="2" t="n">
        <v>223.54</v>
      </c>
      <c r="E1943" s="13" t="n">
        <v>45746</v>
      </c>
    </row>
    <row r="1944" customFormat="false" ht="15" hidden="false" customHeight="false" outlineLevel="0" collapsed="false">
      <c r="A1944" s="2" t="s">
        <v>11029</v>
      </c>
      <c r="B1944" s="2" t="s">
        <v>5973</v>
      </c>
      <c r="C1944" s="2" t="s">
        <v>9087</v>
      </c>
      <c r="D1944" s="2" t="n">
        <v>223.91</v>
      </c>
      <c r="E1944" s="13" t="n">
        <v>45753</v>
      </c>
    </row>
    <row r="1945" customFormat="false" ht="15" hidden="false" customHeight="false" outlineLevel="0" collapsed="false">
      <c r="A1945" s="2" t="s">
        <v>11030</v>
      </c>
      <c r="B1945" s="2" t="s">
        <v>5975</v>
      </c>
      <c r="C1945" s="2" t="s">
        <v>9098</v>
      </c>
      <c r="D1945" s="2" t="n">
        <v>224.28</v>
      </c>
      <c r="E1945" s="13" t="n">
        <v>45760</v>
      </c>
    </row>
    <row r="1946" customFormat="false" ht="15" hidden="false" customHeight="false" outlineLevel="0" collapsed="false">
      <c r="A1946" s="2" t="s">
        <v>11031</v>
      </c>
      <c r="B1946" s="2" t="s">
        <v>5977</v>
      </c>
      <c r="C1946" s="2" t="s">
        <v>9092</v>
      </c>
      <c r="D1946" s="2" t="n">
        <v>224.65</v>
      </c>
      <c r="E1946" s="13" t="n">
        <v>45767</v>
      </c>
    </row>
    <row r="1947" customFormat="false" ht="15" hidden="false" customHeight="false" outlineLevel="0" collapsed="false">
      <c r="A1947" s="2" t="s">
        <v>11032</v>
      </c>
      <c r="B1947" s="2" t="s">
        <v>5979</v>
      </c>
      <c r="C1947" s="2" t="s">
        <v>9098</v>
      </c>
      <c r="D1947" s="2" t="n">
        <v>225.02</v>
      </c>
      <c r="E1947" s="13" t="n">
        <v>45774</v>
      </c>
    </row>
    <row r="1948" customFormat="false" ht="15" hidden="false" customHeight="false" outlineLevel="0" collapsed="false">
      <c r="A1948" s="2" t="s">
        <v>11033</v>
      </c>
      <c r="B1948" s="2" t="s">
        <v>5981</v>
      </c>
      <c r="C1948" s="2" t="s">
        <v>9098</v>
      </c>
      <c r="D1948" s="2" t="n">
        <v>225.39</v>
      </c>
      <c r="E1948" s="13" t="n">
        <v>45781</v>
      </c>
    </row>
    <row r="1949" customFormat="false" ht="15" hidden="false" customHeight="false" outlineLevel="0" collapsed="false">
      <c r="A1949" s="2" t="s">
        <v>11034</v>
      </c>
      <c r="B1949" s="2" t="s">
        <v>5983</v>
      </c>
      <c r="C1949" s="2" t="s">
        <v>9083</v>
      </c>
      <c r="D1949" s="2" t="n">
        <v>225.76</v>
      </c>
      <c r="E1949" s="13" t="n">
        <v>45788</v>
      </c>
    </row>
    <row r="1950" customFormat="false" ht="15" hidden="false" customHeight="false" outlineLevel="0" collapsed="false">
      <c r="A1950" s="2" t="s">
        <v>11035</v>
      </c>
      <c r="B1950" s="2" t="s">
        <v>5985</v>
      </c>
      <c r="C1950" s="2" t="s">
        <v>9085</v>
      </c>
      <c r="D1950" s="2" t="n">
        <v>226.13</v>
      </c>
      <c r="E1950" s="13" t="n">
        <v>45795</v>
      </c>
    </row>
    <row r="1951" customFormat="false" ht="15" hidden="false" customHeight="false" outlineLevel="0" collapsed="false">
      <c r="A1951" s="2" t="s">
        <v>11036</v>
      </c>
      <c r="B1951" s="2" t="s">
        <v>5987</v>
      </c>
      <c r="C1951" s="2" t="s">
        <v>9087</v>
      </c>
      <c r="D1951" s="2" t="n">
        <v>226.5</v>
      </c>
      <c r="E1951" s="13" t="n">
        <v>45802</v>
      </c>
    </row>
    <row r="1952" customFormat="false" ht="15" hidden="false" customHeight="false" outlineLevel="0" collapsed="false">
      <c r="A1952" s="2" t="s">
        <v>11037</v>
      </c>
      <c r="B1952" s="2" t="s">
        <v>5991</v>
      </c>
      <c r="C1952" s="2" t="s">
        <v>9087</v>
      </c>
      <c r="D1952" s="2" t="n">
        <v>226.87</v>
      </c>
      <c r="E1952" s="13" t="n">
        <v>45809</v>
      </c>
    </row>
    <row r="1953" customFormat="false" ht="15" hidden="false" customHeight="false" outlineLevel="0" collapsed="false">
      <c r="A1953" s="2" t="s">
        <v>11038</v>
      </c>
      <c r="B1953" s="2" t="s">
        <v>5995</v>
      </c>
      <c r="C1953" s="2" t="s">
        <v>9092</v>
      </c>
      <c r="D1953" s="2" t="n">
        <v>227.24</v>
      </c>
      <c r="E1953" s="13" t="n">
        <v>45816</v>
      </c>
    </row>
    <row r="1954" customFormat="false" ht="15" hidden="false" customHeight="false" outlineLevel="0" collapsed="false">
      <c r="A1954" s="2" t="s">
        <v>11039</v>
      </c>
      <c r="B1954" s="2" t="s">
        <v>5997</v>
      </c>
      <c r="C1954" s="2" t="s">
        <v>9092</v>
      </c>
      <c r="D1954" s="2" t="n">
        <v>227.61</v>
      </c>
      <c r="E1954" s="13" t="n">
        <v>45823</v>
      </c>
    </row>
    <row r="1955" customFormat="false" ht="15" hidden="false" customHeight="false" outlineLevel="0" collapsed="false">
      <c r="A1955" s="2" t="s">
        <v>11040</v>
      </c>
      <c r="B1955" s="2" t="s">
        <v>5999</v>
      </c>
      <c r="C1955" s="2" t="s">
        <v>9092</v>
      </c>
      <c r="D1955" s="2" t="n">
        <v>227.98</v>
      </c>
      <c r="E1955" s="13" t="n">
        <v>45830</v>
      </c>
    </row>
    <row r="1956" customFormat="false" ht="15" hidden="false" customHeight="false" outlineLevel="0" collapsed="false">
      <c r="A1956" s="2" t="s">
        <v>11041</v>
      </c>
      <c r="B1956" s="2" t="s">
        <v>6001</v>
      </c>
      <c r="C1956" s="2" t="s">
        <v>9083</v>
      </c>
      <c r="D1956" s="2" t="n">
        <v>228.35</v>
      </c>
      <c r="E1956" s="13" t="n">
        <v>45837</v>
      </c>
    </row>
    <row r="1957" customFormat="false" ht="15" hidden="false" customHeight="false" outlineLevel="0" collapsed="false">
      <c r="A1957" s="2" t="s">
        <v>11042</v>
      </c>
      <c r="B1957" s="2" t="s">
        <v>6005</v>
      </c>
      <c r="C1957" s="2" t="s">
        <v>9092</v>
      </c>
      <c r="D1957" s="2" t="n">
        <v>228.72</v>
      </c>
      <c r="E1957" s="13" t="n">
        <v>45844</v>
      </c>
    </row>
    <row r="1958" customFormat="false" ht="15" hidden="false" customHeight="false" outlineLevel="0" collapsed="false">
      <c r="A1958" s="2" t="s">
        <v>11043</v>
      </c>
      <c r="B1958" s="2" t="s">
        <v>6007</v>
      </c>
      <c r="C1958" s="2" t="s">
        <v>9092</v>
      </c>
      <c r="D1958" s="2" t="n">
        <v>229.09</v>
      </c>
      <c r="E1958" s="13" t="n">
        <v>45851</v>
      </c>
    </row>
    <row r="1959" customFormat="false" ht="15" hidden="false" customHeight="false" outlineLevel="0" collapsed="false">
      <c r="A1959" s="2" t="s">
        <v>11044</v>
      </c>
      <c r="B1959" s="2" t="s">
        <v>6009</v>
      </c>
      <c r="C1959" s="2" t="s">
        <v>9087</v>
      </c>
      <c r="D1959" s="2" t="n">
        <v>229.46</v>
      </c>
      <c r="E1959" s="13" t="n">
        <v>45858</v>
      </c>
    </row>
    <row r="1960" customFormat="false" ht="15" hidden="false" customHeight="false" outlineLevel="0" collapsed="false">
      <c r="A1960" s="2" t="s">
        <v>11045</v>
      </c>
      <c r="B1960" s="2" t="s">
        <v>6011</v>
      </c>
      <c r="C1960" s="2" t="s">
        <v>9092</v>
      </c>
      <c r="D1960" s="2" t="n">
        <v>229.83</v>
      </c>
      <c r="E1960" s="13" t="n">
        <v>45865</v>
      </c>
    </row>
    <row r="1961" customFormat="false" ht="15" hidden="false" customHeight="false" outlineLevel="0" collapsed="false">
      <c r="A1961" s="2" t="s">
        <v>11046</v>
      </c>
      <c r="B1961" s="2" t="s">
        <v>6013</v>
      </c>
      <c r="C1961" s="2" t="s">
        <v>9085</v>
      </c>
      <c r="D1961" s="2" t="n">
        <v>230.2</v>
      </c>
      <c r="E1961" s="13" t="n">
        <v>45872</v>
      </c>
    </row>
    <row r="1962" customFormat="false" ht="15" hidden="false" customHeight="false" outlineLevel="0" collapsed="false">
      <c r="A1962" s="2" t="s">
        <v>11047</v>
      </c>
      <c r="B1962" s="2" t="s">
        <v>6015</v>
      </c>
      <c r="C1962" s="2" t="s">
        <v>9087</v>
      </c>
      <c r="D1962" s="2" t="n">
        <v>230.57</v>
      </c>
      <c r="E1962" s="13" t="n">
        <v>45879</v>
      </c>
    </row>
    <row r="1963" customFormat="false" ht="15" hidden="false" customHeight="false" outlineLevel="0" collapsed="false">
      <c r="A1963" s="2" t="s">
        <v>11048</v>
      </c>
      <c r="B1963" s="2" t="s">
        <v>6017</v>
      </c>
      <c r="C1963" s="2" t="s">
        <v>9085</v>
      </c>
      <c r="D1963" s="2" t="n">
        <v>230.94</v>
      </c>
      <c r="E1963" s="13" t="n">
        <v>45886</v>
      </c>
    </row>
    <row r="1964" customFormat="false" ht="15" hidden="false" customHeight="false" outlineLevel="0" collapsed="false">
      <c r="A1964" s="2" t="s">
        <v>11049</v>
      </c>
      <c r="B1964" s="2" t="s">
        <v>6019</v>
      </c>
      <c r="C1964" s="2" t="s">
        <v>9098</v>
      </c>
      <c r="D1964" s="2" t="n">
        <v>231.31</v>
      </c>
      <c r="E1964" s="13" t="n">
        <v>45893</v>
      </c>
    </row>
    <row r="1965" customFormat="false" ht="15" hidden="false" customHeight="false" outlineLevel="0" collapsed="false">
      <c r="A1965" s="2" t="s">
        <v>11050</v>
      </c>
      <c r="B1965" s="2" t="s">
        <v>6023</v>
      </c>
      <c r="C1965" s="2" t="s">
        <v>9098</v>
      </c>
      <c r="D1965" s="2" t="n">
        <v>231.68</v>
      </c>
      <c r="E1965" s="13" t="n">
        <v>45900</v>
      </c>
    </row>
    <row r="1966" customFormat="false" ht="15" hidden="false" customHeight="false" outlineLevel="0" collapsed="false">
      <c r="A1966" s="2" t="s">
        <v>11051</v>
      </c>
      <c r="B1966" s="2" t="s">
        <v>6025</v>
      </c>
      <c r="C1966" s="2" t="s">
        <v>9087</v>
      </c>
      <c r="D1966" s="2" t="n">
        <v>232.05</v>
      </c>
      <c r="E1966" s="13" t="n">
        <v>45907</v>
      </c>
    </row>
    <row r="1967" customFormat="false" ht="15" hidden="false" customHeight="false" outlineLevel="0" collapsed="false">
      <c r="A1967" s="2" t="s">
        <v>11052</v>
      </c>
      <c r="B1967" s="2" t="s">
        <v>6027</v>
      </c>
      <c r="C1967" s="2" t="s">
        <v>9085</v>
      </c>
      <c r="D1967" s="2" t="n">
        <v>232.42</v>
      </c>
      <c r="E1967" s="13" t="n">
        <v>45914</v>
      </c>
    </row>
    <row r="1968" customFormat="false" ht="15" hidden="false" customHeight="false" outlineLevel="0" collapsed="false">
      <c r="A1968" s="2" t="s">
        <v>11053</v>
      </c>
      <c r="B1968" s="2" t="s">
        <v>6029</v>
      </c>
      <c r="C1968" s="2" t="s">
        <v>9087</v>
      </c>
      <c r="D1968" s="2" t="n">
        <v>232.79</v>
      </c>
      <c r="E1968" s="13" t="n">
        <v>45921</v>
      </c>
    </row>
    <row r="1969" customFormat="false" ht="15" hidden="false" customHeight="false" outlineLevel="0" collapsed="false">
      <c r="A1969" s="2" t="s">
        <v>11054</v>
      </c>
      <c r="B1969" s="2" t="s">
        <v>6031</v>
      </c>
      <c r="C1969" s="2" t="s">
        <v>9092</v>
      </c>
      <c r="D1969" s="2" t="n">
        <v>233.16</v>
      </c>
      <c r="E1969" s="13" t="n">
        <v>45928</v>
      </c>
    </row>
    <row r="1970" customFormat="false" ht="15" hidden="false" customHeight="false" outlineLevel="0" collapsed="false">
      <c r="A1970" s="2" t="s">
        <v>11055</v>
      </c>
      <c r="B1970" s="2" t="s">
        <v>6035</v>
      </c>
      <c r="C1970" s="2" t="s">
        <v>9098</v>
      </c>
      <c r="D1970" s="2" t="n">
        <v>233.53</v>
      </c>
      <c r="E1970" s="13" t="n">
        <v>45935</v>
      </c>
    </row>
    <row r="1971" customFormat="false" ht="15" hidden="false" customHeight="false" outlineLevel="0" collapsed="false">
      <c r="A1971" s="2" t="s">
        <v>11056</v>
      </c>
      <c r="B1971" s="2" t="s">
        <v>6037</v>
      </c>
      <c r="C1971" s="2" t="s">
        <v>9083</v>
      </c>
      <c r="D1971" s="2" t="n">
        <v>233.9</v>
      </c>
      <c r="E1971" s="13" t="n">
        <v>45942</v>
      </c>
    </row>
    <row r="1972" customFormat="false" ht="15" hidden="false" customHeight="false" outlineLevel="0" collapsed="false">
      <c r="A1972" s="2" t="s">
        <v>11057</v>
      </c>
      <c r="B1972" s="2" t="s">
        <v>6041</v>
      </c>
      <c r="C1972" s="2" t="s">
        <v>9092</v>
      </c>
      <c r="D1972" s="2" t="n">
        <v>234.27</v>
      </c>
      <c r="E1972" s="13" t="n">
        <v>45949</v>
      </c>
    </row>
    <row r="1973" customFormat="false" ht="15" hidden="false" customHeight="false" outlineLevel="0" collapsed="false">
      <c r="A1973" s="2" t="s">
        <v>11058</v>
      </c>
      <c r="B1973" s="2" t="s">
        <v>6043</v>
      </c>
      <c r="C1973" s="2" t="s">
        <v>9098</v>
      </c>
      <c r="D1973" s="2" t="n">
        <v>234.64</v>
      </c>
      <c r="E1973" s="13" t="n">
        <v>45956</v>
      </c>
    </row>
    <row r="1974" customFormat="false" ht="15" hidden="false" customHeight="false" outlineLevel="0" collapsed="false">
      <c r="A1974" s="2" t="s">
        <v>11059</v>
      </c>
      <c r="B1974" s="2" t="s">
        <v>6047</v>
      </c>
      <c r="C1974" s="2" t="s">
        <v>9087</v>
      </c>
      <c r="D1974" s="2" t="n">
        <v>235.01</v>
      </c>
      <c r="E1974" s="13" t="n">
        <v>45963</v>
      </c>
    </row>
    <row r="1975" customFormat="false" ht="15" hidden="false" customHeight="false" outlineLevel="0" collapsed="false">
      <c r="A1975" s="2" t="s">
        <v>11060</v>
      </c>
      <c r="B1975" s="2" t="s">
        <v>6049</v>
      </c>
      <c r="C1975" s="2" t="s">
        <v>9087</v>
      </c>
      <c r="D1975" s="2" t="n">
        <v>235.38</v>
      </c>
      <c r="E1975" s="13" t="n">
        <v>45970</v>
      </c>
    </row>
    <row r="1976" customFormat="false" ht="15" hidden="false" customHeight="false" outlineLevel="0" collapsed="false">
      <c r="A1976" s="2" t="s">
        <v>11061</v>
      </c>
      <c r="B1976" s="2" t="s">
        <v>6051</v>
      </c>
      <c r="C1976" s="2" t="s">
        <v>9087</v>
      </c>
      <c r="D1976" s="2" t="n">
        <v>235.75</v>
      </c>
      <c r="E1976" s="13" t="n">
        <v>45977</v>
      </c>
    </row>
    <row r="1977" customFormat="false" ht="15" hidden="false" customHeight="false" outlineLevel="0" collapsed="false">
      <c r="A1977" s="2" t="s">
        <v>11062</v>
      </c>
      <c r="B1977" s="2" t="s">
        <v>6053</v>
      </c>
      <c r="C1977" s="2" t="s">
        <v>9098</v>
      </c>
      <c r="D1977" s="2" t="n">
        <v>236.12</v>
      </c>
      <c r="E1977" s="13" t="n">
        <v>45984</v>
      </c>
    </row>
    <row r="1978" customFormat="false" ht="15" hidden="false" customHeight="false" outlineLevel="0" collapsed="false">
      <c r="A1978" s="2" t="s">
        <v>11063</v>
      </c>
      <c r="B1978" s="2" t="s">
        <v>6055</v>
      </c>
      <c r="C1978" s="2" t="s">
        <v>9085</v>
      </c>
      <c r="D1978" s="2" t="n">
        <v>236.49</v>
      </c>
      <c r="E1978" s="13" t="n">
        <v>45991</v>
      </c>
    </row>
    <row r="1979" customFormat="false" ht="15" hidden="false" customHeight="false" outlineLevel="0" collapsed="false">
      <c r="A1979" s="2" t="s">
        <v>11064</v>
      </c>
      <c r="B1979" s="2" t="s">
        <v>6057</v>
      </c>
      <c r="C1979" s="2" t="s">
        <v>9083</v>
      </c>
      <c r="D1979" s="2" t="n">
        <v>236.86</v>
      </c>
      <c r="E1979" s="13" t="n">
        <v>45998</v>
      </c>
    </row>
    <row r="1980" customFormat="false" ht="15" hidden="false" customHeight="false" outlineLevel="0" collapsed="false">
      <c r="A1980" s="2" t="s">
        <v>11065</v>
      </c>
      <c r="B1980" s="2" t="s">
        <v>6059</v>
      </c>
      <c r="C1980" s="2" t="s">
        <v>9098</v>
      </c>
      <c r="D1980" s="2" t="n">
        <v>237.23</v>
      </c>
      <c r="E1980" s="13" t="n">
        <v>46005</v>
      </c>
    </row>
    <row r="1981" customFormat="false" ht="15" hidden="false" customHeight="false" outlineLevel="0" collapsed="false">
      <c r="A1981" s="2" t="s">
        <v>11066</v>
      </c>
      <c r="B1981" s="2" t="s">
        <v>6061</v>
      </c>
      <c r="C1981" s="2" t="s">
        <v>9083</v>
      </c>
      <c r="D1981" s="2" t="n">
        <v>237.6</v>
      </c>
      <c r="E1981" s="13" t="n">
        <v>46012</v>
      </c>
    </row>
    <row r="1982" customFormat="false" ht="15" hidden="false" customHeight="false" outlineLevel="0" collapsed="false">
      <c r="A1982" s="2" t="s">
        <v>11067</v>
      </c>
      <c r="B1982" s="2" t="s">
        <v>6065</v>
      </c>
      <c r="C1982" s="2" t="s">
        <v>9087</v>
      </c>
      <c r="D1982" s="2" t="n">
        <v>237.97</v>
      </c>
      <c r="E1982" s="13" t="n">
        <v>46019</v>
      </c>
    </row>
    <row r="1983" customFormat="false" ht="15" hidden="false" customHeight="false" outlineLevel="0" collapsed="false">
      <c r="A1983" s="2" t="s">
        <v>11068</v>
      </c>
      <c r="B1983" s="2" t="s">
        <v>6069</v>
      </c>
      <c r="C1983" s="2" t="s">
        <v>9098</v>
      </c>
      <c r="D1983" s="2" t="n">
        <v>238.34</v>
      </c>
      <c r="E1983" s="13" t="n">
        <v>45296</v>
      </c>
    </row>
    <row r="1984" customFormat="false" ht="15" hidden="false" customHeight="false" outlineLevel="0" collapsed="false">
      <c r="A1984" s="2" t="s">
        <v>11069</v>
      </c>
      <c r="B1984" s="2" t="s">
        <v>6071</v>
      </c>
      <c r="C1984" s="2" t="s">
        <v>9092</v>
      </c>
      <c r="D1984" s="2" t="n">
        <v>238.71</v>
      </c>
      <c r="E1984" s="13" t="n">
        <v>45303</v>
      </c>
    </row>
    <row r="1985" customFormat="false" ht="15" hidden="false" customHeight="false" outlineLevel="0" collapsed="false">
      <c r="A1985" s="2" t="s">
        <v>11070</v>
      </c>
      <c r="B1985" s="2" t="s">
        <v>6073</v>
      </c>
      <c r="C1985" s="2" t="s">
        <v>9098</v>
      </c>
      <c r="D1985" s="2" t="n">
        <v>239.08</v>
      </c>
      <c r="E1985" s="13" t="n">
        <v>45310</v>
      </c>
    </row>
    <row r="1986" customFormat="false" ht="15" hidden="false" customHeight="false" outlineLevel="0" collapsed="false">
      <c r="A1986" s="2" t="s">
        <v>11071</v>
      </c>
      <c r="B1986" s="2" t="s">
        <v>6075</v>
      </c>
      <c r="C1986" s="2" t="s">
        <v>9085</v>
      </c>
      <c r="D1986" s="2" t="n">
        <v>239.45</v>
      </c>
      <c r="E1986" s="13" t="n">
        <v>45317</v>
      </c>
    </row>
    <row r="1987" customFormat="false" ht="15" hidden="false" customHeight="false" outlineLevel="0" collapsed="false">
      <c r="A1987" s="2" t="s">
        <v>11072</v>
      </c>
      <c r="B1987" s="2" t="s">
        <v>6077</v>
      </c>
      <c r="C1987" s="2" t="s">
        <v>9087</v>
      </c>
      <c r="D1987" s="2" t="n">
        <v>239.82</v>
      </c>
      <c r="E1987" s="13" t="n">
        <v>45324</v>
      </c>
    </row>
    <row r="1988" customFormat="false" ht="15" hidden="false" customHeight="false" outlineLevel="0" collapsed="false">
      <c r="A1988" s="2" t="s">
        <v>11073</v>
      </c>
      <c r="B1988" s="2" t="s">
        <v>6079</v>
      </c>
      <c r="C1988" s="2" t="s">
        <v>9098</v>
      </c>
      <c r="D1988" s="2" t="n">
        <v>240.19</v>
      </c>
      <c r="E1988" s="13" t="n">
        <v>45331</v>
      </c>
    </row>
    <row r="1989" customFormat="false" ht="15" hidden="false" customHeight="false" outlineLevel="0" collapsed="false">
      <c r="A1989" s="2" t="s">
        <v>11074</v>
      </c>
      <c r="B1989" s="2" t="s">
        <v>6081</v>
      </c>
      <c r="C1989" s="2" t="s">
        <v>9085</v>
      </c>
      <c r="D1989" s="2" t="n">
        <v>240.56</v>
      </c>
      <c r="E1989" s="13" t="n">
        <v>45338</v>
      </c>
    </row>
    <row r="1990" customFormat="false" ht="15" hidden="false" customHeight="false" outlineLevel="0" collapsed="false">
      <c r="A1990" s="2" t="s">
        <v>11075</v>
      </c>
      <c r="B1990" s="2" t="s">
        <v>6085</v>
      </c>
      <c r="C1990" s="2" t="s">
        <v>9092</v>
      </c>
      <c r="D1990" s="2" t="n">
        <v>240.93</v>
      </c>
      <c r="E1990" s="13" t="n">
        <v>45345</v>
      </c>
    </row>
    <row r="1991" customFormat="false" ht="15" hidden="false" customHeight="false" outlineLevel="0" collapsed="false">
      <c r="A1991" s="2" t="s">
        <v>11076</v>
      </c>
      <c r="B1991" s="2" t="s">
        <v>6087</v>
      </c>
      <c r="C1991" s="2" t="s">
        <v>9083</v>
      </c>
      <c r="D1991" s="2" t="n">
        <v>241.3</v>
      </c>
      <c r="E1991" s="13" t="n">
        <v>45352</v>
      </c>
    </row>
    <row r="1992" customFormat="false" ht="15" hidden="false" customHeight="false" outlineLevel="0" collapsed="false">
      <c r="A1992" s="2" t="s">
        <v>11077</v>
      </c>
      <c r="B1992" s="2" t="s">
        <v>6089</v>
      </c>
      <c r="C1992" s="2" t="s">
        <v>9098</v>
      </c>
      <c r="D1992" s="2" t="n">
        <v>241.67</v>
      </c>
      <c r="E1992" s="13" t="n">
        <v>45359</v>
      </c>
    </row>
    <row r="1993" customFormat="false" ht="15" hidden="false" customHeight="false" outlineLevel="0" collapsed="false">
      <c r="A1993" s="2" t="s">
        <v>11078</v>
      </c>
      <c r="B1993" s="2" t="s">
        <v>6091</v>
      </c>
      <c r="C1993" s="2" t="s">
        <v>9098</v>
      </c>
      <c r="D1993" s="2" t="n">
        <v>242.04</v>
      </c>
      <c r="E1993" s="13" t="n">
        <v>45366</v>
      </c>
    </row>
    <row r="1994" customFormat="false" ht="15" hidden="false" customHeight="false" outlineLevel="0" collapsed="false">
      <c r="A1994" s="2" t="s">
        <v>11079</v>
      </c>
      <c r="B1994" s="2" t="s">
        <v>6093</v>
      </c>
      <c r="C1994" s="2" t="s">
        <v>9085</v>
      </c>
      <c r="D1994" s="2" t="n">
        <v>242.41</v>
      </c>
      <c r="E1994" s="13" t="n">
        <v>45373</v>
      </c>
    </row>
    <row r="1995" customFormat="false" ht="15" hidden="false" customHeight="false" outlineLevel="0" collapsed="false">
      <c r="A1995" s="2" t="s">
        <v>11080</v>
      </c>
      <c r="B1995" s="2" t="s">
        <v>6095</v>
      </c>
      <c r="C1995" s="2" t="s">
        <v>9085</v>
      </c>
      <c r="D1995" s="2" t="n">
        <v>242.78</v>
      </c>
      <c r="E1995" s="13" t="n">
        <v>45380</v>
      </c>
    </row>
    <row r="1996" customFormat="false" ht="15" hidden="false" customHeight="false" outlineLevel="0" collapsed="false">
      <c r="A1996" s="2" t="s">
        <v>11081</v>
      </c>
      <c r="B1996" s="2" t="s">
        <v>6097</v>
      </c>
      <c r="C1996" s="2" t="s">
        <v>9092</v>
      </c>
      <c r="D1996" s="2" t="n">
        <v>243.15</v>
      </c>
      <c r="E1996" s="13" t="n">
        <v>45387</v>
      </c>
    </row>
    <row r="1997" customFormat="false" ht="15" hidden="false" customHeight="false" outlineLevel="0" collapsed="false">
      <c r="A1997" s="2" t="s">
        <v>11082</v>
      </c>
      <c r="B1997" s="2" t="s">
        <v>6099</v>
      </c>
      <c r="C1997" s="2" t="s">
        <v>9087</v>
      </c>
      <c r="D1997" s="2" t="n">
        <v>243.52</v>
      </c>
      <c r="E1997" s="13" t="n">
        <v>45394</v>
      </c>
    </row>
    <row r="1998" customFormat="false" ht="15" hidden="false" customHeight="false" outlineLevel="0" collapsed="false">
      <c r="A1998" s="2" t="s">
        <v>11083</v>
      </c>
      <c r="B1998" s="2" t="s">
        <v>6101</v>
      </c>
      <c r="C1998" s="2" t="s">
        <v>9092</v>
      </c>
      <c r="D1998" s="2" t="n">
        <v>243.89</v>
      </c>
      <c r="E1998" s="13" t="n">
        <v>45401</v>
      </c>
    </row>
    <row r="1999" customFormat="false" ht="15" hidden="false" customHeight="false" outlineLevel="0" collapsed="false">
      <c r="A1999" s="2" t="s">
        <v>11084</v>
      </c>
      <c r="B1999" s="2" t="s">
        <v>6103</v>
      </c>
      <c r="C1999" s="2" t="s">
        <v>9085</v>
      </c>
      <c r="D1999" s="2" t="n">
        <v>244.26</v>
      </c>
      <c r="E1999" s="13" t="n">
        <v>45408</v>
      </c>
    </row>
    <row r="2000" customFormat="false" ht="15" hidden="false" customHeight="false" outlineLevel="0" collapsed="false">
      <c r="A2000" s="2" t="s">
        <v>11085</v>
      </c>
      <c r="B2000" s="2" t="s">
        <v>6105</v>
      </c>
      <c r="C2000" s="2" t="s">
        <v>9083</v>
      </c>
      <c r="D2000" s="2" t="n">
        <v>244.63</v>
      </c>
      <c r="E2000" s="13" t="n">
        <v>45415</v>
      </c>
    </row>
    <row r="2001" customFormat="false" ht="15" hidden="false" customHeight="false" outlineLevel="0" collapsed="false">
      <c r="A2001" s="2" t="s">
        <v>11086</v>
      </c>
      <c r="B2001" s="2" t="s">
        <v>6107</v>
      </c>
      <c r="C2001" s="2" t="s">
        <v>9098</v>
      </c>
      <c r="D2001" s="2" t="n">
        <v>245</v>
      </c>
      <c r="E2001" s="13" t="n">
        <v>45422</v>
      </c>
    </row>
    <row r="2002" customFormat="false" ht="15" hidden="false" customHeight="false" outlineLevel="0" collapsed="false">
      <c r="A2002" s="2" t="s">
        <v>11087</v>
      </c>
      <c r="B2002" s="2" t="s">
        <v>6109</v>
      </c>
      <c r="C2002" s="2" t="s">
        <v>9092</v>
      </c>
      <c r="D2002" s="2" t="n">
        <v>245.37</v>
      </c>
      <c r="E2002" s="13" t="n">
        <v>45429</v>
      </c>
    </row>
    <row r="2003" customFormat="false" ht="15" hidden="false" customHeight="false" outlineLevel="0" collapsed="false">
      <c r="A2003" s="2" t="s">
        <v>11088</v>
      </c>
      <c r="B2003" s="2" t="s">
        <v>6111</v>
      </c>
      <c r="C2003" s="2" t="s">
        <v>9087</v>
      </c>
      <c r="D2003" s="2" t="n">
        <v>245.74</v>
      </c>
      <c r="E2003" s="13" t="n">
        <v>45436</v>
      </c>
    </row>
    <row r="2004" customFormat="false" ht="15" hidden="false" customHeight="false" outlineLevel="0" collapsed="false">
      <c r="A2004" s="2" t="s">
        <v>11089</v>
      </c>
      <c r="B2004" s="2" t="s">
        <v>6113</v>
      </c>
      <c r="C2004" s="2" t="s">
        <v>9087</v>
      </c>
      <c r="D2004" s="2" t="n">
        <v>246.11</v>
      </c>
      <c r="E2004" s="13" t="n">
        <v>45443</v>
      </c>
    </row>
    <row r="2005" customFormat="false" ht="15" hidden="false" customHeight="false" outlineLevel="0" collapsed="false">
      <c r="A2005" s="2" t="s">
        <v>11090</v>
      </c>
      <c r="B2005" s="2" t="s">
        <v>6115</v>
      </c>
      <c r="C2005" s="2" t="s">
        <v>9085</v>
      </c>
      <c r="D2005" s="2" t="n">
        <v>246.48</v>
      </c>
      <c r="E2005" s="13" t="n">
        <v>45450</v>
      </c>
    </row>
    <row r="2006" customFormat="false" ht="15" hidden="false" customHeight="false" outlineLevel="0" collapsed="false">
      <c r="A2006" s="2" t="s">
        <v>11091</v>
      </c>
      <c r="B2006" s="2" t="s">
        <v>6117</v>
      </c>
      <c r="C2006" s="2" t="s">
        <v>9098</v>
      </c>
      <c r="D2006" s="2" t="n">
        <v>246.85</v>
      </c>
      <c r="E2006" s="13" t="n">
        <v>45457</v>
      </c>
    </row>
    <row r="2007" customFormat="false" ht="15" hidden="false" customHeight="false" outlineLevel="0" collapsed="false">
      <c r="A2007" s="2" t="s">
        <v>11092</v>
      </c>
      <c r="B2007" s="2" t="s">
        <v>6119</v>
      </c>
      <c r="C2007" s="2" t="s">
        <v>9087</v>
      </c>
      <c r="D2007" s="2" t="n">
        <v>247.22</v>
      </c>
      <c r="E2007" s="13" t="n">
        <v>45464</v>
      </c>
    </row>
    <row r="2008" customFormat="false" ht="15" hidden="false" customHeight="false" outlineLevel="0" collapsed="false">
      <c r="A2008" s="2" t="s">
        <v>11093</v>
      </c>
      <c r="B2008" s="2" t="s">
        <v>6121</v>
      </c>
      <c r="C2008" s="2" t="s">
        <v>9092</v>
      </c>
      <c r="D2008" s="2" t="n">
        <v>247.59</v>
      </c>
      <c r="E2008" s="13" t="n">
        <v>45471</v>
      </c>
    </row>
    <row r="2009" customFormat="false" ht="15" hidden="false" customHeight="false" outlineLevel="0" collapsed="false">
      <c r="A2009" s="2" t="s">
        <v>11094</v>
      </c>
      <c r="B2009" s="2" t="s">
        <v>6123</v>
      </c>
      <c r="C2009" s="2" t="s">
        <v>9083</v>
      </c>
      <c r="D2009" s="2" t="n">
        <v>247.96</v>
      </c>
      <c r="E2009" s="13" t="n">
        <v>45478</v>
      </c>
    </row>
    <row r="2010" customFormat="false" ht="15" hidden="false" customHeight="false" outlineLevel="0" collapsed="false">
      <c r="A2010" s="2" t="s">
        <v>11095</v>
      </c>
      <c r="B2010" s="2" t="s">
        <v>6125</v>
      </c>
      <c r="C2010" s="2" t="s">
        <v>9087</v>
      </c>
      <c r="D2010" s="2" t="n">
        <v>248.33</v>
      </c>
      <c r="E2010" s="13" t="n">
        <v>45485</v>
      </c>
    </row>
    <row r="2011" customFormat="false" ht="15" hidden="false" customHeight="false" outlineLevel="0" collapsed="false">
      <c r="A2011" s="2" t="s">
        <v>11096</v>
      </c>
      <c r="B2011" s="2" t="s">
        <v>6127</v>
      </c>
      <c r="C2011" s="2" t="s">
        <v>9087</v>
      </c>
      <c r="D2011" s="2" t="n">
        <v>248.7</v>
      </c>
      <c r="E2011" s="13" t="n">
        <v>45492</v>
      </c>
    </row>
    <row r="2012" customFormat="false" ht="15" hidden="false" customHeight="false" outlineLevel="0" collapsed="false">
      <c r="A2012" s="2" t="s">
        <v>11097</v>
      </c>
      <c r="B2012" s="2" t="s">
        <v>6129</v>
      </c>
      <c r="C2012" s="2" t="s">
        <v>9087</v>
      </c>
      <c r="D2012" s="2" t="n">
        <v>249.07</v>
      </c>
      <c r="E2012" s="13" t="n">
        <v>45499</v>
      </c>
    </row>
    <row r="2013" customFormat="false" ht="15" hidden="false" customHeight="false" outlineLevel="0" collapsed="false">
      <c r="A2013" s="2" t="s">
        <v>11098</v>
      </c>
      <c r="B2013" s="2" t="s">
        <v>6131</v>
      </c>
      <c r="C2013" s="2" t="s">
        <v>9085</v>
      </c>
      <c r="D2013" s="2" t="n">
        <v>249.44</v>
      </c>
      <c r="E2013" s="13" t="n">
        <v>45506</v>
      </c>
    </row>
    <row r="2014" customFormat="false" ht="15" hidden="false" customHeight="false" outlineLevel="0" collapsed="false">
      <c r="A2014" s="2" t="s">
        <v>11099</v>
      </c>
      <c r="B2014" s="2" t="s">
        <v>6133</v>
      </c>
      <c r="C2014" s="2" t="s">
        <v>9092</v>
      </c>
      <c r="D2014" s="2" t="n">
        <v>249.81</v>
      </c>
      <c r="E2014" s="13" t="n">
        <v>45513</v>
      </c>
    </row>
    <row r="2015" customFormat="false" ht="15" hidden="false" customHeight="false" outlineLevel="0" collapsed="false">
      <c r="A2015" s="2" t="s">
        <v>11100</v>
      </c>
      <c r="B2015" s="2" t="s">
        <v>6135</v>
      </c>
      <c r="C2015" s="2" t="s">
        <v>9092</v>
      </c>
      <c r="D2015" s="2" t="n">
        <v>250.18</v>
      </c>
      <c r="E2015" s="13" t="n">
        <v>45520</v>
      </c>
    </row>
    <row r="2016" customFormat="false" ht="15" hidden="false" customHeight="false" outlineLevel="0" collapsed="false">
      <c r="A2016" s="2" t="s">
        <v>11101</v>
      </c>
      <c r="B2016" s="2" t="s">
        <v>6137</v>
      </c>
      <c r="C2016" s="2" t="s">
        <v>9083</v>
      </c>
      <c r="D2016" s="2" t="n">
        <v>250.55</v>
      </c>
      <c r="E2016" s="13" t="n">
        <v>45527</v>
      </c>
    </row>
    <row r="2017" customFormat="false" ht="15" hidden="false" customHeight="false" outlineLevel="0" collapsed="false">
      <c r="A2017" s="2" t="s">
        <v>11102</v>
      </c>
      <c r="B2017" s="2" t="s">
        <v>6139</v>
      </c>
      <c r="C2017" s="2" t="s">
        <v>9098</v>
      </c>
      <c r="D2017" s="2" t="n">
        <v>250.92</v>
      </c>
      <c r="E2017" s="13" t="n">
        <v>45534</v>
      </c>
    </row>
    <row r="2018" customFormat="false" ht="15" hidden="false" customHeight="false" outlineLevel="0" collapsed="false">
      <c r="A2018" s="2" t="s">
        <v>11103</v>
      </c>
      <c r="B2018" s="2" t="s">
        <v>6141</v>
      </c>
      <c r="C2018" s="2" t="s">
        <v>9098</v>
      </c>
      <c r="D2018" s="2" t="n">
        <v>251.29</v>
      </c>
      <c r="E2018" s="13" t="n">
        <v>45541</v>
      </c>
    </row>
    <row r="2019" customFormat="false" ht="15" hidden="false" customHeight="false" outlineLevel="0" collapsed="false">
      <c r="A2019" s="2" t="s">
        <v>11104</v>
      </c>
      <c r="B2019" s="2" t="s">
        <v>6143</v>
      </c>
      <c r="C2019" s="2" t="s">
        <v>9098</v>
      </c>
      <c r="D2019" s="2" t="n">
        <v>251.66</v>
      </c>
      <c r="E2019" s="13" t="n">
        <v>45548</v>
      </c>
    </row>
    <row r="2020" customFormat="false" ht="15" hidden="false" customHeight="false" outlineLevel="0" collapsed="false">
      <c r="A2020" s="2" t="s">
        <v>11105</v>
      </c>
      <c r="B2020" s="2" t="s">
        <v>6145</v>
      </c>
      <c r="C2020" s="2" t="s">
        <v>9083</v>
      </c>
      <c r="D2020" s="2" t="n">
        <v>252.03</v>
      </c>
      <c r="E2020" s="13" t="n">
        <v>45555</v>
      </c>
    </row>
    <row r="2021" customFormat="false" ht="15" hidden="false" customHeight="false" outlineLevel="0" collapsed="false">
      <c r="A2021" s="2" t="s">
        <v>11106</v>
      </c>
      <c r="B2021" s="2" t="s">
        <v>6147</v>
      </c>
      <c r="C2021" s="2" t="s">
        <v>9087</v>
      </c>
      <c r="D2021" s="2" t="n">
        <v>252.4</v>
      </c>
      <c r="E2021" s="13" t="n">
        <v>45562</v>
      </c>
    </row>
    <row r="2022" customFormat="false" ht="15" hidden="false" customHeight="false" outlineLevel="0" collapsed="false">
      <c r="A2022" s="2" t="s">
        <v>11107</v>
      </c>
      <c r="B2022" s="2" t="s">
        <v>6149</v>
      </c>
      <c r="C2022" s="2" t="s">
        <v>9098</v>
      </c>
      <c r="D2022" s="2" t="n">
        <v>252.77</v>
      </c>
      <c r="E2022" s="13" t="n">
        <v>45569</v>
      </c>
    </row>
    <row r="2023" customFormat="false" ht="15" hidden="false" customHeight="false" outlineLevel="0" collapsed="false">
      <c r="A2023" s="2" t="s">
        <v>11108</v>
      </c>
      <c r="B2023" s="2" t="s">
        <v>6151</v>
      </c>
      <c r="C2023" s="2" t="s">
        <v>9087</v>
      </c>
      <c r="D2023" s="2" t="n">
        <v>253.14</v>
      </c>
      <c r="E2023" s="13" t="n">
        <v>45576</v>
      </c>
    </row>
    <row r="2024" customFormat="false" ht="15" hidden="false" customHeight="false" outlineLevel="0" collapsed="false">
      <c r="A2024" s="2" t="s">
        <v>11109</v>
      </c>
      <c r="B2024" s="2" t="s">
        <v>6153</v>
      </c>
      <c r="C2024" s="2" t="s">
        <v>9087</v>
      </c>
      <c r="D2024" s="2" t="n">
        <v>253.51</v>
      </c>
      <c r="E2024" s="13" t="n">
        <v>45583</v>
      </c>
    </row>
    <row r="2025" customFormat="false" ht="15" hidden="false" customHeight="false" outlineLevel="0" collapsed="false">
      <c r="A2025" s="2" t="s">
        <v>11110</v>
      </c>
      <c r="B2025" s="2" t="s">
        <v>6155</v>
      </c>
      <c r="C2025" s="2" t="s">
        <v>9098</v>
      </c>
      <c r="D2025" s="2" t="n">
        <v>253.88</v>
      </c>
      <c r="E2025" s="13" t="n">
        <v>45590</v>
      </c>
    </row>
    <row r="2026" customFormat="false" ht="15" hidden="false" customHeight="false" outlineLevel="0" collapsed="false">
      <c r="A2026" s="2" t="s">
        <v>11111</v>
      </c>
      <c r="B2026" s="2" t="s">
        <v>6157</v>
      </c>
      <c r="C2026" s="2" t="s">
        <v>9085</v>
      </c>
      <c r="D2026" s="2" t="n">
        <v>254.25</v>
      </c>
      <c r="E2026" s="13" t="n">
        <v>45597</v>
      </c>
    </row>
    <row r="2027" customFormat="false" ht="15" hidden="false" customHeight="false" outlineLevel="0" collapsed="false">
      <c r="A2027" s="2" t="s">
        <v>11112</v>
      </c>
      <c r="B2027" s="2" t="s">
        <v>6159</v>
      </c>
      <c r="C2027" s="2" t="s">
        <v>9083</v>
      </c>
      <c r="D2027" s="2" t="n">
        <v>254.62</v>
      </c>
      <c r="E2027" s="13" t="n">
        <v>45604</v>
      </c>
    </row>
    <row r="2028" customFormat="false" ht="15" hidden="false" customHeight="false" outlineLevel="0" collapsed="false">
      <c r="A2028" s="2" t="s">
        <v>11113</v>
      </c>
      <c r="B2028" s="2" t="s">
        <v>6161</v>
      </c>
      <c r="C2028" s="2" t="s">
        <v>9098</v>
      </c>
      <c r="D2028" s="2" t="n">
        <v>254.99</v>
      </c>
      <c r="E2028" s="13" t="n">
        <v>45611</v>
      </c>
    </row>
    <row r="2029" customFormat="false" ht="15" hidden="false" customHeight="false" outlineLevel="0" collapsed="false">
      <c r="A2029" s="2" t="s">
        <v>11114</v>
      </c>
      <c r="B2029" s="2" t="s">
        <v>6163</v>
      </c>
      <c r="C2029" s="2" t="s">
        <v>9092</v>
      </c>
      <c r="D2029" s="2" t="n">
        <v>5.36</v>
      </c>
      <c r="E2029" s="13" t="n">
        <v>45618</v>
      </c>
    </row>
    <row r="2030" customFormat="false" ht="15" hidden="false" customHeight="false" outlineLevel="0" collapsed="false">
      <c r="A2030" s="2" t="s">
        <v>11115</v>
      </c>
      <c r="B2030" s="2" t="s">
        <v>6165</v>
      </c>
      <c r="C2030" s="2" t="s">
        <v>9085</v>
      </c>
      <c r="D2030" s="2" t="n">
        <v>5.73</v>
      </c>
      <c r="E2030" s="13" t="n">
        <v>45625</v>
      </c>
    </row>
    <row r="2031" customFormat="false" ht="15" hidden="false" customHeight="false" outlineLevel="0" collapsed="false">
      <c r="A2031" s="2" t="s">
        <v>11116</v>
      </c>
      <c r="B2031" s="2" t="s">
        <v>6167</v>
      </c>
      <c r="C2031" s="2" t="s">
        <v>9087</v>
      </c>
      <c r="D2031" s="2" t="n">
        <v>6.1</v>
      </c>
      <c r="E2031" s="13" t="n">
        <v>45632</v>
      </c>
    </row>
    <row r="2032" customFormat="false" ht="15" hidden="false" customHeight="false" outlineLevel="0" collapsed="false">
      <c r="A2032" s="2" t="s">
        <v>11117</v>
      </c>
      <c r="B2032" s="2" t="s">
        <v>6169</v>
      </c>
      <c r="C2032" s="2" t="s">
        <v>9092</v>
      </c>
      <c r="D2032" s="2" t="n">
        <v>6.47</v>
      </c>
      <c r="E2032" s="13" t="n">
        <v>45639</v>
      </c>
    </row>
    <row r="2033" customFormat="false" ht="15" hidden="false" customHeight="false" outlineLevel="0" collapsed="false">
      <c r="A2033" s="2" t="s">
        <v>11118</v>
      </c>
      <c r="B2033" s="2" t="s">
        <v>6171</v>
      </c>
      <c r="C2033" s="2" t="s">
        <v>9085</v>
      </c>
      <c r="D2033" s="2" t="n">
        <v>6.84</v>
      </c>
      <c r="E2033" s="13" t="n">
        <v>45646</v>
      </c>
    </row>
    <row r="2034" customFormat="false" ht="15" hidden="false" customHeight="false" outlineLevel="0" collapsed="false">
      <c r="A2034" s="2" t="s">
        <v>11119</v>
      </c>
      <c r="B2034" s="2" t="s">
        <v>6173</v>
      </c>
      <c r="C2034" s="2" t="s">
        <v>9087</v>
      </c>
      <c r="D2034" s="2" t="n">
        <v>7.21</v>
      </c>
      <c r="E2034" s="13" t="n">
        <v>45653</v>
      </c>
    </row>
    <row r="2035" customFormat="false" ht="15" hidden="false" customHeight="false" outlineLevel="0" collapsed="false">
      <c r="A2035" s="2" t="s">
        <v>11120</v>
      </c>
      <c r="B2035" s="2" t="s">
        <v>6175</v>
      </c>
      <c r="C2035" s="2" t="s">
        <v>9087</v>
      </c>
      <c r="D2035" s="2" t="n">
        <v>7.58</v>
      </c>
      <c r="E2035" s="13" t="n">
        <v>45660</v>
      </c>
    </row>
    <row r="2036" customFormat="false" ht="15" hidden="false" customHeight="false" outlineLevel="0" collapsed="false">
      <c r="A2036" s="2" t="s">
        <v>11121</v>
      </c>
      <c r="B2036" s="2" t="s">
        <v>6177</v>
      </c>
      <c r="C2036" s="2" t="s">
        <v>9085</v>
      </c>
      <c r="D2036" s="2" t="n">
        <v>7.95</v>
      </c>
      <c r="E2036" s="13" t="n">
        <v>45667</v>
      </c>
    </row>
    <row r="2037" customFormat="false" ht="15" hidden="false" customHeight="false" outlineLevel="0" collapsed="false">
      <c r="A2037" s="2" t="s">
        <v>11122</v>
      </c>
      <c r="B2037" s="2" t="s">
        <v>6179</v>
      </c>
      <c r="C2037" s="2" t="s">
        <v>9098</v>
      </c>
      <c r="D2037" s="2" t="n">
        <v>8.32</v>
      </c>
      <c r="E2037" s="13" t="n">
        <v>45674</v>
      </c>
    </row>
    <row r="2038" customFormat="false" ht="15" hidden="false" customHeight="false" outlineLevel="0" collapsed="false">
      <c r="A2038" s="2" t="s">
        <v>11123</v>
      </c>
      <c r="B2038" s="2" t="s">
        <v>6181</v>
      </c>
      <c r="C2038" s="2" t="s">
        <v>9098</v>
      </c>
      <c r="D2038" s="2" t="n">
        <v>8.69</v>
      </c>
      <c r="E2038" s="13" t="n">
        <v>45681</v>
      </c>
    </row>
    <row r="2039" customFormat="false" ht="15" hidden="false" customHeight="false" outlineLevel="0" collapsed="false">
      <c r="A2039" s="2" t="s">
        <v>11124</v>
      </c>
      <c r="B2039" s="2" t="s">
        <v>6183</v>
      </c>
      <c r="C2039" s="2" t="s">
        <v>9085</v>
      </c>
      <c r="D2039" s="2" t="n">
        <v>9.06</v>
      </c>
      <c r="E2039" s="13" t="n">
        <v>45688</v>
      </c>
    </row>
    <row r="2040" customFormat="false" ht="15" hidden="false" customHeight="false" outlineLevel="0" collapsed="false">
      <c r="A2040" s="2" t="s">
        <v>11125</v>
      </c>
      <c r="B2040" s="2" t="s">
        <v>6185</v>
      </c>
      <c r="C2040" s="2" t="s">
        <v>9092</v>
      </c>
      <c r="D2040" s="2" t="n">
        <v>9.43</v>
      </c>
      <c r="E2040" s="13" t="n">
        <v>45695</v>
      </c>
    </row>
    <row r="2041" customFormat="false" ht="15" hidden="false" customHeight="false" outlineLevel="0" collapsed="false">
      <c r="A2041" s="2" t="s">
        <v>11126</v>
      </c>
      <c r="B2041" s="2" t="s">
        <v>6187</v>
      </c>
      <c r="C2041" s="2" t="s">
        <v>9087</v>
      </c>
      <c r="D2041" s="2" t="n">
        <v>9.8</v>
      </c>
      <c r="E2041" s="13" t="n">
        <v>45702</v>
      </c>
    </row>
    <row r="2042" customFormat="false" ht="15" hidden="false" customHeight="false" outlineLevel="0" collapsed="false">
      <c r="A2042" s="2" t="s">
        <v>11127</v>
      </c>
      <c r="B2042" s="2" t="s">
        <v>6189</v>
      </c>
      <c r="C2042" s="2" t="s">
        <v>9087</v>
      </c>
      <c r="D2042" s="2" t="n">
        <v>10.17</v>
      </c>
      <c r="E2042" s="13" t="n">
        <v>45709</v>
      </c>
    </row>
    <row r="2043" customFormat="false" ht="15" hidden="false" customHeight="false" outlineLevel="0" collapsed="false">
      <c r="A2043" s="2" t="s">
        <v>11128</v>
      </c>
      <c r="B2043" s="2" t="s">
        <v>6191</v>
      </c>
      <c r="C2043" s="2" t="s">
        <v>9083</v>
      </c>
      <c r="D2043" s="2" t="n">
        <v>10.54</v>
      </c>
      <c r="E2043" s="13" t="n">
        <v>45716</v>
      </c>
    </row>
    <row r="2044" customFormat="false" ht="15" hidden="false" customHeight="false" outlineLevel="0" collapsed="false">
      <c r="A2044" s="2" t="s">
        <v>11129</v>
      </c>
      <c r="B2044" s="2" t="s">
        <v>6193</v>
      </c>
      <c r="C2044" s="2" t="s">
        <v>9085</v>
      </c>
      <c r="D2044" s="2" t="n">
        <v>10.91</v>
      </c>
      <c r="E2044" s="13" t="n">
        <v>45723</v>
      </c>
    </row>
    <row r="2045" customFormat="false" ht="15" hidden="false" customHeight="false" outlineLevel="0" collapsed="false">
      <c r="A2045" s="2" t="s">
        <v>11130</v>
      </c>
      <c r="B2045" s="2" t="s">
        <v>6195</v>
      </c>
      <c r="C2045" s="2" t="s">
        <v>9083</v>
      </c>
      <c r="D2045" s="2" t="n">
        <v>11.28</v>
      </c>
      <c r="E2045" s="13" t="n">
        <v>45730</v>
      </c>
    </row>
    <row r="2046" customFormat="false" ht="15" hidden="false" customHeight="false" outlineLevel="0" collapsed="false">
      <c r="A2046" s="2" t="s">
        <v>11131</v>
      </c>
      <c r="B2046" s="2" t="s">
        <v>6197</v>
      </c>
      <c r="C2046" s="2" t="s">
        <v>9098</v>
      </c>
      <c r="D2046" s="2" t="n">
        <v>11.65</v>
      </c>
      <c r="E2046" s="13" t="n">
        <v>45737</v>
      </c>
    </row>
    <row r="2047" customFormat="false" ht="15" hidden="false" customHeight="false" outlineLevel="0" collapsed="false">
      <c r="A2047" s="2" t="s">
        <v>11132</v>
      </c>
      <c r="B2047" s="2" t="s">
        <v>6199</v>
      </c>
      <c r="C2047" s="2" t="s">
        <v>9087</v>
      </c>
      <c r="D2047" s="2" t="n">
        <v>12.02</v>
      </c>
      <c r="E2047" s="13" t="n">
        <v>45744</v>
      </c>
    </row>
    <row r="2048" customFormat="false" ht="15" hidden="false" customHeight="false" outlineLevel="0" collapsed="false">
      <c r="A2048" s="2" t="s">
        <v>11133</v>
      </c>
      <c r="B2048" s="2" t="s">
        <v>6201</v>
      </c>
      <c r="C2048" s="2" t="s">
        <v>9083</v>
      </c>
      <c r="D2048" s="2" t="n">
        <v>12.39</v>
      </c>
      <c r="E2048" s="13" t="n">
        <v>45751</v>
      </c>
    </row>
    <row r="2049" customFormat="false" ht="15" hidden="false" customHeight="false" outlineLevel="0" collapsed="false">
      <c r="A2049" s="2" t="s">
        <v>11134</v>
      </c>
      <c r="B2049" s="2" t="s">
        <v>6203</v>
      </c>
      <c r="C2049" s="2" t="s">
        <v>9085</v>
      </c>
      <c r="D2049" s="2" t="n">
        <v>12.76</v>
      </c>
      <c r="E2049" s="13" t="n">
        <v>45758</v>
      </c>
    </row>
    <row r="2050" customFormat="false" ht="15" hidden="false" customHeight="false" outlineLevel="0" collapsed="false">
      <c r="A2050" s="2" t="s">
        <v>11135</v>
      </c>
      <c r="B2050" s="2" t="s">
        <v>6205</v>
      </c>
      <c r="C2050" s="2" t="s">
        <v>9085</v>
      </c>
      <c r="D2050" s="2" t="n">
        <v>13.13</v>
      </c>
      <c r="E2050" s="13" t="n">
        <v>45765</v>
      </c>
    </row>
    <row r="2051" customFormat="false" ht="15" hidden="false" customHeight="false" outlineLevel="0" collapsed="false">
      <c r="A2051" s="2" t="s">
        <v>11136</v>
      </c>
      <c r="B2051" s="2" t="s">
        <v>6209</v>
      </c>
      <c r="C2051" s="2" t="s">
        <v>9098</v>
      </c>
      <c r="D2051" s="2" t="n">
        <v>13.5</v>
      </c>
      <c r="E2051" s="13" t="n">
        <v>45772</v>
      </c>
    </row>
    <row r="2052" customFormat="false" ht="15" hidden="false" customHeight="false" outlineLevel="0" collapsed="false">
      <c r="A2052" s="2" t="s">
        <v>11137</v>
      </c>
      <c r="B2052" s="2" t="s">
        <v>6211</v>
      </c>
      <c r="C2052" s="2" t="s">
        <v>9085</v>
      </c>
      <c r="D2052" s="2" t="n">
        <v>13.87</v>
      </c>
      <c r="E2052" s="13" t="n">
        <v>45779</v>
      </c>
    </row>
    <row r="2053" customFormat="false" ht="15" hidden="false" customHeight="false" outlineLevel="0" collapsed="false">
      <c r="A2053" s="2" t="s">
        <v>11138</v>
      </c>
      <c r="B2053" s="2" t="s">
        <v>6213</v>
      </c>
      <c r="C2053" s="2" t="s">
        <v>9083</v>
      </c>
      <c r="D2053" s="2" t="n">
        <v>14.24</v>
      </c>
      <c r="E2053" s="13" t="n">
        <v>45786</v>
      </c>
    </row>
    <row r="2054" customFormat="false" ht="15" hidden="false" customHeight="false" outlineLevel="0" collapsed="false">
      <c r="A2054" s="2" t="s">
        <v>11139</v>
      </c>
      <c r="B2054" s="2" t="s">
        <v>6215</v>
      </c>
      <c r="C2054" s="2" t="s">
        <v>9085</v>
      </c>
      <c r="D2054" s="2" t="n">
        <v>14.61</v>
      </c>
      <c r="E2054" s="13" t="n">
        <v>45793</v>
      </c>
    </row>
    <row r="2055" customFormat="false" ht="15" hidden="false" customHeight="false" outlineLevel="0" collapsed="false">
      <c r="A2055" s="2" t="s">
        <v>11140</v>
      </c>
      <c r="B2055" s="2" t="s">
        <v>6219</v>
      </c>
      <c r="C2055" s="2" t="s">
        <v>9083</v>
      </c>
      <c r="D2055" s="2" t="n">
        <v>14.98</v>
      </c>
      <c r="E2055" s="13" t="n">
        <v>45800</v>
      </c>
    </row>
    <row r="2056" customFormat="false" ht="15" hidden="false" customHeight="false" outlineLevel="0" collapsed="false">
      <c r="A2056" s="2" t="s">
        <v>11141</v>
      </c>
      <c r="B2056" s="2" t="s">
        <v>6221</v>
      </c>
      <c r="C2056" s="2" t="s">
        <v>9092</v>
      </c>
      <c r="D2056" s="2" t="n">
        <v>15.35</v>
      </c>
      <c r="E2056" s="13" t="n">
        <v>45807</v>
      </c>
    </row>
    <row r="2057" customFormat="false" ht="15" hidden="false" customHeight="false" outlineLevel="0" collapsed="false">
      <c r="A2057" s="2" t="s">
        <v>11142</v>
      </c>
      <c r="B2057" s="2" t="s">
        <v>6223</v>
      </c>
      <c r="C2057" s="2" t="s">
        <v>9098</v>
      </c>
      <c r="D2057" s="2" t="n">
        <v>15.72</v>
      </c>
      <c r="E2057" s="13" t="n">
        <v>45814</v>
      </c>
    </row>
    <row r="2058" customFormat="false" ht="15" hidden="false" customHeight="false" outlineLevel="0" collapsed="false">
      <c r="A2058" s="2" t="s">
        <v>11143</v>
      </c>
      <c r="B2058" s="2" t="s">
        <v>6225</v>
      </c>
      <c r="C2058" s="2" t="s">
        <v>9087</v>
      </c>
      <c r="D2058" s="2" t="n">
        <v>16.09</v>
      </c>
      <c r="E2058" s="13" t="n">
        <v>45821</v>
      </c>
    </row>
    <row r="2059" customFormat="false" ht="15" hidden="false" customHeight="false" outlineLevel="0" collapsed="false">
      <c r="A2059" s="2" t="s">
        <v>11144</v>
      </c>
      <c r="B2059" s="2" t="s">
        <v>6227</v>
      </c>
      <c r="C2059" s="2" t="s">
        <v>9083</v>
      </c>
      <c r="D2059" s="2" t="n">
        <v>16.46</v>
      </c>
      <c r="E2059" s="13" t="n">
        <v>45828</v>
      </c>
    </row>
    <row r="2060" customFormat="false" ht="15" hidden="false" customHeight="false" outlineLevel="0" collapsed="false">
      <c r="A2060" s="2" t="s">
        <v>11145</v>
      </c>
      <c r="B2060" s="2" t="s">
        <v>6229</v>
      </c>
      <c r="C2060" s="2" t="s">
        <v>9087</v>
      </c>
      <c r="D2060" s="2" t="n">
        <v>16.83</v>
      </c>
      <c r="E2060" s="13" t="n">
        <v>45835</v>
      </c>
    </row>
    <row r="2061" customFormat="false" ht="15" hidden="false" customHeight="false" outlineLevel="0" collapsed="false">
      <c r="A2061" s="2" t="s">
        <v>11146</v>
      </c>
      <c r="B2061" s="2" t="s">
        <v>6231</v>
      </c>
      <c r="C2061" s="2" t="s">
        <v>9083</v>
      </c>
      <c r="D2061" s="2" t="n">
        <v>17.2</v>
      </c>
      <c r="E2061" s="13" t="n">
        <v>45842</v>
      </c>
    </row>
    <row r="2062" customFormat="false" ht="15" hidden="false" customHeight="false" outlineLevel="0" collapsed="false">
      <c r="A2062" s="2" t="s">
        <v>11147</v>
      </c>
      <c r="B2062" s="2" t="s">
        <v>6233</v>
      </c>
      <c r="C2062" s="2" t="s">
        <v>9092</v>
      </c>
      <c r="D2062" s="2" t="n">
        <v>17.57</v>
      </c>
      <c r="E2062" s="13" t="n">
        <v>45849</v>
      </c>
    </row>
    <row r="2063" customFormat="false" ht="15" hidden="false" customHeight="false" outlineLevel="0" collapsed="false">
      <c r="A2063" s="2" t="s">
        <v>11148</v>
      </c>
      <c r="B2063" s="2" t="s">
        <v>6235</v>
      </c>
      <c r="C2063" s="2" t="s">
        <v>9092</v>
      </c>
      <c r="D2063" s="2" t="n">
        <v>17.94</v>
      </c>
      <c r="E2063" s="13" t="n">
        <v>45856</v>
      </c>
    </row>
    <row r="2064" customFormat="false" ht="15" hidden="false" customHeight="false" outlineLevel="0" collapsed="false">
      <c r="A2064" s="2" t="s">
        <v>11149</v>
      </c>
      <c r="B2064" s="2" t="s">
        <v>6237</v>
      </c>
      <c r="C2064" s="2" t="s">
        <v>9085</v>
      </c>
      <c r="D2064" s="2" t="n">
        <v>18.31</v>
      </c>
      <c r="E2064" s="13" t="n">
        <v>45863</v>
      </c>
    </row>
    <row r="2065" customFormat="false" ht="15" hidden="false" customHeight="false" outlineLevel="0" collapsed="false">
      <c r="A2065" s="2" t="s">
        <v>11150</v>
      </c>
      <c r="B2065" s="2" t="s">
        <v>6239</v>
      </c>
      <c r="C2065" s="2" t="s">
        <v>9085</v>
      </c>
      <c r="D2065" s="2" t="n">
        <v>18.68</v>
      </c>
      <c r="E2065" s="13" t="n">
        <v>45870</v>
      </c>
    </row>
    <row r="2066" customFormat="false" ht="15" hidden="false" customHeight="false" outlineLevel="0" collapsed="false">
      <c r="A2066" s="2" t="s">
        <v>11151</v>
      </c>
      <c r="B2066" s="2" t="s">
        <v>6241</v>
      </c>
      <c r="C2066" s="2" t="s">
        <v>9092</v>
      </c>
      <c r="D2066" s="2" t="n">
        <v>19.05</v>
      </c>
      <c r="E2066" s="13" t="n">
        <v>45877</v>
      </c>
    </row>
    <row r="2067" customFormat="false" ht="15" hidden="false" customHeight="false" outlineLevel="0" collapsed="false">
      <c r="A2067" s="2" t="s">
        <v>11152</v>
      </c>
      <c r="B2067" s="2" t="s">
        <v>6243</v>
      </c>
      <c r="C2067" s="2" t="s">
        <v>9085</v>
      </c>
      <c r="D2067" s="2" t="n">
        <v>19.42</v>
      </c>
      <c r="E2067" s="13" t="n">
        <v>45884</v>
      </c>
    </row>
    <row r="2068" customFormat="false" ht="15" hidden="false" customHeight="false" outlineLevel="0" collapsed="false">
      <c r="A2068" s="2" t="s">
        <v>11153</v>
      </c>
      <c r="B2068" s="2" t="s">
        <v>6247</v>
      </c>
      <c r="C2068" s="2" t="s">
        <v>9085</v>
      </c>
      <c r="D2068" s="2" t="n">
        <v>19.79</v>
      </c>
      <c r="E2068" s="13" t="n">
        <v>45891</v>
      </c>
    </row>
    <row r="2069" customFormat="false" ht="15" hidden="false" customHeight="false" outlineLevel="0" collapsed="false">
      <c r="A2069" s="2" t="s">
        <v>11154</v>
      </c>
      <c r="B2069" s="2" t="s">
        <v>6249</v>
      </c>
      <c r="C2069" s="2" t="s">
        <v>9085</v>
      </c>
      <c r="D2069" s="2" t="n">
        <v>20.16</v>
      </c>
      <c r="E2069" s="13" t="n">
        <v>45898</v>
      </c>
    </row>
    <row r="2070" customFormat="false" ht="15" hidden="false" customHeight="false" outlineLevel="0" collapsed="false">
      <c r="A2070" s="2" t="s">
        <v>11155</v>
      </c>
      <c r="B2070" s="2" t="s">
        <v>6251</v>
      </c>
      <c r="C2070" s="2" t="s">
        <v>9098</v>
      </c>
      <c r="D2070" s="2" t="n">
        <v>20.53</v>
      </c>
      <c r="E2070" s="13" t="n">
        <v>45905</v>
      </c>
    </row>
    <row r="2071" customFormat="false" ht="15" hidden="false" customHeight="false" outlineLevel="0" collapsed="false">
      <c r="A2071" s="2" t="s">
        <v>11156</v>
      </c>
      <c r="B2071" s="2" t="s">
        <v>6253</v>
      </c>
      <c r="C2071" s="2" t="s">
        <v>9092</v>
      </c>
      <c r="D2071" s="2" t="n">
        <v>20.9</v>
      </c>
      <c r="E2071" s="13" t="n">
        <v>45912</v>
      </c>
    </row>
    <row r="2072" customFormat="false" ht="15" hidden="false" customHeight="false" outlineLevel="0" collapsed="false">
      <c r="A2072" s="2" t="s">
        <v>11157</v>
      </c>
      <c r="B2072" s="2" t="s">
        <v>6255</v>
      </c>
      <c r="C2072" s="2" t="s">
        <v>9092</v>
      </c>
      <c r="D2072" s="2" t="n">
        <v>21.27</v>
      </c>
      <c r="E2072" s="13" t="n">
        <v>45919</v>
      </c>
    </row>
    <row r="2073" customFormat="false" ht="15" hidden="false" customHeight="false" outlineLevel="0" collapsed="false">
      <c r="A2073" s="2" t="s">
        <v>11158</v>
      </c>
      <c r="B2073" s="2" t="s">
        <v>6257</v>
      </c>
      <c r="C2073" s="2" t="s">
        <v>9092</v>
      </c>
      <c r="D2073" s="2" t="n">
        <v>21.64</v>
      </c>
      <c r="E2073" s="13" t="n">
        <v>45926</v>
      </c>
    </row>
    <row r="2074" customFormat="false" ht="15" hidden="false" customHeight="false" outlineLevel="0" collapsed="false">
      <c r="A2074" s="2" t="s">
        <v>11159</v>
      </c>
      <c r="B2074" s="2" t="s">
        <v>6261</v>
      </c>
      <c r="C2074" s="2" t="s">
        <v>9083</v>
      </c>
      <c r="D2074" s="2" t="n">
        <v>22.01</v>
      </c>
      <c r="E2074" s="13" t="n">
        <v>45933</v>
      </c>
    </row>
    <row r="2075" customFormat="false" ht="15" hidden="false" customHeight="false" outlineLevel="0" collapsed="false">
      <c r="A2075" s="2" t="s">
        <v>11160</v>
      </c>
      <c r="B2075" s="2" t="s">
        <v>6263</v>
      </c>
      <c r="C2075" s="2" t="s">
        <v>9092</v>
      </c>
      <c r="D2075" s="2" t="n">
        <v>22.38</v>
      </c>
      <c r="E2075" s="13" t="n">
        <v>45940</v>
      </c>
    </row>
    <row r="2076" customFormat="false" ht="15" hidden="false" customHeight="false" outlineLevel="0" collapsed="false">
      <c r="A2076" s="2" t="s">
        <v>11161</v>
      </c>
      <c r="B2076" s="2" t="s">
        <v>6265</v>
      </c>
      <c r="C2076" s="2" t="s">
        <v>9087</v>
      </c>
      <c r="D2076" s="2" t="n">
        <v>22.75</v>
      </c>
      <c r="E2076" s="13" t="n">
        <v>45947</v>
      </c>
    </row>
    <row r="2077" customFormat="false" ht="15" hidden="false" customHeight="false" outlineLevel="0" collapsed="false">
      <c r="A2077" s="2" t="s">
        <v>11162</v>
      </c>
      <c r="B2077" s="2" t="s">
        <v>6267</v>
      </c>
      <c r="C2077" s="2" t="s">
        <v>9085</v>
      </c>
      <c r="D2077" s="2" t="n">
        <v>23.12</v>
      </c>
      <c r="E2077" s="13" t="n">
        <v>45954</v>
      </c>
    </row>
    <row r="2078" customFormat="false" ht="15" hidden="false" customHeight="false" outlineLevel="0" collapsed="false">
      <c r="A2078" s="2" t="s">
        <v>11163</v>
      </c>
      <c r="B2078" s="2" t="s">
        <v>6269</v>
      </c>
      <c r="C2078" s="2" t="s">
        <v>9085</v>
      </c>
      <c r="D2078" s="2" t="n">
        <v>23.49</v>
      </c>
      <c r="E2078" s="13" t="n">
        <v>45961</v>
      </c>
    </row>
    <row r="2079" customFormat="false" ht="15" hidden="false" customHeight="false" outlineLevel="0" collapsed="false">
      <c r="A2079" s="2" t="s">
        <v>11164</v>
      </c>
      <c r="B2079" s="2" t="s">
        <v>6271</v>
      </c>
      <c r="C2079" s="2" t="s">
        <v>9087</v>
      </c>
      <c r="D2079" s="2" t="n">
        <v>23.86</v>
      </c>
      <c r="E2079" s="13" t="n">
        <v>45968</v>
      </c>
    </row>
    <row r="2080" customFormat="false" ht="15" hidden="false" customHeight="false" outlineLevel="0" collapsed="false">
      <c r="A2080" s="2" t="s">
        <v>11165</v>
      </c>
      <c r="B2080" s="2" t="s">
        <v>6273</v>
      </c>
      <c r="C2080" s="2" t="s">
        <v>9083</v>
      </c>
      <c r="D2080" s="2" t="n">
        <v>24.23</v>
      </c>
      <c r="E2080" s="13" t="n">
        <v>45975</v>
      </c>
    </row>
    <row r="2081" customFormat="false" ht="15" hidden="false" customHeight="false" outlineLevel="0" collapsed="false">
      <c r="A2081" s="2" t="s">
        <v>11166</v>
      </c>
      <c r="B2081" s="2" t="s">
        <v>6275</v>
      </c>
      <c r="C2081" s="2" t="s">
        <v>9085</v>
      </c>
      <c r="D2081" s="2" t="n">
        <v>24.6</v>
      </c>
      <c r="E2081" s="13" t="n">
        <v>45982</v>
      </c>
    </row>
    <row r="2082" customFormat="false" ht="15" hidden="false" customHeight="false" outlineLevel="0" collapsed="false">
      <c r="A2082" s="2" t="s">
        <v>11167</v>
      </c>
      <c r="B2082" s="2" t="s">
        <v>6279</v>
      </c>
      <c r="C2082" s="2" t="s">
        <v>9083</v>
      </c>
      <c r="D2082" s="2" t="n">
        <v>24.97</v>
      </c>
      <c r="E2082" s="13" t="n">
        <v>45989</v>
      </c>
    </row>
    <row r="2083" customFormat="false" ht="15" hidden="false" customHeight="false" outlineLevel="0" collapsed="false">
      <c r="A2083" s="2" t="s">
        <v>11168</v>
      </c>
      <c r="B2083" s="2" t="s">
        <v>6281</v>
      </c>
      <c r="C2083" s="2" t="s">
        <v>9092</v>
      </c>
      <c r="D2083" s="2" t="n">
        <v>25.34</v>
      </c>
      <c r="E2083" s="13" t="n">
        <v>45996</v>
      </c>
    </row>
    <row r="2084" customFormat="false" ht="15" hidden="false" customHeight="false" outlineLevel="0" collapsed="false">
      <c r="A2084" s="2" t="s">
        <v>11169</v>
      </c>
      <c r="B2084" s="2" t="s">
        <v>6283</v>
      </c>
      <c r="C2084" s="2" t="s">
        <v>9098</v>
      </c>
      <c r="D2084" s="2" t="n">
        <v>25.71</v>
      </c>
      <c r="E2084" s="13" t="n">
        <v>46003</v>
      </c>
    </row>
    <row r="2085" customFormat="false" ht="15" hidden="false" customHeight="false" outlineLevel="0" collapsed="false">
      <c r="A2085" s="2" t="s">
        <v>11170</v>
      </c>
      <c r="B2085" s="2" t="s">
        <v>6285</v>
      </c>
      <c r="C2085" s="2" t="s">
        <v>9092</v>
      </c>
      <c r="D2085" s="2" t="n">
        <v>26.08</v>
      </c>
      <c r="E2085" s="13" t="n">
        <v>46010</v>
      </c>
    </row>
    <row r="2086" customFormat="false" ht="15" hidden="false" customHeight="false" outlineLevel="0" collapsed="false">
      <c r="A2086" s="2" t="s">
        <v>11171</v>
      </c>
      <c r="B2086" s="2" t="s">
        <v>6287</v>
      </c>
      <c r="C2086" s="2" t="s">
        <v>9087</v>
      </c>
      <c r="D2086" s="2" t="n">
        <v>26.45</v>
      </c>
      <c r="E2086" s="13" t="n">
        <v>46017</v>
      </c>
    </row>
    <row r="2087" customFormat="false" ht="15" hidden="false" customHeight="false" outlineLevel="0" collapsed="false">
      <c r="A2087" s="2" t="s">
        <v>11172</v>
      </c>
      <c r="B2087" s="2" t="s">
        <v>6291</v>
      </c>
      <c r="C2087" s="2" t="s">
        <v>9098</v>
      </c>
      <c r="D2087" s="2" t="n">
        <v>26.82</v>
      </c>
      <c r="E2087" s="13" t="n">
        <v>45294</v>
      </c>
    </row>
    <row r="2088" customFormat="false" ht="15" hidden="false" customHeight="false" outlineLevel="0" collapsed="false">
      <c r="A2088" s="2" t="s">
        <v>11173</v>
      </c>
      <c r="B2088" s="2" t="s">
        <v>6293</v>
      </c>
      <c r="C2088" s="2" t="s">
        <v>9098</v>
      </c>
      <c r="D2088" s="2" t="n">
        <v>27.19</v>
      </c>
      <c r="E2088" s="13" t="n">
        <v>45301</v>
      </c>
    </row>
    <row r="2089" customFormat="false" ht="15" hidden="false" customHeight="false" outlineLevel="0" collapsed="false">
      <c r="A2089" s="2" t="s">
        <v>11174</v>
      </c>
      <c r="B2089" s="2" t="s">
        <v>6295</v>
      </c>
      <c r="C2089" s="2" t="s">
        <v>9083</v>
      </c>
      <c r="D2089" s="2" t="n">
        <v>27.56</v>
      </c>
      <c r="E2089" s="13" t="n">
        <v>45308</v>
      </c>
    </row>
    <row r="2090" customFormat="false" ht="15" hidden="false" customHeight="false" outlineLevel="0" collapsed="false">
      <c r="A2090" s="2" t="s">
        <v>11175</v>
      </c>
      <c r="B2090" s="2" t="s">
        <v>6297</v>
      </c>
      <c r="C2090" s="2" t="s">
        <v>9085</v>
      </c>
      <c r="D2090" s="2" t="n">
        <v>27.93</v>
      </c>
      <c r="E2090" s="13" t="n">
        <v>45315</v>
      </c>
    </row>
    <row r="2091" customFormat="false" ht="15" hidden="false" customHeight="false" outlineLevel="0" collapsed="false">
      <c r="A2091" s="2" t="s">
        <v>11176</v>
      </c>
      <c r="B2091" s="2" t="s">
        <v>6299</v>
      </c>
      <c r="C2091" s="2" t="s">
        <v>9087</v>
      </c>
      <c r="D2091" s="2" t="n">
        <v>28.3</v>
      </c>
      <c r="E2091" s="13" t="n">
        <v>45322</v>
      </c>
    </row>
    <row r="2092" customFormat="false" ht="15" hidden="false" customHeight="false" outlineLevel="0" collapsed="false">
      <c r="A2092" s="2" t="s">
        <v>11177</v>
      </c>
      <c r="B2092" s="2" t="s">
        <v>6301</v>
      </c>
      <c r="C2092" s="2" t="s">
        <v>9085</v>
      </c>
      <c r="D2092" s="2" t="n">
        <v>28.67</v>
      </c>
      <c r="E2092" s="13" t="n">
        <v>45329</v>
      </c>
    </row>
    <row r="2093" customFormat="false" ht="15" hidden="false" customHeight="false" outlineLevel="0" collapsed="false">
      <c r="A2093" s="2" t="s">
        <v>11178</v>
      </c>
      <c r="B2093" s="2" t="s">
        <v>6303</v>
      </c>
      <c r="C2093" s="2" t="s">
        <v>9098</v>
      </c>
      <c r="D2093" s="2" t="n">
        <v>29.04</v>
      </c>
      <c r="E2093" s="13" t="n">
        <v>45336</v>
      </c>
    </row>
    <row r="2094" customFormat="false" ht="15" hidden="false" customHeight="false" outlineLevel="0" collapsed="false">
      <c r="A2094" s="2" t="s">
        <v>11179</v>
      </c>
      <c r="B2094" s="2" t="s">
        <v>6305</v>
      </c>
      <c r="C2094" s="2" t="s">
        <v>9083</v>
      </c>
      <c r="D2094" s="2" t="n">
        <v>29.41</v>
      </c>
      <c r="E2094" s="13" t="n">
        <v>45343</v>
      </c>
    </row>
    <row r="2095" customFormat="false" ht="15" hidden="false" customHeight="false" outlineLevel="0" collapsed="false">
      <c r="A2095" s="2" t="s">
        <v>11180</v>
      </c>
      <c r="B2095" s="2" t="s">
        <v>6307</v>
      </c>
      <c r="C2095" s="2" t="s">
        <v>9087</v>
      </c>
      <c r="D2095" s="2" t="n">
        <v>29.78</v>
      </c>
      <c r="E2095" s="13" t="n">
        <v>45350</v>
      </c>
    </row>
    <row r="2096" customFormat="false" ht="15" hidden="false" customHeight="false" outlineLevel="0" collapsed="false">
      <c r="A2096" s="2" t="s">
        <v>11181</v>
      </c>
      <c r="B2096" s="2" t="s">
        <v>6309</v>
      </c>
      <c r="C2096" s="2" t="s">
        <v>9083</v>
      </c>
      <c r="D2096" s="2" t="n">
        <v>30.15</v>
      </c>
      <c r="E2096" s="13" t="n">
        <v>45357</v>
      </c>
    </row>
    <row r="2097" customFormat="false" ht="15" hidden="false" customHeight="false" outlineLevel="0" collapsed="false">
      <c r="A2097" s="2" t="s">
        <v>11182</v>
      </c>
      <c r="B2097" s="2" t="s">
        <v>6311</v>
      </c>
      <c r="C2097" s="2" t="s">
        <v>9083</v>
      </c>
      <c r="D2097" s="2" t="n">
        <v>30.52</v>
      </c>
      <c r="E2097" s="13" t="n">
        <v>45364</v>
      </c>
    </row>
    <row r="2098" customFormat="false" ht="15" hidden="false" customHeight="false" outlineLevel="0" collapsed="false">
      <c r="A2098" s="2" t="s">
        <v>11183</v>
      </c>
      <c r="B2098" s="2" t="s">
        <v>6313</v>
      </c>
      <c r="C2098" s="2" t="s">
        <v>9087</v>
      </c>
      <c r="D2098" s="2" t="n">
        <v>30.89</v>
      </c>
      <c r="E2098" s="13" t="n">
        <v>45371</v>
      </c>
    </row>
    <row r="2099" customFormat="false" ht="15" hidden="false" customHeight="false" outlineLevel="0" collapsed="false">
      <c r="A2099" s="2" t="s">
        <v>11184</v>
      </c>
      <c r="B2099" s="2" t="s">
        <v>6315</v>
      </c>
      <c r="C2099" s="2" t="s">
        <v>9092</v>
      </c>
      <c r="D2099" s="2" t="n">
        <v>31.26</v>
      </c>
      <c r="E2099" s="13" t="n">
        <v>45378</v>
      </c>
    </row>
    <row r="2100" customFormat="false" ht="15" hidden="false" customHeight="false" outlineLevel="0" collapsed="false">
      <c r="A2100" s="2" t="s">
        <v>11185</v>
      </c>
      <c r="B2100" s="2" t="s">
        <v>6317</v>
      </c>
      <c r="C2100" s="2" t="s">
        <v>9098</v>
      </c>
      <c r="D2100" s="2" t="n">
        <v>31.63</v>
      </c>
      <c r="E2100" s="13" t="n">
        <v>45385</v>
      </c>
    </row>
    <row r="2101" customFormat="false" ht="15" hidden="false" customHeight="false" outlineLevel="0" collapsed="false">
      <c r="A2101" s="2" t="s">
        <v>11186</v>
      </c>
      <c r="B2101" s="2" t="s">
        <v>6319</v>
      </c>
      <c r="C2101" s="2" t="s">
        <v>9083</v>
      </c>
      <c r="D2101" s="2" t="n">
        <v>32</v>
      </c>
      <c r="E2101" s="13" t="n">
        <v>45392</v>
      </c>
    </row>
    <row r="2102" customFormat="false" ht="15" hidden="false" customHeight="false" outlineLevel="0" collapsed="false">
      <c r="A2102" s="2" t="s">
        <v>11187</v>
      </c>
      <c r="B2102" s="2" t="s">
        <v>6321</v>
      </c>
      <c r="C2102" s="2" t="s">
        <v>9087</v>
      </c>
      <c r="D2102" s="2" t="n">
        <v>32.37</v>
      </c>
      <c r="E2102" s="13" t="n">
        <v>45399</v>
      </c>
    </row>
    <row r="2103" customFormat="false" ht="15" hidden="false" customHeight="false" outlineLevel="0" collapsed="false">
      <c r="A2103" s="2" t="s">
        <v>11188</v>
      </c>
      <c r="B2103" s="2" t="s">
        <v>6325</v>
      </c>
      <c r="C2103" s="2" t="s">
        <v>9083</v>
      </c>
      <c r="D2103" s="2" t="n">
        <v>32.74</v>
      </c>
      <c r="E2103" s="13" t="n">
        <v>45406</v>
      </c>
    </row>
    <row r="2104" customFormat="false" ht="15" hidden="false" customHeight="false" outlineLevel="0" collapsed="false">
      <c r="A2104" s="2" t="s">
        <v>11189</v>
      </c>
      <c r="B2104" s="2" t="s">
        <v>6327</v>
      </c>
      <c r="C2104" s="2" t="s">
        <v>9085</v>
      </c>
      <c r="D2104" s="2" t="n">
        <v>33.11</v>
      </c>
      <c r="E2104" s="13" t="n">
        <v>45413</v>
      </c>
    </row>
    <row r="2105" customFormat="false" ht="15" hidden="false" customHeight="false" outlineLevel="0" collapsed="false">
      <c r="A2105" s="2" t="s">
        <v>11190</v>
      </c>
      <c r="B2105" s="2" t="s">
        <v>6329</v>
      </c>
      <c r="C2105" s="2" t="s">
        <v>9092</v>
      </c>
      <c r="D2105" s="2" t="n">
        <v>33.48</v>
      </c>
      <c r="E2105" s="13" t="n">
        <v>45420</v>
      </c>
    </row>
    <row r="2106" customFormat="false" ht="15" hidden="false" customHeight="false" outlineLevel="0" collapsed="false">
      <c r="A2106" s="2" t="s">
        <v>11191</v>
      </c>
      <c r="B2106" s="2" t="s">
        <v>6331</v>
      </c>
      <c r="C2106" s="2" t="s">
        <v>9087</v>
      </c>
      <c r="D2106" s="2" t="n">
        <v>33.85</v>
      </c>
      <c r="E2106" s="13" t="n">
        <v>45427</v>
      </c>
    </row>
    <row r="2107" customFormat="false" ht="15" hidden="false" customHeight="false" outlineLevel="0" collapsed="false">
      <c r="A2107" s="2" t="s">
        <v>11192</v>
      </c>
      <c r="B2107" s="2" t="s">
        <v>6333</v>
      </c>
      <c r="C2107" s="2" t="s">
        <v>9092</v>
      </c>
      <c r="D2107" s="2" t="n">
        <v>34.22</v>
      </c>
      <c r="E2107" s="13" t="n">
        <v>45434</v>
      </c>
    </row>
    <row r="2108" customFormat="false" ht="15" hidden="false" customHeight="false" outlineLevel="0" collapsed="false">
      <c r="A2108" s="2" t="s">
        <v>11193</v>
      </c>
      <c r="B2108" s="2" t="s">
        <v>6335</v>
      </c>
      <c r="C2108" s="2" t="s">
        <v>9087</v>
      </c>
      <c r="D2108" s="2" t="n">
        <v>34.59</v>
      </c>
      <c r="E2108" s="13" t="n">
        <v>45441</v>
      </c>
    </row>
    <row r="2109" customFormat="false" ht="15" hidden="false" customHeight="false" outlineLevel="0" collapsed="false">
      <c r="A2109" s="2" t="s">
        <v>11194</v>
      </c>
      <c r="B2109" s="2" t="s">
        <v>6337</v>
      </c>
      <c r="C2109" s="2" t="s">
        <v>9085</v>
      </c>
      <c r="D2109" s="2" t="n">
        <v>34.96</v>
      </c>
      <c r="E2109" s="13" t="n">
        <v>45448</v>
      </c>
    </row>
    <row r="2110" customFormat="false" ht="15" hidden="false" customHeight="false" outlineLevel="0" collapsed="false">
      <c r="A2110" s="2" t="s">
        <v>11195</v>
      </c>
      <c r="B2110" s="2" t="s">
        <v>6339</v>
      </c>
      <c r="C2110" s="2" t="s">
        <v>9087</v>
      </c>
      <c r="D2110" s="2" t="n">
        <v>35.33</v>
      </c>
      <c r="E2110" s="13" t="n">
        <v>45455</v>
      </c>
    </row>
    <row r="2111" customFormat="false" ht="15" hidden="false" customHeight="false" outlineLevel="0" collapsed="false">
      <c r="A2111" s="2" t="s">
        <v>11196</v>
      </c>
      <c r="B2111" s="2" t="s">
        <v>6341</v>
      </c>
      <c r="C2111" s="2" t="s">
        <v>9085</v>
      </c>
      <c r="D2111" s="2" t="n">
        <v>35.7</v>
      </c>
      <c r="E2111" s="13" t="n">
        <v>45462</v>
      </c>
    </row>
    <row r="2112" customFormat="false" ht="15" hidden="false" customHeight="false" outlineLevel="0" collapsed="false">
      <c r="A2112" s="2" t="s">
        <v>11197</v>
      </c>
      <c r="B2112" s="2" t="s">
        <v>6343</v>
      </c>
      <c r="C2112" s="2" t="s">
        <v>9085</v>
      </c>
      <c r="D2112" s="2" t="n">
        <v>36.07</v>
      </c>
      <c r="E2112" s="13" t="n">
        <v>45469</v>
      </c>
    </row>
    <row r="2113" customFormat="false" ht="15" hidden="false" customHeight="false" outlineLevel="0" collapsed="false">
      <c r="A2113" s="2" t="s">
        <v>11198</v>
      </c>
      <c r="B2113" s="2" t="s">
        <v>6345</v>
      </c>
      <c r="C2113" s="2" t="s">
        <v>9083</v>
      </c>
      <c r="D2113" s="2" t="n">
        <v>36.44</v>
      </c>
      <c r="E2113" s="13" t="n">
        <v>45476</v>
      </c>
    </row>
    <row r="2114" customFormat="false" ht="15" hidden="false" customHeight="false" outlineLevel="0" collapsed="false">
      <c r="A2114" s="2" t="s">
        <v>11199</v>
      </c>
      <c r="B2114" s="2" t="s">
        <v>6347</v>
      </c>
      <c r="C2114" s="2" t="s">
        <v>9085</v>
      </c>
      <c r="D2114" s="2" t="n">
        <v>36.81</v>
      </c>
      <c r="E2114" s="13" t="n">
        <v>45483</v>
      </c>
    </row>
    <row r="2115" customFormat="false" ht="15" hidden="false" customHeight="false" outlineLevel="0" collapsed="false">
      <c r="A2115" s="2" t="s">
        <v>11200</v>
      </c>
      <c r="B2115" s="2" t="s">
        <v>6349</v>
      </c>
      <c r="C2115" s="2" t="s">
        <v>9085</v>
      </c>
      <c r="D2115" s="2" t="n">
        <v>37.18</v>
      </c>
      <c r="E2115" s="13" t="n">
        <v>45490</v>
      </c>
    </row>
    <row r="2116" customFormat="false" ht="15" hidden="false" customHeight="false" outlineLevel="0" collapsed="false">
      <c r="A2116" s="2" t="s">
        <v>11201</v>
      </c>
      <c r="B2116" s="2" t="s">
        <v>6351</v>
      </c>
      <c r="C2116" s="2" t="s">
        <v>9098</v>
      </c>
      <c r="D2116" s="2" t="n">
        <v>37.55</v>
      </c>
      <c r="E2116" s="13" t="n">
        <v>45497</v>
      </c>
    </row>
    <row r="2117" customFormat="false" ht="15" hidden="false" customHeight="false" outlineLevel="0" collapsed="false">
      <c r="A2117" s="2" t="s">
        <v>11202</v>
      </c>
      <c r="B2117" s="2" t="s">
        <v>6353</v>
      </c>
      <c r="C2117" s="2" t="s">
        <v>9083</v>
      </c>
      <c r="D2117" s="2" t="n">
        <v>37.92</v>
      </c>
      <c r="E2117" s="13" t="n">
        <v>45504</v>
      </c>
    </row>
    <row r="2118" customFormat="false" ht="15" hidden="false" customHeight="false" outlineLevel="0" collapsed="false">
      <c r="A2118" s="2" t="s">
        <v>11203</v>
      </c>
      <c r="B2118" s="2" t="s">
        <v>6355</v>
      </c>
      <c r="C2118" s="2" t="s">
        <v>9098</v>
      </c>
      <c r="D2118" s="2" t="n">
        <v>38.29</v>
      </c>
      <c r="E2118" s="13" t="n">
        <v>45511</v>
      </c>
    </row>
    <row r="2119" customFormat="false" ht="15" hidden="false" customHeight="false" outlineLevel="0" collapsed="false">
      <c r="A2119" s="2" t="s">
        <v>11204</v>
      </c>
      <c r="B2119" s="2" t="s">
        <v>6357</v>
      </c>
      <c r="C2119" s="2" t="s">
        <v>9092</v>
      </c>
      <c r="D2119" s="2" t="n">
        <v>38.66</v>
      </c>
      <c r="E2119" s="13" t="n">
        <v>45518</v>
      </c>
    </row>
    <row r="2120" customFormat="false" ht="15" hidden="false" customHeight="false" outlineLevel="0" collapsed="false">
      <c r="A2120" s="2" t="s">
        <v>11205</v>
      </c>
      <c r="B2120" s="2" t="s">
        <v>6359</v>
      </c>
      <c r="C2120" s="2" t="s">
        <v>9085</v>
      </c>
      <c r="D2120" s="2" t="n">
        <v>39.03</v>
      </c>
      <c r="E2120" s="13" t="n">
        <v>45525</v>
      </c>
    </row>
    <row r="2121" customFormat="false" ht="15" hidden="false" customHeight="false" outlineLevel="0" collapsed="false">
      <c r="A2121" s="2" t="s">
        <v>11206</v>
      </c>
      <c r="B2121" s="2" t="s">
        <v>6361</v>
      </c>
      <c r="C2121" s="2" t="s">
        <v>9092</v>
      </c>
      <c r="D2121" s="2" t="n">
        <v>39.4</v>
      </c>
      <c r="E2121" s="13" t="n">
        <v>45532</v>
      </c>
    </row>
    <row r="2122" customFormat="false" ht="15" hidden="false" customHeight="false" outlineLevel="0" collapsed="false">
      <c r="A2122" s="2" t="s">
        <v>11207</v>
      </c>
      <c r="B2122" s="2" t="s">
        <v>6363</v>
      </c>
      <c r="C2122" s="2" t="s">
        <v>9085</v>
      </c>
      <c r="D2122" s="2" t="n">
        <v>39.77</v>
      </c>
      <c r="E2122" s="13" t="n">
        <v>45539</v>
      </c>
    </row>
    <row r="2123" customFormat="false" ht="15" hidden="false" customHeight="false" outlineLevel="0" collapsed="false">
      <c r="A2123" s="2" t="s">
        <v>11208</v>
      </c>
      <c r="B2123" s="2" t="s">
        <v>6365</v>
      </c>
      <c r="C2123" s="2" t="s">
        <v>9092</v>
      </c>
      <c r="D2123" s="2" t="n">
        <v>40.14</v>
      </c>
      <c r="E2123" s="13" t="n">
        <v>45546</v>
      </c>
    </row>
    <row r="2124" customFormat="false" ht="15" hidden="false" customHeight="false" outlineLevel="0" collapsed="false">
      <c r="A2124" s="2" t="s">
        <v>11209</v>
      </c>
      <c r="B2124" s="2" t="s">
        <v>6367</v>
      </c>
      <c r="C2124" s="2" t="s">
        <v>9083</v>
      </c>
      <c r="D2124" s="2" t="n">
        <v>40.51</v>
      </c>
      <c r="E2124" s="13" t="n">
        <v>45553</v>
      </c>
    </row>
    <row r="2125" customFormat="false" ht="15" hidden="false" customHeight="false" outlineLevel="0" collapsed="false">
      <c r="A2125" s="2" t="s">
        <v>11210</v>
      </c>
      <c r="B2125" s="2" t="s">
        <v>6369</v>
      </c>
      <c r="C2125" s="2" t="s">
        <v>9098</v>
      </c>
      <c r="D2125" s="2" t="n">
        <v>40.88</v>
      </c>
      <c r="E2125" s="13" t="n">
        <v>45560</v>
      </c>
    </row>
    <row r="2126" customFormat="false" ht="15" hidden="false" customHeight="false" outlineLevel="0" collapsed="false">
      <c r="A2126" s="2" t="s">
        <v>11211</v>
      </c>
      <c r="B2126" s="2" t="s">
        <v>6371</v>
      </c>
      <c r="C2126" s="2" t="s">
        <v>9087</v>
      </c>
      <c r="D2126" s="2" t="n">
        <v>41.25</v>
      </c>
      <c r="E2126" s="13" t="n">
        <v>45567</v>
      </c>
    </row>
    <row r="2127" customFormat="false" ht="15" hidden="false" customHeight="false" outlineLevel="0" collapsed="false">
      <c r="A2127" s="2" t="s">
        <v>11212</v>
      </c>
      <c r="B2127" s="2" t="s">
        <v>6373</v>
      </c>
      <c r="C2127" s="2" t="s">
        <v>9092</v>
      </c>
      <c r="D2127" s="2" t="n">
        <v>41.62</v>
      </c>
      <c r="E2127" s="13" t="n">
        <v>45574</v>
      </c>
    </row>
    <row r="2128" customFormat="false" ht="15" hidden="false" customHeight="false" outlineLevel="0" collapsed="false">
      <c r="A2128" s="2" t="s">
        <v>11213</v>
      </c>
      <c r="B2128" s="2" t="s">
        <v>6375</v>
      </c>
      <c r="C2128" s="2" t="s">
        <v>9087</v>
      </c>
      <c r="D2128" s="2" t="n">
        <v>41.99</v>
      </c>
      <c r="E2128" s="13" t="n">
        <v>45581</v>
      </c>
    </row>
    <row r="2129" customFormat="false" ht="15" hidden="false" customHeight="false" outlineLevel="0" collapsed="false">
      <c r="A2129" s="2" t="s">
        <v>11214</v>
      </c>
      <c r="B2129" s="2" t="s">
        <v>6377</v>
      </c>
      <c r="C2129" s="2" t="s">
        <v>9083</v>
      </c>
      <c r="D2129" s="2" t="n">
        <v>42.36</v>
      </c>
      <c r="E2129" s="13" t="n">
        <v>45588</v>
      </c>
    </row>
    <row r="2130" customFormat="false" ht="15" hidden="false" customHeight="false" outlineLevel="0" collapsed="false">
      <c r="A2130" s="2" t="s">
        <v>11215</v>
      </c>
      <c r="B2130" s="2" t="s">
        <v>6379</v>
      </c>
      <c r="C2130" s="2" t="s">
        <v>9098</v>
      </c>
      <c r="D2130" s="2" t="n">
        <v>42.73</v>
      </c>
      <c r="E2130" s="13" t="n">
        <v>45595</v>
      </c>
    </row>
    <row r="2131" customFormat="false" ht="15" hidden="false" customHeight="false" outlineLevel="0" collapsed="false">
      <c r="A2131" s="2" t="s">
        <v>11216</v>
      </c>
      <c r="B2131" s="2" t="s">
        <v>6381</v>
      </c>
      <c r="C2131" s="2" t="s">
        <v>9083</v>
      </c>
      <c r="D2131" s="2" t="n">
        <v>43.1</v>
      </c>
      <c r="E2131" s="13" t="n">
        <v>45602</v>
      </c>
    </row>
    <row r="2132" customFormat="false" ht="15" hidden="false" customHeight="false" outlineLevel="0" collapsed="false">
      <c r="A2132" s="2" t="s">
        <v>11217</v>
      </c>
      <c r="B2132" s="2" t="s">
        <v>6383</v>
      </c>
      <c r="C2132" s="2" t="s">
        <v>9085</v>
      </c>
      <c r="D2132" s="2" t="n">
        <v>43.47</v>
      </c>
      <c r="E2132" s="13" t="n">
        <v>45609</v>
      </c>
    </row>
    <row r="2133" customFormat="false" ht="15" hidden="false" customHeight="false" outlineLevel="0" collapsed="false">
      <c r="A2133" s="2" t="s">
        <v>11218</v>
      </c>
      <c r="B2133" s="2" t="s">
        <v>6385</v>
      </c>
      <c r="C2133" s="2" t="s">
        <v>9092</v>
      </c>
      <c r="D2133" s="2" t="n">
        <v>43.84</v>
      </c>
      <c r="E2133" s="13" t="n">
        <v>45616</v>
      </c>
    </row>
    <row r="2134" customFormat="false" ht="15" hidden="false" customHeight="false" outlineLevel="0" collapsed="false">
      <c r="A2134" s="2" t="s">
        <v>11219</v>
      </c>
      <c r="B2134" s="2" t="s">
        <v>6387</v>
      </c>
      <c r="C2134" s="2" t="s">
        <v>9083</v>
      </c>
      <c r="D2134" s="2" t="n">
        <v>44.21</v>
      </c>
      <c r="E2134" s="13" t="n">
        <v>45623</v>
      </c>
    </row>
    <row r="2135" customFormat="false" ht="15" hidden="false" customHeight="false" outlineLevel="0" collapsed="false">
      <c r="A2135" s="2" t="s">
        <v>11220</v>
      </c>
      <c r="B2135" s="2" t="s">
        <v>6389</v>
      </c>
      <c r="C2135" s="2" t="s">
        <v>9098</v>
      </c>
      <c r="D2135" s="2" t="n">
        <v>44.58</v>
      </c>
      <c r="E2135" s="13" t="n">
        <v>45630</v>
      </c>
    </row>
    <row r="2136" customFormat="false" ht="15" hidden="false" customHeight="false" outlineLevel="0" collapsed="false">
      <c r="A2136" s="2" t="s">
        <v>11221</v>
      </c>
      <c r="B2136" s="2" t="s">
        <v>6391</v>
      </c>
      <c r="C2136" s="2" t="s">
        <v>9087</v>
      </c>
      <c r="D2136" s="2" t="n">
        <v>44.95</v>
      </c>
      <c r="E2136" s="13" t="n">
        <v>45637</v>
      </c>
    </row>
    <row r="2137" customFormat="false" ht="15" hidden="false" customHeight="false" outlineLevel="0" collapsed="false">
      <c r="A2137" s="2" t="s">
        <v>11222</v>
      </c>
      <c r="B2137" s="2" t="s">
        <v>6393</v>
      </c>
      <c r="C2137" s="2" t="s">
        <v>9098</v>
      </c>
      <c r="D2137" s="2" t="n">
        <v>45.32</v>
      </c>
      <c r="E2137" s="13" t="n">
        <v>45644</v>
      </c>
    </row>
    <row r="2138" customFormat="false" ht="15" hidden="false" customHeight="false" outlineLevel="0" collapsed="false">
      <c r="A2138" s="2" t="s">
        <v>11223</v>
      </c>
      <c r="B2138" s="2" t="s">
        <v>6395</v>
      </c>
      <c r="C2138" s="2" t="s">
        <v>9087</v>
      </c>
      <c r="D2138" s="2" t="n">
        <v>45.69</v>
      </c>
      <c r="E2138" s="13" t="n">
        <v>45651</v>
      </c>
    </row>
    <row r="2139" customFormat="false" ht="15" hidden="false" customHeight="false" outlineLevel="0" collapsed="false">
      <c r="A2139" s="2" t="s">
        <v>11224</v>
      </c>
      <c r="B2139" s="2" t="s">
        <v>6397</v>
      </c>
      <c r="C2139" s="2" t="s">
        <v>9083</v>
      </c>
      <c r="D2139" s="2" t="n">
        <v>46.06</v>
      </c>
      <c r="E2139" s="13" t="n">
        <v>45658</v>
      </c>
    </row>
    <row r="2140" customFormat="false" ht="15" hidden="false" customHeight="false" outlineLevel="0" collapsed="false">
      <c r="A2140" s="2" t="s">
        <v>11225</v>
      </c>
      <c r="B2140" s="2" t="s">
        <v>6399</v>
      </c>
      <c r="C2140" s="2" t="s">
        <v>9092</v>
      </c>
      <c r="D2140" s="2" t="n">
        <v>46.43</v>
      </c>
      <c r="E2140" s="13" t="n">
        <v>45665</v>
      </c>
    </row>
    <row r="2141" customFormat="false" ht="15" hidden="false" customHeight="false" outlineLevel="0" collapsed="false">
      <c r="A2141" s="2" t="s">
        <v>11226</v>
      </c>
      <c r="B2141" s="2" t="s">
        <v>6401</v>
      </c>
      <c r="C2141" s="2" t="s">
        <v>9085</v>
      </c>
      <c r="D2141" s="2" t="n">
        <v>46.8</v>
      </c>
      <c r="E2141" s="13" t="n">
        <v>45672</v>
      </c>
    </row>
    <row r="2142" customFormat="false" ht="15" hidden="false" customHeight="false" outlineLevel="0" collapsed="false">
      <c r="A2142" s="2" t="s">
        <v>11227</v>
      </c>
      <c r="B2142" s="2" t="s">
        <v>6403</v>
      </c>
      <c r="C2142" s="2" t="s">
        <v>9085</v>
      </c>
      <c r="D2142" s="2" t="n">
        <v>47.17</v>
      </c>
      <c r="E2142" s="13" t="n">
        <v>45679</v>
      </c>
    </row>
    <row r="2143" customFormat="false" ht="15" hidden="false" customHeight="false" outlineLevel="0" collapsed="false">
      <c r="A2143" s="2" t="s">
        <v>11228</v>
      </c>
      <c r="B2143" s="2" t="s">
        <v>6405</v>
      </c>
      <c r="C2143" s="2" t="s">
        <v>9092</v>
      </c>
      <c r="D2143" s="2" t="n">
        <v>47.54</v>
      </c>
      <c r="E2143" s="13" t="n">
        <v>45686</v>
      </c>
    </row>
    <row r="2144" customFormat="false" ht="15" hidden="false" customHeight="false" outlineLevel="0" collapsed="false">
      <c r="A2144" s="2" t="s">
        <v>11229</v>
      </c>
      <c r="B2144" s="2" t="s">
        <v>6407</v>
      </c>
      <c r="C2144" s="2" t="s">
        <v>9083</v>
      </c>
      <c r="D2144" s="2" t="n">
        <v>47.91</v>
      </c>
      <c r="E2144" s="13" t="n">
        <v>45693</v>
      </c>
    </row>
    <row r="2145" customFormat="false" ht="15" hidden="false" customHeight="false" outlineLevel="0" collapsed="false">
      <c r="A2145" s="2" t="s">
        <v>11230</v>
      </c>
      <c r="B2145" s="2" t="s">
        <v>6409</v>
      </c>
      <c r="C2145" s="2" t="s">
        <v>9098</v>
      </c>
      <c r="D2145" s="2" t="n">
        <v>48.28</v>
      </c>
      <c r="E2145" s="13" t="n">
        <v>45700</v>
      </c>
    </row>
    <row r="2146" customFormat="false" ht="15" hidden="false" customHeight="false" outlineLevel="0" collapsed="false">
      <c r="A2146" s="2" t="s">
        <v>11231</v>
      </c>
      <c r="B2146" s="2" t="s">
        <v>6411</v>
      </c>
      <c r="C2146" s="2" t="s">
        <v>9098</v>
      </c>
      <c r="D2146" s="2" t="n">
        <v>48.65</v>
      </c>
      <c r="E2146" s="13" t="n">
        <v>45707</v>
      </c>
    </row>
    <row r="2147" customFormat="false" ht="15" hidden="false" customHeight="false" outlineLevel="0" collapsed="false">
      <c r="A2147" s="2" t="s">
        <v>11232</v>
      </c>
      <c r="B2147" s="2" t="s">
        <v>6413</v>
      </c>
      <c r="C2147" s="2" t="s">
        <v>9092</v>
      </c>
      <c r="D2147" s="2" t="n">
        <v>49.02</v>
      </c>
      <c r="E2147" s="13" t="n">
        <v>45714</v>
      </c>
    </row>
    <row r="2148" customFormat="false" ht="15" hidden="false" customHeight="false" outlineLevel="0" collapsed="false">
      <c r="A2148" s="2" t="s">
        <v>11233</v>
      </c>
      <c r="B2148" s="2" t="s">
        <v>6415</v>
      </c>
      <c r="C2148" s="2" t="s">
        <v>9087</v>
      </c>
      <c r="D2148" s="2" t="n">
        <v>49.39</v>
      </c>
      <c r="E2148" s="13" t="n">
        <v>45721</v>
      </c>
    </row>
    <row r="2149" customFormat="false" ht="15" hidden="false" customHeight="false" outlineLevel="0" collapsed="false">
      <c r="A2149" s="2" t="s">
        <v>11234</v>
      </c>
      <c r="B2149" s="2" t="s">
        <v>6417</v>
      </c>
      <c r="C2149" s="2" t="s">
        <v>9098</v>
      </c>
      <c r="D2149" s="2" t="n">
        <v>49.76</v>
      </c>
      <c r="E2149" s="13" t="n">
        <v>45728</v>
      </c>
    </row>
    <row r="2150" customFormat="false" ht="15" hidden="false" customHeight="false" outlineLevel="0" collapsed="false">
      <c r="A2150" s="2" t="s">
        <v>11235</v>
      </c>
      <c r="B2150" s="2" t="s">
        <v>6419</v>
      </c>
      <c r="C2150" s="2" t="s">
        <v>9083</v>
      </c>
      <c r="D2150" s="2" t="n">
        <v>50.13</v>
      </c>
      <c r="E2150" s="13" t="n">
        <v>45735</v>
      </c>
    </row>
    <row r="2151" customFormat="false" ht="15" hidden="false" customHeight="false" outlineLevel="0" collapsed="false">
      <c r="A2151" s="2" t="s">
        <v>11236</v>
      </c>
      <c r="B2151" s="2" t="s">
        <v>6421</v>
      </c>
      <c r="C2151" s="2" t="s">
        <v>9083</v>
      </c>
      <c r="D2151" s="2" t="n">
        <v>50.5</v>
      </c>
      <c r="E2151" s="13" t="n">
        <v>45742</v>
      </c>
    </row>
    <row r="2152" customFormat="false" ht="15" hidden="false" customHeight="false" outlineLevel="0" collapsed="false">
      <c r="A2152" s="2" t="s">
        <v>11237</v>
      </c>
      <c r="B2152" s="2" t="s">
        <v>6423</v>
      </c>
      <c r="C2152" s="2" t="s">
        <v>9083</v>
      </c>
      <c r="D2152" s="2" t="n">
        <v>50.87</v>
      </c>
      <c r="E2152" s="13" t="n">
        <v>45749</v>
      </c>
    </row>
    <row r="2153" customFormat="false" ht="15" hidden="false" customHeight="false" outlineLevel="0" collapsed="false">
      <c r="A2153" s="2" t="s">
        <v>11238</v>
      </c>
      <c r="B2153" s="2" t="s">
        <v>6425</v>
      </c>
      <c r="C2153" s="2" t="s">
        <v>9087</v>
      </c>
      <c r="D2153" s="2" t="n">
        <v>51.24</v>
      </c>
      <c r="E2153" s="13" t="n">
        <v>45756</v>
      </c>
    </row>
    <row r="2154" customFormat="false" ht="15" hidden="false" customHeight="false" outlineLevel="0" collapsed="false">
      <c r="A2154" s="2" t="s">
        <v>11239</v>
      </c>
      <c r="B2154" s="2" t="s">
        <v>6427</v>
      </c>
      <c r="C2154" s="2" t="s">
        <v>9085</v>
      </c>
      <c r="D2154" s="2" t="n">
        <v>51.61</v>
      </c>
      <c r="E2154" s="13" t="n">
        <v>45763</v>
      </c>
    </row>
    <row r="2155" customFormat="false" ht="15" hidden="false" customHeight="false" outlineLevel="0" collapsed="false">
      <c r="A2155" s="2" t="s">
        <v>11240</v>
      </c>
      <c r="B2155" s="2" t="s">
        <v>6429</v>
      </c>
      <c r="C2155" s="2" t="s">
        <v>9092</v>
      </c>
      <c r="D2155" s="2" t="n">
        <v>51.98</v>
      </c>
      <c r="E2155" s="13" t="n">
        <v>45770</v>
      </c>
    </row>
    <row r="2156" customFormat="false" ht="15" hidden="false" customHeight="false" outlineLevel="0" collapsed="false">
      <c r="A2156" s="2" t="s">
        <v>11241</v>
      </c>
      <c r="B2156" s="2" t="s">
        <v>6431</v>
      </c>
      <c r="C2156" s="2" t="s">
        <v>9098</v>
      </c>
      <c r="D2156" s="2" t="n">
        <v>52.35</v>
      </c>
      <c r="E2156" s="13" t="n">
        <v>45777</v>
      </c>
    </row>
    <row r="2157" customFormat="false" ht="15" hidden="false" customHeight="false" outlineLevel="0" collapsed="false">
      <c r="A2157" s="2" t="s">
        <v>11242</v>
      </c>
      <c r="B2157" s="2" t="s">
        <v>6433</v>
      </c>
      <c r="C2157" s="2" t="s">
        <v>9087</v>
      </c>
      <c r="D2157" s="2" t="n">
        <v>52.72</v>
      </c>
      <c r="E2157" s="13" t="n">
        <v>45784</v>
      </c>
    </row>
    <row r="2158" customFormat="false" ht="15" hidden="false" customHeight="false" outlineLevel="0" collapsed="false">
      <c r="A2158" s="2" t="s">
        <v>11243</v>
      </c>
      <c r="B2158" s="2" t="s">
        <v>6435</v>
      </c>
      <c r="C2158" s="2" t="s">
        <v>9092</v>
      </c>
      <c r="D2158" s="2" t="n">
        <v>53.09</v>
      </c>
      <c r="E2158" s="13" t="n">
        <v>45791</v>
      </c>
    </row>
    <row r="2159" customFormat="false" ht="15" hidden="false" customHeight="false" outlineLevel="0" collapsed="false">
      <c r="A2159" s="2" t="s">
        <v>11244</v>
      </c>
      <c r="B2159" s="2" t="s">
        <v>6437</v>
      </c>
      <c r="C2159" s="2" t="s">
        <v>9098</v>
      </c>
      <c r="D2159" s="2" t="n">
        <v>53.46</v>
      </c>
      <c r="E2159" s="13" t="n">
        <v>45798</v>
      </c>
    </row>
    <row r="2160" customFormat="false" ht="15" hidden="false" customHeight="false" outlineLevel="0" collapsed="false">
      <c r="A2160" s="2" t="s">
        <v>11245</v>
      </c>
      <c r="B2160" s="2" t="s">
        <v>6439</v>
      </c>
      <c r="C2160" s="2" t="s">
        <v>9087</v>
      </c>
      <c r="D2160" s="2" t="n">
        <v>53.83</v>
      </c>
      <c r="E2160" s="13" t="n">
        <v>45805</v>
      </c>
    </row>
    <row r="2161" customFormat="false" ht="15" hidden="false" customHeight="false" outlineLevel="0" collapsed="false">
      <c r="A2161" s="2" t="s">
        <v>11246</v>
      </c>
      <c r="B2161" s="2" t="s">
        <v>6441</v>
      </c>
      <c r="C2161" s="2" t="s">
        <v>9098</v>
      </c>
      <c r="D2161" s="2" t="n">
        <v>54.2</v>
      </c>
      <c r="E2161" s="13" t="n">
        <v>45812</v>
      </c>
    </row>
    <row r="2162" customFormat="false" ht="15" hidden="false" customHeight="false" outlineLevel="0" collapsed="false">
      <c r="A2162" s="2" t="s">
        <v>11247</v>
      </c>
      <c r="B2162" s="2" t="s">
        <v>6443</v>
      </c>
      <c r="C2162" s="2" t="s">
        <v>9092</v>
      </c>
      <c r="D2162" s="2" t="n">
        <v>54.57</v>
      </c>
      <c r="E2162" s="13" t="n">
        <v>45819</v>
      </c>
    </row>
    <row r="2163" customFormat="false" ht="15" hidden="false" customHeight="false" outlineLevel="0" collapsed="false">
      <c r="A2163" s="2" t="s">
        <v>11248</v>
      </c>
      <c r="B2163" s="2" t="s">
        <v>6445</v>
      </c>
      <c r="C2163" s="2" t="s">
        <v>9092</v>
      </c>
      <c r="D2163" s="2" t="n">
        <v>54.94</v>
      </c>
      <c r="E2163" s="13" t="n">
        <v>45826</v>
      </c>
    </row>
    <row r="2164" customFormat="false" ht="15" hidden="false" customHeight="false" outlineLevel="0" collapsed="false">
      <c r="A2164" s="2" t="s">
        <v>11249</v>
      </c>
      <c r="B2164" s="2" t="s">
        <v>6447</v>
      </c>
      <c r="C2164" s="2" t="s">
        <v>9092</v>
      </c>
      <c r="D2164" s="2" t="n">
        <v>55.31</v>
      </c>
      <c r="E2164" s="13" t="n">
        <v>45833</v>
      </c>
    </row>
    <row r="2165" customFormat="false" ht="15" hidden="false" customHeight="false" outlineLevel="0" collapsed="false">
      <c r="A2165" s="2" t="s">
        <v>11250</v>
      </c>
      <c r="B2165" s="2" t="s">
        <v>6449</v>
      </c>
      <c r="C2165" s="2" t="s">
        <v>9087</v>
      </c>
      <c r="D2165" s="2" t="n">
        <v>55.68</v>
      </c>
      <c r="E2165" s="13" t="n">
        <v>45840</v>
      </c>
    </row>
    <row r="2166" customFormat="false" ht="15" hidden="false" customHeight="false" outlineLevel="0" collapsed="false">
      <c r="A2166" s="2" t="s">
        <v>11251</v>
      </c>
      <c r="B2166" s="2" t="s">
        <v>6453</v>
      </c>
      <c r="C2166" s="2" t="s">
        <v>9087</v>
      </c>
      <c r="D2166" s="2" t="n">
        <v>56.05</v>
      </c>
      <c r="E2166" s="13" t="n">
        <v>45847</v>
      </c>
    </row>
    <row r="2167" customFormat="false" ht="15" hidden="false" customHeight="false" outlineLevel="0" collapsed="false">
      <c r="A2167" s="2" t="s">
        <v>11252</v>
      </c>
      <c r="B2167" s="2" t="s">
        <v>6455</v>
      </c>
      <c r="C2167" s="2" t="s">
        <v>9087</v>
      </c>
      <c r="D2167" s="2" t="n">
        <v>56.42</v>
      </c>
      <c r="E2167" s="13" t="n">
        <v>45854</v>
      </c>
    </row>
    <row r="2168" customFormat="false" ht="15" hidden="false" customHeight="false" outlineLevel="0" collapsed="false">
      <c r="A2168" s="2" t="s">
        <v>11253</v>
      </c>
      <c r="B2168" s="2" t="s">
        <v>6457</v>
      </c>
      <c r="C2168" s="2" t="s">
        <v>9092</v>
      </c>
      <c r="D2168" s="2" t="n">
        <v>56.79</v>
      </c>
      <c r="E2168" s="13" t="n">
        <v>45861</v>
      </c>
    </row>
    <row r="2169" customFormat="false" ht="15" hidden="false" customHeight="false" outlineLevel="0" collapsed="false">
      <c r="A2169" s="2" t="s">
        <v>11254</v>
      </c>
      <c r="B2169" s="2" t="s">
        <v>6459</v>
      </c>
      <c r="C2169" s="2" t="s">
        <v>9098</v>
      </c>
      <c r="D2169" s="2" t="n">
        <v>57.16</v>
      </c>
      <c r="E2169" s="13" t="n">
        <v>45868</v>
      </c>
    </row>
    <row r="2170" customFormat="false" ht="15" hidden="false" customHeight="false" outlineLevel="0" collapsed="false">
      <c r="A2170" s="2" t="s">
        <v>11255</v>
      </c>
      <c r="B2170" s="2" t="s">
        <v>6463</v>
      </c>
      <c r="C2170" s="2" t="s">
        <v>9092</v>
      </c>
      <c r="D2170" s="2" t="n">
        <v>57.53</v>
      </c>
      <c r="E2170" s="13" t="n">
        <v>45875</v>
      </c>
    </row>
    <row r="2171" customFormat="false" ht="15" hidden="false" customHeight="false" outlineLevel="0" collapsed="false">
      <c r="A2171" s="2" t="s">
        <v>11256</v>
      </c>
      <c r="B2171" s="2" t="s">
        <v>6465</v>
      </c>
      <c r="C2171" s="2" t="s">
        <v>9087</v>
      </c>
      <c r="D2171" s="2" t="n">
        <v>57.9</v>
      </c>
      <c r="E2171" s="13" t="n">
        <v>45882</v>
      </c>
    </row>
    <row r="2172" customFormat="false" ht="15" hidden="false" customHeight="false" outlineLevel="0" collapsed="false">
      <c r="A2172" s="2" t="s">
        <v>11257</v>
      </c>
      <c r="B2172" s="2" t="s">
        <v>6467</v>
      </c>
      <c r="C2172" s="2" t="s">
        <v>9087</v>
      </c>
      <c r="D2172" s="2" t="n">
        <v>58.27</v>
      </c>
      <c r="E2172" s="13" t="n">
        <v>45889</v>
      </c>
    </row>
    <row r="2173" customFormat="false" ht="15" hidden="false" customHeight="false" outlineLevel="0" collapsed="false">
      <c r="A2173" s="2" t="s">
        <v>11258</v>
      </c>
      <c r="B2173" s="2" t="s">
        <v>6469</v>
      </c>
      <c r="C2173" s="2" t="s">
        <v>9087</v>
      </c>
      <c r="D2173" s="2" t="n">
        <v>58.64</v>
      </c>
      <c r="E2173" s="13" t="n">
        <v>45896</v>
      </c>
    </row>
    <row r="2174" customFormat="false" ht="15" hidden="false" customHeight="false" outlineLevel="0" collapsed="false">
      <c r="A2174" s="2" t="s">
        <v>11259</v>
      </c>
      <c r="B2174" s="2" t="s">
        <v>6471</v>
      </c>
      <c r="C2174" s="2" t="s">
        <v>9098</v>
      </c>
      <c r="D2174" s="2" t="n">
        <v>59.01</v>
      </c>
      <c r="E2174" s="13" t="n">
        <v>45903</v>
      </c>
    </row>
    <row r="2175" customFormat="false" ht="15" hidden="false" customHeight="false" outlineLevel="0" collapsed="false">
      <c r="A2175" s="2" t="s">
        <v>11260</v>
      </c>
      <c r="B2175" s="2" t="s">
        <v>6473</v>
      </c>
      <c r="C2175" s="2" t="s">
        <v>9085</v>
      </c>
      <c r="D2175" s="2" t="n">
        <v>59.38</v>
      </c>
      <c r="E2175" s="13" t="n">
        <v>45910</v>
      </c>
    </row>
    <row r="2176" customFormat="false" ht="15" hidden="false" customHeight="false" outlineLevel="0" collapsed="false">
      <c r="A2176" s="2" t="s">
        <v>11261</v>
      </c>
      <c r="B2176" s="2" t="s">
        <v>6477</v>
      </c>
      <c r="C2176" s="2" t="s">
        <v>9087</v>
      </c>
      <c r="D2176" s="2" t="n">
        <v>59.75</v>
      </c>
      <c r="E2176" s="13" t="n">
        <v>45917</v>
      </c>
    </row>
    <row r="2177" customFormat="false" ht="15" hidden="false" customHeight="false" outlineLevel="0" collapsed="false">
      <c r="A2177" s="2" t="s">
        <v>11262</v>
      </c>
      <c r="B2177" s="2" t="s">
        <v>6479</v>
      </c>
      <c r="C2177" s="2" t="s">
        <v>9085</v>
      </c>
      <c r="D2177" s="2" t="n">
        <v>60.12</v>
      </c>
      <c r="E2177" s="13" t="n">
        <v>45924</v>
      </c>
    </row>
    <row r="2178" customFormat="false" ht="15" hidden="false" customHeight="false" outlineLevel="0" collapsed="false">
      <c r="A2178" s="2" t="s">
        <v>11263</v>
      </c>
      <c r="B2178" s="2" t="s">
        <v>6481</v>
      </c>
      <c r="C2178" s="2" t="s">
        <v>9098</v>
      </c>
      <c r="D2178" s="2" t="n">
        <v>60.49</v>
      </c>
      <c r="E2178" s="13" t="n">
        <v>45931</v>
      </c>
    </row>
    <row r="2179" customFormat="false" ht="15" hidden="false" customHeight="false" outlineLevel="0" collapsed="false">
      <c r="A2179" s="2" t="s">
        <v>11264</v>
      </c>
      <c r="B2179" s="2" t="s">
        <v>6483</v>
      </c>
      <c r="C2179" s="2" t="s">
        <v>9092</v>
      </c>
      <c r="D2179" s="2" t="n">
        <v>60.86</v>
      </c>
      <c r="E2179" s="13" t="n">
        <v>45938</v>
      </c>
    </row>
    <row r="2180" customFormat="false" ht="15" hidden="false" customHeight="false" outlineLevel="0" collapsed="false">
      <c r="A2180" s="2" t="s">
        <v>11265</v>
      </c>
      <c r="B2180" s="2" t="s">
        <v>6485</v>
      </c>
      <c r="C2180" s="2" t="s">
        <v>9098</v>
      </c>
      <c r="D2180" s="2" t="n">
        <v>61.23</v>
      </c>
      <c r="E2180" s="13" t="n">
        <v>45945</v>
      </c>
    </row>
    <row r="2181" customFormat="false" ht="15" hidden="false" customHeight="false" outlineLevel="0" collapsed="false">
      <c r="A2181" s="2" t="s">
        <v>11266</v>
      </c>
      <c r="B2181" s="2" t="s">
        <v>6489</v>
      </c>
      <c r="C2181" s="2" t="s">
        <v>9085</v>
      </c>
      <c r="D2181" s="2" t="n">
        <v>61.6</v>
      </c>
      <c r="E2181" s="13" t="n">
        <v>45952</v>
      </c>
    </row>
    <row r="2182" customFormat="false" ht="15" hidden="false" customHeight="false" outlineLevel="0" collapsed="false">
      <c r="A2182" s="2" t="s">
        <v>11267</v>
      </c>
      <c r="B2182" s="2" t="s">
        <v>6493</v>
      </c>
      <c r="C2182" s="2" t="s">
        <v>9083</v>
      </c>
      <c r="D2182" s="2" t="n">
        <v>61.97</v>
      </c>
      <c r="E2182" s="13" t="n">
        <v>45959</v>
      </c>
    </row>
    <row r="2183" customFormat="false" ht="15" hidden="false" customHeight="false" outlineLevel="0" collapsed="false">
      <c r="A2183" s="2" t="s">
        <v>11268</v>
      </c>
      <c r="B2183" s="2" t="s">
        <v>6495</v>
      </c>
      <c r="C2183" s="2" t="s">
        <v>9092</v>
      </c>
      <c r="D2183" s="2" t="n">
        <v>62.34</v>
      </c>
      <c r="E2183" s="13" t="n">
        <v>45966</v>
      </c>
    </row>
    <row r="2184" customFormat="false" ht="15" hidden="false" customHeight="false" outlineLevel="0" collapsed="false">
      <c r="A2184" s="2" t="s">
        <v>11269</v>
      </c>
      <c r="B2184" s="2" t="s">
        <v>6497</v>
      </c>
      <c r="C2184" s="2" t="s">
        <v>9083</v>
      </c>
      <c r="D2184" s="2" t="n">
        <v>62.71</v>
      </c>
      <c r="E2184" s="13" t="n">
        <v>45973</v>
      </c>
    </row>
    <row r="2185" customFormat="false" ht="15" hidden="false" customHeight="false" outlineLevel="0" collapsed="false">
      <c r="A2185" s="2" t="s">
        <v>11270</v>
      </c>
      <c r="B2185" s="2" t="s">
        <v>6499</v>
      </c>
      <c r="C2185" s="2" t="s">
        <v>9083</v>
      </c>
      <c r="D2185" s="2" t="n">
        <v>63.08</v>
      </c>
      <c r="E2185" s="13" t="n">
        <v>45980</v>
      </c>
    </row>
    <row r="2186" customFormat="false" ht="15" hidden="false" customHeight="false" outlineLevel="0" collapsed="false">
      <c r="A2186" s="2" t="s">
        <v>11271</v>
      </c>
      <c r="B2186" s="2" t="s">
        <v>6501</v>
      </c>
      <c r="C2186" s="2" t="s">
        <v>9092</v>
      </c>
      <c r="D2186" s="2" t="n">
        <v>63.45</v>
      </c>
      <c r="E2186" s="13" t="n">
        <v>45987</v>
      </c>
    </row>
    <row r="2187" customFormat="false" ht="15" hidden="false" customHeight="false" outlineLevel="0" collapsed="false">
      <c r="A2187" s="2" t="s">
        <v>11272</v>
      </c>
      <c r="B2187" s="2" t="s">
        <v>6503</v>
      </c>
      <c r="C2187" s="2" t="s">
        <v>9092</v>
      </c>
      <c r="D2187" s="2" t="n">
        <v>63.82</v>
      </c>
      <c r="E2187" s="13" t="n">
        <v>45994</v>
      </c>
    </row>
    <row r="2188" customFormat="false" ht="15" hidden="false" customHeight="false" outlineLevel="0" collapsed="false">
      <c r="A2188" s="2" t="s">
        <v>11273</v>
      </c>
      <c r="B2188" s="2" t="s">
        <v>6505</v>
      </c>
      <c r="C2188" s="2" t="s">
        <v>9098</v>
      </c>
      <c r="D2188" s="2" t="n">
        <v>64.19</v>
      </c>
      <c r="E2188" s="13" t="n">
        <v>46001</v>
      </c>
    </row>
    <row r="2189" customFormat="false" ht="15" hidden="false" customHeight="false" outlineLevel="0" collapsed="false">
      <c r="A2189" s="2" t="s">
        <v>11274</v>
      </c>
      <c r="B2189" s="2" t="s">
        <v>6509</v>
      </c>
      <c r="C2189" s="2" t="s">
        <v>9083</v>
      </c>
      <c r="D2189" s="2" t="n">
        <v>64.56</v>
      </c>
      <c r="E2189" s="13" t="n">
        <v>46008</v>
      </c>
    </row>
    <row r="2190" customFormat="false" ht="15" hidden="false" customHeight="false" outlineLevel="0" collapsed="false">
      <c r="A2190" s="2" t="s">
        <v>11275</v>
      </c>
      <c r="B2190" s="2" t="s">
        <v>6511</v>
      </c>
      <c r="C2190" s="2" t="s">
        <v>9085</v>
      </c>
      <c r="D2190" s="2" t="n">
        <v>64.93</v>
      </c>
      <c r="E2190" s="13" t="n">
        <v>46015</v>
      </c>
    </row>
    <row r="2191" customFormat="false" ht="15" hidden="false" customHeight="false" outlineLevel="0" collapsed="false">
      <c r="A2191" s="2" t="s">
        <v>11276</v>
      </c>
      <c r="B2191" s="2" t="s">
        <v>6515</v>
      </c>
      <c r="C2191" s="2" t="s">
        <v>9083</v>
      </c>
      <c r="D2191" s="2" t="n">
        <v>65.3</v>
      </c>
      <c r="E2191" s="13" t="n">
        <v>45292</v>
      </c>
    </row>
    <row r="2192" customFormat="false" ht="15" hidden="false" customHeight="false" outlineLevel="0" collapsed="false">
      <c r="A2192" s="2" t="s">
        <v>11277</v>
      </c>
      <c r="B2192" s="2" t="s">
        <v>6517</v>
      </c>
      <c r="C2192" s="2" t="s">
        <v>9083</v>
      </c>
      <c r="D2192" s="2" t="n">
        <v>65.67</v>
      </c>
      <c r="E2192" s="13" t="n">
        <v>45299</v>
      </c>
    </row>
    <row r="2193" customFormat="false" ht="15" hidden="false" customHeight="false" outlineLevel="0" collapsed="false">
      <c r="A2193" s="2" t="s">
        <v>11278</v>
      </c>
      <c r="B2193" s="2" t="s">
        <v>6519</v>
      </c>
      <c r="C2193" s="2" t="s">
        <v>9085</v>
      </c>
      <c r="D2193" s="2" t="n">
        <v>66.04</v>
      </c>
      <c r="E2193" s="13" t="n">
        <v>45306</v>
      </c>
    </row>
    <row r="2194" customFormat="false" ht="15" hidden="false" customHeight="false" outlineLevel="0" collapsed="false">
      <c r="A2194" s="2" t="s">
        <v>11279</v>
      </c>
      <c r="B2194" s="2" t="s">
        <v>6521</v>
      </c>
      <c r="C2194" s="2" t="s">
        <v>9098</v>
      </c>
      <c r="D2194" s="2" t="n">
        <v>66.41</v>
      </c>
      <c r="E2194" s="13" t="n">
        <v>45313</v>
      </c>
    </row>
    <row r="2195" customFormat="false" ht="15" hidden="false" customHeight="false" outlineLevel="0" collapsed="false">
      <c r="A2195" s="2" t="s">
        <v>11280</v>
      </c>
      <c r="B2195" s="2" t="s">
        <v>6523</v>
      </c>
      <c r="C2195" s="2" t="s">
        <v>9087</v>
      </c>
      <c r="D2195" s="2" t="n">
        <v>66.78</v>
      </c>
      <c r="E2195" s="13" t="n">
        <v>45320</v>
      </c>
    </row>
    <row r="2196" customFormat="false" ht="15" hidden="false" customHeight="false" outlineLevel="0" collapsed="false">
      <c r="A2196" s="2" t="s">
        <v>11281</v>
      </c>
      <c r="B2196" s="2" t="s">
        <v>6525</v>
      </c>
      <c r="C2196" s="2" t="s">
        <v>9087</v>
      </c>
      <c r="D2196" s="2" t="n">
        <v>67.15</v>
      </c>
      <c r="E2196" s="13" t="n">
        <v>45327</v>
      </c>
    </row>
    <row r="2197" customFormat="false" ht="15" hidden="false" customHeight="false" outlineLevel="0" collapsed="false">
      <c r="A2197" s="2" t="s">
        <v>11282</v>
      </c>
      <c r="B2197" s="2" t="s">
        <v>6527</v>
      </c>
      <c r="C2197" s="2" t="s">
        <v>9087</v>
      </c>
      <c r="D2197" s="2" t="n">
        <v>67.52</v>
      </c>
      <c r="E2197" s="13" t="n">
        <v>45334</v>
      </c>
    </row>
    <row r="2198" customFormat="false" ht="15" hidden="false" customHeight="false" outlineLevel="0" collapsed="false">
      <c r="A2198" s="2" t="s">
        <v>11283</v>
      </c>
      <c r="B2198" s="2" t="s">
        <v>6529</v>
      </c>
      <c r="C2198" s="2" t="s">
        <v>9085</v>
      </c>
      <c r="D2198" s="2" t="n">
        <v>67.89</v>
      </c>
      <c r="E2198" s="13" t="n">
        <v>45341</v>
      </c>
    </row>
    <row r="2199" customFormat="false" ht="15" hidden="false" customHeight="false" outlineLevel="0" collapsed="false">
      <c r="A2199" s="2" t="s">
        <v>11284</v>
      </c>
      <c r="B2199" s="2" t="s">
        <v>6531</v>
      </c>
      <c r="C2199" s="2" t="s">
        <v>9098</v>
      </c>
      <c r="D2199" s="2" t="n">
        <v>68.26</v>
      </c>
      <c r="E2199" s="13" t="n">
        <v>45348</v>
      </c>
    </row>
    <row r="2200" customFormat="false" ht="15" hidden="false" customHeight="false" outlineLevel="0" collapsed="false">
      <c r="A2200" s="2" t="s">
        <v>11285</v>
      </c>
      <c r="B2200" s="2" t="s">
        <v>6533</v>
      </c>
      <c r="C2200" s="2" t="s">
        <v>9092</v>
      </c>
      <c r="D2200" s="2" t="n">
        <v>68.63</v>
      </c>
      <c r="E2200" s="13" t="n">
        <v>45355</v>
      </c>
    </row>
    <row r="2201" customFormat="false" ht="15" hidden="false" customHeight="false" outlineLevel="0" collapsed="false">
      <c r="A2201" s="2" t="s">
        <v>11286</v>
      </c>
      <c r="B2201" s="2" t="s">
        <v>6535</v>
      </c>
      <c r="C2201" s="2" t="s">
        <v>9085</v>
      </c>
      <c r="D2201" s="2" t="n">
        <v>69</v>
      </c>
      <c r="E2201" s="13" t="n">
        <v>45362</v>
      </c>
    </row>
    <row r="2202" customFormat="false" ht="15" hidden="false" customHeight="false" outlineLevel="0" collapsed="false">
      <c r="A2202" s="2" t="s">
        <v>11287</v>
      </c>
      <c r="B2202" s="2" t="s">
        <v>6537</v>
      </c>
      <c r="C2202" s="2" t="s">
        <v>9092</v>
      </c>
      <c r="D2202" s="2" t="n">
        <v>69.37</v>
      </c>
      <c r="E2202" s="13" t="n">
        <v>45369</v>
      </c>
    </row>
    <row r="2203" customFormat="false" ht="15" hidden="false" customHeight="false" outlineLevel="0" collapsed="false">
      <c r="A2203" s="2" t="s">
        <v>11288</v>
      </c>
      <c r="B2203" s="2" t="s">
        <v>6539</v>
      </c>
      <c r="C2203" s="2" t="s">
        <v>9092</v>
      </c>
      <c r="D2203" s="2" t="n">
        <v>69.74</v>
      </c>
      <c r="E2203" s="13" t="n">
        <v>45376</v>
      </c>
    </row>
    <row r="2204" customFormat="false" ht="15" hidden="false" customHeight="false" outlineLevel="0" collapsed="false">
      <c r="A2204" s="2" t="s">
        <v>11289</v>
      </c>
      <c r="B2204" s="2" t="s">
        <v>6541</v>
      </c>
      <c r="C2204" s="2" t="s">
        <v>9098</v>
      </c>
      <c r="D2204" s="2" t="n">
        <v>70.11</v>
      </c>
      <c r="E2204" s="13" t="n">
        <v>45383</v>
      </c>
    </row>
    <row r="2205" customFormat="false" ht="15" hidden="false" customHeight="false" outlineLevel="0" collapsed="false">
      <c r="A2205" s="2" t="s">
        <v>11290</v>
      </c>
      <c r="B2205" s="2" t="s">
        <v>6543</v>
      </c>
      <c r="C2205" s="2" t="s">
        <v>9085</v>
      </c>
      <c r="D2205" s="2" t="n">
        <v>70.48</v>
      </c>
      <c r="E2205" s="13" t="n">
        <v>45390</v>
      </c>
    </row>
    <row r="2206" customFormat="false" ht="15" hidden="false" customHeight="false" outlineLevel="0" collapsed="false">
      <c r="A2206" s="2" t="s">
        <v>11291</v>
      </c>
      <c r="B2206" s="2" t="s">
        <v>6545</v>
      </c>
      <c r="C2206" s="2" t="s">
        <v>9087</v>
      </c>
      <c r="D2206" s="2" t="n">
        <v>70.85</v>
      </c>
      <c r="E2206" s="13" t="n">
        <v>45397</v>
      </c>
    </row>
    <row r="2207" customFormat="false" ht="15" hidden="false" customHeight="false" outlineLevel="0" collapsed="false">
      <c r="A2207" s="2" t="s">
        <v>11292</v>
      </c>
      <c r="B2207" s="2" t="s">
        <v>6547</v>
      </c>
      <c r="C2207" s="2" t="s">
        <v>9092</v>
      </c>
      <c r="D2207" s="2" t="n">
        <v>71.22</v>
      </c>
      <c r="E2207" s="13" t="n">
        <v>45404</v>
      </c>
    </row>
    <row r="2208" customFormat="false" ht="15" hidden="false" customHeight="false" outlineLevel="0" collapsed="false">
      <c r="A2208" s="2" t="s">
        <v>11293</v>
      </c>
      <c r="B2208" s="2" t="s">
        <v>6549</v>
      </c>
      <c r="C2208" s="2" t="s">
        <v>9083</v>
      </c>
      <c r="D2208" s="2" t="n">
        <v>71.59</v>
      </c>
      <c r="E2208" s="13" t="n">
        <v>45411</v>
      </c>
    </row>
    <row r="2209" customFormat="false" ht="15" hidden="false" customHeight="false" outlineLevel="0" collapsed="false">
      <c r="A2209" s="2" t="s">
        <v>11294</v>
      </c>
      <c r="B2209" s="2" t="s">
        <v>6551</v>
      </c>
      <c r="C2209" s="2" t="s">
        <v>9083</v>
      </c>
      <c r="D2209" s="2" t="n">
        <v>71.96</v>
      </c>
      <c r="E2209" s="13" t="n">
        <v>45418</v>
      </c>
    </row>
    <row r="2210" customFormat="false" ht="15" hidden="false" customHeight="false" outlineLevel="0" collapsed="false">
      <c r="A2210" s="2" t="s">
        <v>11295</v>
      </c>
      <c r="B2210" s="2" t="s">
        <v>6553</v>
      </c>
      <c r="C2210" s="2" t="s">
        <v>9092</v>
      </c>
      <c r="D2210" s="2" t="n">
        <v>72.33</v>
      </c>
      <c r="E2210" s="13" t="n">
        <v>45425</v>
      </c>
    </row>
    <row r="2211" customFormat="false" ht="15" hidden="false" customHeight="false" outlineLevel="0" collapsed="false">
      <c r="A2211" s="2" t="s">
        <v>11296</v>
      </c>
      <c r="B2211" s="2" t="s">
        <v>6555</v>
      </c>
      <c r="C2211" s="2" t="s">
        <v>9083</v>
      </c>
      <c r="D2211" s="2" t="n">
        <v>72.7</v>
      </c>
      <c r="E2211" s="13" t="n">
        <v>45432</v>
      </c>
    </row>
    <row r="2212" customFormat="false" ht="15" hidden="false" customHeight="false" outlineLevel="0" collapsed="false">
      <c r="A2212" s="2" t="s">
        <v>11297</v>
      </c>
      <c r="B2212" s="2" t="s">
        <v>6557</v>
      </c>
      <c r="C2212" s="2" t="s">
        <v>9085</v>
      </c>
      <c r="D2212" s="2" t="n">
        <v>73.07</v>
      </c>
      <c r="E2212" s="13" t="n">
        <v>45439</v>
      </c>
    </row>
    <row r="2213" customFormat="false" ht="15" hidden="false" customHeight="false" outlineLevel="0" collapsed="false">
      <c r="A2213" s="2" t="s">
        <v>11298</v>
      </c>
      <c r="B2213" s="2" t="s">
        <v>6559</v>
      </c>
      <c r="C2213" s="2" t="s">
        <v>9085</v>
      </c>
      <c r="D2213" s="2" t="n">
        <v>73.44</v>
      </c>
      <c r="E2213" s="13" t="n">
        <v>45446</v>
      </c>
    </row>
    <row r="2214" customFormat="false" ht="15" hidden="false" customHeight="false" outlineLevel="0" collapsed="false">
      <c r="A2214" s="2" t="s">
        <v>11299</v>
      </c>
      <c r="B2214" s="2" t="s">
        <v>6561</v>
      </c>
      <c r="C2214" s="2" t="s">
        <v>9083</v>
      </c>
      <c r="D2214" s="2" t="n">
        <v>73.81</v>
      </c>
      <c r="E2214" s="13" t="n">
        <v>45453</v>
      </c>
    </row>
    <row r="2215" customFormat="false" ht="15" hidden="false" customHeight="false" outlineLevel="0" collapsed="false">
      <c r="A2215" s="2" t="s">
        <v>11300</v>
      </c>
      <c r="B2215" s="2" t="s">
        <v>6563</v>
      </c>
      <c r="C2215" s="2" t="s">
        <v>9083</v>
      </c>
      <c r="D2215" s="2" t="n">
        <v>74.18</v>
      </c>
      <c r="E2215" s="13" t="n">
        <v>45460</v>
      </c>
    </row>
    <row r="2216" customFormat="false" ht="15" hidden="false" customHeight="false" outlineLevel="0" collapsed="false">
      <c r="A2216" s="2" t="s">
        <v>11301</v>
      </c>
      <c r="B2216" s="2" t="s">
        <v>6565</v>
      </c>
      <c r="C2216" s="2" t="s">
        <v>9087</v>
      </c>
      <c r="D2216" s="2" t="n">
        <v>74.55</v>
      </c>
      <c r="E2216" s="13" t="n">
        <v>45467</v>
      </c>
    </row>
    <row r="2217" customFormat="false" ht="15" hidden="false" customHeight="false" outlineLevel="0" collapsed="false">
      <c r="A2217" s="2" t="s">
        <v>11302</v>
      </c>
      <c r="B2217" s="2" t="s">
        <v>6567</v>
      </c>
      <c r="C2217" s="2" t="s">
        <v>9083</v>
      </c>
      <c r="D2217" s="2" t="n">
        <v>74.92</v>
      </c>
      <c r="E2217" s="13" t="n">
        <v>45474</v>
      </c>
    </row>
    <row r="2218" customFormat="false" ht="15" hidden="false" customHeight="false" outlineLevel="0" collapsed="false">
      <c r="A2218" s="2" t="s">
        <v>11303</v>
      </c>
      <c r="B2218" s="2" t="s">
        <v>6569</v>
      </c>
      <c r="C2218" s="2" t="s">
        <v>9092</v>
      </c>
      <c r="D2218" s="2" t="n">
        <v>75.29</v>
      </c>
      <c r="E2218" s="13" t="n">
        <v>45481</v>
      </c>
    </row>
    <row r="2219" customFormat="false" ht="15" hidden="false" customHeight="false" outlineLevel="0" collapsed="false">
      <c r="A2219" s="2" t="s">
        <v>11304</v>
      </c>
      <c r="B2219" s="2" t="s">
        <v>6571</v>
      </c>
      <c r="C2219" s="2" t="s">
        <v>9092</v>
      </c>
      <c r="D2219" s="2" t="n">
        <v>75.66</v>
      </c>
      <c r="E2219" s="13" t="n">
        <v>45488</v>
      </c>
    </row>
    <row r="2220" customFormat="false" ht="15" hidden="false" customHeight="false" outlineLevel="0" collapsed="false">
      <c r="A2220" s="2" t="s">
        <v>11305</v>
      </c>
      <c r="B2220" s="2" t="s">
        <v>6575</v>
      </c>
      <c r="C2220" s="2" t="s">
        <v>9083</v>
      </c>
      <c r="D2220" s="2" t="n">
        <v>76.03</v>
      </c>
      <c r="E2220" s="13" t="n">
        <v>45495</v>
      </c>
    </row>
    <row r="2221" customFormat="false" ht="15" hidden="false" customHeight="false" outlineLevel="0" collapsed="false">
      <c r="A2221" s="2" t="s">
        <v>11306</v>
      </c>
      <c r="B2221" s="2" t="s">
        <v>6577</v>
      </c>
      <c r="C2221" s="2" t="s">
        <v>9083</v>
      </c>
      <c r="D2221" s="2" t="n">
        <v>76.4</v>
      </c>
      <c r="E2221" s="13" t="n">
        <v>45502</v>
      </c>
    </row>
    <row r="2222" customFormat="false" ht="15" hidden="false" customHeight="false" outlineLevel="0" collapsed="false">
      <c r="A2222" s="2" t="s">
        <v>11307</v>
      </c>
      <c r="B2222" s="2" t="s">
        <v>6579</v>
      </c>
      <c r="C2222" s="2" t="s">
        <v>9087</v>
      </c>
      <c r="D2222" s="2" t="n">
        <v>76.77</v>
      </c>
      <c r="E2222" s="13" t="n">
        <v>45509</v>
      </c>
    </row>
    <row r="2223" customFormat="false" ht="15" hidden="false" customHeight="false" outlineLevel="0" collapsed="false">
      <c r="A2223" s="2" t="s">
        <v>11308</v>
      </c>
      <c r="B2223" s="2" t="s">
        <v>6581</v>
      </c>
      <c r="C2223" s="2" t="s">
        <v>9085</v>
      </c>
      <c r="D2223" s="2" t="n">
        <v>77.14</v>
      </c>
      <c r="E2223" s="13" t="n">
        <v>45516</v>
      </c>
    </row>
    <row r="2224" customFormat="false" ht="15" hidden="false" customHeight="false" outlineLevel="0" collapsed="false">
      <c r="A2224" s="2" t="s">
        <v>11309</v>
      </c>
      <c r="B2224" s="2" t="s">
        <v>6583</v>
      </c>
      <c r="C2224" s="2" t="s">
        <v>9098</v>
      </c>
      <c r="D2224" s="2" t="n">
        <v>77.51</v>
      </c>
      <c r="E2224" s="13" t="n">
        <v>45523</v>
      </c>
    </row>
    <row r="2225" customFormat="false" ht="15" hidden="false" customHeight="false" outlineLevel="0" collapsed="false">
      <c r="A2225" s="2" t="s">
        <v>11310</v>
      </c>
      <c r="B2225" s="2" t="s">
        <v>6585</v>
      </c>
      <c r="C2225" s="2" t="s">
        <v>9098</v>
      </c>
      <c r="D2225" s="2" t="n">
        <v>77.88</v>
      </c>
      <c r="E2225" s="13" t="n">
        <v>45530</v>
      </c>
    </row>
    <row r="2226" customFormat="false" ht="15" hidden="false" customHeight="false" outlineLevel="0" collapsed="false">
      <c r="A2226" s="2" t="s">
        <v>11311</v>
      </c>
      <c r="B2226" s="2" t="s">
        <v>6589</v>
      </c>
      <c r="C2226" s="2" t="s">
        <v>9098</v>
      </c>
      <c r="D2226" s="2" t="n">
        <v>78.25</v>
      </c>
      <c r="E2226" s="13" t="n">
        <v>45537</v>
      </c>
    </row>
    <row r="2227" customFormat="false" ht="15" hidden="false" customHeight="false" outlineLevel="0" collapsed="false">
      <c r="A2227" s="2" t="s">
        <v>11312</v>
      </c>
      <c r="B2227" s="2" t="s">
        <v>6591</v>
      </c>
      <c r="C2227" s="2" t="s">
        <v>9083</v>
      </c>
      <c r="D2227" s="2" t="n">
        <v>78.62</v>
      </c>
      <c r="E2227" s="13" t="n">
        <v>45544</v>
      </c>
    </row>
    <row r="2228" customFormat="false" ht="15" hidden="false" customHeight="false" outlineLevel="0" collapsed="false">
      <c r="A2228" s="2" t="s">
        <v>11313</v>
      </c>
      <c r="B2228" s="2" t="s">
        <v>6593</v>
      </c>
      <c r="C2228" s="2" t="s">
        <v>9083</v>
      </c>
      <c r="D2228" s="2" t="n">
        <v>78.99</v>
      </c>
      <c r="E2228" s="13" t="n">
        <v>45551</v>
      </c>
    </row>
    <row r="2229" customFormat="false" ht="15" hidden="false" customHeight="false" outlineLevel="0" collapsed="false">
      <c r="A2229" s="2" t="s">
        <v>11314</v>
      </c>
      <c r="B2229" s="2" t="s">
        <v>6595</v>
      </c>
      <c r="C2229" s="2" t="s">
        <v>9098</v>
      </c>
      <c r="D2229" s="2" t="n">
        <v>79.36</v>
      </c>
      <c r="E2229" s="13" t="n">
        <v>45558</v>
      </c>
    </row>
    <row r="2230" customFormat="false" ht="15" hidden="false" customHeight="false" outlineLevel="0" collapsed="false">
      <c r="A2230" s="2" t="s">
        <v>11315</v>
      </c>
      <c r="B2230" s="2" t="s">
        <v>6597</v>
      </c>
      <c r="C2230" s="2" t="s">
        <v>9087</v>
      </c>
      <c r="D2230" s="2" t="n">
        <v>79.73</v>
      </c>
      <c r="E2230" s="13" t="n">
        <v>45565</v>
      </c>
    </row>
    <row r="2231" customFormat="false" ht="15" hidden="false" customHeight="false" outlineLevel="0" collapsed="false">
      <c r="A2231" s="2" t="s">
        <v>11316</v>
      </c>
      <c r="B2231" s="2" t="s">
        <v>6599</v>
      </c>
      <c r="C2231" s="2" t="s">
        <v>9083</v>
      </c>
      <c r="D2231" s="2" t="n">
        <v>80.1</v>
      </c>
      <c r="E2231" s="13" t="n">
        <v>45572</v>
      </c>
    </row>
    <row r="2232" customFormat="false" ht="15" hidden="false" customHeight="false" outlineLevel="0" collapsed="false">
      <c r="A2232" s="2" t="s">
        <v>11317</v>
      </c>
      <c r="B2232" s="2" t="s">
        <v>6601</v>
      </c>
      <c r="C2232" s="2" t="s">
        <v>9087</v>
      </c>
      <c r="D2232" s="2" t="n">
        <v>80.47</v>
      </c>
      <c r="E2232" s="13" t="n">
        <v>45579</v>
      </c>
    </row>
    <row r="2233" customFormat="false" ht="15" hidden="false" customHeight="false" outlineLevel="0" collapsed="false">
      <c r="A2233" s="2" t="s">
        <v>11318</v>
      </c>
      <c r="B2233" s="2" t="s">
        <v>6603</v>
      </c>
      <c r="C2233" s="2" t="s">
        <v>9083</v>
      </c>
      <c r="D2233" s="2" t="n">
        <v>80.84</v>
      </c>
      <c r="E2233" s="13" t="n">
        <v>45586</v>
      </c>
    </row>
    <row r="2234" customFormat="false" ht="15" hidden="false" customHeight="false" outlineLevel="0" collapsed="false">
      <c r="A2234" s="2" t="s">
        <v>11319</v>
      </c>
      <c r="B2234" s="2" t="s">
        <v>6605</v>
      </c>
      <c r="C2234" s="2" t="s">
        <v>9083</v>
      </c>
      <c r="D2234" s="2" t="n">
        <v>81.21</v>
      </c>
      <c r="E2234" s="13" t="n">
        <v>45593</v>
      </c>
    </row>
    <row r="2235" customFormat="false" ht="15" hidden="false" customHeight="false" outlineLevel="0" collapsed="false">
      <c r="A2235" s="2" t="s">
        <v>11320</v>
      </c>
      <c r="B2235" s="2" t="s">
        <v>6607</v>
      </c>
      <c r="C2235" s="2" t="s">
        <v>9085</v>
      </c>
      <c r="D2235" s="2" t="n">
        <v>81.58</v>
      </c>
      <c r="E2235" s="13" t="n">
        <v>45600</v>
      </c>
    </row>
    <row r="2236" customFormat="false" ht="15" hidden="false" customHeight="false" outlineLevel="0" collapsed="false">
      <c r="A2236" s="2" t="s">
        <v>11321</v>
      </c>
      <c r="B2236" s="2" t="s">
        <v>6609</v>
      </c>
      <c r="C2236" s="2" t="s">
        <v>9087</v>
      </c>
      <c r="D2236" s="2" t="n">
        <v>81.95</v>
      </c>
      <c r="E2236" s="13" t="n">
        <v>45607</v>
      </c>
    </row>
    <row r="2237" customFormat="false" ht="15" hidden="false" customHeight="false" outlineLevel="0" collapsed="false">
      <c r="A2237" s="2" t="s">
        <v>11322</v>
      </c>
      <c r="B2237" s="2" t="s">
        <v>6611</v>
      </c>
      <c r="C2237" s="2" t="s">
        <v>9098</v>
      </c>
      <c r="D2237" s="2" t="n">
        <v>82.32</v>
      </c>
      <c r="E2237" s="13" t="n">
        <v>45614</v>
      </c>
    </row>
    <row r="2238" customFormat="false" ht="15" hidden="false" customHeight="false" outlineLevel="0" collapsed="false">
      <c r="A2238" s="2" t="s">
        <v>11323</v>
      </c>
      <c r="B2238" s="2" t="s">
        <v>6613</v>
      </c>
      <c r="C2238" s="2" t="s">
        <v>9098</v>
      </c>
      <c r="D2238" s="2" t="n">
        <v>82.69</v>
      </c>
      <c r="E2238" s="13" t="n">
        <v>45621</v>
      </c>
    </row>
    <row r="2239" customFormat="false" ht="15" hidden="false" customHeight="false" outlineLevel="0" collapsed="false">
      <c r="A2239" s="2" t="s">
        <v>11324</v>
      </c>
      <c r="B2239" s="2" t="s">
        <v>6615</v>
      </c>
      <c r="C2239" s="2" t="s">
        <v>9087</v>
      </c>
      <c r="D2239" s="2" t="n">
        <v>83.06</v>
      </c>
      <c r="E2239" s="13" t="n">
        <v>45628</v>
      </c>
    </row>
    <row r="2240" customFormat="false" ht="15" hidden="false" customHeight="false" outlineLevel="0" collapsed="false">
      <c r="A2240" s="2" t="s">
        <v>11325</v>
      </c>
      <c r="B2240" s="2" t="s">
        <v>6617</v>
      </c>
      <c r="C2240" s="2" t="s">
        <v>9085</v>
      </c>
      <c r="D2240" s="2" t="n">
        <v>83.43</v>
      </c>
      <c r="E2240" s="13" t="n">
        <v>45635</v>
      </c>
    </row>
    <row r="2241" customFormat="false" ht="15" hidden="false" customHeight="false" outlineLevel="0" collapsed="false">
      <c r="A2241" s="2" t="s">
        <v>11326</v>
      </c>
      <c r="B2241" s="2" t="s">
        <v>6619</v>
      </c>
      <c r="C2241" s="2" t="s">
        <v>9098</v>
      </c>
      <c r="D2241" s="2" t="n">
        <v>83.8</v>
      </c>
      <c r="E2241" s="13" t="n">
        <v>45642</v>
      </c>
    </row>
    <row r="2242" customFormat="false" ht="15" hidden="false" customHeight="false" outlineLevel="0" collapsed="false">
      <c r="A2242" s="2" t="s">
        <v>11327</v>
      </c>
      <c r="B2242" s="2" t="s">
        <v>6621</v>
      </c>
      <c r="C2242" s="2" t="s">
        <v>9092</v>
      </c>
      <c r="D2242" s="2" t="n">
        <v>84.17</v>
      </c>
      <c r="E2242" s="13" t="n">
        <v>45649</v>
      </c>
    </row>
    <row r="2243" customFormat="false" ht="15" hidden="false" customHeight="false" outlineLevel="0" collapsed="false">
      <c r="A2243" s="2" t="s">
        <v>11328</v>
      </c>
      <c r="B2243" s="2" t="s">
        <v>6623</v>
      </c>
      <c r="C2243" s="2" t="s">
        <v>9092</v>
      </c>
      <c r="D2243" s="2" t="n">
        <v>84.54</v>
      </c>
      <c r="E2243" s="13" t="n">
        <v>45656</v>
      </c>
    </row>
    <row r="2244" customFormat="false" ht="15" hidden="false" customHeight="false" outlineLevel="0" collapsed="false">
      <c r="A2244" s="2" t="s">
        <v>11329</v>
      </c>
      <c r="B2244" s="2" t="s">
        <v>6625</v>
      </c>
      <c r="C2244" s="2" t="s">
        <v>9083</v>
      </c>
      <c r="D2244" s="2" t="n">
        <v>84.91</v>
      </c>
      <c r="E2244" s="13" t="n">
        <v>45663</v>
      </c>
    </row>
    <row r="2245" customFormat="false" ht="15" hidden="false" customHeight="false" outlineLevel="0" collapsed="false">
      <c r="A2245" s="2" t="s">
        <v>11330</v>
      </c>
      <c r="B2245" s="2" t="s">
        <v>6627</v>
      </c>
      <c r="C2245" s="2" t="s">
        <v>9083</v>
      </c>
      <c r="D2245" s="2" t="n">
        <v>85.28</v>
      </c>
      <c r="E2245" s="13" t="n">
        <v>45670</v>
      </c>
    </row>
    <row r="2246" customFormat="false" ht="15" hidden="false" customHeight="false" outlineLevel="0" collapsed="false">
      <c r="A2246" s="2" t="s">
        <v>11331</v>
      </c>
      <c r="B2246" s="2" t="s">
        <v>6629</v>
      </c>
      <c r="C2246" s="2" t="s">
        <v>9085</v>
      </c>
      <c r="D2246" s="2" t="n">
        <v>85.65</v>
      </c>
      <c r="E2246" s="13" t="n">
        <v>45677</v>
      </c>
    </row>
    <row r="2247" customFormat="false" ht="15" hidden="false" customHeight="false" outlineLevel="0" collapsed="false">
      <c r="A2247" s="2" t="s">
        <v>11332</v>
      </c>
      <c r="B2247" s="2" t="s">
        <v>6631</v>
      </c>
      <c r="C2247" s="2" t="s">
        <v>9087</v>
      </c>
      <c r="D2247" s="2" t="n">
        <v>86.02</v>
      </c>
      <c r="E2247" s="13" t="n">
        <v>45684</v>
      </c>
    </row>
    <row r="2248" customFormat="false" ht="15" hidden="false" customHeight="false" outlineLevel="0" collapsed="false">
      <c r="A2248" s="2" t="s">
        <v>11333</v>
      </c>
      <c r="B2248" s="2" t="s">
        <v>6633</v>
      </c>
      <c r="C2248" s="2" t="s">
        <v>9092</v>
      </c>
      <c r="D2248" s="2" t="n">
        <v>86.39</v>
      </c>
      <c r="E2248" s="13" t="n">
        <v>45691</v>
      </c>
    </row>
    <row r="2249" customFormat="false" ht="15" hidden="false" customHeight="false" outlineLevel="0" collapsed="false">
      <c r="A2249" s="2" t="s">
        <v>11334</v>
      </c>
      <c r="B2249" s="2" t="s">
        <v>6635</v>
      </c>
      <c r="C2249" s="2" t="s">
        <v>9085</v>
      </c>
      <c r="D2249" s="2" t="n">
        <v>86.76</v>
      </c>
      <c r="E2249" s="13" t="n">
        <v>45698</v>
      </c>
    </row>
    <row r="2250" customFormat="false" ht="15" hidden="false" customHeight="false" outlineLevel="0" collapsed="false">
      <c r="A2250" s="2" t="s">
        <v>11335</v>
      </c>
      <c r="B2250" s="2" t="s">
        <v>6637</v>
      </c>
      <c r="C2250" s="2" t="s">
        <v>9083</v>
      </c>
      <c r="D2250" s="2" t="n">
        <v>87.13</v>
      </c>
      <c r="E2250" s="13" t="n">
        <v>45705</v>
      </c>
    </row>
    <row r="2251" customFormat="false" ht="15" hidden="false" customHeight="false" outlineLevel="0" collapsed="false">
      <c r="A2251" s="2" t="s">
        <v>11336</v>
      </c>
      <c r="B2251" s="2" t="s">
        <v>6639</v>
      </c>
      <c r="C2251" s="2" t="s">
        <v>9085</v>
      </c>
      <c r="D2251" s="2" t="n">
        <v>87.5</v>
      </c>
      <c r="E2251" s="13" t="n">
        <v>45712</v>
      </c>
    </row>
    <row r="2252" customFormat="false" ht="15" hidden="false" customHeight="false" outlineLevel="0" collapsed="false">
      <c r="A2252" s="2" t="s">
        <v>11337</v>
      </c>
      <c r="B2252" s="2" t="s">
        <v>6641</v>
      </c>
      <c r="C2252" s="2" t="s">
        <v>9085</v>
      </c>
      <c r="D2252" s="2" t="n">
        <v>87.87</v>
      </c>
      <c r="E2252" s="13" t="n">
        <v>45719</v>
      </c>
    </row>
    <row r="2253" customFormat="false" ht="15" hidden="false" customHeight="false" outlineLevel="0" collapsed="false">
      <c r="A2253" s="2" t="s">
        <v>11338</v>
      </c>
      <c r="B2253" s="2" t="s">
        <v>6643</v>
      </c>
      <c r="C2253" s="2" t="s">
        <v>9087</v>
      </c>
      <c r="D2253" s="2" t="n">
        <v>88.24</v>
      </c>
      <c r="E2253" s="13" t="n">
        <v>45726</v>
      </c>
    </row>
    <row r="2254" customFormat="false" ht="15" hidden="false" customHeight="false" outlineLevel="0" collapsed="false">
      <c r="A2254" s="2" t="s">
        <v>11339</v>
      </c>
      <c r="B2254" s="2" t="s">
        <v>6645</v>
      </c>
      <c r="C2254" s="2" t="s">
        <v>9092</v>
      </c>
      <c r="D2254" s="2" t="n">
        <v>88.61</v>
      </c>
      <c r="E2254" s="13" t="n">
        <v>45733</v>
      </c>
    </row>
    <row r="2255" customFormat="false" ht="15" hidden="false" customHeight="false" outlineLevel="0" collapsed="false">
      <c r="A2255" s="2" t="s">
        <v>11340</v>
      </c>
      <c r="B2255" s="2" t="s">
        <v>6647</v>
      </c>
      <c r="C2255" s="2" t="s">
        <v>9092</v>
      </c>
      <c r="D2255" s="2" t="n">
        <v>88.98</v>
      </c>
      <c r="E2255" s="13" t="n">
        <v>45740</v>
      </c>
    </row>
    <row r="2256" customFormat="false" ht="15" hidden="false" customHeight="false" outlineLevel="0" collapsed="false">
      <c r="A2256" s="2" t="s">
        <v>11341</v>
      </c>
      <c r="B2256" s="2" t="s">
        <v>6649</v>
      </c>
      <c r="C2256" s="2" t="s">
        <v>9092</v>
      </c>
      <c r="D2256" s="2" t="n">
        <v>89.35</v>
      </c>
      <c r="E2256" s="13" t="n">
        <v>45747</v>
      </c>
    </row>
    <row r="2257" customFormat="false" ht="15" hidden="false" customHeight="false" outlineLevel="0" collapsed="false">
      <c r="A2257" s="2" t="s">
        <v>11342</v>
      </c>
      <c r="B2257" s="2" t="s">
        <v>6651</v>
      </c>
      <c r="C2257" s="2" t="s">
        <v>9087</v>
      </c>
      <c r="D2257" s="2" t="n">
        <v>89.72</v>
      </c>
      <c r="E2257" s="13" t="n">
        <v>45754</v>
      </c>
    </row>
    <row r="2258" customFormat="false" ht="15" hidden="false" customHeight="false" outlineLevel="0" collapsed="false">
      <c r="A2258" s="2" t="s">
        <v>11343</v>
      </c>
      <c r="B2258" s="2" t="s">
        <v>6653</v>
      </c>
      <c r="C2258" s="2" t="s">
        <v>9083</v>
      </c>
      <c r="D2258" s="2" t="n">
        <v>90.09</v>
      </c>
      <c r="E2258" s="13" t="n">
        <v>45761</v>
      </c>
    </row>
    <row r="2259" customFormat="false" ht="15" hidden="false" customHeight="false" outlineLevel="0" collapsed="false">
      <c r="A2259" s="2" t="s">
        <v>11344</v>
      </c>
      <c r="B2259" s="2" t="s">
        <v>6655</v>
      </c>
      <c r="C2259" s="2" t="s">
        <v>9098</v>
      </c>
      <c r="D2259" s="2" t="n">
        <v>90.46</v>
      </c>
      <c r="E2259" s="13" t="n">
        <v>45768</v>
      </c>
    </row>
    <row r="2260" customFormat="false" ht="15" hidden="false" customHeight="false" outlineLevel="0" collapsed="false">
      <c r="A2260" s="2" t="s">
        <v>11345</v>
      </c>
      <c r="B2260" s="2" t="s">
        <v>6657</v>
      </c>
      <c r="C2260" s="2" t="s">
        <v>9083</v>
      </c>
      <c r="D2260" s="2" t="n">
        <v>90.83</v>
      </c>
      <c r="E2260" s="13" t="n">
        <v>45775</v>
      </c>
    </row>
    <row r="2261" customFormat="false" ht="15" hidden="false" customHeight="false" outlineLevel="0" collapsed="false">
      <c r="A2261" s="2" t="s">
        <v>11346</v>
      </c>
      <c r="B2261" s="2" t="s">
        <v>6659</v>
      </c>
      <c r="C2261" s="2" t="s">
        <v>9083</v>
      </c>
      <c r="D2261" s="2" t="n">
        <v>91.2</v>
      </c>
      <c r="E2261" s="13" t="n">
        <v>45782</v>
      </c>
    </row>
    <row r="2262" customFormat="false" ht="15" hidden="false" customHeight="false" outlineLevel="0" collapsed="false">
      <c r="A2262" s="2" t="s">
        <v>11347</v>
      </c>
      <c r="B2262" s="2" t="s">
        <v>6661</v>
      </c>
      <c r="C2262" s="2" t="s">
        <v>9092</v>
      </c>
      <c r="D2262" s="2" t="n">
        <v>91.57</v>
      </c>
      <c r="E2262" s="13" t="n">
        <v>45789</v>
      </c>
    </row>
    <row r="2263" customFormat="false" ht="15" hidden="false" customHeight="false" outlineLevel="0" collapsed="false">
      <c r="A2263" s="2" t="s">
        <v>11348</v>
      </c>
      <c r="B2263" s="2" t="s">
        <v>6663</v>
      </c>
      <c r="C2263" s="2" t="s">
        <v>9087</v>
      </c>
      <c r="D2263" s="2" t="n">
        <v>91.94</v>
      </c>
      <c r="E2263" s="13" t="n">
        <v>45796</v>
      </c>
    </row>
    <row r="2264" customFormat="false" ht="15" hidden="false" customHeight="false" outlineLevel="0" collapsed="false">
      <c r="A2264" s="2" t="s">
        <v>11349</v>
      </c>
      <c r="B2264" s="2" t="s">
        <v>6665</v>
      </c>
      <c r="C2264" s="2" t="s">
        <v>9087</v>
      </c>
      <c r="D2264" s="2" t="n">
        <v>92.31</v>
      </c>
      <c r="E2264" s="13" t="n">
        <v>45803</v>
      </c>
    </row>
    <row r="2265" customFormat="false" ht="15" hidden="false" customHeight="false" outlineLevel="0" collapsed="false">
      <c r="A2265" s="2" t="s">
        <v>11350</v>
      </c>
      <c r="B2265" s="2" t="s">
        <v>6667</v>
      </c>
      <c r="C2265" s="2" t="s">
        <v>9087</v>
      </c>
      <c r="D2265" s="2" t="n">
        <v>92.68</v>
      </c>
      <c r="E2265" s="13" t="n">
        <v>45810</v>
      </c>
    </row>
    <row r="2266" customFormat="false" ht="15" hidden="false" customHeight="false" outlineLevel="0" collapsed="false">
      <c r="A2266" s="2" t="s">
        <v>11351</v>
      </c>
      <c r="B2266" s="2" t="s">
        <v>6671</v>
      </c>
      <c r="C2266" s="2" t="s">
        <v>9087</v>
      </c>
      <c r="D2266" s="2" t="n">
        <v>93.05</v>
      </c>
      <c r="E2266" s="13" t="n">
        <v>45817</v>
      </c>
    </row>
    <row r="2267" customFormat="false" ht="15" hidden="false" customHeight="false" outlineLevel="0" collapsed="false">
      <c r="A2267" s="2" t="s">
        <v>11352</v>
      </c>
      <c r="B2267" s="2" t="s">
        <v>6673</v>
      </c>
      <c r="C2267" s="2" t="s">
        <v>9087</v>
      </c>
      <c r="D2267" s="2" t="n">
        <v>93.42</v>
      </c>
      <c r="E2267" s="13" t="n">
        <v>45824</v>
      </c>
    </row>
    <row r="2268" customFormat="false" ht="15" hidden="false" customHeight="false" outlineLevel="0" collapsed="false">
      <c r="A2268" s="2" t="s">
        <v>11353</v>
      </c>
      <c r="B2268" s="2" t="s">
        <v>6675</v>
      </c>
      <c r="C2268" s="2" t="s">
        <v>9092</v>
      </c>
      <c r="D2268" s="2" t="n">
        <v>93.79</v>
      </c>
      <c r="E2268" s="13" t="n">
        <v>45831</v>
      </c>
    </row>
    <row r="2269" customFormat="false" ht="15" hidden="false" customHeight="false" outlineLevel="0" collapsed="false">
      <c r="A2269" s="2" t="s">
        <v>11354</v>
      </c>
      <c r="B2269" s="2" t="s">
        <v>6677</v>
      </c>
      <c r="C2269" s="2" t="s">
        <v>9098</v>
      </c>
      <c r="D2269" s="2" t="n">
        <v>94.16</v>
      </c>
      <c r="E2269" s="13" t="n">
        <v>45838</v>
      </c>
    </row>
    <row r="2270" customFormat="false" ht="15" hidden="false" customHeight="false" outlineLevel="0" collapsed="false">
      <c r="A2270" s="2" t="s">
        <v>11355</v>
      </c>
      <c r="B2270" s="2" t="s">
        <v>6679</v>
      </c>
      <c r="C2270" s="2" t="s">
        <v>9098</v>
      </c>
      <c r="D2270" s="2" t="n">
        <v>94.53</v>
      </c>
      <c r="E2270" s="13" t="n">
        <v>45845</v>
      </c>
    </row>
    <row r="2271" customFormat="false" ht="15" hidden="false" customHeight="false" outlineLevel="0" collapsed="false">
      <c r="A2271" s="2" t="s">
        <v>11356</v>
      </c>
      <c r="B2271" s="2" t="s">
        <v>6681</v>
      </c>
      <c r="C2271" s="2" t="s">
        <v>9085</v>
      </c>
      <c r="D2271" s="2" t="n">
        <v>94.9</v>
      </c>
      <c r="E2271" s="13" t="n">
        <v>45852</v>
      </c>
    </row>
    <row r="2272" customFormat="false" ht="15" hidden="false" customHeight="false" outlineLevel="0" collapsed="false">
      <c r="A2272" s="2" t="s">
        <v>11357</v>
      </c>
      <c r="B2272" s="2" t="s">
        <v>6683</v>
      </c>
      <c r="C2272" s="2" t="s">
        <v>9085</v>
      </c>
      <c r="D2272" s="2" t="n">
        <v>95.27</v>
      </c>
      <c r="E2272" s="13" t="n">
        <v>45859</v>
      </c>
    </row>
    <row r="2273" customFormat="false" ht="15" hidden="false" customHeight="false" outlineLevel="0" collapsed="false">
      <c r="A2273" s="2" t="s">
        <v>11358</v>
      </c>
      <c r="B2273" s="2" t="s">
        <v>6685</v>
      </c>
      <c r="C2273" s="2" t="s">
        <v>9098</v>
      </c>
      <c r="D2273" s="2" t="n">
        <v>95.64</v>
      </c>
      <c r="E2273" s="13" t="n">
        <v>45866</v>
      </c>
    </row>
    <row r="2274" customFormat="false" ht="15" hidden="false" customHeight="false" outlineLevel="0" collapsed="false">
      <c r="A2274" s="2" t="s">
        <v>11359</v>
      </c>
      <c r="B2274" s="2" t="s">
        <v>6687</v>
      </c>
      <c r="C2274" s="2" t="s">
        <v>9083</v>
      </c>
      <c r="D2274" s="2" t="n">
        <v>96.01</v>
      </c>
      <c r="E2274" s="13" t="n">
        <v>45873</v>
      </c>
    </row>
    <row r="2275" customFormat="false" ht="15" hidden="false" customHeight="false" outlineLevel="0" collapsed="false">
      <c r="A2275" s="2" t="s">
        <v>11360</v>
      </c>
      <c r="B2275" s="2" t="s">
        <v>6689</v>
      </c>
      <c r="C2275" s="2" t="s">
        <v>9098</v>
      </c>
      <c r="D2275" s="2" t="n">
        <v>96.38</v>
      </c>
      <c r="E2275" s="13" t="n">
        <v>45880</v>
      </c>
    </row>
    <row r="2276" customFormat="false" ht="15" hidden="false" customHeight="false" outlineLevel="0" collapsed="false">
      <c r="A2276" s="2" t="s">
        <v>11361</v>
      </c>
      <c r="B2276" s="2" t="s">
        <v>6691</v>
      </c>
      <c r="C2276" s="2" t="s">
        <v>9083</v>
      </c>
      <c r="D2276" s="2" t="n">
        <v>96.75</v>
      </c>
      <c r="E2276" s="13" t="n">
        <v>45887</v>
      </c>
    </row>
    <row r="2277" customFormat="false" ht="15" hidden="false" customHeight="false" outlineLevel="0" collapsed="false">
      <c r="A2277" s="2" t="s">
        <v>11362</v>
      </c>
      <c r="B2277" s="2" t="s">
        <v>6693</v>
      </c>
      <c r="C2277" s="2" t="s">
        <v>9085</v>
      </c>
      <c r="D2277" s="2" t="n">
        <v>97.12</v>
      </c>
      <c r="E2277" s="13" t="n">
        <v>45894</v>
      </c>
    </row>
    <row r="2278" customFormat="false" ht="15" hidden="false" customHeight="false" outlineLevel="0" collapsed="false">
      <c r="A2278" s="2" t="s">
        <v>11363</v>
      </c>
      <c r="B2278" s="2" t="s">
        <v>6695</v>
      </c>
      <c r="C2278" s="2" t="s">
        <v>9092</v>
      </c>
      <c r="D2278" s="2" t="n">
        <v>97.49</v>
      </c>
      <c r="E2278" s="13" t="n">
        <v>45901</v>
      </c>
    </row>
    <row r="2279" customFormat="false" ht="15" hidden="false" customHeight="false" outlineLevel="0" collapsed="false">
      <c r="A2279" s="2" t="s">
        <v>11364</v>
      </c>
      <c r="B2279" s="2" t="s">
        <v>6697</v>
      </c>
      <c r="C2279" s="2" t="s">
        <v>9092</v>
      </c>
      <c r="D2279" s="2" t="n">
        <v>97.86</v>
      </c>
      <c r="E2279" s="13" t="n">
        <v>45908</v>
      </c>
    </row>
    <row r="2280" customFormat="false" ht="15" hidden="false" customHeight="false" outlineLevel="0" collapsed="false">
      <c r="A2280" s="2" t="s">
        <v>11365</v>
      </c>
      <c r="B2280" s="2" t="s">
        <v>6699</v>
      </c>
      <c r="C2280" s="2" t="s">
        <v>9092</v>
      </c>
      <c r="D2280" s="2" t="n">
        <v>98.23</v>
      </c>
      <c r="E2280" s="13" t="n">
        <v>45915</v>
      </c>
    </row>
    <row r="2281" customFormat="false" ht="15" hidden="false" customHeight="false" outlineLevel="0" collapsed="false">
      <c r="A2281" s="2" t="s">
        <v>11366</v>
      </c>
      <c r="B2281" s="2" t="s">
        <v>6701</v>
      </c>
      <c r="C2281" s="2" t="s">
        <v>9083</v>
      </c>
      <c r="D2281" s="2" t="n">
        <v>98.6</v>
      </c>
      <c r="E2281" s="13" t="n">
        <v>45922</v>
      </c>
    </row>
    <row r="2282" customFormat="false" ht="15" hidden="false" customHeight="false" outlineLevel="0" collapsed="false">
      <c r="A2282" s="2" t="s">
        <v>11367</v>
      </c>
      <c r="B2282" s="2" t="s">
        <v>6703</v>
      </c>
      <c r="C2282" s="2" t="s">
        <v>9098</v>
      </c>
      <c r="D2282" s="2" t="n">
        <v>98.97</v>
      </c>
      <c r="E2282" s="13" t="n">
        <v>45929</v>
      </c>
    </row>
    <row r="2283" customFormat="false" ht="15" hidden="false" customHeight="false" outlineLevel="0" collapsed="false">
      <c r="A2283" s="2" t="s">
        <v>11368</v>
      </c>
      <c r="B2283" s="2" t="s">
        <v>6707</v>
      </c>
      <c r="C2283" s="2" t="s">
        <v>9087</v>
      </c>
      <c r="D2283" s="2" t="n">
        <v>99.34</v>
      </c>
      <c r="E2283" s="13" t="n">
        <v>45936</v>
      </c>
    </row>
    <row r="2284" customFormat="false" ht="15" hidden="false" customHeight="false" outlineLevel="0" collapsed="false">
      <c r="A2284" s="2" t="s">
        <v>11369</v>
      </c>
      <c r="B2284" s="2" t="s">
        <v>6709</v>
      </c>
      <c r="C2284" s="2" t="s">
        <v>9092</v>
      </c>
      <c r="D2284" s="2" t="n">
        <v>99.71</v>
      </c>
      <c r="E2284" s="13" t="n">
        <v>45943</v>
      </c>
    </row>
    <row r="2285" customFormat="false" ht="15" hidden="false" customHeight="false" outlineLevel="0" collapsed="false">
      <c r="A2285" s="2" t="s">
        <v>11370</v>
      </c>
      <c r="B2285" s="2" t="s">
        <v>6711</v>
      </c>
      <c r="C2285" s="2" t="s">
        <v>9087</v>
      </c>
      <c r="D2285" s="2" t="n">
        <v>100.08</v>
      </c>
      <c r="E2285" s="13" t="n">
        <v>45950</v>
      </c>
    </row>
    <row r="2286" customFormat="false" ht="15" hidden="false" customHeight="false" outlineLevel="0" collapsed="false">
      <c r="A2286" s="2" t="s">
        <v>11371</v>
      </c>
      <c r="B2286" s="2" t="s">
        <v>6713</v>
      </c>
      <c r="C2286" s="2" t="s">
        <v>9098</v>
      </c>
      <c r="D2286" s="2" t="n">
        <v>100.45</v>
      </c>
      <c r="E2286" s="13" t="n">
        <v>45957</v>
      </c>
    </row>
    <row r="2287" customFormat="false" ht="15" hidden="false" customHeight="false" outlineLevel="0" collapsed="false">
      <c r="A2287" s="2" t="s">
        <v>11372</v>
      </c>
      <c r="B2287" s="2" t="s">
        <v>6715</v>
      </c>
      <c r="C2287" s="2" t="s">
        <v>9083</v>
      </c>
      <c r="D2287" s="2" t="n">
        <v>100.82</v>
      </c>
      <c r="E2287" s="13" t="n">
        <v>45964</v>
      </c>
    </row>
    <row r="2288" customFormat="false" ht="15" hidden="false" customHeight="false" outlineLevel="0" collapsed="false">
      <c r="A2288" s="2" t="s">
        <v>11373</v>
      </c>
      <c r="B2288" s="2" t="s">
        <v>6719</v>
      </c>
      <c r="C2288" s="2" t="s">
        <v>9083</v>
      </c>
      <c r="D2288" s="2" t="n">
        <v>101.19</v>
      </c>
      <c r="E2288" s="13" t="n">
        <v>45971</v>
      </c>
    </row>
    <row r="2289" customFormat="false" ht="15" hidden="false" customHeight="false" outlineLevel="0" collapsed="false">
      <c r="A2289" s="2" t="s">
        <v>11374</v>
      </c>
      <c r="B2289" s="2" t="s">
        <v>6721</v>
      </c>
      <c r="C2289" s="2" t="s">
        <v>9087</v>
      </c>
      <c r="D2289" s="2" t="n">
        <v>101.56</v>
      </c>
      <c r="E2289" s="13" t="n">
        <v>45978</v>
      </c>
    </row>
    <row r="2290" customFormat="false" ht="15" hidden="false" customHeight="false" outlineLevel="0" collapsed="false">
      <c r="A2290" s="2" t="s">
        <v>11375</v>
      </c>
      <c r="B2290" s="2" t="s">
        <v>6723</v>
      </c>
      <c r="C2290" s="2" t="s">
        <v>9087</v>
      </c>
      <c r="D2290" s="2" t="n">
        <v>101.93</v>
      </c>
      <c r="E2290" s="13" t="n">
        <v>45985</v>
      </c>
    </row>
    <row r="2291" customFormat="false" ht="15" hidden="false" customHeight="false" outlineLevel="0" collapsed="false">
      <c r="A2291" s="2" t="s">
        <v>11376</v>
      </c>
      <c r="B2291" s="2" t="s">
        <v>6725</v>
      </c>
      <c r="C2291" s="2" t="s">
        <v>9085</v>
      </c>
      <c r="D2291" s="2" t="n">
        <v>102.3</v>
      </c>
      <c r="E2291" s="13" t="n">
        <v>45992</v>
      </c>
    </row>
    <row r="2292" customFormat="false" ht="15" hidden="false" customHeight="false" outlineLevel="0" collapsed="false">
      <c r="A2292" s="2" t="s">
        <v>11377</v>
      </c>
      <c r="B2292" s="2" t="s">
        <v>6727</v>
      </c>
      <c r="C2292" s="2" t="s">
        <v>9083</v>
      </c>
      <c r="D2292" s="2" t="n">
        <v>102.67</v>
      </c>
      <c r="E2292" s="13" t="n">
        <v>45999</v>
      </c>
    </row>
    <row r="2293" customFormat="false" ht="15" hidden="false" customHeight="false" outlineLevel="0" collapsed="false">
      <c r="A2293" s="2" t="s">
        <v>11378</v>
      </c>
      <c r="B2293" s="2" t="s">
        <v>6729</v>
      </c>
      <c r="C2293" s="2" t="s">
        <v>9092</v>
      </c>
      <c r="D2293" s="2" t="n">
        <v>103.04</v>
      </c>
      <c r="E2293" s="13" t="n">
        <v>46006</v>
      </c>
    </row>
    <row r="2294" customFormat="false" ht="15" hidden="false" customHeight="false" outlineLevel="0" collapsed="false">
      <c r="A2294" s="2" t="s">
        <v>11379</v>
      </c>
      <c r="B2294" s="2" t="s">
        <v>6733</v>
      </c>
      <c r="C2294" s="2" t="s">
        <v>9083</v>
      </c>
      <c r="D2294" s="2" t="n">
        <v>103.41</v>
      </c>
      <c r="E2294" s="13" t="n">
        <v>46013</v>
      </c>
    </row>
    <row r="2295" customFormat="false" ht="15" hidden="false" customHeight="false" outlineLevel="0" collapsed="false">
      <c r="A2295" s="2" t="s">
        <v>11380</v>
      </c>
      <c r="B2295" s="2" t="s">
        <v>6735</v>
      </c>
      <c r="C2295" s="2" t="s">
        <v>9098</v>
      </c>
      <c r="D2295" s="2" t="n">
        <v>103.78</v>
      </c>
      <c r="E2295" s="13" t="n">
        <v>46020</v>
      </c>
    </row>
    <row r="2296" customFormat="false" ht="15" hidden="false" customHeight="false" outlineLevel="0" collapsed="false">
      <c r="A2296" s="2" t="s">
        <v>11381</v>
      </c>
      <c r="B2296" s="2" t="s">
        <v>6739</v>
      </c>
      <c r="C2296" s="2" t="s">
        <v>9085</v>
      </c>
      <c r="D2296" s="2" t="n">
        <v>104.15</v>
      </c>
      <c r="E2296" s="13" t="n">
        <v>45297</v>
      </c>
    </row>
    <row r="2297" customFormat="false" ht="15" hidden="false" customHeight="false" outlineLevel="0" collapsed="false">
      <c r="A2297" s="2" t="s">
        <v>11382</v>
      </c>
      <c r="B2297" s="2" t="s">
        <v>6743</v>
      </c>
      <c r="C2297" s="2" t="s">
        <v>9083</v>
      </c>
      <c r="D2297" s="2" t="n">
        <v>104.52</v>
      </c>
      <c r="E2297" s="13" t="n">
        <v>45304</v>
      </c>
    </row>
    <row r="2298" customFormat="false" ht="15" hidden="false" customHeight="false" outlineLevel="0" collapsed="false">
      <c r="A2298" s="2" t="s">
        <v>11383</v>
      </c>
      <c r="B2298" s="2" t="s">
        <v>6745</v>
      </c>
      <c r="C2298" s="2" t="s">
        <v>9087</v>
      </c>
      <c r="D2298" s="2" t="n">
        <v>104.89</v>
      </c>
      <c r="E2298" s="13" t="n">
        <v>45311</v>
      </c>
    </row>
    <row r="2299" customFormat="false" ht="15" hidden="false" customHeight="false" outlineLevel="0" collapsed="false">
      <c r="A2299" s="2" t="s">
        <v>11384</v>
      </c>
      <c r="B2299" s="2" t="s">
        <v>6747</v>
      </c>
      <c r="C2299" s="2" t="s">
        <v>9087</v>
      </c>
      <c r="D2299" s="2" t="n">
        <v>105.26</v>
      </c>
      <c r="E2299" s="13" t="n">
        <v>45318</v>
      </c>
    </row>
    <row r="2300" customFormat="false" ht="15" hidden="false" customHeight="false" outlineLevel="0" collapsed="false">
      <c r="A2300" s="2" t="s">
        <v>11385</v>
      </c>
      <c r="B2300" s="2" t="s">
        <v>6751</v>
      </c>
      <c r="C2300" s="2" t="s">
        <v>9083</v>
      </c>
      <c r="D2300" s="2" t="n">
        <v>105.63</v>
      </c>
      <c r="E2300" s="13" t="n">
        <v>45325</v>
      </c>
    </row>
    <row r="2301" customFormat="false" ht="15" hidden="false" customHeight="false" outlineLevel="0" collapsed="false">
      <c r="A2301" s="2" t="s">
        <v>11386</v>
      </c>
      <c r="B2301" s="2" t="s">
        <v>6753</v>
      </c>
      <c r="C2301" s="2" t="s">
        <v>9083</v>
      </c>
      <c r="D2301" s="2" t="n">
        <v>106</v>
      </c>
      <c r="E2301" s="13" t="n">
        <v>45332</v>
      </c>
    </row>
    <row r="2302" customFormat="false" ht="15" hidden="false" customHeight="false" outlineLevel="0" collapsed="false">
      <c r="A2302" s="2" t="s">
        <v>11387</v>
      </c>
      <c r="B2302" s="2" t="s">
        <v>6755</v>
      </c>
      <c r="C2302" s="2" t="s">
        <v>9087</v>
      </c>
      <c r="D2302" s="2" t="n">
        <v>106.37</v>
      </c>
      <c r="E2302" s="13" t="n">
        <v>45339</v>
      </c>
    </row>
    <row r="2303" customFormat="false" ht="15" hidden="false" customHeight="false" outlineLevel="0" collapsed="false">
      <c r="A2303" s="2" t="s">
        <v>11388</v>
      </c>
      <c r="B2303" s="2" t="s">
        <v>6757</v>
      </c>
      <c r="C2303" s="2" t="s">
        <v>9098</v>
      </c>
      <c r="D2303" s="2" t="n">
        <v>106.74</v>
      </c>
      <c r="E2303" s="13" t="n">
        <v>45346</v>
      </c>
    </row>
    <row r="2304" customFormat="false" ht="15" hidden="false" customHeight="false" outlineLevel="0" collapsed="false">
      <c r="A2304" s="2" t="s">
        <v>11389</v>
      </c>
      <c r="B2304" s="2" t="s">
        <v>6759</v>
      </c>
      <c r="C2304" s="2" t="s">
        <v>9087</v>
      </c>
      <c r="D2304" s="2" t="n">
        <v>107.11</v>
      </c>
      <c r="E2304" s="13" t="n">
        <v>45353</v>
      </c>
    </row>
    <row r="2305" customFormat="false" ht="15" hidden="false" customHeight="false" outlineLevel="0" collapsed="false">
      <c r="A2305" s="2" t="s">
        <v>11390</v>
      </c>
      <c r="B2305" s="2" t="s">
        <v>6761</v>
      </c>
      <c r="C2305" s="2" t="s">
        <v>9087</v>
      </c>
      <c r="D2305" s="2" t="n">
        <v>107.48</v>
      </c>
      <c r="E2305" s="13" t="n">
        <v>45360</v>
      </c>
    </row>
    <row r="2306" customFormat="false" ht="15" hidden="false" customHeight="false" outlineLevel="0" collapsed="false">
      <c r="A2306" s="2" t="s">
        <v>11391</v>
      </c>
      <c r="B2306" s="2" t="s">
        <v>6763</v>
      </c>
      <c r="C2306" s="2" t="s">
        <v>9083</v>
      </c>
      <c r="D2306" s="2" t="n">
        <v>107.85</v>
      </c>
      <c r="E2306" s="13" t="n">
        <v>45367</v>
      </c>
    </row>
    <row r="2307" customFormat="false" ht="15" hidden="false" customHeight="false" outlineLevel="0" collapsed="false">
      <c r="A2307" s="2" t="s">
        <v>11392</v>
      </c>
      <c r="B2307" s="2" t="s">
        <v>6765</v>
      </c>
      <c r="C2307" s="2" t="s">
        <v>9098</v>
      </c>
      <c r="D2307" s="2" t="n">
        <v>108.22</v>
      </c>
      <c r="E2307" s="13" t="n">
        <v>45374</v>
      </c>
    </row>
    <row r="2308" customFormat="false" ht="15" hidden="false" customHeight="false" outlineLevel="0" collapsed="false">
      <c r="A2308" s="2" t="s">
        <v>11393</v>
      </c>
      <c r="B2308" s="2" t="s">
        <v>6767</v>
      </c>
      <c r="C2308" s="2" t="s">
        <v>9083</v>
      </c>
      <c r="D2308" s="2" t="n">
        <v>108.59</v>
      </c>
      <c r="E2308" s="13" t="n">
        <v>45381</v>
      </c>
    </row>
    <row r="2309" customFormat="false" ht="15" hidden="false" customHeight="false" outlineLevel="0" collapsed="false">
      <c r="A2309" s="2" t="s">
        <v>11394</v>
      </c>
      <c r="B2309" s="2" t="s">
        <v>6769</v>
      </c>
      <c r="C2309" s="2" t="s">
        <v>9098</v>
      </c>
      <c r="D2309" s="2" t="n">
        <v>108.96</v>
      </c>
      <c r="E2309" s="13" t="n">
        <v>45388</v>
      </c>
    </row>
    <row r="2310" customFormat="false" ht="15" hidden="false" customHeight="false" outlineLevel="0" collapsed="false">
      <c r="A2310" s="2" t="s">
        <v>11395</v>
      </c>
      <c r="B2310" s="2" t="s">
        <v>6773</v>
      </c>
      <c r="C2310" s="2" t="s">
        <v>9083</v>
      </c>
      <c r="D2310" s="2" t="n">
        <v>109.33</v>
      </c>
      <c r="E2310" s="13" t="n">
        <v>45395</v>
      </c>
    </row>
    <row r="2311" customFormat="false" ht="15" hidden="false" customHeight="false" outlineLevel="0" collapsed="false">
      <c r="A2311" s="2" t="s">
        <v>11396</v>
      </c>
      <c r="B2311" s="2" t="s">
        <v>6775</v>
      </c>
      <c r="C2311" s="2" t="s">
        <v>9098</v>
      </c>
      <c r="D2311" s="2" t="n">
        <v>109.7</v>
      </c>
      <c r="E2311" s="13" t="n">
        <v>45402</v>
      </c>
    </row>
    <row r="2312" customFormat="false" ht="15" hidden="false" customHeight="false" outlineLevel="0" collapsed="false">
      <c r="A2312" s="2" t="s">
        <v>11397</v>
      </c>
      <c r="B2312" s="2" t="s">
        <v>6777</v>
      </c>
      <c r="C2312" s="2" t="s">
        <v>9098</v>
      </c>
      <c r="D2312" s="2" t="n">
        <v>110.07</v>
      </c>
      <c r="E2312" s="13" t="n">
        <v>45409</v>
      </c>
    </row>
    <row r="2313" customFormat="false" ht="15" hidden="false" customHeight="false" outlineLevel="0" collapsed="false">
      <c r="A2313" s="2" t="s">
        <v>11398</v>
      </c>
      <c r="B2313" s="2" t="s">
        <v>6779</v>
      </c>
      <c r="C2313" s="2" t="s">
        <v>9083</v>
      </c>
      <c r="D2313" s="2" t="n">
        <v>110.44</v>
      </c>
      <c r="E2313" s="13" t="n">
        <v>45416</v>
      </c>
    </row>
    <row r="2314" customFormat="false" ht="15" hidden="false" customHeight="false" outlineLevel="0" collapsed="false">
      <c r="A2314" s="2" t="s">
        <v>11399</v>
      </c>
      <c r="B2314" s="2" t="s">
        <v>6781</v>
      </c>
      <c r="C2314" s="2" t="s">
        <v>9087</v>
      </c>
      <c r="D2314" s="2" t="n">
        <v>110.81</v>
      </c>
      <c r="E2314" s="13" t="n">
        <v>45423</v>
      </c>
    </row>
    <row r="2315" customFormat="false" ht="15" hidden="false" customHeight="false" outlineLevel="0" collapsed="false">
      <c r="A2315" s="2" t="s">
        <v>11400</v>
      </c>
      <c r="B2315" s="2" t="s">
        <v>6783</v>
      </c>
      <c r="C2315" s="2" t="s">
        <v>9098</v>
      </c>
      <c r="D2315" s="2" t="n">
        <v>111.18</v>
      </c>
      <c r="E2315" s="13" t="n">
        <v>45430</v>
      </c>
    </row>
    <row r="2316" customFormat="false" ht="15" hidden="false" customHeight="false" outlineLevel="0" collapsed="false">
      <c r="A2316" s="2" t="s">
        <v>11401</v>
      </c>
      <c r="B2316" s="2" t="s">
        <v>6787</v>
      </c>
      <c r="C2316" s="2" t="s">
        <v>9085</v>
      </c>
      <c r="D2316" s="2" t="n">
        <v>111.55</v>
      </c>
      <c r="E2316" s="13" t="n">
        <v>45437</v>
      </c>
    </row>
    <row r="2317" customFormat="false" ht="15" hidden="false" customHeight="false" outlineLevel="0" collapsed="false">
      <c r="A2317" s="2" t="s">
        <v>11402</v>
      </c>
      <c r="B2317" s="2" t="s">
        <v>6789</v>
      </c>
      <c r="C2317" s="2" t="s">
        <v>9085</v>
      </c>
      <c r="D2317" s="2" t="n">
        <v>111.92</v>
      </c>
      <c r="E2317" s="13" t="n">
        <v>45444</v>
      </c>
    </row>
    <row r="2318" customFormat="false" ht="15" hidden="false" customHeight="false" outlineLevel="0" collapsed="false">
      <c r="A2318" s="2" t="s">
        <v>11403</v>
      </c>
      <c r="B2318" s="2" t="s">
        <v>6793</v>
      </c>
      <c r="C2318" s="2" t="s">
        <v>9092</v>
      </c>
      <c r="D2318" s="2" t="n">
        <v>112.29</v>
      </c>
      <c r="E2318" s="13" t="n">
        <v>45451</v>
      </c>
    </row>
    <row r="2319" customFormat="false" ht="15" hidden="false" customHeight="false" outlineLevel="0" collapsed="false">
      <c r="A2319" s="2" t="s">
        <v>11404</v>
      </c>
      <c r="B2319" s="2" t="s">
        <v>6795</v>
      </c>
      <c r="C2319" s="2" t="s">
        <v>9083</v>
      </c>
      <c r="D2319" s="2" t="n">
        <v>112.66</v>
      </c>
      <c r="E2319" s="13" t="n">
        <v>45458</v>
      </c>
    </row>
    <row r="2320" customFormat="false" ht="15" hidden="false" customHeight="false" outlineLevel="0" collapsed="false">
      <c r="A2320" s="2" t="s">
        <v>11405</v>
      </c>
      <c r="B2320" s="2" t="s">
        <v>6797</v>
      </c>
      <c r="C2320" s="2" t="s">
        <v>9085</v>
      </c>
      <c r="D2320" s="2" t="n">
        <v>113.03</v>
      </c>
      <c r="E2320" s="13" t="n">
        <v>45465</v>
      </c>
    </row>
    <row r="2321" customFormat="false" ht="15" hidden="false" customHeight="false" outlineLevel="0" collapsed="false">
      <c r="A2321" s="2" t="s">
        <v>11406</v>
      </c>
      <c r="B2321" s="2" t="s">
        <v>6799</v>
      </c>
      <c r="C2321" s="2" t="s">
        <v>9085</v>
      </c>
      <c r="D2321" s="2" t="n">
        <v>113.4</v>
      </c>
      <c r="E2321" s="13" t="n">
        <v>45472</v>
      </c>
    </row>
    <row r="2322" customFormat="false" ht="15" hidden="false" customHeight="false" outlineLevel="0" collapsed="false">
      <c r="A2322" s="2" t="s">
        <v>11407</v>
      </c>
      <c r="B2322" s="2" t="s">
        <v>6801</v>
      </c>
      <c r="C2322" s="2" t="s">
        <v>9092</v>
      </c>
      <c r="D2322" s="2" t="n">
        <v>113.77</v>
      </c>
      <c r="E2322" s="13" t="n">
        <v>45479</v>
      </c>
    </row>
    <row r="2323" customFormat="false" ht="15" hidden="false" customHeight="false" outlineLevel="0" collapsed="false">
      <c r="A2323" s="2" t="s">
        <v>11408</v>
      </c>
      <c r="B2323" s="2" t="s">
        <v>6803</v>
      </c>
      <c r="C2323" s="2" t="s">
        <v>9085</v>
      </c>
      <c r="D2323" s="2" t="n">
        <v>114.14</v>
      </c>
      <c r="E2323" s="13" t="n">
        <v>45486</v>
      </c>
    </row>
    <row r="2324" customFormat="false" ht="15" hidden="false" customHeight="false" outlineLevel="0" collapsed="false">
      <c r="A2324" s="2" t="s">
        <v>11409</v>
      </c>
      <c r="B2324" s="2" t="s">
        <v>6805</v>
      </c>
      <c r="C2324" s="2" t="s">
        <v>9092</v>
      </c>
      <c r="D2324" s="2" t="n">
        <v>114.51</v>
      </c>
      <c r="E2324" s="13" t="n">
        <v>45493</v>
      </c>
    </row>
    <row r="2325" customFormat="false" ht="15" hidden="false" customHeight="false" outlineLevel="0" collapsed="false">
      <c r="A2325" s="2" t="s">
        <v>11410</v>
      </c>
      <c r="B2325" s="2" t="s">
        <v>6807</v>
      </c>
      <c r="C2325" s="2" t="s">
        <v>9087</v>
      </c>
      <c r="D2325" s="2" t="n">
        <v>114.88</v>
      </c>
      <c r="E2325" s="13" t="n">
        <v>45500</v>
      </c>
    </row>
    <row r="2326" customFormat="false" ht="15" hidden="false" customHeight="false" outlineLevel="0" collapsed="false">
      <c r="A2326" s="2" t="s">
        <v>11411</v>
      </c>
      <c r="B2326" s="2" t="s">
        <v>6809</v>
      </c>
      <c r="C2326" s="2" t="s">
        <v>9092</v>
      </c>
      <c r="D2326" s="2" t="n">
        <v>115.25</v>
      </c>
      <c r="E2326" s="13" t="n">
        <v>45507</v>
      </c>
    </row>
    <row r="2327" customFormat="false" ht="15" hidden="false" customHeight="false" outlineLevel="0" collapsed="false">
      <c r="A2327" s="2" t="s">
        <v>11412</v>
      </c>
      <c r="B2327" s="2" t="s">
        <v>6811</v>
      </c>
      <c r="C2327" s="2" t="s">
        <v>9092</v>
      </c>
      <c r="D2327" s="2" t="n">
        <v>115.62</v>
      </c>
      <c r="E2327" s="13" t="n">
        <v>45514</v>
      </c>
    </row>
    <row r="2328" customFormat="false" ht="15" hidden="false" customHeight="false" outlineLevel="0" collapsed="false">
      <c r="A2328" s="2" t="s">
        <v>11413</v>
      </c>
      <c r="B2328" s="2" t="s">
        <v>6815</v>
      </c>
      <c r="C2328" s="2" t="s">
        <v>9098</v>
      </c>
      <c r="D2328" s="2" t="n">
        <v>115.99</v>
      </c>
      <c r="E2328" s="13" t="n">
        <v>45521</v>
      </c>
    </row>
    <row r="2329" customFormat="false" ht="15" hidden="false" customHeight="false" outlineLevel="0" collapsed="false">
      <c r="A2329" s="2" t="s">
        <v>11414</v>
      </c>
      <c r="B2329" s="2" t="s">
        <v>6817</v>
      </c>
      <c r="C2329" s="2" t="s">
        <v>9087</v>
      </c>
      <c r="D2329" s="2" t="n">
        <v>116.36</v>
      </c>
      <c r="E2329" s="13" t="n">
        <v>45528</v>
      </c>
    </row>
    <row r="2330" customFormat="false" ht="15" hidden="false" customHeight="false" outlineLevel="0" collapsed="false">
      <c r="A2330" s="2" t="s">
        <v>11415</v>
      </c>
      <c r="B2330" s="2" t="s">
        <v>6819</v>
      </c>
      <c r="C2330" s="2" t="s">
        <v>9083</v>
      </c>
      <c r="D2330" s="2" t="n">
        <v>116.73</v>
      </c>
      <c r="E2330" s="13" t="n">
        <v>45535</v>
      </c>
    </row>
    <row r="2331" customFormat="false" ht="15" hidden="false" customHeight="false" outlineLevel="0" collapsed="false">
      <c r="A2331" s="2" t="s">
        <v>11416</v>
      </c>
      <c r="B2331" s="2" t="s">
        <v>6821</v>
      </c>
      <c r="C2331" s="2" t="s">
        <v>9098</v>
      </c>
      <c r="D2331" s="2" t="n">
        <v>117.1</v>
      </c>
      <c r="E2331" s="13" t="n">
        <v>45542</v>
      </c>
    </row>
    <row r="2332" customFormat="false" ht="15" hidden="false" customHeight="false" outlineLevel="0" collapsed="false">
      <c r="A2332" s="2" t="s">
        <v>11417</v>
      </c>
      <c r="B2332" s="2" t="s">
        <v>6823</v>
      </c>
      <c r="C2332" s="2" t="s">
        <v>9092</v>
      </c>
      <c r="D2332" s="2" t="n">
        <v>117.47</v>
      </c>
      <c r="E2332" s="13" t="n">
        <v>45549</v>
      </c>
    </row>
    <row r="2333" customFormat="false" ht="15" hidden="false" customHeight="false" outlineLevel="0" collapsed="false">
      <c r="A2333" s="2" t="s">
        <v>11418</v>
      </c>
      <c r="B2333" s="2" t="s">
        <v>6825</v>
      </c>
      <c r="C2333" s="2" t="s">
        <v>9083</v>
      </c>
      <c r="D2333" s="2" t="n">
        <v>117.84</v>
      </c>
      <c r="E2333" s="13" t="n">
        <v>45556</v>
      </c>
    </row>
    <row r="2334" customFormat="false" ht="15" hidden="false" customHeight="false" outlineLevel="0" collapsed="false">
      <c r="A2334" s="2" t="s">
        <v>11419</v>
      </c>
      <c r="B2334" s="2" t="s">
        <v>6827</v>
      </c>
      <c r="C2334" s="2" t="s">
        <v>9092</v>
      </c>
      <c r="D2334" s="2" t="n">
        <v>118.21</v>
      </c>
      <c r="E2334" s="13" t="n">
        <v>45563</v>
      </c>
    </row>
    <row r="2335" customFormat="false" ht="15" hidden="false" customHeight="false" outlineLevel="0" collapsed="false">
      <c r="A2335" s="2" t="s">
        <v>11420</v>
      </c>
      <c r="B2335" s="2" t="s">
        <v>6829</v>
      </c>
      <c r="C2335" s="2" t="s">
        <v>9083</v>
      </c>
      <c r="D2335" s="2" t="n">
        <v>118.58</v>
      </c>
      <c r="E2335" s="13" t="n">
        <v>45570</v>
      </c>
    </row>
    <row r="2336" customFormat="false" ht="15" hidden="false" customHeight="false" outlineLevel="0" collapsed="false">
      <c r="A2336" s="2" t="s">
        <v>11421</v>
      </c>
      <c r="B2336" s="2" t="s">
        <v>6831</v>
      </c>
      <c r="C2336" s="2" t="s">
        <v>9087</v>
      </c>
      <c r="D2336" s="2" t="n">
        <v>118.95</v>
      </c>
      <c r="E2336" s="13" t="n">
        <v>45577</v>
      </c>
    </row>
    <row r="2337" customFormat="false" ht="15" hidden="false" customHeight="false" outlineLevel="0" collapsed="false">
      <c r="A2337" s="2" t="s">
        <v>11422</v>
      </c>
      <c r="B2337" s="2" t="s">
        <v>6833</v>
      </c>
      <c r="C2337" s="2" t="s">
        <v>9085</v>
      </c>
      <c r="D2337" s="2" t="n">
        <v>119.32</v>
      </c>
      <c r="E2337" s="13" t="n">
        <v>45584</v>
      </c>
    </row>
    <row r="2338" customFormat="false" ht="15" hidden="false" customHeight="false" outlineLevel="0" collapsed="false">
      <c r="A2338" s="2" t="s">
        <v>11423</v>
      </c>
      <c r="B2338" s="2" t="s">
        <v>6835</v>
      </c>
      <c r="C2338" s="2" t="s">
        <v>9098</v>
      </c>
      <c r="D2338" s="2" t="n">
        <v>119.69</v>
      </c>
      <c r="E2338" s="13" t="n">
        <v>45591</v>
      </c>
    </row>
    <row r="2339" customFormat="false" ht="15" hidden="false" customHeight="false" outlineLevel="0" collapsed="false">
      <c r="A2339" s="2" t="s">
        <v>11424</v>
      </c>
      <c r="B2339" s="2" t="s">
        <v>6837</v>
      </c>
      <c r="C2339" s="2" t="s">
        <v>9085</v>
      </c>
      <c r="D2339" s="2" t="n">
        <v>120.06</v>
      </c>
      <c r="E2339" s="13" t="n">
        <v>45598</v>
      </c>
    </row>
    <row r="2340" customFormat="false" ht="15" hidden="false" customHeight="false" outlineLevel="0" collapsed="false">
      <c r="A2340" s="2" t="s">
        <v>11425</v>
      </c>
      <c r="B2340" s="2" t="s">
        <v>6839</v>
      </c>
      <c r="C2340" s="2" t="s">
        <v>9085</v>
      </c>
      <c r="D2340" s="2" t="n">
        <v>120.43</v>
      </c>
      <c r="E2340" s="13" t="n">
        <v>45605</v>
      </c>
    </row>
    <row r="2341" customFormat="false" ht="15" hidden="false" customHeight="false" outlineLevel="0" collapsed="false">
      <c r="A2341" s="2" t="s">
        <v>11426</v>
      </c>
      <c r="B2341" s="2" t="s">
        <v>6841</v>
      </c>
      <c r="C2341" s="2" t="s">
        <v>9085</v>
      </c>
      <c r="D2341" s="2" t="n">
        <v>120.8</v>
      </c>
      <c r="E2341" s="13" t="n">
        <v>45612</v>
      </c>
    </row>
    <row r="2342" customFormat="false" ht="15" hidden="false" customHeight="false" outlineLevel="0" collapsed="false">
      <c r="A2342" s="2" t="s">
        <v>11427</v>
      </c>
      <c r="B2342" s="2" t="s">
        <v>6843</v>
      </c>
      <c r="C2342" s="2" t="s">
        <v>9092</v>
      </c>
      <c r="D2342" s="2" t="n">
        <v>121.17</v>
      </c>
      <c r="E2342" s="13" t="n">
        <v>45619</v>
      </c>
    </row>
    <row r="2343" customFormat="false" ht="15" hidden="false" customHeight="false" outlineLevel="0" collapsed="false">
      <c r="A2343" s="2" t="s">
        <v>11428</v>
      </c>
      <c r="B2343" s="2" t="s">
        <v>6845</v>
      </c>
      <c r="C2343" s="2" t="s">
        <v>9098</v>
      </c>
      <c r="D2343" s="2" t="n">
        <v>121.54</v>
      </c>
      <c r="E2343" s="13" t="n">
        <v>45626</v>
      </c>
    </row>
    <row r="2344" customFormat="false" ht="15" hidden="false" customHeight="false" outlineLevel="0" collapsed="false">
      <c r="A2344" s="2" t="s">
        <v>11429</v>
      </c>
      <c r="B2344" s="2" t="s">
        <v>6847</v>
      </c>
      <c r="C2344" s="2" t="s">
        <v>9092</v>
      </c>
      <c r="D2344" s="2" t="n">
        <v>121.91</v>
      </c>
      <c r="E2344" s="13" t="n">
        <v>45633</v>
      </c>
    </row>
    <row r="2345" customFormat="false" ht="15" hidden="false" customHeight="false" outlineLevel="0" collapsed="false">
      <c r="A2345" s="2" t="s">
        <v>11430</v>
      </c>
      <c r="B2345" s="2" t="s">
        <v>6849</v>
      </c>
      <c r="C2345" s="2" t="s">
        <v>9098</v>
      </c>
      <c r="D2345" s="2" t="n">
        <v>122.28</v>
      </c>
      <c r="E2345" s="13" t="n">
        <v>45640</v>
      </c>
    </row>
    <row r="2346" customFormat="false" ht="15" hidden="false" customHeight="false" outlineLevel="0" collapsed="false">
      <c r="A2346" s="2" t="s">
        <v>11431</v>
      </c>
      <c r="B2346" s="2" t="s">
        <v>6851</v>
      </c>
      <c r="C2346" s="2" t="s">
        <v>9098</v>
      </c>
      <c r="D2346" s="2" t="n">
        <v>122.65</v>
      </c>
      <c r="E2346" s="13" t="n">
        <v>45647</v>
      </c>
    </row>
    <row r="2347" customFormat="false" ht="15" hidden="false" customHeight="false" outlineLevel="0" collapsed="false">
      <c r="A2347" s="2" t="s">
        <v>11432</v>
      </c>
      <c r="B2347" s="2" t="s">
        <v>6853</v>
      </c>
      <c r="C2347" s="2" t="s">
        <v>9098</v>
      </c>
      <c r="D2347" s="2" t="n">
        <v>123.02</v>
      </c>
      <c r="E2347" s="13" t="n">
        <v>45654</v>
      </c>
    </row>
    <row r="2348" customFormat="false" ht="15" hidden="false" customHeight="false" outlineLevel="0" collapsed="false">
      <c r="A2348" s="2" t="s">
        <v>11433</v>
      </c>
      <c r="B2348" s="2" t="s">
        <v>6855</v>
      </c>
      <c r="C2348" s="2" t="s">
        <v>9083</v>
      </c>
      <c r="D2348" s="2" t="n">
        <v>123.39</v>
      </c>
      <c r="E2348" s="13" t="n">
        <v>45661</v>
      </c>
    </row>
    <row r="2349" customFormat="false" ht="15" hidden="false" customHeight="false" outlineLevel="0" collapsed="false">
      <c r="A2349" s="2" t="s">
        <v>11434</v>
      </c>
      <c r="B2349" s="2" t="s">
        <v>6857</v>
      </c>
      <c r="C2349" s="2" t="s">
        <v>9087</v>
      </c>
      <c r="D2349" s="2" t="n">
        <v>123.76</v>
      </c>
      <c r="E2349" s="13" t="n">
        <v>45668</v>
      </c>
    </row>
    <row r="2350" customFormat="false" ht="15" hidden="false" customHeight="false" outlineLevel="0" collapsed="false">
      <c r="A2350" s="2" t="s">
        <v>11435</v>
      </c>
      <c r="B2350" s="2" t="s">
        <v>6859</v>
      </c>
      <c r="C2350" s="2" t="s">
        <v>9092</v>
      </c>
      <c r="D2350" s="2" t="n">
        <v>124.13</v>
      </c>
      <c r="E2350" s="13" t="n">
        <v>45675</v>
      </c>
    </row>
    <row r="2351" customFormat="false" ht="15" hidden="false" customHeight="false" outlineLevel="0" collapsed="false">
      <c r="A2351" s="2" t="s">
        <v>11436</v>
      </c>
      <c r="B2351" s="2" t="s">
        <v>6861</v>
      </c>
      <c r="C2351" s="2" t="s">
        <v>9083</v>
      </c>
      <c r="D2351" s="2" t="n">
        <v>124.5</v>
      </c>
      <c r="E2351" s="13" t="n">
        <v>45682</v>
      </c>
    </row>
    <row r="2352" customFormat="false" ht="15" hidden="false" customHeight="false" outlineLevel="0" collapsed="false">
      <c r="A2352" s="2" t="s">
        <v>11437</v>
      </c>
      <c r="B2352" s="2" t="s">
        <v>6863</v>
      </c>
      <c r="C2352" s="2" t="s">
        <v>9092</v>
      </c>
      <c r="D2352" s="2" t="n">
        <v>124.87</v>
      </c>
      <c r="E2352" s="13" t="n">
        <v>45689</v>
      </c>
    </row>
    <row r="2353" customFormat="false" ht="15" hidden="false" customHeight="false" outlineLevel="0" collapsed="false">
      <c r="A2353" s="2" t="s">
        <v>11438</v>
      </c>
      <c r="B2353" s="2" t="s">
        <v>6865</v>
      </c>
      <c r="C2353" s="2" t="s">
        <v>9083</v>
      </c>
      <c r="D2353" s="2" t="n">
        <v>125.24</v>
      </c>
      <c r="E2353" s="13" t="n">
        <v>45696</v>
      </c>
    </row>
    <row r="2354" customFormat="false" ht="15" hidden="false" customHeight="false" outlineLevel="0" collapsed="false">
      <c r="A2354" s="2" t="s">
        <v>11439</v>
      </c>
      <c r="B2354" s="2" t="s">
        <v>6867</v>
      </c>
      <c r="C2354" s="2" t="s">
        <v>9083</v>
      </c>
      <c r="D2354" s="2" t="n">
        <v>125.61</v>
      </c>
      <c r="E2354" s="13" t="n">
        <v>45703</v>
      </c>
    </row>
    <row r="2355" customFormat="false" ht="15" hidden="false" customHeight="false" outlineLevel="0" collapsed="false">
      <c r="A2355" s="2" t="s">
        <v>11440</v>
      </c>
      <c r="B2355" s="2" t="s">
        <v>6869</v>
      </c>
      <c r="C2355" s="2" t="s">
        <v>9092</v>
      </c>
      <c r="D2355" s="2" t="n">
        <v>125.98</v>
      </c>
      <c r="E2355" s="13" t="n">
        <v>45710</v>
      </c>
    </row>
    <row r="2356" customFormat="false" ht="15" hidden="false" customHeight="false" outlineLevel="0" collapsed="false">
      <c r="A2356" s="2" t="s">
        <v>11441</v>
      </c>
      <c r="B2356" s="2" t="s">
        <v>6871</v>
      </c>
      <c r="C2356" s="2" t="s">
        <v>9085</v>
      </c>
      <c r="D2356" s="2" t="n">
        <v>126.35</v>
      </c>
      <c r="E2356" s="13" t="n">
        <v>45717</v>
      </c>
    </row>
    <row r="2357" customFormat="false" ht="15" hidden="false" customHeight="false" outlineLevel="0" collapsed="false">
      <c r="A2357" s="2" t="s">
        <v>11442</v>
      </c>
      <c r="B2357" s="2" t="s">
        <v>6873</v>
      </c>
      <c r="C2357" s="2" t="s">
        <v>9087</v>
      </c>
      <c r="D2357" s="2" t="n">
        <v>126.72</v>
      </c>
      <c r="E2357" s="13" t="n">
        <v>45724</v>
      </c>
    </row>
    <row r="2358" customFormat="false" ht="15" hidden="false" customHeight="false" outlineLevel="0" collapsed="false">
      <c r="A2358" s="2" t="s">
        <v>11443</v>
      </c>
      <c r="B2358" s="2" t="s">
        <v>6875</v>
      </c>
      <c r="C2358" s="2" t="s">
        <v>9083</v>
      </c>
      <c r="D2358" s="2" t="n">
        <v>127.09</v>
      </c>
      <c r="E2358" s="13" t="n">
        <v>45731</v>
      </c>
    </row>
    <row r="2359" customFormat="false" ht="15" hidden="false" customHeight="false" outlineLevel="0" collapsed="false">
      <c r="A2359" s="2" t="s">
        <v>11444</v>
      </c>
      <c r="B2359" s="2" t="s">
        <v>6877</v>
      </c>
      <c r="C2359" s="2" t="s">
        <v>9092</v>
      </c>
      <c r="D2359" s="2" t="n">
        <v>127.46</v>
      </c>
      <c r="E2359" s="13" t="n">
        <v>45738</v>
      </c>
    </row>
    <row r="2360" customFormat="false" ht="15" hidden="false" customHeight="false" outlineLevel="0" collapsed="false">
      <c r="A2360" s="2" t="s">
        <v>11445</v>
      </c>
      <c r="B2360" s="2" t="s">
        <v>6879</v>
      </c>
      <c r="C2360" s="2" t="s">
        <v>9098</v>
      </c>
      <c r="D2360" s="2" t="n">
        <v>127.83</v>
      </c>
      <c r="E2360" s="13" t="n">
        <v>45745</v>
      </c>
    </row>
    <row r="2361" customFormat="false" ht="15" hidden="false" customHeight="false" outlineLevel="0" collapsed="false">
      <c r="A2361" s="2" t="s">
        <v>11446</v>
      </c>
      <c r="B2361" s="2" t="s">
        <v>6881</v>
      </c>
      <c r="C2361" s="2" t="s">
        <v>9087</v>
      </c>
      <c r="D2361" s="2" t="n">
        <v>128.2</v>
      </c>
      <c r="E2361" s="13" t="n">
        <v>45752</v>
      </c>
    </row>
    <row r="2362" customFormat="false" ht="15" hidden="false" customHeight="false" outlineLevel="0" collapsed="false">
      <c r="A2362" s="2" t="s">
        <v>11447</v>
      </c>
      <c r="B2362" s="2" t="s">
        <v>6883</v>
      </c>
      <c r="C2362" s="2" t="s">
        <v>9083</v>
      </c>
      <c r="D2362" s="2" t="n">
        <v>128.57</v>
      </c>
      <c r="E2362" s="13" t="n">
        <v>45759</v>
      </c>
    </row>
    <row r="2363" customFormat="false" ht="15" hidden="false" customHeight="false" outlineLevel="0" collapsed="false">
      <c r="A2363" s="2" t="s">
        <v>11448</v>
      </c>
      <c r="B2363" s="2" t="s">
        <v>6885</v>
      </c>
      <c r="C2363" s="2" t="s">
        <v>9098</v>
      </c>
      <c r="D2363" s="2" t="n">
        <v>128.94</v>
      </c>
      <c r="E2363" s="13" t="n">
        <v>45766</v>
      </c>
    </row>
    <row r="2364" customFormat="false" ht="15" hidden="false" customHeight="false" outlineLevel="0" collapsed="false">
      <c r="A2364" s="2" t="s">
        <v>11449</v>
      </c>
      <c r="B2364" s="2" t="s">
        <v>6887</v>
      </c>
      <c r="C2364" s="2" t="s">
        <v>9087</v>
      </c>
      <c r="D2364" s="2" t="n">
        <v>129.31</v>
      </c>
      <c r="E2364" s="13" t="n">
        <v>45773</v>
      </c>
    </row>
    <row r="2365" customFormat="false" ht="15" hidden="false" customHeight="false" outlineLevel="0" collapsed="false">
      <c r="A2365" s="2" t="s">
        <v>11450</v>
      </c>
      <c r="B2365" s="2" t="s">
        <v>6889</v>
      </c>
      <c r="C2365" s="2" t="s">
        <v>9098</v>
      </c>
      <c r="D2365" s="2" t="n">
        <v>129.68</v>
      </c>
      <c r="E2365" s="13" t="n">
        <v>45780</v>
      </c>
    </row>
    <row r="2366" customFormat="false" ht="15" hidden="false" customHeight="false" outlineLevel="0" collapsed="false">
      <c r="A2366" s="2" t="s">
        <v>11451</v>
      </c>
      <c r="B2366" s="2" t="s">
        <v>6891</v>
      </c>
      <c r="C2366" s="2" t="s">
        <v>9087</v>
      </c>
      <c r="D2366" s="2" t="n">
        <v>130.05</v>
      </c>
      <c r="E2366" s="13" t="n">
        <v>45787</v>
      </c>
    </row>
    <row r="2367" customFormat="false" ht="15" hidden="false" customHeight="false" outlineLevel="0" collapsed="false">
      <c r="A2367" s="2" t="s">
        <v>11452</v>
      </c>
      <c r="B2367" s="2" t="s">
        <v>6895</v>
      </c>
      <c r="C2367" s="2" t="s">
        <v>9092</v>
      </c>
      <c r="D2367" s="2" t="n">
        <v>130.42</v>
      </c>
      <c r="E2367" s="13" t="n">
        <v>45794</v>
      </c>
    </row>
    <row r="2368" customFormat="false" ht="15" hidden="false" customHeight="false" outlineLevel="0" collapsed="false">
      <c r="A2368" s="2" t="s">
        <v>11453</v>
      </c>
      <c r="B2368" s="2" t="s">
        <v>6897</v>
      </c>
      <c r="C2368" s="2" t="s">
        <v>9098</v>
      </c>
      <c r="D2368" s="2" t="n">
        <v>130.79</v>
      </c>
      <c r="E2368" s="13" t="n">
        <v>45801</v>
      </c>
    </row>
    <row r="2369" customFormat="false" ht="15" hidden="false" customHeight="false" outlineLevel="0" collapsed="false">
      <c r="A2369" s="2" t="s">
        <v>11454</v>
      </c>
      <c r="B2369" s="2" t="s">
        <v>6899</v>
      </c>
      <c r="C2369" s="2" t="s">
        <v>9087</v>
      </c>
      <c r="D2369" s="2" t="n">
        <v>131.16</v>
      </c>
      <c r="E2369" s="13" t="n">
        <v>45808</v>
      </c>
    </row>
    <row r="2370" customFormat="false" ht="15" hidden="false" customHeight="false" outlineLevel="0" collapsed="false">
      <c r="A2370" s="2" t="s">
        <v>11455</v>
      </c>
      <c r="B2370" s="2" t="s">
        <v>6901</v>
      </c>
      <c r="C2370" s="2" t="s">
        <v>9098</v>
      </c>
      <c r="D2370" s="2" t="n">
        <v>131.53</v>
      </c>
      <c r="E2370" s="13" t="n">
        <v>45815</v>
      </c>
    </row>
    <row r="2371" customFormat="false" ht="15" hidden="false" customHeight="false" outlineLevel="0" collapsed="false">
      <c r="A2371" s="2" t="s">
        <v>11456</v>
      </c>
      <c r="B2371" s="2" t="s">
        <v>6903</v>
      </c>
      <c r="C2371" s="2" t="s">
        <v>9092</v>
      </c>
      <c r="D2371" s="2" t="n">
        <v>131.9</v>
      </c>
      <c r="E2371" s="13" t="n">
        <v>45822</v>
      </c>
    </row>
    <row r="2372" customFormat="false" ht="15" hidden="false" customHeight="false" outlineLevel="0" collapsed="false">
      <c r="A2372" s="2" t="s">
        <v>11457</v>
      </c>
      <c r="B2372" s="2" t="s">
        <v>6905</v>
      </c>
      <c r="C2372" s="2" t="s">
        <v>9083</v>
      </c>
      <c r="D2372" s="2" t="n">
        <v>132.27</v>
      </c>
      <c r="E2372" s="13" t="n">
        <v>45829</v>
      </c>
    </row>
    <row r="2373" customFormat="false" ht="15" hidden="false" customHeight="false" outlineLevel="0" collapsed="false">
      <c r="A2373" s="2" t="s">
        <v>11458</v>
      </c>
      <c r="B2373" s="2" t="s">
        <v>6907</v>
      </c>
      <c r="C2373" s="2" t="s">
        <v>9085</v>
      </c>
      <c r="D2373" s="2" t="n">
        <v>132.64</v>
      </c>
      <c r="E2373" s="13" t="n">
        <v>45836</v>
      </c>
    </row>
    <row r="2374" customFormat="false" ht="15" hidden="false" customHeight="false" outlineLevel="0" collapsed="false">
      <c r="A2374" s="2" t="s">
        <v>11459</v>
      </c>
      <c r="B2374" s="2" t="s">
        <v>6909</v>
      </c>
      <c r="C2374" s="2" t="s">
        <v>9098</v>
      </c>
      <c r="D2374" s="2" t="n">
        <v>133.01</v>
      </c>
      <c r="E2374" s="13" t="n">
        <v>45843</v>
      </c>
    </row>
    <row r="2375" customFormat="false" ht="15" hidden="false" customHeight="false" outlineLevel="0" collapsed="false">
      <c r="A2375" s="2" t="s">
        <v>11460</v>
      </c>
      <c r="B2375" s="2" t="s">
        <v>6911</v>
      </c>
      <c r="C2375" s="2" t="s">
        <v>9092</v>
      </c>
      <c r="D2375" s="2" t="n">
        <v>133.38</v>
      </c>
      <c r="E2375" s="13" t="n">
        <v>45850</v>
      </c>
    </row>
    <row r="2376" customFormat="false" ht="15" hidden="false" customHeight="false" outlineLevel="0" collapsed="false">
      <c r="A2376" s="2" t="s">
        <v>11461</v>
      </c>
      <c r="B2376" s="2" t="s">
        <v>6915</v>
      </c>
      <c r="C2376" s="2" t="s">
        <v>9085</v>
      </c>
      <c r="D2376" s="2" t="n">
        <v>133.75</v>
      </c>
      <c r="E2376" s="13" t="n">
        <v>45857</v>
      </c>
    </row>
    <row r="2377" customFormat="false" ht="15" hidden="false" customHeight="false" outlineLevel="0" collapsed="false">
      <c r="A2377" s="2" t="s">
        <v>11462</v>
      </c>
      <c r="B2377" s="2" t="s">
        <v>6917</v>
      </c>
      <c r="C2377" s="2" t="s">
        <v>9083</v>
      </c>
      <c r="D2377" s="2" t="n">
        <v>134.12</v>
      </c>
      <c r="E2377" s="13" t="n">
        <v>45864</v>
      </c>
    </row>
    <row r="2378" customFormat="false" ht="15" hidden="false" customHeight="false" outlineLevel="0" collapsed="false">
      <c r="A2378" s="2" t="s">
        <v>11463</v>
      </c>
      <c r="B2378" s="2" t="s">
        <v>6919</v>
      </c>
      <c r="C2378" s="2" t="s">
        <v>9083</v>
      </c>
      <c r="D2378" s="2" t="n">
        <v>134.49</v>
      </c>
      <c r="E2378" s="13" t="n">
        <v>45871</v>
      </c>
    </row>
    <row r="2379" customFormat="false" ht="15" hidden="false" customHeight="false" outlineLevel="0" collapsed="false">
      <c r="A2379" s="2" t="s">
        <v>11464</v>
      </c>
      <c r="B2379" s="2" t="s">
        <v>6921</v>
      </c>
      <c r="C2379" s="2" t="s">
        <v>9087</v>
      </c>
      <c r="D2379" s="2" t="n">
        <v>134.86</v>
      </c>
      <c r="E2379" s="13" t="n">
        <v>45878</v>
      </c>
    </row>
    <row r="2380" customFormat="false" ht="15" hidden="false" customHeight="false" outlineLevel="0" collapsed="false">
      <c r="A2380" s="2" t="s">
        <v>11465</v>
      </c>
      <c r="B2380" s="2" t="s">
        <v>6923</v>
      </c>
      <c r="C2380" s="2" t="s">
        <v>9098</v>
      </c>
      <c r="D2380" s="2" t="n">
        <v>135.23</v>
      </c>
      <c r="E2380" s="13" t="n">
        <v>45885</v>
      </c>
    </row>
    <row r="2381" customFormat="false" ht="15" hidden="false" customHeight="false" outlineLevel="0" collapsed="false">
      <c r="A2381" s="2" t="s">
        <v>11466</v>
      </c>
      <c r="B2381" s="2" t="s">
        <v>6925</v>
      </c>
      <c r="C2381" s="2" t="s">
        <v>9085</v>
      </c>
      <c r="D2381" s="2" t="n">
        <v>135.6</v>
      </c>
      <c r="E2381" s="13" t="n">
        <v>45892</v>
      </c>
    </row>
    <row r="2382" customFormat="false" ht="15" hidden="false" customHeight="false" outlineLevel="0" collapsed="false">
      <c r="A2382" s="2" t="s">
        <v>11467</v>
      </c>
      <c r="B2382" s="2" t="s">
        <v>6927</v>
      </c>
      <c r="C2382" s="2" t="s">
        <v>9098</v>
      </c>
      <c r="D2382" s="2" t="n">
        <v>135.97</v>
      </c>
      <c r="E2382" s="13" t="n">
        <v>45899</v>
      </c>
    </row>
    <row r="2383" customFormat="false" ht="15" hidden="false" customHeight="false" outlineLevel="0" collapsed="false">
      <c r="A2383" s="2" t="s">
        <v>11468</v>
      </c>
      <c r="B2383" s="2" t="s">
        <v>6929</v>
      </c>
      <c r="C2383" s="2" t="s">
        <v>9085</v>
      </c>
      <c r="D2383" s="2" t="n">
        <v>136.34</v>
      </c>
      <c r="E2383" s="13" t="n">
        <v>45906</v>
      </c>
    </row>
    <row r="2384" customFormat="false" ht="15" hidden="false" customHeight="false" outlineLevel="0" collapsed="false">
      <c r="A2384" s="2" t="s">
        <v>11469</v>
      </c>
      <c r="B2384" s="2" t="s">
        <v>6931</v>
      </c>
      <c r="C2384" s="2" t="s">
        <v>9087</v>
      </c>
      <c r="D2384" s="2" t="n">
        <v>136.71</v>
      </c>
      <c r="E2384" s="13" t="n">
        <v>45913</v>
      </c>
    </row>
    <row r="2385" customFormat="false" ht="15" hidden="false" customHeight="false" outlineLevel="0" collapsed="false">
      <c r="A2385" s="2" t="s">
        <v>11470</v>
      </c>
      <c r="B2385" s="2" t="s">
        <v>6933</v>
      </c>
      <c r="C2385" s="2" t="s">
        <v>9083</v>
      </c>
      <c r="D2385" s="2" t="n">
        <v>137.08</v>
      </c>
      <c r="E2385" s="13" t="n">
        <v>45920</v>
      </c>
    </row>
    <row r="2386" customFormat="false" ht="15" hidden="false" customHeight="false" outlineLevel="0" collapsed="false">
      <c r="A2386" s="2" t="s">
        <v>11471</v>
      </c>
      <c r="B2386" s="2" t="s">
        <v>6935</v>
      </c>
      <c r="C2386" s="2" t="s">
        <v>9083</v>
      </c>
      <c r="D2386" s="2" t="n">
        <v>137.45</v>
      </c>
      <c r="E2386" s="13" t="n">
        <v>45927</v>
      </c>
    </row>
    <row r="2387" customFormat="false" ht="15" hidden="false" customHeight="false" outlineLevel="0" collapsed="false">
      <c r="A2387" s="2" t="s">
        <v>11472</v>
      </c>
      <c r="B2387" s="2" t="s">
        <v>6937</v>
      </c>
      <c r="C2387" s="2" t="s">
        <v>9087</v>
      </c>
      <c r="D2387" s="2" t="n">
        <v>137.82</v>
      </c>
      <c r="E2387" s="13" t="n">
        <v>45934</v>
      </c>
    </row>
    <row r="2388" customFormat="false" ht="15" hidden="false" customHeight="false" outlineLevel="0" collapsed="false">
      <c r="A2388" s="2" t="s">
        <v>11473</v>
      </c>
      <c r="B2388" s="2" t="s">
        <v>6939</v>
      </c>
      <c r="C2388" s="2" t="s">
        <v>9098</v>
      </c>
      <c r="D2388" s="2" t="n">
        <v>138.19</v>
      </c>
      <c r="E2388" s="13" t="n">
        <v>45941</v>
      </c>
    </row>
    <row r="2389" customFormat="false" ht="15" hidden="false" customHeight="false" outlineLevel="0" collapsed="false">
      <c r="A2389" s="2" t="s">
        <v>11474</v>
      </c>
      <c r="B2389" s="2" t="s">
        <v>6941</v>
      </c>
      <c r="C2389" s="2" t="s">
        <v>9092</v>
      </c>
      <c r="D2389" s="2" t="n">
        <v>138.56</v>
      </c>
      <c r="E2389" s="13" t="n">
        <v>45948</v>
      </c>
    </row>
    <row r="2390" customFormat="false" ht="15" hidden="false" customHeight="false" outlineLevel="0" collapsed="false">
      <c r="A2390" s="2" t="s">
        <v>11475</v>
      </c>
      <c r="B2390" s="2" t="s">
        <v>6943</v>
      </c>
      <c r="C2390" s="2" t="s">
        <v>9083</v>
      </c>
      <c r="D2390" s="2" t="n">
        <v>138.93</v>
      </c>
      <c r="E2390" s="13" t="n">
        <v>45955</v>
      </c>
    </row>
    <row r="2391" customFormat="false" ht="15" hidden="false" customHeight="false" outlineLevel="0" collapsed="false">
      <c r="A2391" s="2" t="s">
        <v>11476</v>
      </c>
      <c r="B2391" s="2" t="s">
        <v>6945</v>
      </c>
      <c r="C2391" s="2" t="s">
        <v>9098</v>
      </c>
      <c r="D2391" s="2" t="n">
        <v>139.3</v>
      </c>
      <c r="E2391" s="13" t="n">
        <v>45962</v>
      </c>
    </row>
    <row r="2392" customFormat="false" ht="15" hidden="false" customHeight="false" outlineLevel="0" collapsed="false">
      <c r="A2392" s="2" t="s">
        <v>11477</v>
      </c>
      <c r="B2392" s="2" t="s">
        <v>6947</v>
      </c>
      <c r="C2392" s="2" t="s">
        <v>9083</v>
      </c>
      <c r="D2392" s="2" t="n">
        <v>139.67</v>
      </c>
      <c r="E2392" s="13" t="n">
        <v>45969</v>
      </c>
    </row>
    <row r="2393" customFormat="false" ht="15" hidden="false" customHeight="false" outlineLevel="0" collapsed="false">
      <c r="A2393" s="2" t="s">
        <v>11478</v>
      </c>
      <c r="B2393" s="2" t="s">
        <v>6949</v>
      </c>
      <c r="C2393" s="2" t="s">
        <v>9092</v>
      </c>
      <c r="D2393" s="2" t="n">
        <v>140.04</v>
      </c>
      <c r="E2393" s="13" t="n">
        <v>45976</v>
      </c>
    </row>
    <row r="2394" customFormat="false" ht="15" hidden="false" customHeight="false" outlineLevel="0" collapsed="false">
      <c r="A2394" s="2" t="s">
        <v>11479</v>
      </c>
      <c r="B2394" s="2" t="s">
        <v>6951</v>
      </c>
      <c r="C2394" s="2" t="s">
        <v>9087</v>
      </c>
      <c r="D2394" s="2" t="n">
        <v>140.41</v>
      </c>
      <c r="E2394" s="13" t="n">
        <v>45983</v>
      </c>
    </row>
    <row r="2395" customFormat="false" ht="15" hidden="false" customHeight="false" outlineLevel="0" collapsed="false">
      <c r="A2395" s="2" t="s">
        <v>11480</v>
      </c>
      <c r="B2395" s="2" t="s">
        <v>6953</v>
      </c>
      <c r="C2395" s="2" t="s">
        <v>9083</v>
      </c>
      <c r="D2395" s="2" t="n">
        <v>140.78</v>
      </c>
      <c r="E2395" s="13" t="n">
        <v>45990</v>
      </c>
    </row>
    <row r="2396" customFormat="false" ht="15" hidden="false" customHeight="false" outlineLevel="0" collapsed="false">
      <c r="A2396" s="2" t="s">
        <v>11481</v>
      </c>
      <c r="B2396" s="2" t="s">
        <v>6955</v>
      </c>
      <c r="C2396" s="2" t="s">
        <v>9092</v>
      </c>
      <c r="D2396" s="2" t="n">
        <v>141.15</v>
      </c>
      <c r="E2396" s="13" t="n">
        <v>45997</v>
      </c>
    </row>
    <row r="2397" customFormat="false" ht="15" hidden="false" customHeight="false" outlineLevel="0" collapsed="false">
      <c r="A2397" s="2" t="s">
        <v>11482</v>
      </c>
      <c r="B2397" s="2" t="s">
        <v>6957</v>
      </c>
      <c r="C2397" s="2" t="s">
        <v>9085</v>
      </c>
      <c r="D2397" s="2" t="n">
        <v>141.52</v>
      </c>
      <c r="E2397" s="13" t="n">
        <v>46004</v>
      </c>
    </row>
    <row r="2398" customFormat="false" ht="15" hidden="false" customHeight="false" outlineLevel="0" collapsed="false">
      <c r="A2398" s="2" t="s">
        <v>11483</v>
      </c>
      <c r="B2398" s="2" t="s">
        <v>6961</v>
      </c>
      <c r="C2398" s="2" t="s">
        <v>9085</v>
      </c>
      <c r="D2398" s="2" t="n">
        <v>141.89</v>
      </c>
      <c r="E2398" s="13" t="n">
        <v>46011</v>
      </c>
    </row>
    <row r="2399" customFormat="false" ht="15" hidden="false" customHeight="false" outlineLevel="0" collapsed="false">
      <c r="A2399" s="2" t="s">
        <v>11484</v>
      </c>
      <c r="B2399" s="2" t="s">
        <v>6963</v>
      </c>
      <c r="C2399" s="2" t="s">
        <v>9085</v>
      </c>
      <c r="D2399" s="2" t="n">
        <v>142.26</v>
      </c>
      <c r="E2399" s="13" t="n">
        <v>46018</v>
      </c>
    </row>
    <row r="2400" customFormat="false" ht="15" hidden="false" customHeight="false" outlineLevel="0" collapsed="false">
      <c r="A2400" s="2" t="s">
        <v>11485</v>
      </c>
      <c r="B2400" s="2" t="s">
        <v>6965</v>
      </c>
      <c r="C2400" s="2" t="s">
        <v>9092</v>
      </c>
      <c r="D2400" s="2" t="n">
        <v>142.63</v>
      </c>
      <c r="E2400" s="13" t="n">
        <v>45295</v>
      </c>
    </row>
    <row r="2401" customFormat="false" ht="15" hidden="false" customHeight="false" outlineLevel="0" collapsed="false">
      <c r="A2401" s="2" t="s">
        <v>11486</v>
      </c>
      <c r="B2401" s="2" t="s">
        <v>6967</v>
      </c>
      <c r="C2401" s="2" t="s">
        <v>9098</v>
      </c>
      <c r="D2401" s="2" t="n">
        <v>143</v>
      </c>
      <c r="E2401" s="13" t="n">
        <v>45302</v>
      </c>
    </row>
    <row r="2402" customFormat="false" ht="15" hidden="false" customHeight="false" outlineLevel="0" collapsed="false">
      <c r="A2402" s="2" t="s">
        <v>11487</v>
      </c>
      <c r="B2402" s="2" t="s">
        <v>6969</v>
      </c>
      <c r="C2402" s="2" t="s">
        <v>9087</v>
      </c>
      <c r="D2402" s="2" t="n">
        <v>143.37</v>
      </c>
      <c r="E2402" s="13" t="n">
        <v>45309</v>
      </c>
    </row>
    <row r="2403" customFormat="false" ht="15" hidden="false" customHeight="false" outlineLevel="0" collapsed="false">
      <c r="A2403" s="2" t="s">
        <v>11488</v>
      </c>
      <c r="B2403" s="2" t="s">
        <v>6971</v>
      </c>
      <c r="C2403" s="2" t="s">
        <v>9083</v>
      </c>
      <c r="D2403" s="2" t="n">
        <v>143.74</v>
      </c>
      <c r="E2403" s="13" t="n">
        <v>45316</v>
      </c>
    </row>
    <row r="2404" customFormat="false" ht="15" hidden="false" customHeight="false" outlineLevel="0" collapsed="false">
      <c r="A2404" s="2" t="s">
        <v>11489</v>
      </c>
      <c r="B2404" s="2" t="s">
        <v>6973</v>
      </c>
      <c r="C2404" s="2" t="s">
        <v>9087</v>
      </c>
      <c r="D2404" s="2" t="n">
        <v>144.11</v>
      </c>
      <c r="E2404" s="13" t="n">
        <v>45323</v>
      </c>
    </row>
    <row r="2405" customFormat="false" ht="15" hidden="false" customHeight="false" outlineLevel="0" collapsed="false">
      <c r="A2405" s="2" t="s">
        <v>11490</v>
      </c>
      <c r="B2405" s="2" t="s">
        <v>6975</v>
      </c>
      <c r="C2405" s="2" t="s">
        <v>9085</v>
      </c>
      <c r="D2405" s="2" t="n">
        <v>144.48</v>
      </c>
      <c r="E2405" s="13" t="n">
        <v>45330</v>
      </c>
    </row>
    <row r="2406" customFormat="false" ht="15" hidden="false" customHeight="false" outlineLevel="0" collapsed="false">
      <c r="A2406" s="2" t="s">
        <v>11491</v>
      </c>
      <c r="B2406" s="2" t="s">
        <v>6979</v>
      </c>
      <c r="C2406" s="2" t="s">
        <v>9085</v>
      </c>
      <c r="D2406" s="2" t="n">
        <v>144.85</v>
      </c>
      <c r="E2406" s="13" t="n">
        <v>45337</v>
      </c>
    </row>
    <row r="2407" customFormat="false" ht="15" hidden="false" customHeight="false" outlineLevel="0" collapsed="false">
      <c r="A2407" s="2" t="s">
        <v>11492</v>
      </c>
      <c r="B2407" s="2" t="s">
        <v>6981</v>
      </c>
      <c r="C2407" s="2" t="s">
        <v>9085</v>
      </c>
      <c r="D2407" s="2" t="n">
        <v>145.22</v>
      </c>
      <c r="E2407" s="13" t="n">
        <v>45344</v>
      </c>
    </row>
    <row r="2408" customFormat="false" ht="15" hidden="false" customHeight="false" outlineLevel="0" collapsed="false">
      <c r="A2408" s="2" t="s">
        <v>11493</v>
      </c>
      <c r="B2408" s="2" t="s">
        <v>6983</v>
      </c>
      <c r="C2408" s="2" t="s">
        <v>9087</v>
      </c>
      <c r="D2408" s="2" t="n">
        <v>145.59</v>
      </c>
      <c r="E2408" s="13" t="n">
        <v>45351</v>
      </c>
    </row>
    <row r="2409" customFormat="false" ht="15" hidden="false" customHeight="false" outlineLevel="0" collapsed="false">
      <c r="A2409" s="2" t="s">
        <v>11494</v>
      </c>
      <c r="B2409" s="2" t="s">
        <v>6985</v>
      </c>
      <c r="C2409" s="2" t="s">
        <v>9098</v>
      </c>
      <c r="D2409" s="2" t="n">
        <v>145.96</v>
      </c>
      <c r="E2409" s="13" t="n">
        <v>45358</v>
      </c>
    </row>
    <row r="2410" customFormat="false" ht="15" hidden="false" customHeight="false" outlineLevel="0" collapsed="false">
      <c r="A2410" s="2" t="s">
        <v>11495</v>
      </c>
      <c r="B2410" s="2" t="s">
        <v>6987</v>
      </c>
      <c r="C2410" s="2" t="s">
        <v>9085</v>
      </c>
      <c r="D2410" s="2" t="n">
        <v>146.33</v>
      </c>
      <c r="E2410" s="13" t="n">
        <v>45365</v>
      </c>
    </row>
    <row r="2411" customFormat="false" ht="15" hidden="false" customHeight="false" outlineLevel="0" collapsed="false">
      <c r="A2411" s="2" t="s">
        <v>11496</v>
      </c>
      <c r="B2411" s="2" t="s">
        <v>6989</v>
      </c>
      <c r="C2411" s="2" t="s">
        <v>9083</v>
      </c>
      <c r="D2411" s="2" t="n">
        <v>146.7</v>
      </c>
      <c r="E2411" s="13" t="n">
        <v>45372</v>
      </c>
    </row>
    <row r="2412" customFormat="false" ht="15" hidden="false" customHeight="false" outlineLevel="0" collapsed="false">
      <c r="A2412" s="2" t="s">
        <v>11497</v>
      </c>
      <c r="B2412" s="2" t="s">
        <v>6991</v>
      </c>
      <c r="C2412" s="2" t="s">
        <v>9098</v>
      </c>
      <c r="D2412" s="2" t="n">
        <v>147.07</v>
      </c>
      <c r="E2412" s="13" t="n">
        <v>45379</v>
      </c>
    </row>
    <row r="2413" customFormat="false" ht="15" hidden="false" customHeight="false" outlineLevel="0" collapsed="false">
      <c r="A2413" s="2" t="s">
        <v>11498</v>
      </c>
      <c r="B2413" s="2" t="s">
        <v>6993</v>
      </c>
      <c r="C2413" s="2" t="s">
        <v>9087</v>
      </c>
      <c r="D2413" s="2" t="n">
        <v>147.44</v>
      </c>
      <c r="E2413" s="13" t="n">
        <v>45386</v>
      </c>
    </row>
    <row r="2414" customFormat="false" ht="15" hidden="false" customHeight="false" outlineLevel="0" collapsed="false">
      <c r="A2414" s="2" t="s">
        <v>11499</v>
      </c>
      <c r="B2414" s="2" t="s">
        <v>6995</v>
      </c>
      <c r="C2414" s="2" t="s">
        <v>9098</v>
      </c>
      <c r="D2414" s="2" t="n">
        <v>147.81</v>
      </c>
      <c r="E2414" s="13" t="n">
        <v>45393</v>
      </c>
    </row>
    <row r="2415" customFormat="false" ht="15" hidden="false" customHeight="false" outlineLevel="0" collapsed="false">
      <c r="A2415" s="2" t="s">
        <v>11500</v>
      </c>
      <c r="B2415" s="2" t="s">
        <v>6999</v>
      </c>
      <c r="C2415" s="2" t="s">
        <v>9085</v>
      </c>
      <c r="D2415" s="2" t="n">
        <v>148.18</v>
      </c>
      <c r="E2415" s="13" t="n">
        <v>45400</v>
      </c>
    </row>
    <row r="2416" customFormat="false" ht="15" hidden="false" customHeight="false" outlineLevel="0" collapsed="false">
      <c r="A2416" s="2" t="s">
        <v>11501</v>
      </c>
      <c r="B2416" s="2" t="s">
        <v>7001</v>
      </c>
      <c r="C2416" s="2" t="s">
        <v>9087</v>
      </c>
      <c r="D2416" s="2" t="n">
        <v>148.55</v>
      </c>
      <c r="E2416" s="13" t="n">
        <v>45407</v>
      </c>
    </row>
    <row r="2417" customFormat="false" ht="15" hidden="false" customHeight="false" outlineLevel="0" collapsed="false">
      <c r="A2417" s="2" t="s">
        <v>11502</v>
      </c>
      <c r="B2417" s="2" t="s">
        <v>7003</v>
      </c>
      <c r="C2417" s="2" t="s">
        <v>9087</v>
      </c>
      <c r="D2417" s="2" t="n">
        <v>148.92</v>
      </c>
      <c r="E2417" s="13" t="n">
        <v>45414</v>
      </c>
    </row>
    <row r="2418" customFormat="false" ht="15" hidden="false" customHeight="false" outlineLevel="0" collapsed="false">
      <c r="A2418" s="2" t="s">
        <v>11503</v>
      </c>
      <c r="B2418" s="2" t="s">
        <v>7005</v>
      </c>
      <c r="C2418" s="2" t="s">
        <v>9085</v>
      </c>
      <c r="D2418" s="2" t="n">
        <v>149.29</v>
      </c>
      <c r="E2418" s="13" t="n">
        <v>45421</v>
      </c>
    </row>
    <row r="2419" customFormat="false" ht="15" hidden="false" customHeight="false" outlineLevel="0" collapsed="false">
      <c r="A2419" s="2" t="s">
        <v>11504</v>
      </c>
      <c r="B2419" s="2" t="s">
        <v>7007</v>
      </c>
      <c r="C2419" s="2" t="s">
        <v>9083</v>
      </c>
      <c r="D2419" s="2" t="n">
        <v>149.66</v>
      </c>
      <c r="E2419" s="13" t="n">
        <v>45428</v>
      </c>
    </row>
    <row r="2420" customFormat="false" ht="15" hidden="false" customHeight="false" outlineLevel="0" collapsed="false">
      <c r="A2420" s="2" t="s">
        <v>11505</v>
      </c>
      <c r="B2420" s="2" t="s">
        <v>7009</v>
      </c>
      <c r="C2420" s="2" t="s">
        <v>9087</v>
      </c>
      <c r="D2420" s="2" t="n">
        <v>150.03</v>
      </c>
      <c r="E2420" s="13" t="n">
        <v>45435</v>
      </c>
    </row>
    <row r="2421" customFormat="false" ht="15" hidden="false" customHeight="false" outlineLevel="0" collapsed="false">
      <c r="A2421" s="2" t="s">
        <v>11506</v>
      </c>
      <c r="B2421" s="2" t="s">
        <v>7011</v>
      </c>
      <c r="C2421" s="2" t="s">
        <v>9085</v>
      </c>
      <c r="D2421" s="2" t="n">
        <v>150.4</v>
      </c>
      <c r="E2421" s="13" t="n">
        <v>45442</v>
      </c>
    </row>
    <row r="2422" customFormat="false" ht="15" hidden="false" customHeight="false" outlineLevel="0" collapsed="false">
      <c r="A2422" s="2" t="s">
        <v>11507</v>
      </c>
      <c r="B2422" s="2" t="s">
        <v>7013</v>
      </c>
      <c r="C2422" s="2" t="s">
        <v>9085</v>
      </c>
      <c r="D2422" s="2" t="n">
        <v>150.77</v>
      </c>
      <c r="E2422" s="13" t="n">
        <v>45449</v>
      </c>
    </row>
    <row r="2423" customFormat="false" ht="15" hidden="false" customHeight="false" outlineLevel="0" collapsed="false">
      <c r="A2423" s="2" t="s">
        <v>11508</v>
      </c>
      <c r="B2423" s="2" t="s">
        <v>7015</v>
      </c>
      <c r="C2423" s="2" t="s">
        <v>9098</v>
      </c>
      <c r="D2423" s="2" t="n">
        <v>151.14</v>
      </c>
      <c r="E2423" s="13" t="n">
        <v>45456</v>
      </c>
    </row>
    <row r="2424" customFormat="false" ht="15" hidden="false" customHeight="false" outlineLevel="0" collapsed="false">
      <c r="A2424" s="2" t="s">
        <v>11509</v>
      </c>
      <c r="B2424" s="2" t="s">
        <v>7017</v>
      </c>
      <c r="C2424" s="2" t="s">
        <v>9098</v>
      </c>
      <c r="D2424" s="2" t="n">
        <v>151.51</v>
      </c>
      <c r="E2424" s="13" t="n">
        <v>45463</v>
      </c>
    </row>
    <row r="2425" customFormat="false" ht="15" hidden="false" customHeight="false" outlineLevel="0" collapsed="false">
      <c r="A2425" s="2" t="s">
        <v>11510</v>
      </c>
      <c r="B2425" s="2" t="s">
        <v>7019</v>
      </c>
      <c r="C2425" s="2" t="s">
        <v>9098</v>
      </c>
      <c r="D2425" s="2" t="n">
        <v>151.88</v>
      </c>
      <c r="E2425" s="13" t="n">
        <v>45470</v>
      </c>
    </row>
    <row r="2426" customFormat="false" ht="15" hidden="false" customHeight="false" outlineLevel="0" collapsed="false">
      <c r="A2426" s="2" t="s">
        <v>11511</v>
      </c>
      <c r="B2426" s="2" t="s">
        <v>7021</v>
      </c>
      <c r="C2426" s="2" t="s">
        <v>9083</v>
      </c>
      <c r="D2426" s="2" t="n">
        <v>152.25</v>
      </c>
      <c r="E2426" s="13" t="n">
        <v>45477</v>
      </c>
    </row>
    <row r="2427" customFormat="false" ht="15" hidden="false" customHeight="false" outlineLevel="0" collapsed="false">
      <c r="A2427" s="2" t="s">
        <v>11512</v>
      </c>
      <c r="B2427" s="2" t="s">
        <v>7023</v>
      </c>
      <c r="C2427" s="2" t="s">
        <v>9098</v>
      </c>
      <c r="D2427" s="2" t="n">
        <v>152.62</v>
      </c>
      <c r="E2427" s="13" t="n">
        <v>45484</v>
      </c>
    </row>
    <row r="2428" customFormat="false" ht="15" hidden="false" customHeight="false" outlineLevel="0" collapsed="false">
      <c r="A2428" s="2" t="s">
        <v>11513</v>
      </c>
      <c r="B2428" s="2" t="s">
        <v>7025</v>
      </c>
      <c r="C2428" s="2" t="s">
        <v>9087</v>
      </c>
      <c r="D2428" s="2" t="n">
        <v>152.99</v>
      </c>
      <c r="E2428" s="13" t="n">
        <v>45491</v>
      </c>
    </row>
    <row r="2429" customFormat="false" ht="15" hidden="false" customHeight="false" outlineLevel="0" collapsed="false">
      <c r="A2429" s="2" t="s">
        <v>11514</v>
      </c>
      <c r="B2429" s="2" t="s">
        <v>7027</v>
      </c>
      <c r="C2429" s="2" t="s">
        <v>9083</v>
      </c>
      <c r="D2429" s="2" t="n">
        <v>153.36</v>
      </c>
      <c r="E2429" s="13" t="n">
        <v>45498</v>
      </c>
    </row>
    <row r="2430" customFormat="false" ht="15" hidden="false" customHeight="false" outlineLevel="0" collapsed="false">
      <c r="A2430" s="2" t="s">
        <v>11515</v>
      </c>
      <c r="B2430" s="2" t="s">
        <v>7029</v>
      </c>
      <c r="C2430" s="2" t="s">
        <v>9083</v>
      </c>
      <c r="D2430" s="2" t="n">
        <v>153.73</v>
      </c>
      <c r="E2430" s="13" t="n">
        <v>45505</v>
      </c>
    </row>
    <row r="2431" customFormat="false" ht="15" hidden="false" customHeight="false" outlineLevel="0" collapsed="false">
      <c r="A2431" s="2" t="s">
        <v>11516</v>
      </c>
      <c r="B2431" s="2" t="s">
        <v>7031</v>
      </c>
      <c r="C2431" s="2" t="s">
        <v>9085</v>
      </c>
      <c r="D2431" s="2" t="n">
        <v>154.1</v>
      </c>
      <c r="E2431" s="13" t="n">
        <v>45512</v>
      </c>
    </row>
    <row r="2432" customFormat="false" ht="15" hidden="false" customHeight="false" outlineLevel="0" collapsed="false">
      <c r="A2432" s="2" t="s">
        <v>11517</v>
      </c>
      <c r="B2432" s="2" t="s">
        <v>7033</v>
      </c>
      <c r="C2432" s="2" t="s">
        <v>9092</v>
      </c>
      <c r="D2432" s="2" t="n">
        <v>154.47</v>
      </c>
      <c r="E2432" s="13" t="n">
        <v>45519</v>
      </c>
    </row>
    <row r="2433" customFormat="false" ht="15" hidden="false" customHeight="false" outlineLevel="0" collapsed="false">
      <c r="A2433" s="2" t="s">
        <v>11518</v>
      </c>
      <c r="B2433" s="2" t="s">
        <v>7035</v>
      </c>
      <c r="C2433" s="2" t="s">
        <v>9085</v>
      </c>
      <c r="D2433" s="2" t="n">
        <v>154.84</v>
      </c>
      <c r="E2433" s="13" t="n">
        <v>45526</v>
      </c>
    </row>
    <row r="2434" customFormat="false" ht="15" hidden="false" customHeight="false" outlineLevel="0" collapsed="false">
      <c r="A2434" s="2" t="s">
        <v>11519</v>
      </c>
      <c r="B2434" s="2" t="s">
        <v>7037</v>
      </c>
      <c r="C2434" s="2" t="s">
        <v>9087</v>
      </c>
      <c r="D2434" s="2" t="n">
        <v>155.21</v>
      </c>
      <c r="E2434" s="13" t="n">
        <v>45533</v>
      </c>
    </row>
    <row r="2435" customFormat="false" ht="15" hidden="false" customHeight="false" outlineLevel="0" collapsed="false">
      <c r="A2435" s="2" t="s">
        <v>11520</v>
      </c>
      <c r="B2435" s="2" t="s">
        <v>7039</v>
      </c>
      <c r="C2435" s="2" t="s">
        <v>9083</v>
      </c>
      <c r="D2435" s="2" t="n">
        <v>155.58</v>
      </c>
      <c r="E2435" s="13" t="n">
        <v>45540</v>
      </c>
    </row>
    <row r="2436" customFormat="false" ht="15" hidden="false" customHeight="false" outlineLevel="0" collapsed="false">
      <c r="A2436" s="2" t="s">
        <v>11521</v>
      </c>
      <c r="B2436" s="2" t="s">
        <v>7041</v>
      </c>
      <c r="C2436" s="2" t="s">
        <v>9098</v>
      </c>
      <c r="D2436" s="2" t="n">
        <v>155.95</v>
      </c>
      <c r="E2436" s="13" t="n">
        <v>45547</v>
      </c>
    </row>
    <row r="2437" customFormat="false" ht="15" hidden="false" customHeight="false" outlineLevel="0" collapsed="false">
      <c r="A2437" s="2" t="s">
        <v>11522</v>
      </c>
      <c r="B2437" s="2" t="s">
        <v>7043</v>
      </c>
      <c r="C2437" s="2" t="s">
        <v>9085</v>
      </c>
      <c r="D2437" s="2" t="n">
        <v>156.32</v>
      </c>
      <c r="E2437" s="13" t="n">
        <v>45554</v>
      </c>
    </row>
    <row r="2438" customFormat="false" ht="15" hidden="false" customHeight="false" outlineLevel="0" collapsed="false">
      <c r="A2438" s="2" t="s">
        <v>11523</v>
      </c>
      <c r="B2438" s="2" t="s">
        <v>7045</v>
      </c>
      <c r="C2438" s="2" t="s">
        <v>9092</v>
      </c>
      <c r="D2438" s="2" t="n">
        <v>156.69</v>
      </c>
      <c r="E2438" s="13" t="n">
        <v>45561</v>
      </c>
    </row>
    <row r="2439" customFormat="false" ht="15" hidden="false" customHeight="false" outlineLevel="0" collapsed="false">
      <c r="A2439" s="2" t="s">
        <v>11524</v>
      </c>
      <c r="B2439" s="2" t="s">
        <v>7049</v>
      </c>
      <c r="C2439" s="2" t="s">
        <v>9087</v>
      </c>
      <c r="D2439" s="2" t="n">
        <v>157.06</v>
      </c>
      <c r="E2439" s="13" t="n">
        <v>45568</v>
      </c>
    </row>
    <row r="2440" customFormat="false" ht="15" hidden="false" customHeight="false" outlineLevel="0" collapsed="false">
      <c r="A2440" s="2" t="s">
        <v>11525</v>
      </c>
      <c r="B2440" s="2" t="s">
        <v>7051</v>
      </c>
      <c r="C2440" s="2" t="s">
        <v>9087</v>
      </c>
      <c r="D2440" s="2" t="n">
        <v>157.43</v>
      </c>
      <c r="E2440" s="13" t="n">
        <v>45575</v>
      </c>
    </row>
    <row r="2441" customFormat="false" ht="15" hidden="false" customHeight="false" outlineLevel="0" collapsed="false">
      <c r="A2441" s="2" t="s">
        <v>11526</v>
      </c>
      <c r="B2441" s="2" t="s">
        <v>7053</v>
      </c>
      <c r="C2441" s="2" t="s">
        <v>9087</v>
      </c>
      <c r="D2441" s="2" t="n">
        <v>157.8</v>
      </c>
      <c r="E2441" s="13" t="n">
        <v>45582</v>
      </c>
    </row>
    <row r="2442" customFormat="false" ht="15" hidden="false" customHeight="false" outlineLevel="0" collapsed="false">
      <c r="A2442" s="2" t="s">
        <v>11527</v>
      </c>
      <c r="B2442" s="2" t="s">
        <v>7055</v>
      </c>
      <c r="C2442" s="2" t="s">
        <v>9092</v>
      </c>
      <c r="D2442" s="2" t="n">
        <v>158.17</v>
      </c>
      <c r="E2442" s="13" t="n">
        <v>45589</v>
      </c>
    </row>
    <row r="2443" customFormat="false" ht="15" hidden="false" customHeight="false" outlineLevel="0" collapsed="false">
      <c r="A2443" s="2" t="s">
        <v>11528</v>
      </c>
      <c r="B2443" s="2" t="s">
        <v>7057</v>
      </c>
      <c r="C2443" s="2" t="s">
        <v>9092</v>
      </c>
      <c r="D2443" s="2" t="n">
        <v>158.54</v>
      </c>
      <c r="E2443" s="13" t="n">
        <v>45596</v>
      </c>
    </row>
    <row r="2444" customFormat="false" ht="15" hidden="false" customHeight="false" outlineLevel="0" collapsed="false">
      <c r="A2444" s="2" t="s">
        <v>11529</v>
      </c>
      <c r="B2444" s="2" t="s">
        <v>7059</v>
      </c>
      <c r="C2444" s="2" t="s">
        <v>9087</v>
      </c>
      <c r="D2444" s="2" t="n">
        <v>158.91</v>
      </c>
      <c r="E2444" s="13" t="n">
        <v>45603</v>
      </c>
    </row>
    <row r="2445" customFormat="false" ht="15" hidden="false" customHeight="false" outlineLevel="0" collapsed="false">
      <c r="A2445" s="2" t="s">
        <v>11530</v>
      </c>
      <c r="B2445" s="2" t="s">
        <v>7061</v>
      </c>
      <c r="C2445" s="2" t="s">
        <v>9085</v>
      </c>
      <c r="D2445" s="2" t="n">
        <v>159.28</v>
      </c>
      <c r="E2445" s="13" t="n">
        <v>45610</v>
      </c>
    </row>
    <row r="2446" customFormat="false" ht="15" hidden="false" customHeight="false" outlineLevel="0" collapsed="false">
      <c r="A2446" s="2" t="s">
        <v>11531</v>
      </c>
      <c r="B2446" s="2" t="s">
        <v>7063</v>
      </c>
      <c r="C2446" s="2" t="s">
        <v>9092</v>
      </c>
      <c r="D2446" s="2" t="n">
        <v>159.65</v>
      </c>
      <c r="E2446" s="13" t="n">
        <v>45617</v>
      </c>
    </row>
    <row r="2447" customFormat="false" ht="15" hidden="false" customHeight="false" outlineLevel="0" collapsed="false">
      <c r="A2447" s="2" t="s">
        <v>11532</v>
      </c>
      <c r="B2447" s="2" t="s">
        <v>7065</v>
      </c>
      <c r="C2447" s="2" t="s">
        <v>9087</v>
      </c>
      <c r="D2447" s="2" t="n">
        <v>160.02</v>
      </c>
      <c r="E2447" s="13" t="n">
        <v>45624</v>
      </c>
    </row>
    <row r="2448" customFormat="false" ht="15" hidden="false" customHeight="false" outlineLevel="0" collapsed="false">
      <c r="A2448" s="2" t="s">
        <v>11533</v>
      </c>
      <c r="B2448" s="2" t="s">
        <v>7067</v>
      </c>
      <c r="C2448" s="2" t="s">
        <v>9087</v>
      </c>
      <c r="D2448" s="2" t="n">
        <v>160.39</v>
      </c>
      <c r="E2448" s="13" t="n">
        <v>45631</v>
      </c>
    </row>
    <row r="2449" customFormat="false" ht="15" hidden="false" customHeight="false" outlineLevel="0" collapsed="false">
      <c r="A2449" s="2" t="s">
        <v>11534</v>
      </c>
      <c r="B2449" s="2" t="s">
        <v>7069</v>
      </c>
      <c r="C2449" s="2" t="s">
        <v>9092</v>
      </c>
      <c r="D2449" s="2" t="n">
        <v>160.76</v>
      </c>
      <c r="E2449" s="13" t="n">
        <v>45638</v>
      </c>
    </row>
    <row r="2450" customFormat="false" ht="15" hidden="false" customHeight="false" outlineLevel="0" collapsed="false">
      <c r="A2450" s="2" t="s">
        <v>11535</v>
      </c>
      <c r="B2450" s="2" t="s">
        <v>7071</v>
      </c>
      <c r="C2450" s="2" t="s">
        <v>9092</v>
      </c>
      <c r="D2450" s="2" t="n">
        <v>161.13</v>
      </c>
      <c r="E2450" s="13" t="n">
        <v>45645</v>
      </c>
    </row>
    <row r="2451" customFormat="false" ht="15" hidden="false" customHeight="false" outlineLevel="0" collapsed="false">
      <c r="A2451" s="2" t="s">
        <v>11536</v>
      </c>
      <c r="B2451" s="2" t="s">
        <v>7073</v>
      </c>
      <c r="C2451" s="2" t="s">
        <v>9098</v>
      </c>
      <c r="D2451" s="2" t="n">
        <v>161.5</v>
      </c>
      <c r="E2451" s="13" t="n">
        <v>45652</v>
      </c>
    </row>
    <row r="2452" customFormat="false" ht="15" hidden="false" customHeight="false" outlineLevel="0" collapsed="false">
      <c r="A2452" s="2" t="s">
        <v>11537</v>
      </c>
      <c r="B2452" s="2" t="s">
        <v>7075</v>
      </c>
      <c r="C2452" s="2" t="s">
        <v>9085</v>
      </c>
      <c r="D2452" s="2" t="n">
        <v>161.87</v>
      </c>
      <c r="E2452" s="13" t="n">
        <v>45659</v>
      </c>
    </row>
    <row r="2453" customFormat="false" ht="15" hidden="false" customHeight="false" outlineLevel="0" collapsed="false">
      <c r="A2453" s="2" t="s">
        <v>11538</v>
      </c>
      <c r="B2453" s="2" t="s">
        <v>7077</v>
      </c>
      <c r="C2453" s="2" t="s">
        <v>9087</v>
      </c>
      <c r="D2453" s="2" t="n">
        <v>162.24</v>
      </c>
      <c r="E2453" s="13" t="n">
        <v>45666</v>
      </c>
    </row>
    <row r="2454" customFormat="false" ht="15" hidden="false" customHeight="false" outlineLevel="0" collapsed="false">
      <c r="A2454" s="2" t="s">
        <v>11539</v>
      </c>
      <c r="B2454" s="2" t="s">
        <v>7079</v>
      </c>
      <c r="C2454" s="2" t="s">
        <v>9092</v>
      </c>
      <c r="D2454" s="2" t="n">
        <v>162.61</v>
      </c>
      <c r="E2454" s="13" t="n">
        <v>45673</v>
      </c>
    </row>
    <row r="2455" customFormat="false" ht="15" hidden="false" customHeight="false" outlineLevel="0" collapsed="false">
      <c r="A2455" s="2" t="s">
        <v>11540</v>
      </c>
      <c r="B2455" s="2" t="s">
        <v>7081</v>
      </c>
      <c r="C2455" s="2" t="s">
        <v>9087</v>
      </c>
      <c r="D2455" s="2" t="n">
        <v>162.98</v>
      </c>
      <c r="E2455" s="13" t="n">
        <v>45680</v>
      </c>
    </row>
    <row r="2456" customFormat="false" ht="15" hidden="false" customHeight="false" outlineLevel="0" collapsed="false">
      <c r="A2456" s="2" t="s">
        <v>11541</v>
      </c>
      <c r="B2456" s="2" t="s">
        <v>7083</v>
      </c>
      <c r="C2456" s="2" t="s">
        <v>9092</v>
      </c>
      <c r="D2456" s="2" t="n">
        <v>163.35</v>
      </c>
      <c r="E2456" s="13" t="n">
        <v>45687</v>
      </c>
    </row>
    <row r="2457" customFormat="false" ht="15" hidden="false" customHeight="false" outlineLevel="0" collapsed="false">
      <c r="A2457" s="2" t="s">
        <v>11542</v>
      </c>
      <c r="B2457" s="2" t="s">
        <v>7085</v>
      </c>
      <c r="C2457" s="2" t="s">
        <v>9098</v>
      </c>
      <c r="D2457" s="2" t="n">
        <v>163.72</v>
      </c>
      <c r="E2457" s="13" t="n">
        <v>45694</v>
      </c>
    </row>
    <row r="2458" customFormat="false" ht="15" hidden="false" customHeight="false" outlineLevel="0" collapsed="false">
      <c r="A2458" s="2" t="s">
        <v>11543</v>
      </c>
      <c r="B2458" s="2" t="s">
        <v>7089</v>
      </c>
      <c r="C2458" s="2" t="s">
        <v>9085</v>
      </c>
      <c r="D2458" s="2" t="n">
        <v>164.09</v>
      </c>
      <c r="E2458" s="13" t="n">
        <v>45701</v>
      </c>
    </row>
    <row r="2459" customFormat="false" ht="15" hidden="false" customHeight="false" outlineLevel="0" collapsed="false">
      <c r="A2459" s="2" t="s">
        <v>11544</v>
      </c>
      <c r="B2459" s="2" t="s">
        <v>7091</v>
      </c>
      <c r="C2459" s="2" t="s">
        <v>9092</v>
      </c>
      <c r="D2459" s="2" t="n">
        <v>164.46</v>
      </c>
      <c r="E2459" s="13" t="n">
        <v>45708</v>
      </c>
    </row>
    <row r="2460" customFormat="false" ht="15" hidden="false" customHeight="false" outlineLevel="0" collapsed="false">
      <c r="A2460" s="2" t="s">
        <v>11545</v>
      </c>
      <c r="B2460" s="2" t="s">
        <v>7093</v>
      </c>
      <c r="C2460" s="2" t="s">
        <v>9087</v>
      </c>
      <c r="D2460" s="2" t="n">
        <v>164.83</v>
      </c>
      <c r="E2460" s="13" t="n">
        <v>45715</v>
      </c>
    </row>
    <row r="2461" customFormat="false" ht="15" hidden="false" customHeight="false" outlineLevel="0" collapsed="false">
      <c r="A2461" s="2" t="s">
        <v>11546</v>
      </c>
      <c r="B2461" s="2" t="s">
        <v>7095</v>
      </c>
      <c r="C2461" s="2" t="s">
        <v>9092</v>
      </c>
      <c r="D2461" s="2" t="n">
        <v>165.2</v>
      </c>
      <c r="E2461" s="13" t="n">
        <v>45722</v>
      </c>
    </row>
    <row r="2462" customFormat="false" ht="15" hidden="false" customHeight="false" outlineLevel="0" collapsed="false">
      <c r="A2462" s="2" t="s">
        <v>11547</v>
      </c>
      <c r="B2462" s="2" t="s">
        <v>7097</v>
      </c>
      <c r="C2462" s="2" t="s">
        <v>9085</v>
      </c>
      <c r="D2462" s="2" t="n">
        <v>165.57</v>
      </c>
      <c r="E2462" s="13" t="n">
        <v>45729</v>
      </c>
    </row>
    <row r="2463" customFormat="false" ht="15" hidden="false" customHeight="false" outlineLevel="0" collapsed="false">
      <c r="A2463" s="2" t="s">
        <v>11548</v>
      </c>
      <c r="B2463" s="2" t="s">
        <v>7099</v>
      </c>
      <c r="C2463" s="2" t="s">
        <v>9092</v>
      </c>
      <c r="D2463" s="2" t="n">
        <v>165.94</v>
      </c>
      <c r="E2463" s="13" t="n">
        <v>45736</v>
      </c>
    </row>
    <row r="2464" customFormat="false" ht="15" hidden="false" customHeight="false" outlineLevel="0" collapsed="false">
      <c r="A2464" s="2" t="s">
        <v>11549</v>
      </c>
      <c r="B2464" s="2" t="s">
        <v>7101</v>
      </c>
      <c r="C2464" s="2" t="s">
        <v>9085</v>
      </c>
      <c r="D2464" s="2" t="n">
        <v>166.31</v>
      </c>
      <c r="E2464" s="13" t="n">
        <v>45743</v>
      </c>
    </row>
    <row r="2465" customFormat="false" ht="15" hidden="false" customHeight="false" outlineLevel="0" collapsed="false">
      <c r="A2465" s="2" t="s">
        <v>11550</v>
      </c>
      <c r="B2465" s="2" t="s">
        <v>7103</v>
      </c>
      <c r="C2465" s="2" t="s">
        <v>9087</v>
      </c>
      <c r="D2465" s="2" t="n">
        <v>166.68</v>
      </c>
      <c r="E2465" s="13" t="n">
        <v>45750</v>
      </c>
    </row>
    <row r="2466" customFormat="false" ht="15" hidden="false" customHeight="false" outlineLevel="0" collapsed="false">
      <c r="A2466" s="2" t="s">
        <v>11551</v>
      </c>
      <c r="B2466" s="2" t="s">
        <v>7105</v>
      </c>
      <c r="C2466" s="2" t="s">
        <v>9098</v>
      </c>
      <c r="D2466" s="2" t="n">
        <v>167.05</v>
      </c>
      <c r="E2466" s="13" t="n">
        <v>45757</v>
      </c>
    </row>
    <row r="2467" customFormat="false" ht="15" hidden="false" customHeight="false" outlineLevel="0" collapsed="false">
      <c r="A2467" s="2" t="s">
        <v>11552</v>
      </c>
      <c r="B2467" s="2" t="s">
        <v>7107</v>
      </c>
      <c r="C2467" s="2" t="s">
        <v>9085</v>
      </c>
      <c r="D2467" s="2" t="n">
        <v>167.42</v>
      </c>
      <c r="E2467" s="13" t="n">
        <v>45764</v>
      </c>
    </row>
    <row r="2468" customFormat="false" ht="15" hidden="false" customHeight="false" outlineLevel="0" collapsed="false">
      <c r="A2468" s="2" t="s">
        <v>11553</v>
      </c>
      <c r="B2468" s="2" t="s">
        <v>7109</v>
      </c>
      <c r="C2468" s="2" t="s">
        <v>9092</v>
      </c>
      <c r="D2468" s="2" t="n">
        <v>167.79</v>
      </c>
      <c r="E2468" s="13" t="n">
        <v>45771</v>
      </c>
    </row>
    <row r="2469" customFormat="false" ht="15" hidden="false" customHeight="false" outlineLevel="0" collapsed="false">
      <c r="A2469" s="2" t="s">
        <v>11554</v>
      </c>
      <c r="B2469" s="2" t="s">
        <v>7111</v>
      </c>
      <c r="C2469" s="2" t="s">
        <v>9092</v>
      </c>
      <c r="D2469" s="2" t="n">
        <v>168.16</v>
      </c>
      <c r="E2469" s="13" t="n">
        <v>45778</v>
      </c>
    </row>
    <row r="2470" customFormat="false" ht="15" hidden="false" customHeight="false" outlineLevel="0" collapsed="false">
      <c r="A2470" s="2" t="s">
        <v>11555</v>
      </c>
      <c r="B2470" s="2" t="s">
        <v>7113</v>
      </c>
      <c r="C2470" s="2" t="s">
        <v>9087</v>
      </c>
      <c r="D2470" s="2" t="n">
        <v>168.53</v>
      </c>
      <c r="E2470" s="13" t="n">
        <v>45785</v>
      </c>
    </row>
    <row r="2471" customFormat="false" ht="15" hidden="false" customHeight="false" outlineLevel="0" collapsed="false">
      <c r="A2471" s="2" t="s">
        <v>11556</v>
      </c>
      <c r="B2471" s="2" t="s">
        <v>7115</v>
      </c>
      <c r="C2471" s="2" t="s">
        <v>9087</v>
      </c>
      <c r="D2471" s="2" t="n">
        <v>168.9</v>
      </c>
      <c r="E2471" s="13" t="n">
        <v>45792</v>
      </c>
    </row>
    <row r="2472" customFormat="false" ht="15" hidden="false" customHeight="false" outlineLevel="0" collapsed="false">
      <c r="A2472" s="2" t="s">
        <v>11557</v>
      </c>
      <c r="B2472" s="2" t="s">
        <v>7117</v>
      </c>
      <c r="C2472" s="2" t="s">
        <v>9098</v>
      </c>
      <c r="D2472" s="2" t="n">
        <v>169.27</v>
      </c>
      <c r="E2472" s="13" t="n">
        <v>45799</v>
      </c>
    </row>
    <row r="2473" customFormat="false" ht="15" hidden="false" customHeight="false" outlineLevel="0" collapsed="false">
      <c r="A2473" s="2" t="s">
        <v>11558</v>
      </c>
      <c r="B2473" s="2" t="s">
        <v>7119</v>
      </c>
      <c r="C2473" s="2" t="s">
        <v>9085</v>
      </c>
      <c r="D2473" s="2" t="n">
        <v>169.64</v>
      </c>
      <c r="E2473" s="13" t="n">
        <v>45806</v>
      </c>
    </row>
    <row r="2474" customFormat="false" ht="15" hidden="false" customHeight="false" outlineLevel="0" collapsed="false">
      <c r="A2474" s="2" t="s">
        <v>11559</v>
      </c>
      <c r="B2474" s="2" t="s">
        <v>7121</v>
      </c>
      <c r="C2474" s="2" t="s">
        <v>9098</v>
      </c>
      <c r="D2474" s="2" t="n">
        <v>170.01</v>
      </c>
      <c r="E2474" s="13" t="n">
        <v>45813</v>
      </c>
    </row>
    <row r="2475" customFormat="false" ht="15" hidden="false" customHeight="false" outlineLevel="0" collapsed="false">
      <c r="A2475" s="2" t="s">
        <v>11560</v>
      </c>
      <c r="B2475" s="2" t="s">
        <v>7123</v>
      </c>
      <c r="C2475" s="2" t="s">
        <v>9092</v>
      </c>
      <c r="D2475" s="2" t="n">
        <v>170.38</v>
      </c>
      <c r="E2475" s="13" t="n">
        <v>45820</v>
      </c>
    </row>
    <row r="2476" customFormat="false" ht="15" hidden="false" customHeight="false" outlineLevel="0" collapsed="false">
      <c r="A2476" s="2" t="s">
        <v>11561</v>
      </c>
      <c r="B2476" s="2" t="s">
        <v>7125</v>
      </c>
      <c r="C2476" s="2" t="s">
        <v>9083</v>
      </c>
      <c r="D2476" s="2" t="n">
        <v>170.75</v>
      </c>
      <c r="E2476" s="13" t="n">
        <v>45827</v>
      </c>
    </row>
    <row r="2477" customFormat="false" ht="15" hidden="false" customHeight="false" outlineLevel="0" collapsed="false">
      <c r="A2477" s="2" t="s">
        <v>11562</v>
      </c>
      <c r="B2477" s="2" t="s">
        <v>7127</v>
      </c>
      <c r="C2477" s="2" t="s">
        <v>9083</v>
      </c>
      <c r="D2477" s="2" t="n">
        <v>171.12</v>
      </c>
      <c r="E2477" s="13" t="n">
        <v>45834</v>
      </c>
    </row>
    <row r="2478" customFormat="false" ht="15" hidden="false" customHeight="false" outlineLevel="0" collapsed="false">
      <c r="A2478" s="2" t="s">
        <v>11563</v>
      </c>
      <c r="B2478" s="2" t="s">
        <v>7129</v>
      </c>
      <c r="C2478" s="2" t="s">
        <v>9092</v>
      </c>
      <c r="D2478" s="2" t="n">
        <v>171.49</v>
      </c>
      <c r="E2478" s="13" t="n">
        <v>45841</v>
      </c>
    </row>
    <row r="2479" customFormat="false" ht="15" hidden="false" customHeight="false" outlineLevel="0" collapsed="false">
      <c r="A2479" s="2" t="s">
        <v>11564</v>
      </c>
      <c r="B2479" s="2" t="s">
        <v>7131</v>
      </c>
      <c r="C2479" s="2" t="s">
        <v>9092</v>
      </c>
      <c r="D2479" s="2" t="n">
        <v>171.86</v>
      </c>
      <c r="E2479" s="13" t="n">
        <v>45848</v>
      </c>
    </row>
    <row r="2480" customFormat="false" ht="15" hidden="false" customHeight="false" outlineLevel="0" collapsed="false">
      <c r="A2480" s="2" t="s">
        <v>11565</v>
      </c>
      <c r="B2480" s="2" t="s">
        <v>7133</v>
      </c>
      <c r="C2480" s="2" t="s">
        <v>9087</v>
      </c>
      <c r="D2480" s="2" t="n">
        <v>172.23</v>
      </c>
      <c r="E2480" s="13" t="n">
        <v>45855</v>
      </c>
    </row>
    <row r="2481" customFormat="false" ht="15" hidden="false" customHeight="false" outlineLevel="0" collapsed="false">
      <c r="A2481" s="2" t="s">
        <v>11566</v>
      </c>
      <c r="B2481" s="2" t="s">
        <v>7135</v>
      </c>
      <c r="C2481" s="2" t="s">
        <v>9092</v>
      </c>
      <c r="D2481" s="2" t="n">
        <v>172.6</v>
      </c>
      <c r="E2481" s="13" t="n">
        <v>45862</v>
      </c>
    </row>
    <row r="2482" customFormat="false" ht="15" hidden="false" customHeight="false" outlineLevel="0" collapsed="false">
      <c r="A2482" s="2" t="s">
        <v>11567</v>
      </c>
      <c r="B2482" s="2" t="s">
        <v>7137</v>
      </c>
      <c r="C2482" s="2" t="s">
        <v>9087</v>
      </c>
      <c r="D2482" s="2" t="n">
        <v>172.97</v>
      </c>
      <c r="E2482" s="13" t="n">
        <v>45869</v>
      </c>
    </row>
    <row r="2483" customFormat="false" ht="15" hidden="false" customHeight="false" outlineLevel="0" collapsed="false">
      <c r="A2483" s="2" t="s">
        <v>11568</v>
      </c>
      <c r="B2483" s="2" t="s">
        <v>7139</v>
      </c>
      <c r="C2483" s="2" t="s">
        <v>9083</v>
      </c>
      <c r="D2483" s="2" t="n">
        <v>173.34</v>
      </c>
      <c r="E2483" s="13" t="n">
        <v>45876</v>
      </c>
    </row>
    <row r="2484" customFormat="false" ht="15" hidden="false" customHeight="false" outlineLevel="0" collapsed="false">
      <c r="A2484" s="2" t="s">
        <v>11569</v>
      </c>
      <c r="B2484" s="2" t="s">
        <v>7141</v>
      </c>
      <c r="C2484" s="2" t="s">
        <v>9083</v>
      </c>
      <c r="D2484" s="2" t="n">
        <v>173.71</v>
      </c>
      <c r="E2484" s="13" t="n">
        <v>45883</v>
      </c>
    </row>
    <row r="2485" customFormat="false" ht="15" hidden="false" customHeight="false" outlineLevel="0" collapsed="false">
      <c r="A2485" s="2" t="s">
        <v>11570</v>
      </c>
      <c r="B2485" s="2" t="s">
        <v>7143</v>
      </c>
      <c r="C2485" s="2" t="s">
        <v>9087</v>
      </c>
      <c r="D2485" s="2" t="n">
        <v>174.08</v>
      </c>
      <c r="E2485" s="13" t="n">
        <v>45890</v>
      </c>
    </row>
    <row r="2486" customFormat="false" ht="15" hidden="false" customHeight="false" outlineLevel="0" collapsed="false">
      <c r="A2486" s="2" t="s">
        <v>11571</v>
      </c>
      <c r="B2486" s="2" t="s">
        <v>7145</v>
      </c>
      <c r="C2486" s="2" t="s">
        <v>9092</v>
      </c>
      <c r="D2486" s="2" t="n">
        <v>174.45</v>
      </c>
      <c r="E2486" s="13" t="n">
        <v>45897</v>
      </c>
    </row>
    <row r="2487" customFormat="false" ht="15" hidden="false" customHeight="false" outlineLevel="0" collapsed="false">
      <c r="A2487" s="2" t="s">
        <v>11572</v>
      </c>
      <c r="B2487" s="2" t="s">
        <v>7147</v>
      </c>
      <c r="C2487" s="2" t="s">
        <v>9092</v>
      </c>
      <c r="D2487" s="2" t="n">
        <v>174.82</v>
      </c>
      <c r="E2487" s="13" t="n">
        <v>45904</v>
      </c>
    </row>
    <row r="2488" customFormat="false" ht="15" hidden="false" customHeight="false" outlineLevel="0" collapsed="false">
      <c r="A2488" s="2" t="s">
        <v>11573</v>
      </c>
      <c r="B2488" s="2" t="s">
        <v>7149</v>
      </c>
      <c r="C2488" s="2" t="s">
        <v>9083</v>
      </c>
      <c r="D2488" s="2" t="n">
        <v>175.19</v>
      </c>
      <c r="E2488" s="13" t="n">
        <v>45911</v>
      </c>
    </row>
    <row r="2489" customFormat="false" ht="15" hidden="false" customHeight="false" outlineLevel="0" collapsed="false">
      <c r="A2489" s="2" t="s">
        <v>11574</v>
      </c>
      <c r="B2489" s="2" t="s">
        <v>7151</v>
      </c>
      <c r="C2489" s="2" t="s">
        <v>9092</v>
      </c>
      <c r="D2489" s="2" t="n">
        <v>175.56</v>
      </c>
      <c r="E2489" s="13" t="n">
        <v>45918</v>
      </c>
    </row>
    <row r="2490" customFormat="false" ht="15" hidden="false" customHeight="false" outlineLevel="0" collapsed="false">
      <c r="A2490" s="2" t="s">
        <v>11575</v>
      </c>
      <c r="B2490" s="2" t="s">
        <v>7153</v>
      </c>
      <c r="C2490" s="2" t="s">
        <v>9085</v>
      </c>
      <c r="D2490" s="2" t="n">
        <v>175.93</v>
      </c>
      <c r="E2490" s="13" t="n">
        <v>45925</v>
      </c>
    </row>
    <row r="2491" customFormat="false" ht="15" hidden="false" customHeight="false" outlineLevel="0" collapsed="false">
      <c r="A2491" s="2" t="s">
        <v>11576</v>
      </c>
      <c r="B2491" s="2" t="s">
        <v>7155</v>
      </c>
      <c r="C2491" s="2" t="s">
        <v>9085</v>
      </c>
      <c r="D2491" s="2" t="n">
        <v>176.3</v>
      </c>
      <c r="E2491" s="13" t="n">
        <v>45932</v>
      </c>
    </row>
    <row r="2492" customFormat="false" ht="15" hidden="false" customHeight="false" outlineLevel="0" collapsed="false">
      <c r="A2492" s="2" t="s">
        <v>11577</v>
      </c>
      <c r="B2492" s="2" t="s">
        <v>7157</v>
      </c>
      <c r="C2492" s="2" t="s">
        <v>9085</v>
      </c>
      <c r="D2492" s="2" t="n">
        <v>176.67</v>
      </c>
      <c r="E2492" s="13" t="n">
        <v>45939</v>
      </c>
    </row>
    <row r="2493" customFormat="false" ht="15" hidden="false" customHeight="false" outlineLevel="0" collapsed="false">
      <c r="A2493" s="2" t="s">
        <v>11578</v>
      </c>
      <c r="B2493" s="2" t="s">
        <v>7159</v>
      </c>
      <c r="C2493" s="2" t="s">
        <v>9083</v>
      </c>
      <c r="D2493" s="2" t="n">
        <v>177.04</v>
      </c>
      <c r="E2493" s="13" t="n">
        <v>45946</v>
      </c>
    </row>
    <row r="2494" customFormat="false" ht="15" hidden="false" customHeight="false" outlineLevel="0" collapsed="false">
      <c r="A2494" s="2" t="s">
        <v>11579</v>
      </c>
      <c r="B2494" s="2" t="s">
        <v>7161</v>
      </c>
      <c r="C2494" s="2" t="s">
        <v>9083</v>
      </c>
      <c r="D2494" s="2" t="n">
        <v>177.41</v>
      </c>
      <c r="E2494" s="13" t="n">
        <v>45953</v>
      </c>
    </row>
    <row r="2495" customFormat="false" ht="15" hidden="false" customHeight="false" outlineLevel="0" collapsed="false">
      <c r="A2495" s="2" t="s">
        <v>11580</v>
      </c>
      <c r="B2495" s="2" t="s">
        <v>7163</v>
      </c>
      <c r="C2495" s="2" t="s">
        <v>9085</v>
      </c>
      <c r="D2495" s="2" t="n">
        <v>177.78</v>
      </c>
      <c r="E2495" s="13" t="n">
        <v>45960</v>
      </c>
    </row>
    <row r="2496" customFormat="false" ht="15" hidden="false" customHeight="false" outlineLevel="0" collapsed="false">
      <c r="A2496" s="2" t="s">
        <v>11581</v>
      </c>
      <c r="B2496" s="2" t="s">
        <v>7165</v>
      </c>
      <c r="C2496" s="2" t="s">
        <v>9098</v>
      </c>
      <c r="D2496" s="2" t="n">
        <v>178.15</v>
      </c>
      <c r="E2496" s="13" t="n">
        <v>45967</v>
      </c>
    </row>
    <row r="2497" customFormat="false" ht="15" hidden="false" customHeight="false" outlineLevel="0" collapsed="false">
      <c r="A2497" s="2" t="s">
        <v>11582</v>
      </c>
      <c r="B2497" s="2" t="s">
        <v>7167</v>
      </c>
      <c r="C2497" s="2" t="s">
        <v>9087</v>
      </c>
      <c r="D2497" s="2" t="n">
        <v>178.52</v>
      </c>
      <c r="E2497" s="13" t="n">
        <v>45974</v>
      </c>
    </row>
    <row r="2498" customFormat="false" ht="15" hidden="false" customHeight="false" outlineLevel="0" collapsed="false">
      <c r="A2498" s="2" t="s">
        <v>11583</v>
      </c>
      <c r="B2498" s="2" t="s">
        <v>7171</v>
      </c>
      <c r="C2498" s="2" t="s">
        <v>9092</v>
      </c>
      <c r="D2498" s="2" t="n">
        <v>178.89</v>
      </c>
      <c r="E2498" s="13" t="n">
        <v>45981</v>
      </c>
    </row>
    <row r="2499" customFormat="false" ht="15" hidden="false" customHeight="false" outlineLevel="0" collapsed="false">
      <c r="A2499" s="2" t="s">
        <v>11584</v>
      </c>
      <c r="B2499" s="2" t="s">
        <v>7175</v>
      </c>
      <c r="C2499" s="2" t="s">
        <v>9085</v>
      </c>
      <c r="D2499" s="2" t="n">
        <v>179.26</v>
      </c>
      <c r="E2499" s="13" t="n">
        <v>45988</v>
      </c>
    </row>
    <row r="2500" customFormat="false" ht="15" hidden="false" customHeight="false" outlineLevel="0" collapsed="false">
      <c r="A2500" s="2" t="s">
        <v>11585</v>
      </c>
      <c r="B2500" s="2" t="s">
        <v>7177</v>
      </c>
      <c r="C2500" s="2" t="s">
        <v>9083</v>
      </c>
      <c r="D2500" s="2" t="n">
        <v>179.63</v>
      </c>
      <c r="E2500" s="13" t="n">
        <v>45995</v>
      </c>
    </row>
    <row r="2501" customFormat="false" ht="15" hidden="false" customHeight="false" outlineLevel="0" collapsed="false">
      <c r="A2501" s="2" t="s">
        <v>11586</v>
      </c>
      <c r="B2501" s="2" t="s">
        <v>7179</v>
      </c>
      <c r="C2501" s="2" t="s">
        <v>9087</v>
      </c>
      <c r="D2501" s="2" t="n">
        <v>180</v>
      </c>
      <c r="E2501" s="13" t="n">
        <v>46002</v>
      </c>
    </row>
    <row r="2502" customFormat="false" ht="15" hidden="false" customHeight="false" outlineLevel="0" collapsed="false">
      <c r="A2502" s="2" t="s">
        <v>11587</v>
      </c>
      <c r="B2502" s="2" t="s">
        <v>7181</v>
      </c>
      <c r="C2502" s="2" t="s">
        <v>9085</v>
      </c>
      <c r="D2502" s="2" t="n">
        <v>180.37</v>
      </c>
      <c r="E2502" s="13" t="n">
        <v>46009</v>
      </c>
    </row>
    <row r="2503" customFormat="false" ht="15" hidden="false" customHeight="false" outlineLevel="0" collapsed="false">
      <c r="A2503" s="2" t="s">
        <v>11588</v>
      </c>
      <c r="B2503" s="2" t="s">
        <v>7183</v>
      </c>
      <c r="C2503" s="2" t="s">
        <v>9085</v>
      </c>
      <c r="D2503" s="2" t="n">
        <v>180.74</v>
      </c>
      <c r="E2503" s="13" t="n">
        <v>46016</v>
      </c>
    </row>
    <row r="2504" customFormat="false" ht="15" hidden="false" customHeight="false" outlineLevel="0" collapsed="false">
      <c r="A2504" s="2" t="s">
        <v>11589</v>
      </c>
      <c r="B2504" s="2" t="s">
        <v>7185</v>
      </c>
      <c r="C2504" s="2" t="s">
        <v>9083</v>
      </c>
      <c r="D2504" s="2" t="n">
        <v>181.11</v>
      </c>
      <c r="E2504" s="13" t="n">
        <v>45293</v>
      </c>
    </row>
    <row r="2505" customFormat="false" ht="15" hidden="false" customHeight="false" outlineLevel="0" collapsed="false">
      <c r="A2505" s="2" t="s">
        <v>11590</v>
      </c>
      <c r="B2505" s="2" t="s">
        <v>7187</v>
      </c>
      <c r="C2505" s="2" t="s">
        <v>9098</v>
      </c>
      <c r="D2505" s="2" t="n">
        <v>181.48</v>
      </c>
      <c r="E2505" s="13" t="n">
        <v>45300</v>
      </c>
    </row>
    <row r="2506" customFormat="false" ht="15" hidden="false" customHeight="false" outlineLevel="0" collapsed="false">
      <c r="A2506" s="2" t="s">
        <v>11591</v>
      </c>
      <c r="B2506" s="2" t="s">
        <v>7189</v>
      </c>
      <c r="C2506" s="2" t="s">
        <v>9087</v>
      </c>
      <c r="D2506" s="2" t="n">
        <v>181.85</v>
      </c>
      <c r="E2506" s="13" t="n">
        <v>45307</v>
      </c>
    </row>
    <row r="2507" customFormat="false" ht="15" hidden="false" customHeight="false" outlineLevel="0" collapsed="false">
      <c r="A2507" s="2" t="s">
        <v>11592</v>
      </c>
      <c r="B2507" s="2" t="s">
        <v>7191</v>
      </c>
      <c r="C2507" s="2" t="s">
        <v>9092</v>
      </c>
      <c r="D2507" s="2" t="n">
        <v>182.22</v>
      </c>
      <c r="E2507" s="13" t="n">
        <v>45314</v>
      </c>
    </row>
    <row r="2508" customFormat="false" ht="15" hidden="false" customHeight="false" outlineLevel="0" collapsed="false">
      <c r="A2508" s="2" t="s">
        <v>11593</v>
      </c>
      <c r="B2508" s="2" t="s">
        <v>7193</v>
      </c>
      <c r="C2508" s="2" t="s">
        <v>9083</v>
      </c>
      <c r="D2508" s="2" t="n">
        <v>182.59</v>
      </c>
      <c r="E2508" s="13" t="n">
        <v>45321</v>
      </c>
    </row>
    <row r="2509" customFormat="false" ht="15" hidden="false" customHeight="false" outlineLevel="0" collapsed="false">
      <c r="A2509" s="2" t="s">
        <v>11594</v>
      </c>
      <c r="B2509" s="2" t="s">
        <v>7195</v>
      </c>
      <c r="C2509" s="2" t="s">
        <v>9083</v>
      </c>
      <c r="D2509" s="2" t="n">
        <v>182.96</v>
      </c>
      <c r="E2509" s="13" t="n">
        <v>45328</v>
      </c>
    </row>
    <row r="2510" customFormat="false" ht="15" hidden="false" customHeight="false" outlineLevel="0" collapsed="false">
      <c r="A2510" s="2" t="s">
        <v>11595</v>
      </c>
      <c r="B2510" s="2" t="s">
        <v>7197</v>
      </c>
      <c r="C2510" s="2" t="s">
        <v>9098</v>
      </c>
      <c r="D2510" s="2" t="n">
        <v>183.33</v>
      </c>
      <c r="E2510" s="13" t="n">
        <v>45335</v>
      </c>
    </row>
    <row r="2511" customFormat="false" ht="15" hidden="false" customHeight="false" outlineLevel="0" collapsed="false">
      <c r="A2511" s="2" t="s">
        <v>11596</v>
      </c>
      <c r="B2511" s="2" t="s">
        <v>7201</v>
      </c>
      <c r="C2511" s="2" t="s">
        <v>9087</v>
      </c>
      <c r="D2511" s="2" t="n">
        <v>183.7</v>
      </c>
      <c r="E2511" s="13" t="n">
        <v>45342</v>
      </c>
    </row>
    <row r="2512" customFormat="false" ht="15" hidden="false" customHeight="false" outlineLevel="0" collapsed="false">
      <c r="A2512" s="2" t="s">
        <v>11597</v>
      </c>
      <c r="B2512" s="2" t="s">
        <v>7203</v>
      </c>
      <c r="C2512" s="2" t="s">
        <v>9083</v>
      </c>
      <c r="D2512" s="2" t="n">
        <v>184.07</v>
      </c>
      <c r="E2512" s="13" t="n">
        <v>45349</v>
      </c>
    </row>
    <row r="2513" customFormat="false" ht="15" hidden="false" customHeight="false" outlineLevel="0" collapsed="false">
      <c r="A2513" s="2" t="s">
        <v>11598</v>
      </c>
      <c r="B2513" s="2" t="s">
        <v>7205</v>
      </c>
      <c r="C2513" s="2" t="s">
        <v>9085</v>
      </c>
      <c r="D2513" s="2" t="n">
        <v>184.44</v>
      </c>
      <c r="E2513" s="13" t="n">
        <v>45356</v>
      </c>
    </row>
    <row r="2514" customFormat="false" ht="15" hidden="false" customHeight="false" outlineLevel="0" collapsed="false">
      <c r="A2514" s="2" t="s">
        <v>11599</v>
      </c>
      <c r="B2514" s="2" t="s">
        <v>7207</v>
      </c>
      <c r="C2514" s="2" t="s">
        <v>9083</v>
      </c>
      <c r="D2514" s="2" t="n">
        <v>184.81</v>
      </c>
      <c r="E2514" s="13" t="n">
        <v>45363</v>
      </c>
    </row>
    <row r="2515" customFormat="false" ht="15" hidden="false" customHeight="false" outlineLevel="0" collapsed="false">
      <c r="A2515" s="2" t="s">
        <v>11600</v>
      </c>
      <c r="B2515" s="2" t="s">
        <v>7209</v>
      </c>
      <c r="C2515" s="2" t="s">
        <v>9083</v>
      </c>
      <c r="D2515" s="2" t="n">
        <v>185.18</v>
      </c>
      <c r="E2515" s="13" t="n">
        <v>45370</v>
      </c>
    </row>
    <row r="2516" customFormat="false" ht="15" hidden="false" customHeight="false" outlineLevel="0" collapsed="false">
      <c r="A2516" s="2" t="s">
        <v>11601</v>
      </c>
      <c r="B2516" s="2" t="s">
        <v>7211</v>
      </c>
      <c r="C2516" s="2" t="s">
        <v>9098</v>
      </c>
      <c r="D2516" s="2" t="n">
        <v>185.55</v>
      </c>
      <c r="E2516" s="13" t="n">
        <v>45377</v>
      </c>
    </row>
    <row r="2517" customFormat="false" ht="15" hidden="false" customHeight="false" outlineLevel="0" collapsed="false">
      <c r="A2517" s="2" t="s">
        <v>11602</v>
      </c>
      <c r="B2517" s="2" t="s">
        <v>7213</v>
      </c>
      <c r="C2517" s="2" t="s">
        <v>9098</v>
      </c>
      <c r="D2517" s="2" t="n">
        <v>185.92</v>
      </c>
      <c r="E2517" s="13" t="n">
        <v>45384</v>
      </c>
    </row>
    <row r="2518" customFormat="false" ht="15" hidden="false" customHeight="false" outlineLevel="0" collapsed="false">
      <c r="A2518" s="2" t="s">
        <v>11603</v>
      </c>
      <c r="B2518" s="2" t="s">
        <v>7215</v>
      </c>
      <c r="C2518" s="2" t="s">
        <v>9098</v>
      </c>
      <c r="D2518" s="2" t="n">
        <v>186.29</v>
      </c>
      <c r="E2518" s="13" t="n">
        <v>45391</v>
      </c>
    </row>
    <row r="2519" customFormat="false" ht="15" hidden="false" customHeight="false" outlineLevel="0" collapsed="false">
      <c r="A2519" s="2" t="s">
        <v>11604</v>
      </c>
      <c r="B2519" s="2" t="s">
        <v>7217</v>
      </c>
      <c r="C2519" s="2" t="s">
        <v>9085</v>
      </c>
      <c r="D2519" s="2" t="n">
        <v>186.66</v>
      </c>
      <c r="E2519" s="13" t="n">
        <v>45398</v>
      </c>
    </row>
    <row r="2520" customFormat="false" ht="15" hidden="false" customHeight="false" outlineLevel="0" collapsed="false">
      <c r="A2520" s="2" t="s">
        <v>11605</v>
      </c>
      <c r="B2520" s="2" t="s">
        <v>7219</v>
      </c>
      <c r="C2520" s="2" t="s">
        <v>9083</v>
      </c>
      <c r="D2520" s="2" t="n">
        <v>187.03</v>
      </c>
      <c r="E2520" s="13" t="n">
        <v>45405</v>
      </c>
    </row>
    <row r="2521" customFormat="false" ht="15" hidden="false" customHeight="false" outlineLevel="0" collapsed="false">
      <c r="A2521" s="2" t="s">
        <v>11606</v>
      </c>
      <c r="B2521" s="2" t="s">
        <v>7221</v>
      </c>
      <c r="C2521" s="2" t="s">
        <v>9087</v>
      </c>
      <c r="D2521" s="2" t="n">
        <v>187.4</v>
      </c>
      <c r="E2521" s="13" t="n">
        <v>45412</v>
      </c>
    </row>
    <row r="2522" customFormat="false" ht="15" hidden="false" customHeight="false" outlineLevel="0" collapsed="false">
      <c r="A2522" s="2" t="s">
        <v>11607</v>
      </c>
      <c r="B2522" s="2" t="s">
        <v>7223</v>
      </c>
      <c r="C2522" s="2" t="s">
        <v>9083</v>
      </c>
      <c r="D2522" s="2" t="n">
        <v>187.77</v>
      </c>
      <c r="E2522" s="13" t="n">
        <v>45419</v>
      </c>
    </row>
    <row r="2523" customFormat="false" ht="15" hidden="false" customHeight="false" outlineLevel="0" collapsed="false">
      <c r="A2523" s="2" t="s">
        <v>11608</v>
      </c>
      <c r="B2523" s="2" t="s">
        <v>7225</v>
      </c>
      <c r="C2523" s="2" t="s">
        <v>9092</v>
      </c>
      <c r="D2523" s="2" t="n">
        <v>188.14</v>
      </c>
      <c r="E2523" s="13" t="n">
        <v>45426</v>
      </c>
    </row>
    <row r="2524" customFormat="false" ht="15" hidden="false" customHeight="false" outlineLevel="0" collapsed="false">
      <c r="A2524" s="2" t="s">
        <v>11609</v>
      </c>
      <c r="B2524" s="2" t="s">
        <v>7227</v>
      </c>
      <c r="C2524" s="2" t="s">
        <v>9092</v>
      </c>
      <c r="D2524" s="2" t="n">
        <v>188.51</v>
      </c>
      <c r="E2524" s="13" t="n">
        <v>45433</v>
      </c>
    </row>
    <row r="2525" customFormat="false" ht="15" hidden="false" customHeight="false" outlineLevel="0" collapsed="false">
      <c r="A2525" s="2" t="s">
        <v>11610</v>
      </c>
      <c r="B2525" s="2" t="s">
        <v>7229</v>
      </c>
      <c r="C2525" s="2" t="s">
        <v>9083</v>
      </c>
      <c r="D2525" s="2" t="n">
        <v>188.88</v>
      </c>
      <c r="E2525" s="13" t="n">
        <v>45440</v>
      </c>
    </row>
    <row r="2526" customFormat="false" ht="15" hidden="false" customHeight="false" outlineLevel="0" collapsed="false">
      <c r="A2526" s="2" t="s">
        <v>11611</v>
      </c>
      <c r="B2526" s="2" t="s">
        <v>7231</v>
      </c>
      <c r="C2526" s="2" t="s">
        <v>9087</v>
      </c>
      <c r="D2526" s="2" t="n">
        <v>189.25</v>
      </c>
      <c r="E2526" s="13" t="n">
        <v>45447</v>
      </c>
    </row>
    <row r="2527" customFormat="false" ht="15" hidden="false" customHeight="false" outlineLevel="0" collapsed="false">
      <c r="A2527" s="2" t="s">
        <v>11612</v>
      </c>
      <c r="B2527" s="2" t="s">
        <v>7233</v>
      </c>
      <c r="C2527" s="2" t="s">
        <v>9085</v>
      </c>
      <c r="D2527" s="2" t="n">
        <v>189.62</v>
      </c>
      <c r="E2527" s="13" t="n">
        <v>45454</v>
      </c>
    </row>
    <row r="2528" customFormat="false" ht="15" hidden="false" customHeight="false" outlineLevel="0" collapsed="false">
      <c r="A2528" s="2" t="s">
        <v>11613</v>
      </c>
      <c r="B2528" s="2" t="s">
        <v>7235</v>
      </c>
      <c r="C2528" s="2" t="s">
        <v>9085</v>
      </c>
      <c r="D2528" s="2" t="n">
        <v>189.99</v>
      </c>
      <c r="E2528" s="13" t="n">
        <v>45461</v>
      </c>
    </row>
    <row r="2529" customFormat="false" ht="15" hidden="false" customHeight="false" outlineLevel="0" collapsed="false">
      <c r="A2529" s="2" t="s">
        <v>11614</v>
      </c>
      <c r="B2529" s="2" t="s">
        <v>7239</v>
      </c>
      <c r="C2529" s="2" t="s">
        <v>9085</v>
      </c>
      <c r="D2529" s="2" t="n">
        <v>190.36</v>
      </c>
      <c r="E2529" s="13" t="n">
        <v>45468</v>
      </c>
    </row>
    <row r="2530" customFormat="false" ht="15" hidden="false" customHeight="false" outlineLevel="0" collapsed="false">
      <c r="A2530" s="2" t="s">
        <v>11615</v>
      </c>
      <c r="B2530" s="2" t="s">
        <v>7241</v>
      </c>
      <c r="C2530" s="2" t="s">
        <v>9087</v>
      </c>
      <c r="D2530" s="2" t="n">
        <v>190.73</v>
      </c>
      <c r="E2530" s="13" t="n">
        <v>45475</v>
      </c>
    </row>
    <row r="2531" customFormat="false" ht="15" hidden="false" customHeight="false" outlineLevel="0" collapsed="false">
      <c r="A2531" s="2" t="s">
        <v>11616</v>
      </c>
      <c r="B2531" s="2" t="s">
        <v>7243</v>
      </c>
      <c r="C2531" s="2" t="s">
        <v>9092</v>
      </c>
      <c r="D2531" s="2" t="n">
        <v>191.1</v>
      </c>
      <c r="E2531" s="13" t="n">
        <v>45482</v>
      </c>
    </row>
    <row r="2532" customFormat="false" ht="15" hidden="false" customHeight="false" outlineLevel="0" collapsed="false">
      <c r="A2532" s="2" t="s">
        <v>11617</v>
      </c>
      <c r="B2532" s="2" t="s">
        <v>7245</v>
      </c>
      <c r="C2532" s="2" t="s">
        <v>9085</v>
      </c>
      <c r="D2532" s="2" t="n">
        <v>191.47</v>
      </c>
      <c r="E2532" s="13" t="n">
        <v>45489</v>
      </c>
    </row>
    <row r="2533" customFormat="false" ht="15" hidden="false" customHeight="false" outlineLevel="0" collapsed="false">
      <c r="A2533" s="2" t="s">
        <v>11618</v>
      </c>
      <c r="B2533" s="2" t="s">
        <v>7247</v>
      </c>
      <c r="C2533" s="2" t="s">
        <v>9092</v>
      </c>
      <c r="D2533" s="2" t="n">
        <v>191.84</v>
      </c>
      <c r="E2533" s="13" t="n">
        <v>45496</v>
      </c>
    </row>
    <row r="2534" customFormat="false" ht="15" hidden="false" customHeight="false" outlineLevel="0" collapsed="false">
      <c r="A2534" s="2" t="s">
        <v>11619</v>
      </c>
      <c r="B2534" s="2" t="s">
        <v>7249</v>
      </c>
      <c r="C2534" s="2" t="s">
        <v>9098</v>
      </c>
      <c r="D2534" s="2" t="n">
        <v>192.21</v>
      </c>
      <c r="E2534" s="13" t="n">
        <v>45503</v>
      </c>
    </row>
    <row r="2535" customFormat="false" ht="15" hidden="false" customHeight="false" outlineLevel="0" collapsed="false">
      <c r="A2535" s="2" t="s">
        <v>11620</v>
      </c>
      <c r="B2535" s="2" t="s">
        <v>7251</v>
      </c>
      <c r="C2535" s="2" t="s">
        <v>9085</v>
      </c>
      <c r="D2535" s="2" t="n">
        <v>192.58</v>
      </c>
      <c r="E2535" s="13" t="n">
        <v>45510</v>
      </c>
    </row>
    <row r="2536" customFormat="false" ht="15" hidden="false" customHeight="false" outlineLevel="0" collapsed="false">
      <c r="A2536" s="2" t="s">
        <v>11621</v>
      </c>
      <c r="B2536" s="2" t="s">
        <v>7253</v>
      </c>
      <c r="C2536" s="2" t="s">
        <v>9092</v>
      </c>
      <c r="D2536" s="2" t="n">
        <v>192.95</v>
      </c>
      <c r="E2536" s="13" t="n">
        <v>45517</v>
      </c>
    </row>
    <row r="2537" customFormat="false" ht="15" hidden="false" customHeight="false" outlineLevel="0" collapsed="false">
      <c r="A2537" s="2" t="s">
        <v>11622</v>
      </c>
      <c r="B2537" s="2" t="s">
        <v>7255</v>
      </c>
      <c r="C2537" s="2" t="s">
        <v>9098</v>
      </c>
      <c r="D2537" s="2" t="n">
        <v>193.32</v>
      </c>
      <c r="E2537" s="13" t="n">
        <v>45524</v>
      </c>
    </row>
    <row r="2538" customFormat="false" ht="15" hidden="false" customHeight="false" outlineLevel="0" collapsed="false">
      <c r="A2538" s="2" t="s">
        <v>11623</v>
      </c>
      <c r="B2538" s="2" t="s">
        <v>7257</v>
      </c>
      <c r="C2538" s="2" t="s">
        <v>9098</v>
      </c>
      <c r="D2538" s="2" t="n">
        <v>193.69</v>
      </c>
      <c r="E2538" s="13" t="n">
        <v>45531</v>
      </c>
    </row>
    <row r="2539" customFormat="false" ht="15" hidden="false" customHeight="false" outlineLevel="0" collapsed="false">
      <c r="A2539" s="2" t="s">
        <v>11624</v>
      </c>
      <c r="B2539" s="2" t="s">
        <v>7259</v>
      </c>
      <c r="C2539" s="2" t="s">
        <v>9083</v>
      </c>
      <c r="D2539" s="2" t="n">
        <v>194.06</v>
      </c>
      <c r="E2539" s="13" t="n">
        <v>45538</v>
      </c>
    </row>
    <row r="2540" customFormat="false" ht="15" hidden="false" customHeight="false" outlineLevel="0" collapsed="false">
      <c r="A2540" s="2" t="s">
        <v>11625</v>
      </c>
      <c r="B2540" s="2" t="s">
        <v>7261</v>
      </c>
      <c r="C2540" s="2" t="s">
        <v>9085</v>
      </c>
      <c r="D2540" s="2" t="n">
        <v>194.43</v>
      </c>
      <c r="E2540" s="13" t="n">
        <v>45545</v>
      </c>
    </row>
    <row r="2541" customFormat="false" ht="15" hidden="false" customHeight="false" outlineLevel="0" collapsed="false">
      <c r="A2541" s="2" t="s">
        <v>11626</v>
      </c>
      <c r="B2541" s="2" t="s">
        <v>7263</v>
      </c>
      <c r="C2541" s="2" t="s">
        <v>9087</v>
      </c>
      <c r="D2541" s="2" t="n">
        <v>194.8</v>
      </c>
      <c r="E2541" s="13" t="n">
        <v>45552</v>
      </c>
    </row>
    <row r="2542" customFormat="false" ht="15" hidden="false" customHeight="false" outlineLevel="0" collapsed="false">
      <c r="A2542" s="2" t="s">
        <v>11627</v>
      </c>
      <c r="B2542" s="2" t="s">
        <v>7265</v>
      </c>
      <c r="C2542" s="2" t="s">
        <v>9098</v>
      </c>
      <c r="D2542" s="2" t="n">
        <v>195.17</v>
      </c>
      <c r="E2542" s="13" t="n">
        <v>45559</v>
      </c>
    </row>
    <row r="2543" customFormat="false" ht="15" hidden="false" customHeight="false" outlineLevel="0" collapsed="false">
      <c r="A2543" s="2" t="s">
        <v>11628</v>
      </c>
      <c r="B2543" s="2" t="s">
        <v>7267</v>
      </c>
      <c r="C2543" s="2" t="s">
        <v>9085</v>
      </c>
      <c r="D2543" s="2" t="n">
        <v>195.54</v>
      </c>
      <c r="E2543" s="13" t="n">
        <v>45566</v>
      </c>
    </row>
    <row r="2544" customFormat="false" ht="15" hidden="false" customHeight="false" outlineLevel="0" collapsed="false">
      <c r="A2544" s="2" t="s">
        <v>11629</v>
      </c>
      <c r="B2544" s="2" t="s">
        <v>7269</v>
      </c>
      <c r="C2544" s="2" t="s">
        <v>9092</v>
      </c>
      <c r="D2544" s="2" t="n">
        <v>195.91</v>
      </c>
      <c r="E2544" s="13" t="n">
        <v>45573</v>
      </c>
    </row>
    <row r="2545" customFormat="false" ht="15" hidden="false" customHeight="false" outlineLevel="0" collapsed="false">
      <c r="A2545" s="2" t="s">
        <v>11630</v>
      </c>
      <c r="B2545" s="2" t="s">
        <v>7271</v>
      </c>
      <c r="C2545" s="2" t="s">
        <v>9092</v>
      </c>
      <c r="D2545" s="2" t="n">
        <v>196.28</v>
      </c>
      <c r="E2545" s="13" t="n">
        <v>45580</v>
      </c>
    </row>
    <row r="2546" customFormat="false" ht="15" hidden="false" customHeight="false" outlineLevel="0" collapsed="false">
      <c r="A2546" s="2" t="s">
        <v>11631</v>
      </c>
      <c r="B2546" s="2" t="s">
        <v>7273</v>
      </c>
      <c r="C2546" s="2" t="s">
        <v>9085</v>
      </c>
      <c r="D2546" s="2" t="n">
        <v>196.65</v>
      </c>
      <c r="E2546" s="13" t="n">
        <v>45587</v>
      </c>
    </row>
    <row r="2547" customFormat="false" ht="15" hidden="false" customHeight="false" outlineLevel="0" collapsed="false">
      <c r="A2547" s="2" t="s">
        <v>11632</v>
      </c>
      <c r="B2547" s="2" t="s">
        <v>7275</v>
      </c>
      <c r="C2547" s="2" t="s">
        <v>9098</v>
      </c>
      <c r="D2547" s="2" t="n">
        <v>197.02</v>
      </c>
      <c r="E2547" s="13" t="n">
        <v>45594</v>
      </c>
    </row>
    <row r="2548" customFormat="false" ht="15" hidden="false" customHeight="false" outlineLevel="0" collapsed="false">
      <c r="A2548" s="2" t="s">
        <v>11633</v>
      </c>
      <c r="B2548" s="2" t="s">
        <v>7277</v>
      </c>
      <c r="C2548" s="2" t="s">
        <v>9085</v>
      </c>
      <c r="D2548" s="2" t="n">
        <v>197.39</v>
      </c>
      <c r="E2548" s="13" t="n">
        <v>45601</v>
      </c>
    </row>
    <row r="2549" customFormat="false" ht="15" hidden="false" customHeight="false" outlineLevel="0" collapsed="false">
      <c r="A2549" s="2" t="s">
        <v>11634</v>
      </c>
      <c r="B2549" s="2" t="s">
        <v>7279</v>
      </c>
      <c r="C2549" s="2" t="s">
        <v>9087</v>
      </c>
      <c r="D2549" s="2" t="n">
        <v>197.76</v>
      </c>
      <c r="E2549" s="13" t="n">
        <v>45608</v>
      </c>
    </row>
    <row r="2550" customFormat="false" ht="15" hidden="false" customHeight="false" outlineLevel="0" collapsed="false">
      <c r="A2550" s="2" t="s">
        <v>11635</v>
      </c>
      <c r="B2550" s="2" t="s">
        <v>7281</v>
      </c>
      <c r="C2550" s="2" t="s">
        <v>9085</v>
      </c>
      <c r="D2550" s="2" t="n">
        <v>198.13</v>
      </c>
      <c r="E2550" s="13" t="n">
        <v>45615</v>
      </c>
    </row>
    <row r="2551" customFormat="false" ht="15" hidden="false" customHeight="false" outlineLevel="0" collapsed="false">
      <c r="A2551" s="2" t="s">
        <v>11636</v>
      </c>
      <c r="B2551" s="2" t="s">
        <v>7283</v>
      </c>
      <c r="C2551" s="2" t="s">
        <v>9092</v>
      </c>
      <c r="D2551" s="2" t="n">
        <v>198.5</v>
      </c>
      <c r="E2551" s="13" t="n">
        <v>45622</v>
      </c>
    </row>
    <row r="2552" customFormat="false" ht="15" hidden="false" customHeight="false" outlineLevel="0" collapsed="false">
      <c r="A2552" s="2" t="s">
        <v>11637</v>
      </c>
      <c r="B2552" s="2" t="s">
        <v>7285</v>
      </c>
      <c r="C2552" s="2" t="s">
        <v>9087</v>
      </c>
      <c r="D2552" s="2" t="n">
        <v>198.87</v>
      </c>
      <c r="E2552" s="13" t="n">
        <v>45629</v>
      </c>
    </row>
    <row r="2553" customFormat="false" ht="15" hidden="false" customHeight="false" outlineLevel="0" collapsed="false">
      <c r="A2553" s="2" t="s">
        <v>11638</v>
      </c>
      <c r="B2553" s="2" t="s">
        <v>7287</v>
      </c>
      <c r="C2553" s="2" t="s">
        <v>9087</v>
      </c>
      <c r="D2553" s="2" t="n">
        <v>199.24</v>
      </c>
      <c r="E2553" s="13" t="n">
        <v>45636</v>
      </c>
    </row>
    <row r="2554" customFormat="false" ht="15" hidden="false" customHeight="false" outlineLevel="0" collapsed="false">
      <c r="A2554" s="2" t="s">
        <v>11639</v>
      </c>
      <c r="B2554" s="2" t="s">
        <v>7291</v>
      </c>
      <c r="C2554" s="2" t="s">
        <v>9092</v>
      </c>
      <c r="D2554" s="2" t="n">
        <v>199.61</v>
      </c>
      <c r="E2554" s="13" t="n">
        <v>45643</v>
      </c>
    </row>
    <row r="2555" customFormat="false" ht="15" hidden="false" customHeight="false" outlineLevel="0" collapsed="false">
      <c r="A2555" s="2" t="s">
        <v>11640</v>
      </c>
      <c r="B2555" s="2" t="s">
        <v>7293</v>
      </c>
      <c r="C2555" s="2" t="s">
        <v>9092</v>
      </c>
      <c r="D2555" s="2" t="n">
        <v>199.98</v>
      </c>
      <c r="E2555" s="13" t="n">
        <v>45650</v>
      </c>
    </row>
    <row r="2556" customFormat="false" ht="15" hidden="false" customHeight="false" outlineLevel="0" collapsed="false">
      <c r="A2556" s="2" t="s">
        <v>11641</v>
      </c>
      <c r="B2556" s="2" t="s">
        <v>7295</v>
      </c>
      <c r="C2556" s="2" t="s">
        <v>9092</v>
      </c>
      <c r="D2556" s="2" t="n">
        <v>200.35</v>
      </c>
      <c r="E2556" s="13" t="n">
        <v>45657</v>
      </c>
    </row>
    <row r="2557" customFormat="false" ht="15" hidden="false" customHeight="false" outlineLevel="0" collapsed="false">
      <c r="A2557" s="2" t="s">
        <v>11642</v>
      </c>
      <c r="B2557" s="2" t="s">
        <v>7297</v>
      </c>
      <c r="C2557" s="2" t="s">
        <v>9092</v>
      </c>
      <c r="D2557" s="2" t="n">
        <v>200.72</v>
      </c>
      <c r="E2557" s="13" t="n">
        <v>45664</v>
      </c>
    </row>
    <row r="2558" customFormat="false" ht="15" hidden="false" customHeight="false" outlineLevel="0" collapsed="false">
      <c r="A2558" s="2" t="s">
        <v>11643</v>
      </c>
      <c r="B2558" s="2" t="s">
        <v>7299</v>
      </c>
      <c r="C2558" s="2" t="s">
        <v>9092</v>
      </c>
      <c r="D2558" s="2" t="n">
        <v>201.09</v>
      </c>
      <c r="E2558" s="13" t="n">
        <v>45671</v>
      </c>
    </row>
    <row r="2559" customFormat="false" ht="15" hidden="false" customHeight="false" outlineLevel="0" collapsed="false">
      <c r="A2559" s="2" t="s">
        <v>11644</v>
      </c>
      <c r="B2559" s="2" t="s">
        <v>7301</v>
      </c>
      <c r="C2559" s="2" t="s">
        <v>9083</v>
      </c>
      <c r="D2559" s="2" t="n">
        <v>201.46</v>
      </c>
      <c r="E2559" s="13" t="n">
        <v>45678</v>
      </c>
    </row>
    <row r="2560" customFormat="false" ht="15" hidden="false" customHeight="false" outlineLevel="0" collapsed="false">
      <c r="A2560" s="2" t="s">
        <v>11645</v>
      </c>
      <c r="B2560" s="2" t="s">
        <v>7303</v>
      </c>
      <c r="C2560" s="2" t="s">
        <v>9092</v>
      </c>
      <c r="D2560" s="2" t="n">
        <v>201.83</v>
      </c>
      <c r="E2560" s="13" t="n">
        <v>45685</v>
      </c>
    </row>
    <row r="2561" customFormat="false" ht="15" hidden="false" customHeight="false" outlineLevel="0" collapsed="false">
      <c r="A2561" s="2" t="s">
        <v>11646</v>
      </c>
      <c r="B2561" s="2" t="s">
        <v>7305</v>
      </c>
      <c r="C2561" s="2" t="s">
        <v>9092</v>
      </c>
      <c r="D2561" s="2" t="n">
        <v>202.2</v>
      </c>
      <c r="E2561" s="13" t="n">
        <v>45692</v>
      </c>
    </row>
    <row r="2562" customFormat="false" ht="15" hidden="false" customHeight="false" outlineLevel="0" collapsed="false">
      <c r="A2562" s="2" t="s">
        <v>11647</v>
      </c>
      <c r="B2562" s="2" t="s">
        <v>7307</v>
      </c>
      <c r="C2562" s="2" t="s">
        <v>9083</v>
      </c>
      <c r="D2562" s="2" t="n">
        <v>202.57</v>
      </c>
      <c r="E2562" s="13" t="n">
        <v>45699</v>
      </c>
    </row>
    <row r="2563" customFormat="false" ht="15" hidden="false" customHeight="false" outlineLevel="0" collapsed="false">
      <c r="A2563" s="2" t="s">
        <v>11648</v>
      </c>
      <c r="B2563" s="2" t="s">
        <v>7309</v>
      </c>
      <c r="C2563" s="2" t="s">
        <v>9092</v>
      </c>
      <c r="D2563" s="2" t="n">
        <v>202.94</v>
      </c>
      <c r="E2563" s="13" t="n">
        <v>45706</v>
      </c>
    </row>
    <row r="2564" customFormat="false" ht="15" hidden="false" customHeight="false" outlineLevel="0" collapsed="false">
      <c r="A2564" s="2" t="s">
        <v>11649</v>
      </c>
      <c r="B2564" s="2" t="s">
        <v>7311</v>
      </c>
      <c r="C2564" s="2" t="s">
        <v>9092</v>
      </c>
      <c r="D2564" s="2" t="n">
        <v>203.31</v>
      </c>
      <c r="E2564" s="13" t="n">
        <v>45713</v>
      </c>
    </row>
    <row r="2565" customFormat="false" ht="15" hidden="false" customHeight="false" outlineLevel="0" collapsed="false">
      <c r="A2565" s="2" t="s">
        <v>11650</v>
      </c>
      <c r="B2565" s="2" t="s">
        <v>7313</v>
      </c>
      <c r="C2565" s="2" t="s">
        <v>9098</v>
      </c>
      <c r="D2565" s="2" t="n">
        <v>203.68</v>
      </c>
      <c r="E2565" s="13" t="n">
        <v>45720</v>
      </c>
    </row>
    <row r="2566" customFormat="false" ht="15" hidden="false" customHeight="false" outlineLevel="0" collapsed="false">
      <c r="A2566" s="2" t="s">
        <v>11651</v>
      </c>
      <c r="B2566" s="2" t="s">
        <v>7315</v>
      </c>
      <c r="C2566" s="2" t="s">
        <v>9083</v>
      </c>
      <c r="D2566" s="2" t="n">
        <v>204.05</v>
      </c>
      <c r="E2566" s="13" t="n">
        <v>45727</v>
      </c>
    </row>
    <row r="2567" customFormat="false" ht="15" hidden="false" customHeight="false" outlineLevel="0" collapsed="false">
      <c r="A2567" s="2" t="s">
        <v>11652</v>
      </c>
      <c r="B2567" s="2" t="s">
        <v>7317</v>
      </c>
      <c r="C2567" s="2" t="s">
        <v>9098</v>
      </c>
      <c r="D2567" s="2" t="n">
        <v>204.42</v>
      </c>
      <c r="E2567" s="13" t="n">
        <v>45734</v>
      </c>
    </row>
    <row r="2568" customFormat="false" ht="15" hidden="false" customHeight="false" outlineLevel="0" collapsed="false">
      <c r="A2568" s="2" t="s">
        <v>11653</v>
      </c>
      <c r="B2568" s="2" t="s">
        <v>7319</v>
      </c>
      <c r="C2568" s="2" t="s">
        <v>9085</v>
      </c>
      <c r="D2568" s="2" t="n">
        <v>204.79</v>
      </c>
      <c r="E2568" s="13" t="n">
        <v>45741</v>
      </c>
    </row>
    <row r="2569" customFormat="false" ht="15" hidden="false" customHeight="false" outlineLevel="0" collapsed="false">
      <c r="A2569" s="2" t="s">
        <v>11654</v>
      </c>
      <c r="B2569" s="2" t="s">
        <v>7321</v>
      </c>
      <c r="C2569" s="2" t="s">
        <v>9085</v>
      </c>
      <c r="D2569" s="2" t="n">
        <v>205.16</v>
      </c>
      <c r="E2569" s="13" t="n">
        <v>45748</v>
      </c>
    </row>
    <row r="2570" customFormat="false" ht="15" hidden="false" customHeight="false" outlineLevel="0" collapsed="false">
      <c r="A2570" s="2" t="s">
        <v>11655</v>
      </c>
      <c r="B2570" s="2" t="s">
        <v>7323</v>
      </c>
      <c r="C2570" s="2" t="s">
        <v>9087</v>
      </c>
      <c r="D2570" s="2" t="n">
        <v>205.53</v>
      </c>
      <c r="E2570" s="13" t="n">
        <v>45755</v>
      </c>
    </row>
    <row r="2571" customFormat="false" ht="15" hidden="false" customHeight="false" outlineLevel="0" collapsed="false">
      <c r="A2571" s="2" t="s">
        <v>11656</v>
      </c>
      <c r="B2571" s="2" t="s">
        <v>7325</v>
      </c>
      <c r="C2571" s="2" t="s">
        <v>9083</v>
      </c>
      <c r="D2571" s="2" t="n">
        <v>205.9</v>
      </c>
      <c r="E2571" s="13" t="n">
        <v>45762</v>
      </c>
    </row>
    <row r="2572" customFormat="false" ht="15" hidden="false" customHeight="false" outlineLevel="0" collapsed="false">
      <c r="A2572" s="2" t="s">
        <v>11657</v>
      </c>
      <c r="B2572" s="2" t="s">
        <v>7327</v>
      </c>
      <c r="C2572" s="2" t="s">
        <v>9083</v>
      </c>
      <c r="D2572" s="2" t="n">
        <v>206.27</v>
      </c>
      <c r="E2572" s="13" t="n">
        <v>45769</v>
      </c>
    </row>
    <row r="2573" customFormat="false" ht="15" hidden="false" customHeight="false" outlineLevel="0" collapsed="false">
      <c r="A2573" s="2" t="s">
        <v>11658</v>
      </c>
      <c r="B2573" s="2" t="s">
        <v>7329</v>
      </c>
      <c r="C2573" s="2" t="s">
        <v>9092</v>
      </c>
      <c r="D2573" s="2" t="n">
        <v>206.64</v>
      </c>
      <c r="E2573" s="13" t="n">
        <v>45776</v>
      </c>
    </row>
    <row r="2574" customFormat="false" ht="15" hidden="false" customHeight="false" outlineLevel="0" collapsed="false">
      <c r="A2574" s="2" t="s">
        <v>11659</v>
      </c>
      <c r="B2574" s="2" t="s">
        <v>7333</v>
      </c>
      <c r="C2574" s="2" t="s">
        <v>9092</v>
      </c>
      <c r="D2574" s="2" t="n">
        <v>207.01</v>
      </c>
      <c r="E2574" s="13" t="n">
        <v>45783</v>
      </c>
    </row>
    <row r="2575" customFormat="false" ht="15" hidden="false" customHeight="false" outlineLevel="0" collapsed="false">
      <c r="A2575" s="2" t="s">
        <v>11660</v>
      </c>
      <c r="B2575" s="2" t="s">
        <v>7335</v>
      </c>
      <c r="C2575" s="2" t="s">
        <v>9098</v>
      </c>
      <c r="D2575" s="2" t="n">
        <v>207.38</v>
      </c>
      <c r="E2575" s="13" t="n">
        <v>45790</v>
      </c>
    </row>
    <row r="2576" customFormat="false" ht="15" hidden="false" customHeight="false" outlineLevel="0" collapsed="false">
      <c r="A2576" s="2" t="s">
        <v>11661</v>
      </c>
      <c r="B2576" s="2" t="s">
        <v>7337</v>
      </c>
      <c r="C2576" s="2" t="s">
        <v>9087</v>
      </c>
      <c r="D2576" s="2" t="n">
        <v>207.75</v>
      </c>
      <c r="E2576" s="13" t="n">
        <v>45797</v>
      </c>
    </row>
    <row r="2577" customFormat="false" ht="15" hidden="false" customHeight="false" outlineLevel="0" collapsed="false">
      <c r="A2577" s="2" t="s">
        <v>11662</v>
      </c>
      <c r="B2577" s="2" t="s">
        <v>7339</v>
      </c>
      <c r="C2577" s="2" t="s">
        <v>9092</v>
      </c>
      <c r="D2577" s="2" t="n">
        <v>208.12</v>
      </c>
      <c r="E2577" s="13" t="n">
        <v>45804</v>
      </c>
    </row>
    <row r="2578" customFormat="false" ht="15" hidden="false" customHeight="false" outlineLevel="0" collapsed="false">
      <c r="A2578" s="2" t="s">
        <v>11663</v>
      </c>
      <c r="B2578" s="2" t="s">
        <v>7341</v>
      </c>
      <c r="C2578" s="2" t="s">
        <v>9083</v>
      </c>
      <c r="D2578" s="2" t="n">
        <v>208.49</v>
      </c>
      <c r="E2578" s="13" t="n">
        <v>45811</v>
      </c>
    </row>
    <row r="2579" customFormat="false" ht="15" hidden="false" customHeight="false" outlineLevel="0" collapsed="false">
      <c r="A2579" s="2" t="s">
        <v>11664</v>
      </c>
      <c r="B2579" s="2" t="s">
        <v>7343</v>
      </c>
      <c r="C2579" s="2" t="s">
        <v>9092</v>
      </c>
      <c r="D2579" s="2" t="n">
        <v>208.86</v>
      </c>
      <c r="E2579" s="13" t="n">
        <v>45818</v>
      </c>
    </row>
    <row r="2580" customFormat="false" ht="15" hidden="false" customHeight="false" outlineLevel="0" collapsed="false">
      <c r="A2580" s="2" t="s">
        <v>11665</v>
      </c>
      <c r="B2580" s="2" t="s">
        <v>7345</v>
      </c>
      <c r="C2580" s="2" t="s">
        <v>9087</v>
      </c>
      <c r="D2580" s="2" t="n">
        <v>209.23</v>
      </c>
      <c r="E2580" s="13" t="n">
        <v>45825</v>
      </c>
    </row>
    <row r="2581" customFormat="false" ht="15" hidden="false" customHeight="false" outlineLevel="0" collapsed="false">
      <c r="A2581" s="2" t="s">
        <v>11666</v>
      </c>
      <c r="B2581" s="2" t="s">
        <v>7347</v>
      </c>
      <c r="C2581" s="2" t="s">
        <v>9087</v>
      </c>
      <c r="D2581" s="2" t="n">
        <v>209.6</v>
      </c>
      <c r="E2581" s="13" t="n">
        <v>45832</v>
      </c>
    </row>
    <row r="2582" customFormat="false" ht="15" hidden="false" customHeight="false" outlineLevel="0" collapsed="false">
      <c r="A2582" s="2" t="s">
        <v>11667</v>
      </c>
      <c r="B2582" s="2" t="s">
        <v>7349</v>
      </c>
      <c r="C2582" s="2" t="s">
        <v>9083</v>
      </c>
      <c r="D2582" s="2" t="n">
        <v>209.97</v>
      </c>
      <c r="E2582" s="13" t="n">
        <v>45839</v>
      </c>
    </row>
    <row r="2583" customFormat="false" ht="15" hidden="false" customHeight="false" outlineLevel="0" collapsed="false">
      <c r="A2583" s="2" t="s">
        <v>11668</v>
      </c>
      <c r="B2583" s="2" t="s">
        <v>7351</v>
      </c>
      <c r="C2583" s="2" t="s">
        <v>9087</v>
      </c>
      <c r="D2583" s="2" t="n">
        <v>210.34</v>
      </c>
      <c r="E2583" s="13" t="n">
        <v>45846</v>
      </c>
    </row>
    <row r="2584" customFormat="false" ht="15" hidden="false" customHeight="false" outlineLevel="0" collapsed="false">
      <c r="A2584" s="2" t="s">
        <v>11669</v>
      </c>
      <c r="B2584" s="2" t="s">
        <v>7353</v>
      </c>
      <c r="C2584" s="2" t="s">
        <v>9087</v>
      </c>
      <c r="D2584" s="2" t="n">
        <v>210.71</v>
      </c>
      <c r="E2584" s="13" t="n">
        <v>45853</v>
      </c>
    </row>
    <row r="2585" customFormat="false" ht="15" hidden="false" customHeight="false" outlineLevel="0" collapsed="false">
      <c r="A2585" s="2" t="s">
        <v>11670</v>
      </c>
      <c r="B2585" s="2" t="s">
        <v>7355</v>
      </c>
      <c r="C2585" s="2" t="s">
        <v>9092</v>
      </c>
      <c r="D2585" s="2" t="n">
        <v>211.08</v>
      </c>
      <c r="E2585" s="13" t="n">
        <v>45860</v>
      </c>
    </row>
    <row r="2586" customFormat="false" ht="15" hidden="false" customHeight="false" outlineLevel="0" collapsed="false">
      <c r="A2586" s="2" t="s">
        <v>11671</v>
      </c>
      <c r="B2586" s="2" t="s">
        <v>7357</v>
      </c>
      <c r="C2586" s="2" t="s">
        <v>9087</v>
      </c>
      <c r="D2586" s="2" t="n">
        <v>211.45</v>
      </c>
      <c r="E2586" s="13" t="n">
        <v>45867</v>
      </c>
    </row>
    <row r="2587" customFormat="false" ht="15" hidden="false" customHeight="false" outlineLevel="0" collapsed="false">
      <c r="A2587" s="2" t="s">
        <v>11672</v>
      </c>
      <c r="B2587" s="2" t="s">
        <v>7359</v>
      </c>
      <c r="C2587" s="2" t="s">
        <v>9087</v>
      </c>
      <c r="D2587" s="2" t="n">
        <v>211.82</v>
      </c>
      <c r="E2587" s="13" t="n">
        <v>45874</v>
      </c>
    </row>
    <row r="2588" customFormat="false" ht="15" hidden="false" customHeight="false" outlineLevel="0" collapsed="false">
      <c r="A2588" s="2" t="s">
        <v>11673</v>
      </c>
      <c r="B2588" s="2" t="s">
        <v>7361</v>
      </c>
      <c r="C2588" s="2" t="s">
        <v>9087</v>
      </c>
      <c r="D2588" s="2" t="n">
        <v>212.19</v>
      </c>
      <c r="E2588" s="13" t="n">
        <v>45881</v>
      </c>
    </row>
    <row r="2589" customFormat="false" ht="15" hidden="false" customHeight="false" outlineLevel="0" collapsed="false">
      <c r="A2589" s="2" t="s">
        <v>11674</v>
      </c>
      <c r="B2589" s="2" t="s">
        <v>7363</v>
      </c>
      <c r="C2589" s="2" t="s">
        <v>9092</v>
      </c>
      <c r="D2589" s="2" t="n">
        <v>212.56</v>
      </c>
      <c r="E2589" s="13" t="n">
        <v>45888</v>
      </c>
    </row>
    <row r="2590" customFormat="false" ht="15" hidden="false" customHeight="false" outlineLevel="0" collapsed="false">
      <c r="A2590" s="2" t="s">
        <v>11675</v>
      </c>
      <c r="B2590" s="2" t="s">
        <v>7365</v>
      </c>
      <c r="C2590" s="2" t="s">
        <v>9092</v>
      </c>
      <c r="D2590" s="2" t="n">
        <v>212.93</v>
      </c>
      <c r="E2590" s="13" t="n">
        <v>45895</v>
      </c>
    </row>
    <row r="2591" customFormat="false" ht="15" hidden="false" customHeight="false" outlineLevel="0" collapsed="false">
      <c r="A2591" s="2" t="s">
        <v>11676</v>
      </c>
      <c r="B2591" s="2" t="s">
        <v>7367</v>
      </c>
      <c r="C2591" s="2" t="s">
        <v>9092</v>
      </c>
      <c r="D2591" s="2" t="n">
        <v>213.3</v>
      </c>
      <c r="E2591" s="13" t="n">
        <v>45902</v>
      </c>
    </row>
    <row r="2592" customFormat="false" ht="15" hidden="false" customHeight="false" outlineLevel="0" collapsed="false">
      <c r="A2592" s="2" t="s">
        <v>11677</v>
      </c>
      <c r="B2592" s="2" t="s">
        <v>7369</v>
      </c>
      <c r="C2592" s="2" t="s">
        <v>9085</v>
      </c>
      <c r="D2592" s="2" t="n">
        <v>213.67</v>
      </c>
      <c r="E2592" s="13" t="n">
        <v>45909</v>
      </c>
    </row>
    <row r="2593" customFormat="false" ht="15" hidden="false" customHeight="false" outlineLevel="0" collapsed="false">
      <c r="A2593" s="2" t="s">
        <v>11678</v>
      </c>
      <c r="B2593" s="2" t="s">
        <v>7371</v>
      </c>
      <c r="C2593" s="2" t="s">
        <v>9085</v>
      </c>
      <c r="D2593" s="2" t="n">
        <v>214.04</v>
      </c>
      <c r="E2593" s="13" t="n">
        <v>45916</v>
      </c>
    </row>
    <row r="2594" customFormat="false" ht="15" hidden="false" customHeight="false" outlineLevel="0" collapsed="false">
      <c r="A2594" s="2" t="s">
        <v>11679</v>
      </c>
      <c r="B2594" s="2" t="s">
        <v>7373</v>
      </c>
      <c r="C2594" s="2" t="s">
        <v>9087</v>
      </c>
      <c r="D2594" s="2" t="n">
        <v>214.41</v>
      </c>
      <c r="E2594" s="13" t="n">
        <v>45923</v>
      </c>
    </row>
    <row r="2595" customFormat="false" ht="15" hidden="false" customHeight="false" outlineLevel="0" collapsed="false">
      <c r="A2595" s="2" t="s">
        <v>11680</v>
      </c>
      <c r="B2595" s="2" t="s">
        <v>7375</v>
      </c>
      <c r="C2595" s="2" t="s">
        <v>9087</v>
      </c>
      <c r="D2595" s="2" t="n">
        <v>214.78</v>
      </c>
      <c r="E2595" s="13" t="n">
        <v>45930</v>
      </c>
    </row>
    <row r="2596" customFormat="false" ht="15" hidden="false" customHeight="false" outlineLevel="0" collapsed="false">
      <c r="A2596" s="2" t="s">
        <v>11681</v>
      </c>
      <c r="B2596" s="2" t="s">
        <v>7377</v>
      </c>
      <c r="C2596" s="2" t="s">
        <v>9092</v>
      </c>
      <c r="D2596" s="2" t="n">
        <v>215.15</v>
      </c>
      <c r="E2596" s="13" t="n">
        <v>45937</v>
      </c>
    </row>
    <row r="2597" customFormat="false" ht="15" hidden="false" customHeight="false" outlineLevel="0" collapsed="false">
      <c r="A2597" s="2" t="s">
        <v>11682</v>
      </c>
      <c r="B2597" s="2" t="s">
        <v>7379</v>
      </c>
      <c r="C2597" s="2" t="s">
        <v>9085</v>
      </c>
      <c r="D2597" s="2" t="n">
        <v>215.52</v>
      </c>
      <c r="E2597" s="13" t="n">
        <v>45944</v>
      </c>
    </row>
    <row r="2598" customFormat="false" ht="15" hidden="false" customHeight="false" outlineLevel="0" collapsed="false">
      <c r="A2598" s="2" t="s">
        <v>11683</v>
      </c>
      <c r="B2598" s="2" t="s">
        <v>7381</v>
      </c>
      <c r="C2598" s="2" t="s">
        <v>9098</v>
      </c>
      <c r="D2598" s="2" t="n">
        <v>215.89</v>
      </c>
      <c r="E2598" s="13" t="n">
        <v>45951</v>
      </c>
    </row>
    <row r="2599" customFormat="false" ht="15" hidden="false" customHeight="false" outlineLevel="0" collapsed="false">
      <c r="A2599" s="2" t="s">
        <v>11684</v>
      </c>
      <c r="B2599" s="2" t="s">
        <v>7383</v>
      </c>
      <c r="C2599" s="2" t="s">
        <v>9098</v>
      </c>
      <c r="D2599" s="2" t="n">
        <v>216.26</v>
      </c>
      <c r="E2599" s="13" t="n">
        <v>45958</v>
      </c>
    </row>
    <row r="2600" customFormat="false" ht="15" hidden="false" customHeight="false" outlineLevel="0" collapsed="false">
      <c r="A2600" s="2" t="s">
        <v>11685</v>
      </c>
      <c r="B2600" s="2" t="s">
        <v>7385</v>
      </c>
      <c r="C2600" s="2" t="s">
        <v>9087</v>
      </c>
      <c r="D2600" s="2" t="n">
        <v>216.63</v>
      </c>
      <c r="E2600" s="13" t="n">
        <v>45965</v>
      </c>
    </row>
    <row r="2601" customFormat="false" ht="15" hidden="false" customHeight="false" outlineLevel="0" collapsed="false">
      <c r="A2601" s="2" t="s">
        <v>11686</v>
      </c>
      <c r="B2601" s="2" t="s">
        <v>7389</v>
      </c>
      <c r="C2601" s="2" t="s">
        <v>9085</v>
      </c>
      <c r="D2601" s="2" t="n">
        <v>217</v>
      </c>
      <c r="E2601" s="13" t="n">
        <v>45972</v>
      </c>
    </row>
    <row r="2602" customFormat="false" ht="15" hidden="false" customHeight="false" outlineLevel="0" collapsed="false">
      <c r="A2602" s="2" t="s">
        <v>11687</v>
      </c>
      <c r="B2602" s="2" t="s">
        <v>7393</v>
      </c>
      <c r="C2602" s="2" t="s">
        <v>9098</v>
      </c>
      <c r="D2602" s="2" t="n">
        <v>217.37</v>
      </c>
      <c r="E2602" s="13" t="n">
        <v>45979</v>
      </c>
    </row>
    <row r="2603" customFormat="false" ht="15" hidden="false" customHeight="false" outlineLevel="0" collapsed="false">
      <c r="A2603" s="2" t="s">
        <v>11688</v>
      </c>
      <c r="B2603" s="2" t="s">
        <v>7395</v>
      </c>
      <c r="C2603" s="2" t="s">
        <v>9083</v>
      </c>
      <c r="D2603" s="2" t="n">
        <v>217.74</v>
      </c>
      <c r="E2603" s="13" t="n">
        <v>45986</v>
      </c>
    </row>
    <row r="2604" customFormat="false" ht="15" hidden="false" customHeight="false" outlineLevel="0" collapsed="false">
      <c r="A2604" s="2" t="s">
        <v>11689</v>
      </c>
      <c r="B2604" s="2" t="s">
        <v>7397</v>
      </c>
      <c r="C2604" s="2" t="s">
        <v>9098</v>
      </c>
      <c r="D2604" s="2" t="n">
        <v>218.11</v>
      </c>
      <c r="E2604" s="13" t="n">
        <v>45993</v>
      </c>
    </row>
    <row r="2605" customFormat="false" ht="15" hidden="false" customHeight="false" outlineLevel="0" collapsed="false">
      <c r="A2605" s="2" t="s">
        <v>11690</v>
      </c>
      <c r="B2605" s="2" t="s">
        <v>7399</v>
      </c>
      <c r="C2605" s="2" t="s">
        <v>9083</v>
      </c>
      <c r="D2605" s="2" t="n">
        <v>218.48</v>
      </c>
      <c r="E2605" s="13" t="n">
        <v>46000</v>
      </c>
    </row>
    <row r="2606" customFormat="false" ht="15" hidden="false" customHeight="false" outlineLevel="0" collapsed="false">
      <c r="A2606" s="2" t="s">
        <v>11691</v>
      </c>
      <c r="B2606" s="2" t="s">
        <v>7401</v>
      </c>
      <c r="C2606" s="2" t="s">
        <v>9085</v>
      </c>
      <c r="D2606" s="2" t="n">
        <v>218.85</v>
      </c>
      <c r="E2606" s="13" t="n">
        <v>46007</v>
      </c>
    </row>
    <row r="2607" customFormat="false" ht="15" hidden="false" customHeight="false" outlineLevel="0" collapsed="false">
      <c r="A2607" s="2" t="s">
        <v>11692</v>
      </c>
      <c r="B2607" s="2" t="s">
        <v>7403</v>
      </c>
      <c r="C2607" s="2" t="s">
        <v>9098</v>
      </c>
      <c r="D2607" s="2" t="n">
        <v>219.22</v>
      </c>
      <c r="E2607" s="13" t="n">
        <v>46014</v>
      </c>
    </row>
    <row r="2608" customFormat="false" ht="15" hidden="false" customHeight="false" outlineLevel="0" collapsed="false">
      <c r="A2608" s="2" t="s">
        <v>11693</v>
      </c>
      <c r="B2608" s="2" t="s">
        <v>7407</v>
      </c>
      <c r="C2608" s="2" t="s">
        <v>9087</v>
      </c>
      <c r="D2608" s="2" t="n">
        <v>219.59</v>
      </c>
      <c r="E2608" s="13" t="n">
        <v>46021</v>
      </c>
    </row>
    <row r="2609" customFormat="false" ht="15" hidden="false" customHeight="false" outlineLevel="0" collapsed="false">
      <c r="A2609" s="2" t="s">
        <v>11694</v>
      </c>
      <c r="B2609" s="2" t="s">
        <v>7409</v>
      </c>
      <c r="C2609" s="2" t="s">
        <v>9092</v>
      </c>
      <c r="D2609" s="2" t="n">
        <v>219.96</v>
      </c>
      <c r="E2609" s="13" t="n">
        <v>45298</v>
      </c>
    </row>
    <row r="2610" customFormat="false" ht="15" hidden="false" customHeight="false" outlineLevel="0" collapsed="false">
      <c r="A2610" s="2" t="s">
        <v>11695</v>
      </c>
      <c r="B2610" s="2" t="s">
        <v>7411</v>
      </c>
      <c r="C2610" s="2" t="s">
        <v>9087</v>
      </c>
      <c r="D2610" s="2" t="n">
        <v>220.33</v>
      </c>
      <c r="E2610" s="13" t="n">
        <v>45305</v>
      </c>
    </row>
    <row r="2611" customFormat="false" ht="15" hidden="false" customHeight="false" outlineLevel="0" collapsed="false">
      <c r="A2611" s="2" t="s">
        <v>11696</v>
      </c>
      <c r="B2611" s="2" t="s">
        <v>7413</v>
      </c>
      <c r="C2611" s="2" t="s">
        <v>9098</v>
      </c>
      <c r="D2611" s="2" t="n">
        <v>220.7</v>
      </c>
      <c r="E2611" s="13" t="n">
        <v>45312</v>
      </c>
    </row>
    <row r="2612" customFormat="false" ht="15" hidden="false" customHeight="false" outlineLevel="0" collapsed="false">
      <c r="A2612" s="2" t="s">
        <v>11697</v>
      </c>
      <c r="B2612" s="2" t="s">
        <v>7417</v>
      </c>
      <c r="C2612" s="2" t="s">
        <v>9087</v>
      </c>
      <c r="D2612" s="2" t="n">
        <v>221.07</v>
      </c>
      <c r="E2612" s="13" t="n">
        <v>45319</v>
      </c>
    </row>
    <row r="2613" customFormat="false" ht="15" hidden="false" customHeight="false" outlineLevel="0" collapsed="false">
      <c r="A2613" s="2" t="s">
        <v>11698</v>
      </c>
      <c r="B2613" s="2" t="s">
        <v>7419</v>
      </c>
      <c r="C2613" s="2" t="s">
        <v>9083</v>
      </c>
      <c r="D2613" s="2" t="n">
        <v>221.44</v>
      </c>
      <c r="E2613" s="13" t="n">
        <v>45326</v>
      </c>
    </row>
    <row r="2614" customFormat="false" ht="15" hidden="false" customHeight="false" outlineLevel="0" collapsed="false">
      <c r="A2614" s="2" t="s">
        <v>11699</v>
      </c>
      <c r="B2614" s="2" t="s">
        <v>7421</v>
      </c>
      <c r="C2614" s="2" t="s">
        <v>9087</v>
      </c>
      <c r="D2614" s="2" t="n">
        <v>221.81</v>
      </c>
      <c r="E2614" s="13" t="n">
        <v>45333</v>
      </c>
    </row>
    <row r="2615" customFormat="false" ht="15" hidden="false" customHeight="false" outlineLevel="0" collapsed="false">
      <c r="A2615" s="2" t="s">
        <v>11700</v>
      </c>
      <c r="B2615" s="2" t="s">
        <v>7423</v>
      </c>
      <c r="C2615" s="2" t="s">
        <v>9098</v>
      </c>
      <c r="D2615" s="2" t="n">
        <v>222.18</v>
      </c>
      <c r="E2615" s="13" t="n">
        <v>45340</v>
      </c>
    </row>
    <row r="2616" customFormat="false" ht="15" hidden="false" customHeight="false" outlineLevel="0" collapsed="false">
      <c r="A2616" s="2" t="s">
        <v>11701</v>
      </c>
      <c r="B2616" s="2" t="s">
        <v>7425</v>
      </c>
      <c r="C2616" s="2" t="s">
        <v>9087</v>
      </c>
      <c r="D2616" s="2" t="n">
        <v>222.55</v>
      </c>
      <c r="E2616" s="13" t="n">
        <v>45347</v>
      </c>
    </row>
    <row r="2617" customFormat="false" ht="15" hidden="false" customHeight="false" outlineLevel="0" collapsed="false">
      <c r="A2617" s="2" t="s">
        <v>11702</v>
      </c>
      <c r="B2617" s="2" t="s">
        <v>7427</v>
      </c>
      <c r="C2617" s="2" t="s">
        <v>9087</v>
      </c>
      <c r="D2617" s="2" t="n">
        <v>222.92</v>
      </c>
      <c r="E2617" s="13" t="n">
        <v>45354</v>
      </c>
    </row>
    <row r="2618" customFormat="false" ht="15" hidden="false" customHeight="false" outlineLevel="0" collapsed="false">
      <c r="A2618" s="2" t="s">
        <v>11703</v>
      </c>
      <c r="B2618" s="2" t="s">
        <v>7429</v>
      </c>
      <c r="C2618" s="2" t="s">
        <v>9098</v>
      </c>
      <c r="D2618" s="2" t="n">
        <v>223.29</v>
      </c>
      <c r="E2618" s="13" t="n">
        <v>45361</v>
      </c>
    </row>
    <row r="2619" customFormat="false" ht="15" hidden="false" customHeight="false" outlineLevel="0" collapsed="false">
      <c r="A2619" s="2" t="s">
        <v>11704</v>
      </c>
      <c r="B2619" s="2" t="s">
        <v>7431</v>
      </c>
      <c r="C2619" s="2" t="s">
        <v>9085</v>
      </c>
      <c r="D2619" s="2" t="n">
        <v>223.66</v>
      </c>
      <c r="E2619" s="13" t="n">
        <v>45368</v>
      </c>
    </row>
    <row r="2620" customFormat="false" ht="15" hidden="false" customHeight="false" outlineLevel="0" collapsed="false">
      <c r="A2620" s="2" t="s">
        <v>11705</v>
      </c>
      <c r="B2620" s="2" t="s">
        <v>7433</v>
      </c>
      <c r="C2620" s="2" t="s">
        <v>9085</v>
      </c>
      <c r="D2620" s="2" t="n">
        <v>224.03</v>
      </c>
      <c r="E2620" s="13" t="n">
        <v>45375</v>
      </c>
    </row>
    <row r="2621" customFormat="false" ht="15" hidden="false" customHeight="false" outlineLevel="0" collapsed="false">
      <c r="A2621" s="2" t="s">
        <v>11706</v>
      </c>
      <c r="B2621" s="2" t="s">
        <v>7437</v>
      </c>
      <c r="C2621" s="2" t="s">
        <v>9087</v>
      </c>
      <c r="D2621" s="2" t="n">
        <v>224.4</v>
      </c>
      <c r="E2621" s="13" t="n">
        <v>45382</v>
      </c>
    </row>
    <row r="2622" customFormat="false" ht="15" hidden="false" customHeight="false" outlineLevel="0" collapsed="false">
      <c r="A2622" s="2" t="s">
        <v>11707</v>
      </c>
      <c r="B2622" s="2" t="s">
        <v>7439</v>
      </c>
      <c r="C2622" s="2" t="s">
        <v>9092</v>
      </c>
      <c r="D2622" s="2" t="n">
        <v>224.77</v>
      </c>
      <c r="E2622" s="13" t="n">
        <v>45389</v>
      </c>
    </row>
    <row r="2623" customFormat="false" ht="15" hidden="false" customHeight="false" outlineLevel="0" collapsed="false">
      <c r="A2623" s="2" t="s">
        <v>11708</v>
      </c>
      <c r="B2623" s="2" t="s">
        <v>7441</v>
      </c>
      <c r="C2623" s="2" t="s">
        <v>9087</v>
      </c>
      <c r="D2623" s="2" t="n">
        <v>225.14</v>
      </c>
      <c r="E2623" s="13" t="n">
        <v>45396</v>
      </c>
    </row>
    <row r="2624" customFormat="false" ht="15" hidden="false" customHeight="false" outlineLevel="0" collapsed="false">
      <c r="A2624" s="2" t="s">
        <v>11709</v>
      </c>
      <c r="B2624" s="2" t="s">
        <v>7443</v>
      </c>
      <c r="C2624" s="2" t="s">
        <v>9083</v>
      </c>
      <c r="D2624" s="2" t="n">
        <v>225.51</v>
      </c>
      <c r="E2624" s="13" t="n">
        <v>45403</v>
      </c>
    </row>
    <row r="2625" customFormat="false" ht="15" hidden="false" customHeight="false" outlineLevel="0" collapsed="false">
      <c r="A2625" s="2" t="s">
        <v>11710</v>
      </c>
      <c r="B2625" s="2" t="s">
        <v>7445</v>
      </c>
      <c r="C2625" s="2" t="s">
        <v>9085</v>
      </c>
      <c r="D2625" s="2" t="n">
        <v>225.88</v>
      </c>
      <c r="E2625" s="13" t="n">
        <v>45410</v>
      </c>
    </row>
    <row r="2626" customFormat="false" ht="15" hidden="false" customHeight="false" outlineLevel="0" collapsed="false">
      <c r="A2626" s="2" t="s">
        <v>11711</v>
      </c>
      <c r="B2626" s="2" t="s">
        <v>7447</v>
      </c>
      <c r="C2626" s="2" t="s">
        <v>9098</v>
      </c>
      <c r="D2626" s="2" t="n">
        <v>226.25</v>
      </c>
      <c r="E2626" s="13" t="n">
        <v>45417</v>
      </c>
    </row>
    <row r="2627" customFormat="false" ht="15" hidden="false" customHeight="false" outlineLevel="0" collapsed="false">
      <c r="A2627" s="2" t="s">
        <v>11712</v>
      </c>
      <c r="B2627" s="2" t="s">
        <v>7449</v>
      </c>
      <c r="C2627" s="2" t="s">
        <v>9085</v>
      </c>
      <c r="D2627" s="2" t="n">
        <v>226.62</v>
      </c>
      <c r="E2627" s="13" t="n">
        <v>45424</v>
      </c>
    </row>
    <row r="2628" customFormat="false" ht="15" hidden="false" customHeight="false" outlineLevel="0" collapsed="false">
      <c r="A2628" s="2" t="s">
        <v>11713</v>
      </c>
      <c r="B2628" s="2" t="s">
        <v>7451</v>
      </c>
      <c r="C2628" s="2" t="s">
        <v>9098</v>
      </c>
      <c r="D2628" s="2" t="n">
        <v>226.99</v>
      </c>
      <c r="E2628" s="13" t="n">
        <v>45431</v>
      </c>
    </row>
    <row r="2629" customFormat="false" ht="15" hidden="false" customHeight="false" outlineLevel="0" collapsed="false">
      <c r="A2629" s="2" t="s">
        <v>11714</v>
      </c>
      <c r="B2629" s="2" t="s">
        <v>7455</v>
      </c>
      <c r="C2629" s="2" t="s">
        <v>9085</v>
      </c>
      <c r="D2629" s="2" t="n">
        <v>227.36</v>
      </c>
      <c r="E2629" s="13" t="n">
        <v>45438</v>
      </c>
    </row>
    <row r="2630" customFormat="false" ht="15" hidden="false" customHeight="false" outlineLevel="0" collapsed="false">
      <c r="A2630" s="2" t="s">
        <v>11715</v>
      </c>
      <c r="B2630" s="2" t="s">
        <v>7457</v>
      </c>
      <c r="C2630" s="2" t="s">
        <v>9085</v>
      </c>
      <c r="D2630" s="2" t="n">
        <v>227.73</v>
      </c>
      <c r="E2630" s="13" t="n">
        <v>45445</v>
      </c>
    </row>
    <row r="2631" customFormat="false" ht="15" hidden="false" customHeight="false" outlineLevel="0" collapsed="false">
      <c r="A2631" s="2" t="s">
        <v>11716</v>
      </c>
      <c r="B2631" s="2" t="s">
        <v>7459</v>
      </c>
      <c r="C2631" s="2" t="s">
        <v>9085</v>
      </c>
      <c r="D2631" s="2" t="n">
        <v>228.1</v>
      </c>
      <c r="E2631" s="13" t="n">
        <v>45452</v>
      </c>
    </row>
    <row r="2632" customFormat="false" ht="15" hidden="false" customHeight="false" outlineLevel="0" collapsed="false">
      <c r="A2632" s="2" t="s">
        <v>11717</v>
      </c>
      <c r="B2632" s="2" t="s">
        <v>7461</v>
      </c>
      <c r="C2632" s="2" t="s">
        <v>9098</v>
      </c>
      <c r="D2632" s="2" t="n">
        <v>228.47</v>
      </c>
      <c r="E2632" s="13" t="n">
        <v>45459</v>
      </c>
    </row>
    <row r="2633" customFormat="false" ht="15" hidden="false" customHeight="false" outlineLevel="0" collapsed="false">
      <c r="A2633" s="2" t="s">
        <v>11718</v>
      </c>
      <c r="B2633" s="2" t="s">
        <v>7465</v>
      </c>
      <c r="C2633" s="2" t="s">
        <v>9087</v>
      </c>
      <c r="D2633" s="2" t="n">
        <v>228.84</v>
      </c>
      <c r="E2633" s="13" t="n">
        <v>45466</v>
      </c>
    </row>
    <row r="2634" customFormat="false" ht="15" hidden="false" customHeight="false" outlineLevel="0" collapsed="false">
      <c r="A2634" s="2" t="s">
        <v>11719</v>
      </c>
      <c r="B2634" s="2" t="s">
        <v>7467</v>
      </c>
      <c r="C2634" s="2" t="s">
        <v>9098</v>
      </c>
      <c r="D2634" s="2" t="n">
        <v>229.21</v>
      </c>
      <c r="E2634" s="13" t="n">
        <v>45473</v>
      </c>
    </row>
    <row r="2635" customFormat="false" ht="15" hidden="false" customHeight="false" outlineLevel="0" collapsed="false">
      <c r="A2635" s="2" t="s">
        <v>11720</v>
      </c>
      <c r="B2635" s="2" t="s">
        <v>7469</v>
      </c>
      <c r="C2635" s="2" t="s">
        <v>9085</v>
      </c>
      <c r="D2635" s="2" t="n">
        <v>229.58</v>
      </c>
      <c r="E2635" s="13" t="n">
        <v>45480</v>
      </c>
    </row>
    <row r="2636" customFormat="false" ht="15" hidden="false" customHeight="false" outlineLevel="0" collapsed="false">
      <c r="A2636" s="2" t="s">
        <v>11721</v>
      </c>
      <c r="B2636" s="2" t="s">
        <v>7471</v>
      </c>
      <c r="C2636" s="2" t="s">
        <v>9098</v>
      </c>
      <c r="D2636" s="2" t="n">
        <v>229.95</v>
      </c>
      <c r="E2636" s="13" t="n">
        <v>45487</v>
      </c>
    </row>
    <row r="2637" customFormat="false" ht="15" hidden="false" customHeight="false" outlineLevel="0" collapsed="false">
      <c r="A2637" s="2" t="s">
        <v>11722</v>
      </c>
      <c r="B2637" s="2" t="s">
        <v>7473</v>
      </c>
      <c r="C2637" s="2" t="s">
        <v>9098</v>
      </c>
      <c r="D2637" s="2" t="n">
        <v>230.32</v>
      </c>
      <c r="E2637" s="13" t="n">
        <v>45494</v>
      </c>
    </row>
    <row r="2638" customFormat="false" ht="15" hidden="false" customHeight="false" outlineLevel="0" collapsed="false">
      <c r="A2638" s="2" t="s">
        <v>11723</v>
      </c>
      <c r="B2638" s="2" t="s">
        <v>7475</v>
      </c>
      <c r="C2638" s="2" t="s">
        <v>9092</v>
      </c>
      <c r="D2638" s="2" t="n">
        <v>230.69</v>
      </c>
      <c r="E2638" s="13" t="n">
        <v>45501</v>
      </c>
    </row>
    <row r="2639" customFormat="false" ht="15" hidden="false" customHeight="false" outlineLevel="0" collapsed="false">
      <c r="A2639" s="2" t="s">
        <v>11724</v>
      </c>
      <c r="B2639" s="2" t="s">
        <v>7477</v>
      </c>
      <c r="C2639" s="2" t="s">
        <v>9083</v>
      </c>
      <c r="D2639" s="2" t="n">
        <v>231.06</v>
      </c>
      <c r="E2639" s="13" t="n">
        <v>45508</v>
      </c>
    </row>
    <row r="2640" customFormat="false" ht="15" hidden="false" customHeight="false" outlineLevel="0" collapsed="false">
      <c r="A2640" s="2" t="s">
        <v>11725</v>
      </c>
      <c r="B2640" s="2" t="s">
        <v>7479</v>
      </c>
      <c r="C2640" s="2" t="s">
        <v>9098</v>
      </c>
      <c r="D2640" s="2" t="n">
        <v>231.43</v>
      </c>
      <c r="E2640" s="13" t="n">
        <v>45515</v>
      </c>
    </row>
    <row r="2641" customFormat="false" ht="15" hidden="false" customHeight="false" outlineLevel="0" collapsed="false">
      <c r="A2641" s="2" t="s">
        <v>11726</v>
      </c>
      <c r="B2641" s="2" t="s">
        <v>7481</v>
      </c>
      <c r="C2641" s="2" t="s">
        <v>9083</v>
      </c>
      <c r="D2641" s="2" t="n">
        <v>231.8</v>
      </c>
      <c r="E2641" s="13" t="n">
        <v>45522</v>
      </c>
    </row>
    <row r="2642" customFormat="false" ht="15" hidden="false" customHeight="false" outlineLevel="0" collapsed="false">
      <c r="A2642" s="2" t="s">
        <v>11727</v>
      </c>
      <c r="B2642" s="2" t="s">
        <v>7483</v>
      </c>
      <c r="C2642" s="2" t="s">
        <v>9083</v>
      </c>
      <c r="D2642" s="2" t="n">
        <v>232.17</v>
      </c>
      <c r="E2642" s="13" t="n">
        <v>45529</v>
      </c>
    </row>
    <row r="2643" customFormat="false" ht="15" hidden="false" customHeight="false" outlineLevel="0" collapsed="false">
      <c r="A2643" s="2" t="s">
        <v>11728</v>
      </c>
      <c r="B2643" s="2" t="s">
        <v>7485</v>
      </c>
      <c r="C2643" s="2" t="s">
        <v>9092</v>
      </c>
      <c r="D2643" s="2" t="n">
        <v>232.54</v>
      </c>
      <c r="E2643" s="13" t="n">
        <v>45536</v>
      </c>
    </row>
    <row r="2644" customFormat="false" ht="15" hidden="false" customHeight="false" outlineLevel="0" collapsed="false">
      <c r="A2644" s="2" t="s">
        <v>11729</v>
      </c>
      <c r="B2644" s="2" t="s">
        <v>7487</v>
      </c>
      <c r="C2644" s="2" t="s">
        <v>9092</v>
      </c>
      <c r="D2644" s="2" t="n">
        <v>232.91</v>
      </c>
      <c r="E2644" s="13" t="n">
        <v>45543</v>
      </c>
    </row>
    <row r="2645" customFormat="false" ht="15" hidden="false" customHeight="false" outlineLevel="0" collapsed="false">
      <c r="A2645" s="2" t="s">
        <v>11730</v>
      </c>
      <c r="B2645" s="2" t="s">
        <v>7489</v>
      </c>
      <c r="C2645" s="2" t="s">
        <v>9083</v>
      </c>
      <c r="D2645" s="2" t="n">
        <v>233.28</v>
      </c>
      <c r="E2645" s="13" t="n">
        <v>45550</v>
      </c>
    </row>
    <row r="2646" customFormat="false" ht="15" hidden="false" customHeight="false" outlineLevel="0" collapsed="false">
      <c r="A2646" s="2" t="s">
        <v>11731</v>
      </c>
      <c r="B2646" s="2" t="s">
        <v>7491</v>
      </c>
      <c r="C2646" s="2" t="s">
        <v>9083</v>
      </c>
      <c r="D2646" s="2" t="n">
        <v>233.65</v>
      </c>
      <c r="E2646" s="13" t="n">
        <v>45557</v>
      </c>
    </row>
    <row r="2647" customFormat="false" ht="15" hidden="false" customHeight="false" outlineLevel="0" collapsed="false">
      <c r="A2647" s="2" t="s">
        <v>11732</v>
      </c>
      <c r="B2647" s="2" t="s">
        <v>7493</v>
      </c>
      <c r="C2647" s="2" t="s">
        <v>9092</v>
      </c>
      <c r="D2647" s="2" t="n">
        <v>234.02</v>
      </c>
      <c r="E2647" s="13" t="n">
        <v>45564</v>
      </c>
    </row>
    <row r="2648" customFormat="false" ht="15" hidden="false" customHeight="false" outlineLevel="0" collapsed="false">
      <c r="A2648" s="2" t="s">
        <v>11733</v>
      </c>
      <c r="B2648" s="2" t="s">
        <v>7495</v>
      </c>
      <c r="C2648" s="2" t="s">
        <v>9092</v>
      </c>
      <c r="D2648" s="2" t="n">
        <v>234.39</v>
      </c>
      <c r="E2648" s="13" t="n">
        <v>45571</v>
      </c>
    </row>
    <row r="2649" customFormat="false" ht="15" hidden="false" customHeight="false" outlineLevel="0" collapsed="false">
      <c r="A2649" s="2" t="s">
        <v>11734</v>
      </c>
      <c r="B2649" s="2" t="s">
        <v>7497</v>
      </c>
      <c r="C2649" s="2" t="s">
        <v>9092</v>
      </c>
      <c r="D2649" s="2" t="n">
        <v>234.76</v>
      </c>
      <c r="E2649" s="13" t="n">
        <v>45578</v>
      </c>
    </row>
    <row r="2650" customFormat="false" ht="15" hidden="false" customHeight="false" outlineLevel="0" collapsed="false">
      <c r="A2650" s="2" t="s">
        <v>11735</v>
      </c>
      <c r="B2650" s="2" t="s">
        <v>7499</v>
      </c>
      <c r="C2650" s="2" t="s">
        <v>9092</v>
      </c>
      <c r="D2650" s="2" t="n">
        <v>235.13</v>
      </c>
      <c r="E2650" s="13" t="n">
        <v>45585</v>
      </c>
    </row>
    <row r="2651" customFormat="false" ht="15" hidden="false" customHeight="false" outlineLevel="0" collapsed="false">
      <c r="A2651" s="2" t="s">
        <v>11736</v>
      </c>
      <c r="B2651" s="2" t="s">
        <v>7501</v>
      </c>
      <c r="C2651" s="2" t="s">
        <v>9087</v>
      </c>
      <c r="D2651" s="2" t="n">
        <v>235.5</v>
      </c>
      <c r="E2651" s="13" t="n">
        <v>45592</v>
      </c>
    </row>
    <row r="2652" customFormat="false" ht="15" hidden="false" customHeight="false" outlineLevel="0" collapsed="false">
      <c r="A2652" s="2" t="s">
        <v>11737</v>
      </c>
      <c r="B2652" s="2" t="s">
        <v>7503</v>
      </c>
      <c r="C2652" s="2" t="s">
        <v>9085</v>
      </c>
      <c r="D2652" s="2" t="n">
        <v>235.87</v>
      </c>
      <c r="E2652" s="13" t="n">
        <v>45599</v>
      </c>
    </row>
    <row r="2653" customFormat="false" ht="15" hidden="false" customHeight="false" outlineLevel="0" collapsed="false">
      <c r="A2653" s="2" t="s">
        <v>11738</v>
      </c>
      <c r="B2653" s="2" t="s">
        <v>7505</v>
      </c>
      <c r="C2653" s="2" t="s">
        <v>9098</v>
      </c>
      <c r="D2653" s="2" t="n">
        <v>236.24</v>
      </c>
      <c r="E2653" s="13" t="n">
        <v>45606</v>
      </c>
    </row>
    <row r="2654" customFormat="false" ht="15" hidden="false" customHeight="false" outlineLevel="0" collapsed="false">
      <c r="A2654" s="2" t="s">
        <v>11739</v>
      </c>
      <c r="B2654" s="2" t="s">
        <v>7507</v>
      </c>
      <c r="C2654" s="2" t="s">
        <v>9083</v>
      </c>
      <c r="D2654" s="2" t="n">
        <v>236.61</v>
      </c>
      <c r="E2654" s="13" t="n">
        <v>45613</v>
      </c>
    </row>
    <row r="2655" customFormat="false" ht="15" hidden="false" customHeight="false" outlineLevel="0" collapsed="false">
      <c r="A2655" s="2" t="s">
        <v>11740</v>
      </c>
      <c r="B2655" s="2" t="s">
        <v>7509</v>
      </c>
      <c r="C2655" s="2" t="s">
        <v>9087</v>
      </c>
      <c r="D2655" s="2" t="n">
        <v>236.98</v>
      </c>
      <c r="E2655" s="13" t="n">
        <v>45620</v>
      </c>
    </row>
    <row r="2656" customFormat="false" ht="15" hidden="false" customHeight="false" outlineLevel="0" collapsed="false">
      <c r="A2656" s="2" t="s">
        <v>11741</v>
      </c>
      <c r="B2656" s="2" t="s">
        <v>7511</v>
      </c>
      <c r="C2656" s="2" t="s">
        <v>9092</v>
      </c>
      <c r="D2656" s="2" t="n">
        <v>237.35</v>
      </c>
      <c r="E2656" s="13" t="n">
        <v>45627</v>
      </c>
    </row>
    <row r="2657" customFormat="false" ht="15" hidden="false" customHeight="false" outlineLevel="0" collapsed="false">
      <c r="A2657" s="2" t="s">
        <v>11742</v>
      </c>
      <c r="B2657" s="2" t="s">
        <v>7513</v>
      </c>
      <c r="C2657" s="2" t="s">
        <v>9092</v>
      </c>
      <c r="D2657" s="2" t="n">
        <v>237.72</v>
      </c>
      <c r="E2657" s="13" t="n">
        <v>45634</v>
      </c>
    </row>
    <row r="2658" customFormat="false" ht="15" hidden="false" customHeight="false" outlineLevel="0" collapsed="false">
      <c r="A2658" s="2" t="s">
        <v>11743</v>
      </c>
      <c r="B2658" s="2" t="s">
        <v>7515</v>
      </c>
      <c r="C2658" s="2" t="s">
        <v>9085</v>
      </c>
      <c r="D2658" s="2" t="n">
        <v>238.09</v>
      </c>
      <c r="E2658" s="13" t="n">
        <v>45641</v>
      </c>
    </row>
    <row r="2659" customFormat="false" ht="15" hidden="false" customHeight="false" outlineLevel="0" collapsed="false">
      <c r="A2659" s="2" t="s">
        <v>11744</v>
      </c>
      <c r="B2659" s="2" t="s">
        <v>7517</v>
      </c>
      <c r="C2659" s="2" t="s">
        <v>9083</v>
      </c>
      <c r="D2659" s="2" t="n">
        <v>238.46</v>
      </c>
      <c r="E2659" s="13" t="n">
        <v>45648</v>
      </c>
    </row>
    <row r="2660" customFormat="false" ht="15" hidden="false" customHeight="false" outlineLevel="0" collapsed="false">
      <c r="A2660" s="2" t="s">
        <v>11745</v>
      </c>
      <c r="B2660" s="2" t="s">
        <v>7519</v>
      </c>
      <c r="C2660" s="2" t="s">
        <v>9083</v>
      </c>
      <c r="D2660" s="2" t="n">
        <v>238.83</v>
      </c>
      <c r="E2660" s="13" t="n">
        <v>45655</v>
      </c>
    </row>
    <row r="2661" customFormat="false" ht="15" hidden="false" customHeight="false" outlineLevel="0" collapsed="false">
      <c r="A2661" s="2" t="s">
        <v>11746</v>
      </c>
      <c r="B2661" s="2" t="s">
        <v>7523</v>
      </c>
      <c r="C2661" s="2" t="s">
        <v>9083</v>
      </c>
      <c r="D2661" s="2" t="n">
        <v>239.2</v>
      </c>
      <c r="E2661" s="13" t="n">
        <v>45662</v>
      </c>
    </row>
    <row r="2662" customFormat="false" ht="15" hidden="false" customHeight="false" outlineLevel="0" collapsed="false">
      <c r="A2662" s="2" t="s">
        <v>11747</v>
      </c>
      <c r="B2662" s="2" t="s">
        <v>7525</v>
      </c>
      <c r="C2662" s="2" t="s">
        <v>9083</v>
      </c>
      <c r="D2662" s="2" t="n">
        <v>239.57</v>
      </c>
      <c r="E2662" s="13" t="n">
        <v>45669</v>
      </c>
    </row>
    <row r="2663" customFormat="false" ht="15" hidden="false" customHeight="false" outlineLevel="0" collapsed="false">
      <c r="A2663" s="2" t="s">
        <v>11748</v>
      </c>
      <c r="B2663" s="2" t="s">
        <v>7527</v>
      </c>
      <c r="C2663" s="2" t="s">
        <v>9098</v>
      </c>
      <c r="D2663" s="2" t="n">
        <v>239.94</v>
      </c>
      <c r="E2663" s="13" t="n">
        <v>45676</v>
      </c>
    </row>
    <row r="2664" customFormat="false" ht="15" hidden="false" customHeight="false" outlineLevel="0" collapsed="false">
      <c r="A2664" s="2" t="s">
        <v>11749</v>
      </c>
      <c r="B2664" s="2" t="s">
        <v>7529</v>
      </c>
      <c r="C2664" s="2" t="s">
        <v>9083</v>
      </c>
      <c r="D2664" s="2" t="n">
        <v>240.31</v>
      </c>
      <c r="E2664" s="13" t="n">
        <v>45683</v>
      </c>
    </row>
    <row r="2665" customFormat="false" ht="15" hidden="false" customHeight="false" outlineLevel="0" collapsed="false">
      <c r="A2665" s="2" t="s">
        <v>11750</v>
      </c>
      <c r="B2665" s="2" t="s">
        <v>7531</v>
      </c>
      <c r="C2665" s="2" t="s">
        <v>9098</v>
      </c>
      <c r="D2665" s="2" t="n">
        <v>240.68</v>
      </c>
      <c r="E2665" s="13" t="n">
        <v>45690</v>
      </c>
    </row>
    <row r="2666" customFormat="false" ht="15" hidden="false" customHeight="false" outlineLevel="0" collapsed="false">
      <c r="A2666" s="2" t="s">
        <v>11751</v>
      </c>
      <c r="B2666" s="2" t="s">
        <v>7533</v>
      </c>
      <c r="C2666" s="2" t="s">
        <v>9083</v>
      </c>
      <c r="D2666" s="2" t="n">
        <v>241.05</v>
      </c>
      <c r="E2666" s="13" t="n">
        <v>45697</v>
      </c>
    </row>
    <row r="2667" customFormat="false" ht="15" hidden="false" customHeight="false" outlineLevel="0" collapsed="false">
      <c r="A2667" s="2" t="s">
        <v>11752</v>
      </c>
      <c r="B2667" s="2" t="s">
        <v>7535</v>
      </c>
      <c r="C2667" s="2" t="s">
        <v>9092</v>
      </c>
      <c r="D2667" s="2" t="n">
        <v>241.42</v>
      </c>
      <c r="E2667" s="13" t="n">
        <v>45704</v>
      </c>
    </row>
    <row r="2668" customFormat="false" ht="15" hidden="false" customHeight="false" outlineLevel="0" collapsed="false">
      <c r="A2668" s="2" t="s">
        <v>11753</v>
      </c>
      <c r="B2668" s="2" t="s">
        <v>7537</v>
      </c>
      <c r="C2668" s="2" t="s">
        <v>9083</v>
      </c>
      <c r="D2668" s="2" t="n">
        <v>241.79</v>
      </c>
      <c r="E2668" s="13" t="n">
        <v>45711</v>
      </c>
    </row>
    <row r="2669" customFormat="false" ht="15" hidden="false" customHeight="false" outlineLevel="0" collapsed="false">
      <c r="A2669" s="2" t="s">
        <v>11754</v>
      </c>
      <c r="B2669" s="2" t="s">
        <v>7539</v>
      </c>
      <c r="C2669" s="2" t="s">
        <v>9098</v>
      </c>
      <c r="D2669" s="2" t="n">
        <v>242.16</v>
      </c>
      <c r="E2669" s="13" t="n">
        <v>45718</v>
      </c>
    </row>
    <row r="2670" customFormat="false" ht="15" hidden="false" customHeight="false" outlineLevel="0" collapsed="false">
      <c r="A2670" s="2" t="s">
        <v>11755</v>
      </c>
      <c r="B2670" s="2" t="s">
        <v>7541</v>
      </c>
      <c r="C2670" s="2" t="s">
        <v>9085</v>
      </c>
      <c r="D2670" s="2" t="n">
        <v>242.53</v>
      </c>
      <c r="E2670" s="13" t="n">
        <v>45725</v>
      </c>
    </row>
    <row r="2671" customFormat="false" ht="15" hidden="false" customHeight="false" outlineLevel="0" collapsed="false">
      <c r="A2671" s="2" t="s">
        <v>11756</v>
      </c>
      <c r="B2671" s="2" t="s">
        <v>7545</v>
      </c>
      <c r="C2671" s="2" t="s">
        <v>9092</v>
      </c>
      <c r="D2671" s="2" t="n">
        <v>242.9</v>
      </c>
      <c r="E2671" s="13" t="n">
        <v>45732</v>
      </c>
    </row>
    <row r="2672" customFormat="false" ht="15" hidden="false" customHeight="false" outlineLevel="0" collapsed="false">
      <c r="A2672" s="2" t="s">
        <v>11757</v>
      </c>
      <c r="B2672" s="2" t="s">
        <v>7547</v>
      </c>
      <c r="C2672" s="2" t="s">
        <v>9087</v>
      </c>
      <c r="D2672" s="2" t="n">
        <v>243.27</v>
      </c>
      <c r="E2672" s="13" t="n">
        <v>45739</v>
      </c>
    </row>
    <row r="2673" customFormat="false" ht="15" hidden="false" customHeight="false" outlineLevel="0" collapsed="false">
      <c r="A2673" s="2" t="s">
        <v>11758</v>
      </c>
      <c r="B2673" s="2" t="s">
        <v>7549</v>
      </c>
      <c r="C2673" s="2" t="s">
        <v>9092</v>
      </c>
      <c r="D2673" s="2" t="n">
        <v>243.64</v>
      </c>
      <c r="E2673" s="13" t="n">
        <v>45746</v>
      </c>
    </row>
    <row r="2674" customFormat="false" ht="15" hidden="false" customHeight="false" outlineLevel="0" collapsed="false">
      <c r="A2674" s="2" t="s">
        <v>11759</v>
      </c>
      <c r="B2674" s="2" t="s">
        <v>7551</v>
      </c>
      <c r="C2674" s="2" t="s">
        <v>9098</v>
      </c>
      <c r="D2674" s="2" t="n">
        <v>244.01</v>
      </c>
      <c r="E2674" s="13" t="n">
        <v>45753</v>
      </c>
    </row>
    <row r="2675" customFormat="false" ht="15" hidden="false" customHeight="false" outlineLevel="0" collapsed="false">
      <c r="A2675" s="2" t="s">
        <v>11760</v>
      </c>
      <c r="B2675" s="2" t="s">
        <v>7553</v>
      </c>
      <c r="C2675" s="2" t="s">
        <v>9087</v>
      </c>
      <c r="D2675" s="2" t="n">
        <v>244.38</v>
      </c>
      <c r="E2675" s="13" t="n">
        <v>45760</v>
      </c>
    </row>
    <row r="2676" customFormat="false" ht="15" hidden="false" customHeight="false" outlineLevel="0" collapsed="false">
      <c r="A2676" s="2" t="s">
        <v>11761</v>
      </c>
      <c r="B2676" s="2" t="s">
        <v>7555</v>
      </c>
      <c r="C2676" s="2" t="s">
        <v>9083</v>
      </c>
      <c r="D2676" s="2" t="n">
        <v>244.75</v>
      </c>
      <c r="E2676" s="13" t="n">
        <v>45767</v>
      </c>
    </row>
    <row r="2677" customFormat="false" ht="15" hidden="false" customHeight="false" outlineLevel="0" collapsed="false">
      <c r="A2677" s="2" t="s">
        <v>11762</v>
      </c>
      <c r="B2677" s="2" t="s">
        <v>7557</v>
      </c>
      <c r="C2677" s="2" t="s">
        <v>9085</v>
      </c>
      <c r="D2677" s="2" t="n">
        <v>245.12</v>
      </c>
      <c r="E2677" s="13" t="n">
        <v>45774</v>
      </c>
    </row>
    <row r="2678" customFormat="false" ht="15" hidden="false" customHeight="false" outlineLevel="0" collapsed="false">
      <c r="A2678" s="2" t="s">
        <v>11763</v>
      </c>
      <c r="B2678" s="2" t="s">
        <v>7559</v>
      </c>
      <c r="C2678" s="2" t="s">
        <v>9083</v>
      </c>
      <c r="D2678" s="2" t="n">
        <v>245.49</v>
      </c>
      <c r="E2678" s="13" t="n">
        <v>45781</v>
      </c>
    </row>
    <row r="2679" customFormat="false" ht="15" hidden="false" customHeight="false" outlineLevel="0" collapsed="false">
      <c r="A2679" s="2" t="s">
        <v>11764</v>
      </c>
      <c r="B2679" s="2" t="s">
        <v>7561</v>
      </c>
      <c r="C2679" s="2" t="s">
        <v>9087</v>
      </c>
      <c r="D2679" s="2" t="n">
        <v>245.86</v>
      </c>
      <c r="E2679" s="13" t="n">
        <v>45788</v>
      </c>
    </row>
    <row r="2680" customFormat="false" ht="15" hidden="false" customHeight="false" outlineLevel="0" collapsed="false">
      <c r="A2680" s="2" t="s">
        <v>11765</v>
      </c>
      <c r="B2680" s="2" t="s">
        <v>7563</v>
      </c>
      <c r="C2680" s="2" t="s">
        <v>9085</v>
      </c>
      <c r="D2680" s="2" t="n">
        <v>246.23</v>
      </c>
      <c r="E2680" s="13" t="n">
        <v>45795</v>
      </c>
    </row>
    <row r="2681" customFormat="false" ht="15" hidden="false" customHeight="false" outlineLevel="0" collapsed="false">
      <c r="A2681" s="2" t="s">
        <v>11766</v>
      </c>
      <c r="B2681" s="2" t="s">
        <v>7565</v>
      </c>
      <c r="C2681" s="2" t="s">
        <v>9083</v>
      </c>
      <c r="D2681" s="2" t="n">
        <v>246.6</v>
      </c>
      <c r="E2681" s="13" t="n">
        <v>45802</v>
      </c>
    </row>
    <row r="2682" customFormat="false" ht="15" hidden="false" customHeight="false" outlineLevel="0" collapsed="false">
      <c r="A2682" s="2" t="s">
        <v>11767</v>
      </c>
      <c r="B2682" s="2" t="s">
        <v>7567</v>
      </c>
      <c r="C2682" s="2" t="s">
        <v>9085</v>
      </c>
      <c r="D2682" s="2" t="n">
        <v>246.97</v>
      </c>
      <c r="E2682" s="13" t="n">
        <v>45809</v>
      </c>
    </row>
    <row r="2683" customFormat="false" ht="15" hidden="false" customHeight="false" outlineLevel="0" collapsed="false">
      <c r="A2683" s="2" t="s">
        <v>11768</v>
      </c>
      <c r="B2683" s="2" t="s">
        <v>7569</v>
      </c>
      <c r="C2683" s="2" t="s">
        <v>9083</v>
      </c>
      <c r="D2683" s="2" t="n">
        <v>247.34</v>
      </c>
      <c r="E2683" s="13" t="n">
        <v>45816</v>
      </c>
    </row>
    <row r="2684" customFormat="false" ht="15" hidden="false" customHeight="false" outlineLevel="0" collapsed="false">
      <c r="A2684" s="2" t="s">
        <v>11769</v>
      </c>
      <c r="B2684" s="2" t="s">
        <v>7571</v>
      </c>
      <c r="C2684" s="2" t="s">
        <v>9083</v>
      </c>
      <c r="D2684" s="2" t="n">
        <v>247.71</v>
      </c>
      <c r="E2684" s="13" t="n">
        <v>45823</v>
      </c>
    </row>
    <row r="2685" customFormat="false" ht="15" hidden="false" customHeight="false" outlineLevel="0" collapsed="false">
      <c r="A2685" s="2" t="s">
        <v>11770</v>
      </c>
      <c r="B2685" s="2" t="s">
        <v>7573</v>
      </c>
      <c r="C2685" s="2" t="s">
        <v>9098</v>
      </c>
      <c r="D2685" s="2" t="n">
        <v>248.08</v>
      </c>
      <c r="E2685" s="13" t="n">
        <v>45830</v>
      </c>
    </row>
    <row r="2686" customFormat="false" ht="15" hidden="false" customHeight="false" outlineLevel="0" collapsed="false">
      <c r="A2686" s="2" t="s">
        <v>11771</v>
      </c>
      <c r="B2686" s="2" t="s">
        <v>7577</v>
      </c>
      <c r="C2686" s="2" t="s">
        <v>9085</v>
      </c>
      <c r="D2686" s="2" t="n">
        <v>248.45</v>
      </c>
      <c r="E2686" s="13" t="n">
        <v>45837</v>
      </c>
    </row>
    <row r="2687" customFormat="false" ht="15" hidden="false" customHeight="false" outlineLevel="0" collapsed="false">
      <c r="A2687" s="2" t="s">
        <v>11772</v>
      </c>
      <c r="B2687" s="2" t="s">
        <v>7579</v>
      </c>
      <c r="C2687" s="2" t="s">
        <v>9087</v>
      </c>
      <c r="D2687" s="2" t="n">
        <v>248.82</v>
      </c>
      <c r="E2687" s="13" t="n">
        <v>45844</v>
      </c>
    </row>
    <row r="2688" customFormat="false" ht="15" hidden="false" customHeight="false" outlineLevel="0" collapsed="false">
      <c r="A2688" s="2" t="s">
        <v>11773</v>
      </c>
      <c r="B2688" s="2" t="s">
        <v>7581</v>
      </c>
      <c r="C2688" s="2" t="s">
        <v>9083</v>
      </c>
      <c r="D2688" s="2" t="n">
        <v>249.19</v>
      </c>
      <c r="E2688" s="13" t="n">
        <v>45851</v>
      </c>
    </row>
    <row r="2689" customFormat="false" ht="15" hidden="false" customHeight="false" outlineLevel="0" collapsed="false">
      <c r="A2689" s="2" t="s">
        <v>11774</v>
      </c>
      <c r="B2689" s="2" t="s">
        <v>7583</v>
      </c>
      <c r="C2689" s="2" t="s">
        <v>9087</v>
      </c>
      <c r="D2689" s="2" t="n">
        <v>249.56</v>
      </c>
      <c r="E2689" s="13" t="n">
        <v>45858</v>
      </c>
    </row>
    <row r="2690" customFormat="false" ht="15" hidden="false" customHeight="false" outlineLevel="0" collapsed="false">
      <c r="A2690" s="2" t="s">
        <v>11775</v>
      </c>
      <c r="B2690" s="2" t="s">
        <v>7585</v>
      </c>
      <c r="C2690" s="2" t="s">
        <v>9092</v>
      </c>
      <c r="D2690" s="2" t="n">
        <v>249.93</v>
      </c>
      <c r="E2690" s="13" t="n">
        <v>45865</v>
      </c>
    </row>
    <row r="2691" customFormat="false" ht="15" hidden="false" customHeight="false" outlineLevel="0" collapsed="false">
      <c r="A2691" s="2" t="s">
        <v>11776</v>
      </c>
      <c r="B2691" s="2" t="s">
        <v>7587</v>
      </c>
      <c r="C2691" s="2" t="s">
        <v>9085</v>
      </c>
      <c r="D2691" s="2" t="n">
        <v>250.3</v>
      </c>
      <c r="E2691" s="13" t="n">
        <v>45872</v>
      </c>
    </row>
    <row r="2692" customFormat="false" ht="15" hidden="false" customHeight="false" outlineLevel="0" collapsed="false">
      <c r="A2692" s="2" t="s">
        <v>11777</v>
      </c>
      <c r="B2692" s="2" t="s">
        <v>7589</v>
      </c>
      <c r="C2692" s="2" t="s">
        <v>9083</v>
      </c>
      <c r="D2692" s="2" t="n">
        <v>250.67</v>
      </c>
      <c r="E2692" s="13" t="n">
        <v>45879</v>
      </c>
    </row>
    <row r="2693" customFormat="false" ht="15" hidden="false" customHeight="false" outlineLevel="0" collapsed="false">
      <c r="A2693" s="2" t="s">
        <v>11778</v>
      </c>
      <c r="B2693" s="2" t="s">
        <v>7591</v>
      </c>
      <c r="C2693" s="2" t="s">
        <v>9087</v>
      </c>
      <c r="D2693" s="2" t="n">
        <v>251.04</v>
      </c>
      <c r="E2693" s="13" t="n">
        <v>45886</v>
      </c>
    </row>
    <row r="2694" customFormat="false" ht="15" hidden="false" customHeight="false" outlineLevel="0" collapsed="false">
      <c r="A2694" s="2" t="s">
        <v>11779</v>
      </c>
      <c r="B2694" s="2" t="s">
        <v>7593</v>
      </c>
      <c r="C2694" s="2" t="s">
        <v>9085</v>
      </c>
      <c r="D2694" s="2" t="n">
        <v>251.41</v>
      </c>
      <c r="E2694" s="13" t="n">
        <v>45893</v>
      </c>
    </row>
    <row r="2695" customFormat="false" ht="15" hidden="false" customHeight="false" outlineLevel="0" collapsed="false">
      <c r="A2695" s="2" t="s">
        <v>11780</v>
      </c>
      <c r="B2695" s="2" t="s">
        <v>7597</v>
      </c>
      <c r="C2695" s="2" t="s">
        <v>9085</v>
      </c>
      <c r="D2695" s="2" t="n">
        <v>251.78</v>
      </c>
      <c r="E2695" s="13" t="n">
        <v>45900</v>
      </c>
    </row>
    <row r="2696" customFormat="false" ht="15" hidden="false" customHeight="false" outlineLevel="0" collapsed="false">
      <c r="A2696" s="2" t="s">
        <v>11781</v>
      </c>
      <c r="B2696" s="2" t="s">
        <v>7599</v>
      </c>
      <c r="C2696" s="2" t="s">
        <v>9087</v>
      </c>
      <c r="D2696" s="2" t="n">
        <v>252.15</v>
      </c>
      <c r="E2696" s="13" t="n">
        <v>45907</v>
      </c>
    </row>
    <row r="2697" customFormat="false" ht="15" hidden="false" customHeight="false" outlineLevel="0" collapsed="false">
      <c r="A2697" s="2" t="s">
        <v>11782</v>
      </c>
      <c r="B2697" s="2" t="s">
        <v>7601</v>
      </c>
      <c r="C2697" s="2" t="s">
        <v>9085</v>
      </c>
      <c r="D2697" s="2" t="n">
        <v>252.52</v>
      </c>
      <c r="E2697" s="13" t="n">
        <v>45914</v>
      </c>
    </row>
    <row r="2698" customFormat="false" ht="15" hidden="false" customHeight="false" outlineLevel="0" collapsed="false">
      <c r="A2698" s="2" t="s">
        <v>11783</v>
      </c>
      <c r="B2698" s="2" t="s">
        <v>7603</v>
      </c>
      <c r="C2698" s="2" t="s">
        <v>9083</v>
      </c>
      <c r="D2698" s="2" t="n">
        <v>252.89</v>
      </c>
      <c r="E2698" s="13" t="n">
        <v>45921</v>
      </c>
    </row>
    <row r="2699" customFormat="false" ht="15" hidden="false" customHeight="false" outlineLevel="0" collapsed="false">
      <c r="A2699" s="2" t="s">
        <v>11784</v>
      </c>
      <c r="B2699" s="2" t="s">
        <v>7605</v>
      </c>
      <c r="C2699" s="2" t="s">
        <v>9083</v>
      </c>
      <c r="D2699" s="2" t="n">
        <v>253.26</v>
      </c>
      <c r="E2699" s="13" t="n">
        <v>45928</v>
      </c>
    </row>
    <row r="2700" customFormat="false" ht="15" hidden="false" customHeight="false" outlineLevel="0" collapsed="false">
      <c r="A2700" s="2" t="s">
        <v>11785</v>
      </c>
      <c r="B2700" s="2" t="s">
        <v>7607</v>
      </c>
      <c r="C2700" s="2" t="s">
        <v>9098</v>
      </c>
      <c r="D2700" s="2" t="n">
        <v>253.63</v>
      </c>
      <c r="E2700" s="13" t="n">
        <v>45935</v>
      </c>
    </row>
    <row r="2701" customFormat="false" ht="15" hidden="false" customHeight="false" outlineLevel="0" collapsed="false">
      <c r="A2701" s="2" t="s">
        <v>11786</v>
      </c>
      <c r="B2701" s="2" t="s">
        <v>7609</v>
      </c>
      <c r="C2701" s="2" t="s">
        <v>9087</v>
      </c>
      <c r="D2701" s="2" t="n">
        <v>254</v>
      </c>
      <c r="E2701" s="13" t="n">
        <v>45942</v>
      </c>
    </row>
    <row r="2702" customFormat="false" ht="15" hidden="false" customHeight="false" outlineLevel="0" collapsed="false">
      <c r="A2702" s="2" t="s">
        <v>11787</v>
      </c>
      <c r="B2702" s="2" t="s">
        <v>7611</v>
      </c>
      <c r="C2702" s="2" t="s">
        <v>9087</v>
      </c>
      <c r="D2702" s="2" t="n">
        <v>254.37</v>
      </c>
      <c r="E2702" s="13" t="n">
        <v>45949</v>
      </c>
    </row>
    <row r="2703" customFormat="false" ht="15" hidden="false" customHeight="false" outlineLevel="0" collapsed="false">
      <c r="A2703" s="2" t="s">
        <v>11788</v>
      </c>
      <c r="B2703" s="2" t="s">
        <v>7613</v>
      </c>
      <c r="C2703" s="2" t="s">
        <v>9092</v>
      </c>
      <c r="D2703" s="2" t="n">
        <v>254.74</v>
      </c>
      <c r="E2703" s="13" t="n">
        <v>45956</v>
      </c>
    </row>
    <row r="2704" customFormat="false" ht="15" hidden="false" customHeight="false" outlineLevel="0" collapsed="false">
      <c r="A2704" s="2" t="s">
        <v>11789</v>
      </c>
      <c r="B2704" s="2" t="s">
        <v>7615</v>
      </c>
      <c r="C2704" s="2" t="s">
        <v>9085</v>
      </c>
      <c r="D2704" s="2" t="n">
        <v>5.11</v>
      </c>
      <c r="E2704" s="13" t="n">
        <v>45963</v>
      </c>
    </row>
    <row r="2705" customFormat="false" ht="15" hidden="false" customHeight="false" outlineLevel="0" collapsed="false">
      <c r="A2705" s="2" t="s">
        <v>11790</v>
      </c>
      <c r="B2705" s="2" t="s">
        <v>7617</v>
      </c>
      <c r="C2705" s="2" t="s">
        <v>9085</v>
      </c>
      <c r="D2705" s="2" t="n">
        <v>5.48</v>
      </c>
      <c r="E2705" s="13" t="n">
        <v>45970</v>
      </c>
    </row>
    <row r="2706" customFormat="false" ht="15" hidden="false" customHeight="false" outlineLevel="0" collapsed="false">
      <c r="A2706" s="2" t="s">
        <v>11791</v>
      </c>
      <c r="B2706" s="2" t="s">
        <v>7619</v>
      </c>
      <c r="C2706" s="2" t="s">
        <v>9085</v>
      </c>
      <c r="D2706" s="2" t="n">
        <v>5.85</v>
      </c>
      <c r="E2706" s="13" t="n">
        <v>45977</v>
      </c>
    </row>
    <row r="2707" customFormat="false" ht="15" hidden="false" customHeight="false" outlineLevel="0" collapsed="false">
      <c r="A2707" s="2" t="s">
        <v>11792</v>
      </c>
      <c r="B2707" s="2" t="s">
        <v>7621</v>
      </c>
      <c r="C2707" s="2" t="s">
        <v>9085</v>
      </c>
      <c r="D2707" s="2" t="n">
        <v>6.22</v>
      </c>
      <c r="E2707" s="13" t="n">
        <v>45984</v>
      </c>
    </row>
    <row r="2708" customFormat="false" ht="15" hidden="false" customHeight="false" outlineLevel="0" collapsed="false">
      <c r="A2708" s="2" t="s">
        <v>11793</v>
      </c>
      <c r="B2708" s="2" t="s">
        <v>7623</v>
      </c>
      <c r="C2708" s="2" t="s">
        <v>9098</v>
      </c>
      <c r="D2708" s="2" t="n">
        <v>6.59</v>
      </c>
      <c r="E2708" s="13" t="n">
        <v>45991</v>
      </c>
    </row>
    <row r="2709" customFormat="false" ht="15" hidden="false" customHeight="false" outlineLevel="0" collapsed="false">
      <c r="A2709" s="2" t="s">
        <v>11794</v>
      </c>
      <c r="B2709" s="2" t="s">
        <v>7625</v>
      </c>
      <c r="C2709" s="2" t="s">
        <v>9085</v>
      </c>
      <c r="D2709" s="2" t="n">
        <v>6.96</v>
      </c>
      <c r="E2709" s="13" t="n">
        <v>45998</v>
      </c>
    </row>
    <row r="2710" customFormat="false" ht="15" hidden="false" customHeight="false" outlineLevel="0" collapsed="false">
      <c r="A2710" s="2" t="s">
        <v>11795</v>
      </c>
      <c r="B2710" s="2" t="s">
        <v>7627</v>
      </c>
      <c r="C2710" s="2" t="s">
        <v>9085</v>
      </c>
      <c r="D2710" s="2" t="n">
        <v>7.33</v>
      </c>
      <c r="E2710" s="13" t="n">
        <v>46005</v>
      </c>
    </row>
    <row r="2711" customFormat="false" ht="15" hidden="false" customHeight="false" outlineLevel="0" collapsed="false">
      <c r="A2711" s="2" t="s">
        <v>11796</v>
      </c>
      <c r="B2711" s="2" t="s">
        <v>7629</v>
      </c>
      <c r="C2711" s="2" t="s">
        <v>9087</v>
      </c>
      <c r="D2711" s="2" t="n">
        <v>7.7</v>
      </c>
      <c r="E2711" s="13" t="n">
        <v>46012</v>
      </c>
    </row>
    <row r="2712" customFormat="false" ht="15" hidden="false" customHeight="false" outlineLevel="0" collapsed="false">
      <c r="A2712" s="2" t="s">
        <v>11797</v>
      </c>
      <c r="B2712" s="2" t="s">
        <v>7631</v>
      </c>
      <c r="C2712" s="2" t="s">
        <v>9092</v>
      </c>
      <c r="D2712" s="2" t="n">
        <v>8.07</v>
      </c>
      <c r="E2712" s="13" t="n">
        <v>46019</v>
      </c>
    </row>
    <row r="2713" customFormat="false" ht="15" hidden="false" customHeight="false" outlineLevel="0" collapsed="false">
      <c r="A2713" s="2" t="s">
        <v>11798</v>
      </c>
      <c r="B2713" s="2" t="s">
        <v>7635</v>
      </c>
      <c r="C2713" s="2" t="s">
        <v>9083</v>
      </c>
      <c r="D2713" s="2" t="n">
        <v>8.44</v>
      </c>
      <c r="E2713" s="13" t="n">
        <v>45296</v>
      </c>
    </row>
    <row r="2714" customFormat="false" ht="15" hidden="false" customHeight="false" outlineLevel="0" collapsed="false">
      <c r="A2714" s="2" t="s">
        <v>11799</v>
      </c>
      <c r="B2714" s="2" t="s">
        <v>7637</v>
      </c>
      <c r="C2714" s="2" t="s">
        <v>9098</v>
      </c>
      <c r="D2714" s="2" t="n">
        <v>8.81</v>
      </c>
      <c r="E2714" s="13" t="n">
        <v>45303</v>
      </c>
    </row>
    <row r="2715" customFormat="false" ht="15" hidden="false" customHeight="false" outlineLevel="0" collapsed="false">
      <c r="A2715" s="2" t="s">
        <v>11800</v>
      </c>
      <c r="B2715" s="2" t="s">
        <v>7639</v>
      </c>
      <c r="C2715" s="2" t="s">
        <v>9098</v>
      </c>
      <c r="D2715" s="2" t="n">
        <v>9.18</v>
      </c>
      <c r="E2715" s="13" t="n">
        <v>45310</v>
      </c>
    </row>
    <row r="2716" customFormat="false" ht="15" hidden="false" customHeight="false" outlineLevel="0" collapsed="false">
      <c r="A2716" s="2" t="s">
        <v>11801</v>
      </c>
      <c r="B2716" s="2" t="s">
        <v>7641</v>
      </c>
      <c r="C2716" s="2" t="s">
        <v>9087</v>
      </c>
      <c r="D2716" s="2" t="n">
        <v>9.55</v>
      </c>
      <c r="E2716" s="13" t="n">
        <v>45317</v>
      </c>
    </row>
    <row r="2717" customFormat="false" ht="15" hidden="false" customHeight="false" outlineLevel="0" collapsed="false">
      <c r="A2717" s="2" t="s">
        <v>11802</v>
      </c>
      <c r="B2717" s="2" t="s">
        <v>7643</v>
      </c>
      <c r="C2717" s="2" t="s">
        <v>9083</v>
      </c>
      <c r="D2717" s="2" t="n">
        <v>9.92</v>
      </c>
      <c r="E2717" s="13" t="n">
        <v>45324</v>
      </c>
    </row>
    <row r="2718" customFormat="false" ht="15" hidden="false" customHeight="false" outlineLevel="0" collapsed="false">
      <c r="A2718" s="2" t="s">
        <v>11803</v>
      </c>
      <c r="B2718" s="2" t="s">
        <v>7645</v>
      </c>
      <c r="C2718" s="2" t="s">
        <v>9085</v>
      </c>
      <c r="D2718" s="2" t="n">
        <v>10.29</v>
      </c>
      <c r="E2718" s="13" t="n">
        <v>45331</v>
      </c>
    </row>
    <row r="2719" customFormat="false" ht="15" hidden="false" customHeight="false" outlineLevel="0" collapsed="false">
      <c r="A2719" s="2" t="s">
        <v>11804</v>
      </c>
      <c r="B2719" s="2" t="s">
        <v>7647</v>
      </c>
      <c r="C2719" s="2" t="s">
        <v>9098</v>
      </c>
      <c r="D2719" s="2" t="n">
        <v>10.66</v>
      </c>
      <c r="E2719" s="13" t="n">
        <v>45338</v>
      </c>
    </row>
    <row r="2720" customFormat="false" ht="15" hidden="false" customHeight="false" outlineLevel="0" collapsed="false">
      <c r="A2720" s="2" t="s">
        <v>11805</v>
      </c>
      <c r="B2720" s="2" t="s">
        <v>7649</v>
      </c>
      <c r="C2720" s="2" t="s">
        <v>9098</v>
      </c>
      <c r="D2720" s="2" t="n">
        <v>11.03</v>
      </c>
      <c r="E2720" s="13" t="n">
        <v>45345</v>
      </c>
    </row>
    <row r="2721" customFormat="false" ht="15" hidden="false" customHeight="false" outlineLevel="0" collapsed="false">
      <c r="A2721" s="2" t="s">
        <v>11806</v>
      </c>
      <c r="B2721" s="2" t="s">
        <v>7651</v>
      </c>
      <c r="C2721" s="2" t="s">
        <v>9087</v>
      </c>
      <c r="D2721" s="2" t="n">
        <v>11.4</v>
      </c>
      <c r="E2721" s="13" t="n">
        <v>45352</v>
      </c>
    </row>
    <row r="2722" customFormat="false" ht="15" hidden="false" customHeight="false" outlineLevel="0" collapsed="false">
      <c r="A2722" s="2" t="s">
        <v>11807</v>
      </c>
      <c r="B2722" s="2" t="s">
        <v>7653</v>
      </c>
      <c r="C2722" s="2" t="s">
        <v>9087</v>
      </c>
      <c r="D2722" s="2" t="n">
        <v>11.77</v>
      </c>
      <c r="E2722" s="13" t="n">
        <v>45359</v>
      </c>
    </row>
    <row r="2723" customFormat="false" ht="15" hidden="false" customHeight="false" outlineLevel="0" collapsed="false">
      <c r="A2723" s="2" t="s">
        <v>11808</v>
      </c>
      <c r="B2723" s="2" t="s">
        <v>7655</v>
      </c>
      <c r="C2723" s="2" t="s">
        <v>9083</v>
      </c>
      <c r="D2723" s="2" t="n">
        <v>12.14</v>
      </c>
      <c r="E2723" s="13" t="n">
        <v>45366</v>
      </c>
    </row>
    <row r="2724" customFormat="false" ht="15" hidden="false" customHeight="false" outlineLevel="0" collapsed="false">
      <c r="A2724" s="2" t="s">
        <v>11809</v>
      </c>
      <c r="B2724" s="2" t="s">
        <v>7657</v>
      </c>
      <c r="C2724" s="2" t="s">
        <v>9087</v>
      </c>
      <c r="D2724" s="2" t="n">
        <v>12.51</v>
      </c>
      <c r="E2724" s="13" t="n">
        <v>45373</v>
      </c>
    </row>
    <row r="2725" customFormat="false" ht="15" hidden="false" customHeight="false" outlineLevel="0" collapsed="false">
      <c r="A2725" s="2" t="s">
        <v>11810</v>
      </c>
      <c r="B2725" s="2" t="s">
        <v>7659</v>
      </c>
      <c r="C2725" s="2" t="s">
        <v>9092</v>
      </c>
      <c r="D2725" s="2" t="n">
        <v>12.88</v>
      </c>
      <c r="E2725" s="13" t="n">
        <v>45380</v>
      </c>
    </row>
    <row r="2726" customFormat="false" ht="15" hidden="false" customHeight="false" outlineLevel="0" collapsed="false">
      <c r="A2726" s="2" t="s">
        <v>11811</v>
      </c>
      <c r="B2726" s="2" t="s">
        <v>7661</v>
      </c>
      <c r="C2726" s="2" t="s">
        <v>9083</v>
      </c>
      <c r="D2726" s="2" t="n">
        <v>13.25</v>
      </c>
      <c r="E2726" s="13" t="n">
        <v>45387</v>
      </c>
    </row>
    <row r="2727" customFormat="false" ht="15" hidden="false" customHeight="false" outlineLevel="0" collapsed="false">
      <c r="A2727" s="2" t="s">
        <v>11812</v>
      </c>
      <c r="B2727" s="2" t="s">
        <v>7665</v>
      </c>
      <c r="C2727" s="2" t="s">
        <v>9087</v>
      </c>
      <c r="D2727" s="2" t="n">
        <v>13.62</v>
      </c>
      <c r="E2727" s="13" t="n">
        <v>45394</v>
      </c>
    </row>
    <row r="2728" customFormat="false" ht="15" hidden="false" customHeight="false" outlineLevel="0" collapsed="false">
      <c r="A2728" s="2" t="s">
        <v>11813</v>
      </c>
      <c r="B2728" s="2" t="s">
        <v>7667</v>
      </c>
      <c r="C2728" s="2" t="s">
        <v>9087</v>
      </c>
      <c r="D2728" s="2" t="n">
        <v>13.99</v>
      </c>
      <c r="E2728" s="13" t="n">
        <v>45401</v>
      </c>
    </row>
    <row r="2729" customFormat="false" ht="15" hidden="false" customHeight="false" outlineLevel="0" collapsed="false">
      <c r="A2729" s="2" t="s">
        <v>11814</v>
      </c>
      <c r="B2729" s="2" t="s">
        <v>7669</v>
      </c>
      <c r="C2729" s="2" t="s">
        <v>9083</v>
      </c>
      <c r="D2729" s="2" t="n">
        <v>14.36</v>
      </c>
      <c r="E2729" s="13" t="n">
        <v>45408</v>
      </c>
    </row>
    <row r="2730" customFormat="false" ht="15" hidden="false" customHeight="false" outlineLevel="0" collapsed="false">
      <c r="A2730" s="2" t="s">
        <v>11815</v>
      </c>
      <c r="B2730" s="2" t="s">
        <v>7671</v>
      </c>
      <c r="C2730" s="2" t="s">
        <v>9092</v>
      </c>
      <c r="D2730" s="2" t="n">
        <v>14.73</v>
      </c>
      <c r="E2730" s="13" t="n">
        <v>45415</v>
      </c>
    </row>
    <row r="2731" customFormat="false" ht="15" hidden="false" customHeight="false" outlineLevel="0" collapsed="false">
      <c r="A2731" s="2" t="s">
        <v>11816</v>
      </c>
      <c r="B2731" s="2" t="s">
        <v>7673</v>
      </c>
      <c r="C2731" s="2" t="s">
        <v>9085</v>
      </c>
      <c r="D2731" s="2" t="n">
        <v>15.1</v>
      </c>
      <c r="E2731" s="13" t="n">
        <v>45422</v>
      </c>
    </row>
    <row r="2732" customFormat="false" ht="15" hidden="false" customHeight="false" outlineLevel="0" collapsed="false">
      <c r="A2732" s="2" t="s">
        <v>11817</v>
      </c>
      <c r="B2732" s="2" t="s">
        <v>7675</v>
      </c>
      <c r="C2732" s="2" t="s">
        <v>9098</v>
      </c>
      <c r="D2732" s="2" t="n">
        <v>15.47</v>
      </c>
      <c r="E2732" s="13" t="n">
        <v>45429</v>
      </c>
    </row>
    <row r="2733" customFormat="false" ht="15" hidden="false" customHeight="false" outlineLevel="0" collapsed="false">
      <c r="A2733" s="2" t="s">
        <v>11818</v>
      </c>
      <c r="B2733" s="2" t="s">
        <v>7677</v>
      </c>
      <c r="C2733" s="2" t="s">
        <v>9085</v>
      </c>
      <c r="D2733" s="2" t="n">
        <v>15.84</v>
      </c>
      <c r="E2733" s="13" t="n">
        <v>45436</v>
      </c>
    </row>
    <row r="2734" customFormat="false" ht="15" hidden="false" customHeight="false" outlineLevel="0" collapsed="false">
      <c r="A2734" s="2" t="s">
        <v>11819</v>
      </c>
      <c r="B2734" s="2" t="s">
        <v>7679</v>
      </c>
      <c r="C2734" s="2" t="s">
        <v>9092</v>
      </c>
      <c r="D2734" s="2" t="n">
        <v>16.21</v>
      </c>
      <c r="E2734" s="13" t="n">
        <v>45443</v>
      </c>
    </row>
    <row r="2735" customFormat="false" ht="15" hidden="false" customHeight="false" outlineLevel="0" collapsed="false">
      <c r="A2735" s="2" t="s">
        <v>11820</v>
      </c>
      <c r="B2735" s="2" t="s">
        <v>7681</v>
      </c>
      <c r="C2735" s="2" t="s">
        <v>9098</v>
      </c>
      <c r="D2735" s="2" t="n">
        <v>16.58</v>
      </c>
      <c r="E2735" s="13" t="n">
        <v>45450</v>
      </c>
    </row>
    <row r="2736" customFormat="false" ht="15" hidden="false" customHeight="false" outlineLevel="0" collapsed="false">
      <c r="A2736" s="2" t="s">
        <v>11821</v>
      </c>
      <c r="B2736" s="2" t="s">
        <v>7685</v>
      </c>
      <c r="C2736" s="2" t="s">
        <v>9087</v>
      </c>
      <c r="D2736" s="2" t="n">
        <v>16.95</v>
      </c>
      <c r="E2736" s="13" t="n">
        <v>45457</v>
      </c>
    </row>
    <row r="2737" customFormat="false" ht="15" hidden="false" customHeight="false" outlineLevel="0" collapsed="false">
      <c r="A2737" s="2" t="s">
        <v>11822</v>
      </c>
      <c r="B2737" s="2" t="s">
        <v>7687</v>
      </c>
      <c r="C2737" s="2" t="s">
        <v>9083</v>
      </c>
      <c r="D2737" s="2" t="n">
        <v>17.32</v>
      </c>
      <c r="E2737" s="13" t="n">
        <v>45464</v>
      </c>
    </row>
    <row r="2738" customFormat="false" ht="15" hidden="false" customHeight="false" outlineLevel="0" collapsed="false">
      <c r="A2738" s="2" t="s">
        <v>11823</v>
      </c>
      <c r="B2738" s="2" t="s">
        <v>7689</v>
      </c>
      <c r="C2738" s="2" t="s">
        <v>9098</v>
      </c>
      <c r="D2738" s="2" t="n">
        <v>17.69</v>
      </c>
      <c r="E2738" s="13" t="n">
        <v>45471</v>
      </c>
    </row>
    <row r="2739" customFormat="false" ht="15" hidden="false" customHeight="false" outlineLevel="0" collapsed="false">
      <c r="A2739" s="2" t="s">
        <v>11824</v>
      </c>
      <c r="B2739" s="2" t="s">
        <v>7691</v>
      </c>
      <c r="C2739" s="2" t="s">
        <v>9083</v>
      </c>
      <c r="D2739" s="2" t="n">
        <v>18.06</v>
      </c>
      <c r="E2739" s="13" t="n">
        <v>45478</v>
      </c>
    </row>
    <row r="2740" customFormat="false" ht="15" hidden="false" customHeight="false" outlineLevel="0" collapsed="false">
      <c r="A2740" s="2" t="s">
        <v>11825</v>
      </c>
      <c r="B2740" s="2" t="s">
        <v>7695</v>
      </c>
      <c r="C2740" s="2" t="s">
        <v>9098</v>
      </c>
      <c r="D2740" s="2" t="n">
        <v>18.43</v>
      </c>
      <c r="E2740" s="13" t="n">
        <v>45485</v>
      </c>
    </row>
    <row r="2741" customFormat="false" ht="15" hidden="false" customHeight="false" outlineLevel="0" collapsed="false">
      <c r="A2741" s="2" t="s">
        <v>11826</v>
      </c>
      <c r="B2741" s="2" t="s">
        <v>7697</v>
      </c>
      <c r="C2741" s="2" t="s">
        <v>9083</v>
      </c>
      <c r="D2741" s="2" t="n">
        <v>18.8</v>
      </c>
      <c r="E2741" s="13" t="n">
        <v>45492</v>
      </c>
    </row>
    <row r="2742" customFormat="false" ht="15" hidden="false" customHeight="false" outlineLevel="0" collapsed="false">
      <c r="A2742" s="2" t="s">
        <v>11827</v>
      </c>
      <c r="B2742" s="2" t="s">
        <v>7699</v>
      </c>
      <c r="C2742" s="2" t="s">
        <v>9085</v>
      </c>
      <c r="D2742" s="2" t="n">
        <v>19.17</v>
      </c>
      <c r="E2742" s="13" t="n">
        <v>45499</v>
      </c>
    </row>
    <row r="2743" customFormat="false" ht="15" hidden="false" customHeight="false" outlineLevel="0" collapsed="false">
      <c r="A2743" s="2" t="s">
        <v>11828</v>
      </c>
      <c r="B2743" s="2" t="s">
        <v>7701</v>
      </c>
      <c r="C2743" s="2" t="s">
        <v>9098</v>
      </c>
      <c r="D2743" s="2" t="n">
        <v>19.54</v>
      </c>
      <c r="E2743" s="13" t="n">
        <v>45506</v>
      </c>
    </row>
    <row r="2744" customFormat="false" ht="15" hidden="false" customHeight="false" outlineLevel="0" collapsed="false">
      <c r="A2744" s="2" t="s">
        <v>11829</v>
      </c>
      <c r="B2744" s="2" t="s">
        <v>7703</v>
      </c>
      <c r="C2744" s="2" t="s">
        <v>9098</v>
      </c>
      <c r="D2744" s="2" t="n">
        <v>19.91</v>
      </c>
      <c r="E2744" s="13" t="n">
        <v>45513</v>
      </c>
    </row>
    <row r="2745" customFormat="false" ht="15" hidden="false" customHeight="false" outlineLevel="0" collapsed="false">
      <c r="A2745" s="2" t="s">
        <v>11830</v>
      </c>
      <c r="B2745" s="2" t="s">
        <v>7705</v>
      </c>
      <c r="C2745" s="2" t="s">
        <v>9098</v>
      </c>
      <c r="D2745" s="2" t="n">
        <v>20.28</v>
      </c>
      <c r="E2745" s="13" t="n">
        <v>45520</v>
      </c>
    </row>
    <row r="2746" customFormat="false" ht="15" hidden="false" customHeight="false" outlineLevel="0" collapsed="false">
      <c r="A2746" s="2" t="s">
        <v>11831</v>
      </c>
      <c r="B2746" s="2" t="s">
        <v>7707</v>
      </c>
      <c r="C2746" s="2" t="s">
        <v>9087</v>
      </c>
      <c r="D2746" s="2" t="n">
        <v>20.65</v>
      </c>
      <c r="E2746" s="13" t="n">
        <v>45527</v>
      </c>
    </row>
    <row r="2747" customFormat="false" ht="15" hidden="false" customHeight="false" outlineLevel="0" collapsed="false">
      <c r="A2747" s="2" t="s">
        <v>11832</v>
      </c>
      <c r="B2747" s="2" t="s">
        <v>7709</v>
      </c>
      <c r="C2747" s="2" t="s">
        <v>9085</v>
      </c>
      <c r="D2747" s="2" t="n">
        <v>21.02</v>
      </c>
      <c r="E2747" s="13" t="n">
        <v>45534</v>
      </c>
    </row>
    <row r="2748" customFormat="false" ht="15" hidden="false" customHeight="false" outlineLevel="0" collapsed="false">
      <c r="A2748" s="2" t="s">
        <v>11833</v>
      </c>
      <c r="B2748" s="2" t="s">
        <v>7711</v>
      </c>
      <c r="C2748" s="2" t="s">
        <v>9085</v>
      </c>
      <c r="D2748" s="2" t="n">
        <v>21.39</v>
      </c>
      <c r="E2748" s="13" t="n">
        <v>45541</v>
      </c>
    </row>
    <row r="2749" customFormat="false" ht="15" hidden="false" customHeight="false" outlineLevel="0" collapsed="false">
      <c r="A2749" s="2" t="s">
        <v>11834</v>
      </c>
      <c r="B2749" s="2" t="s">
        <v>7713</v>
      </c>
      <c r="C2749" s="2" t="s">
        <v>9087</v>
      </c>
      <c r="D2749" s="2" t="n">
        <v>21.76</v>
      </c>
      <c r="E2749" s="13" t="n">
        <v>45548</v>
      </c>
    </row>
    <row r="2750" customFormat="false" ht="15" hidden="false" customHeight="false" outlineLevel="0" collapsed="false">
      <c r="A2750" s="2" t="s">
        <v>11835</v>
      </c>
      <c r="B2750" s="2" t="s">
        <v>7715</v>
      </c>
      <c r="C2750" s="2" t="s">
        <v>9083</v>
      </c>
      <c r="D2750" s="2" t="n">
        <v>22.13</v>
      </c>
      <c r="E2750" s="13" t="n">
        <v>45555</v>
      </c>
    </row>
    <row r="2751" customFormat="false" ht="15" hidden="false" customHeight="false" outlineLevel="0" collapsed="false">
      <c r="A2751" s="2" t="s">
        <v>11836</v>
      </c>
      <c r="B2751" s="2" t="s">
        <v>7717</v>
      </c>
      <c r="C2751" s="2" t="s">
        <v>9098</v>
      </c>
      <c r="D2751" s="2" t="n">
        <v>22.5</v>
      </c>
      <c r="E2751" s="13" t="n">
        <v>45562</v>
      </c>
    </row>
    <row r="2752" customFormat="false" ht="15" hidden="false" customHeight="false" outlineLevel="0" collapsed="false">
      <c r="A2752" s="2" t="s">
        <v>11837</v>
      </c>
      <c r="B2752" s="2" t="s">
        <v>7719</v>
      </c>
      <c r="C2752" s="2" t="s">
        <v>9083</v>
      </c>
      <c r="D2752" s="2" t="n">
        <v>22.87</v>
      </c>
      <c r="E2752" s="13" t="n">
        <v>45569</v>
      </c>
    </row>
    <row r="2753" customFormat="false" ht="15" hidden="false" customHeight="false" outlineLevel="0" collapsed="false">
      <c r="A2753" s="2" t="s">
        <v>11838</v>
      </c>
      <c r="B2753" s="2" t="s">
        <v>7721</v>
      </c>
      <c r="C2753" s="2" t="s">
        <v>9083</v>
      </c>
      <c r="D2753" s="2" t="n">
        <v>23.24</v>
      </c>
      <c r="E2753" s="13" t="n">
        <v>45576</v>
      </c>
    </row>
    <row r="2754" customFormat="false" ht="15" hidden="false" customHeight="false" outlineLevel="0" collapsed="false">
      <c r="A2754" s="2" t="s">
        <v>11839</v>
      </c>
      <c r="B2754" s="2" t="s">
        <v>7723</v>
      </c>
      <c r="C2754" s="2" t="s">
        <v>9083</v>
      </c>
      <c r="D2754" s="2" t="n">
        <v>23.61</v>
      </c>
      <c r="E2754" s="13" t="n">
        <v>45583</v>
      </c>
    </row>
    <row r="2755" customFormat="false" ht="15" hidden="false" customHeight="false" outlineLevel="0" collapsed="false">
      <c r="A2755" s="2" t="s">
        <v>11840</v>
      </c>
      <c r="B2755" s="2" t="s">
        <v>7727</v>
      </c>
      <c r="C2755" s="2" t="s">
        <v>9083</v>
      </c>
      <c r="D2755" s="2" t="n">
        <v>23.98</v>
      </c>
      <c r="E2755" s="13" t="n">
        <v>45590</v>
      </c>
    </row>
    <row r="2756" customFormat="false" ht="15" hidden="false" customHeight="false" outlineLevel="0" collapsed="false">
      <c r="A2756" s="2" t="s">
        <v>11841</v>
      </c>
      <c r="B2756" s="2" t="s">
        <v>7729</v>
      </c>
      <c r="C2756" s="2" t="s">
        <v>9083</v>
      </c>
      <c r="D2756" s="2" t="n">
        <v>24.35</v>
      </c>
      <c r="E2756" s="13" t="n">
        <v>45597</v>
      </c>
    </row>
    <row r="2757" customFormat="false" ht="15" hidden="false" customHeight="false" outlineLevel="0" collapsed="false">
      <c r="A2757" s="2" t="s">
        <v>11842</v>
      </c>
      <c r="B2757" s="2" t="s">
        <v>7731</v>
      </c>
      <c r="C2757" s="2" t="s">
        <v>9083</v>
      </c>
      <c r="D2757" s="2" t="n">
        <v>24.72</v>
      </c>
      <c r="E2757" s="13" t="n">
        <v>45604</v>
      </c>
    </row>
    <row r="2758" customFormat="false" ht="15" hidden="false" customHeight="false" outlineLevel="0" collapsed="false">
      <c r="A2758" s="2" t="s">
        <v>11843</v>
      </c>
      <c r="B2758" s="2" t="s">
        <v>7733</v>
      </c>
      <c r="C2758" s="2" t="s">
        <v>9083</v>
      </c>
      <c r="D2758" s="2" t="n">
        <v>25.09</v>
      </c>
      <c r="E2758" s="13" t="n">
        <v>45611</v>
      </c>
    </row>
    <row r="2759" customFormat="false" ht="15" hidden="false" customHeight="false" outlineLevel="0" collapsed="false">
      <c r="A2759" s="2" t="s">
        <v>11844</v>
      </c>
      <c r="B2759" s="2" t="s">
        <v>7735</v>
      </c>
      <c r="C2759" s="2" t="s">
        <v>9083</v>
      </c>
      <c r="D2759" s="2" t="n">
        <v>25.46</v>
      </c>
      <c r="E2759" s="13" t="n">
        <v>45618</v>
      </c>
    </row>
    <row r="2760" customFormat="false" ht="15" hidden="false" customHeight="false" outlineLevel="0" collapsed="false">
      <c r="A2760" s="2" t="s">
        <v>11845</v>
      </c>
      <c r="B2760" s="2" t="s">
        <v>7737</v>
      </c>
      <c r="C2760" s="2" t="s">
        <v>9092</v>
      </c>
      <c r="D2760" s="2" t="n">
        <v>25.83</v>
      </c>
      <c r="E2760" s="13" t="n">
        <v>45625</v>
      </c>
    </row>
    <row r="2761" customFormat="false" ht="15" hidden="false" customHeight="false" outlineLevel="0" collapsed="false">
      <c r="A2761" s="2" t="s">
        <v>11846</v>
      </c>
      <c r="B2761" s="2" t="s">
        <v>7739</v>
      </c>
      <c r="C2761" s="2" t="s">
        <v>9085</v>
      </c>
      <c r="D2761" s="2" t="n">
        <v>26.2</v>
      </c>
      <c r="E2761" s="13" t="n">
        <v>45632</v>
      </c>
    </row>
    <row r="2762" customFormat="false" ht="15" hidden="false" customHeight="false" outlineLevel="0" collapsed="false">
      <c r="A2762" s="2" t="s">
        <v>11847</v>
      </c>
      <c r="B2762" s="2" t="s">
        <v>7741</v>
      </c>
      <c r="C2762" s="2" t="s">
        <v>9092</v>
      </c>
      <c r="D2762" s="2" t="n">
        <v>26.57</v>
      </c>
      <c r="E2762" s="13" t="n">
        <v>45639</v>
      </c>
    </row>
    <row r="2763" customFormat="false" ht="15" hidden="false" customHeight="false" outlineLevel="0" collapsed="false">
      <c r="A2763" s="2" t="s">
        <v>11848</v>
      </c>
      <c r="B2763" s="2" t="s">
        <v>7743</v>
      </c>
      <c r="C2763" s="2" t="s">
        <v>9087</v>
      </c>
      <c r="D2763" s="2" t="n">
        <v>26.94</v>
      </c>
      <c r="E2763" s="13" t="n">
        <v>45646</v>
      </c>
    </row>
    <row r="2764" customFormat="false" ht="15" hidden="false" customHeight="false" outlineLevel="0" collapsed="false">
      <c r="A2764" s="2" t="s">
        <v>11849</v>
      </c>
      <c r="B2764" s="2" t="s">
        <v>7745</v>
      </c>
      <c r="C2764" s="2" t="s">
        <v>9092</v>
      </c>
      <c r="D2764" s="2" t="n">
        <v>27.31</v>
      </c>
      <c r="E2764" s="13" t="n">
        <v>45653</v>
      </c>
    </row>
    <row r="2765" customFormat="false" ht="15" hidden="false" customHeight="false" outlineLevel="0" collapsed="false">
      <c r="A2765" s="2" t="s">
        <v>11850</v>
      </c>
      <c r="B2765" s="2" t="s">
        <v>7747</v>
      </c>
      <c r="C2765" s="2" t="s">
        <v>9092</v>
      </c>
      <c r="D2765" s="2" t="n">
        <v>27.68</v>
      </c>
      <c r="E2765" s="13" t="n">
        <v>45660</v>
      </c>
    </row>
    <row r="2766" customFormat="false" ht="15" hidden="false" customHeight="false" outlineLevel="0" collapsed="false">
      <c r="A2766" s="2" t="s">
        <v>11851</v>
      </c>
      <c r="B2766" s="2" t="s">
        <v>7749</v>
      </c>
      <c r="C2766" s="2" t="s">
        <v>9092</v>
      </c>
      <c r="D2766" s="2" t="n">
        <v>28.05</v>
      </c>
      <c r="E2766" s="13" t="n">
        <v>45667</v>
      </c>
    </row>
    <row r="2767" customFormat="false" ht="15" hidden="false" customHeight="false" outlineLevel="0" collapsed="false">
      <c r="A2767" s="2" t="s">
        <v>11852</v>
      </c>
      <c r="B2767" s="2" t="s">
        <v>7753</v>
      </c>
      <c r="C2767" s="2" t="s">
        <v>9092</v>
      </c>
      <c r="D2767" s="2" t="n">
        <v>28.42</v>
      </c>
      <c r="E2767" s="13" t="n">
        <v>45674</v>
      </c>
    </row>
    <row r="2768" customFormat="false" ht="15" hidden="false" customHeight="false" outlineLevel="0" collapsed="false">
      <c r="A2768" s="2" t="s">
        <v>11853</v>
      </c>
      <c r="B2768" s="2" t="s">
        <v>7755</v>
      </c>
      <c r="C2768" s="2" t="s">
        <v>9085</v>
      </c>
      <c r="D2768" s="2" t="n">
        <v>28.79</v>
      </c>
      <c r="E2768" s="13" t="n">
        <v>45681</v>
      </c>
    </row>
    <row r="2769" customFormat="false" ht="15" hidden="false" customHeight="false" outlineLevel="0" collapsed="false">
      <c r="A2769" s="2" t="s">
        <v>11854</v>
      </c>
      <c r="B2769" s="2" t="s">
        <v>7757</v>
      </c>
      <c r="C2769" s="2" t="s">
        <v>9087</v>
      </c>
      <c r="D2769" s="2" t="n">
        <v>29.16</v>
      </c>
      <c r="E2769" s="13" t="n">
        <v>45688</v>
      </c>
    </row>
    <row r="2770" customFormat="false" ht="15" hidden="false" customHeight="false" outlineLevel="0" collapsed="false">
      <c r="A2770" s="2" t="s">
        <v>11855</v>
      </c>
      <c r="B2770" s="2" t="s">
        <v>7759</v>
      </c>
      <c r="C2770" s="2" t="s">
        <v>9083</v>
      </c>
      <c r="D2770" s="2" t="n">
        <v>29.53</v>
      </c>
      <c r="E2770" s="13" t="n">
        <v>45695</v>
      </c>
    </row>
    <row r="2771" customFormat="false" ht="15" hidden="false" customHeight="false" outlineLevel="0" collapsed="false">
      <c r="A2771" s="2" t="s">
        <v>11856</v>
      </c>
      <c r="B2771" s="2" t="s">
        <v>7761</v>
      </c>
      <c r="C2771" s="2" t="s">
        <v>9087</v>
      </c>
      <c r="D2771" s="2" t="n">
        <v>29.9</v>
      </c>
      <c r="E2771" s="13" t="n">
        <v>45702</v>
      </c>
    </row>
    <row r="2772" customFormat="false" ht="15" hidden="false" customHeight="false" outlineLevel="0" collapsed="false">
      <c r="A2772" s="2" t="s">
        <v>11857</v>
      </c>
      <c r="B2772" s="2" t="s">
        <v>7763</v>
      </c>
      <c r="C2772" s="2" t="s">
        <v>9083</v>
      </c>
      <c r="D2772" s="2" t="n">
        <v>30.27</v>
      </c>
      <c r="E2772" s="13" t="n">
        <v>45709</v>
      </c>
    </row>
    <row r="2773" customFormat="false" ht="15" hidden="false" customHeight="false" outlineLevel="0" collapsed="false">
      <c r="A2773" s="2" t="s">
        <v>11858</v>
      </c>
      <c r="B2773" s="2" t="s">
        <v>7765</v>
      </c>
      <c r="C2773" s="2" t="s">
        <v>9098</v>
      </c>
      <c r="D2773" s="2" t="n">
        <v>30.64</v>
      </c>
      <c r="E2773" s="13" t="n">
        <v>45716</v>
      </c>
    </row>
    <row r="2774" customFormat="false" ht="15" hidden="false" customHeight="false" outlineLevel="0" collapsed="false">
      <c r="A2774" s="2" t="s">
        <v>11859</v>
      </c>
      <c r="B2774" s="2" t="s">
        <v>7767</v>
      </c>
      <c r="C2774" s="2" t="s">
        <v>9087</v>
      </c>
      <c r="D2774" s="2" t="n">
        <v>31.01</v>
      </c>
      <c r="E2774" s="13" t="n">
        <v>45723</v>
      </c>
    </row>
    <row r="2775" customFormat="false" ht="15" hidden="false" customHeight="false" outlineLevel="0" collapsed="false">
      <c r="A2775" s="2" t="s">
        <v>11860</v>
      </c>
      <c r="B2775" s="2" t="s">
        <v>7769</v>
      </c>
      <c r="C2775" s="2" t="s">
        <v>9092</v>
      </c>
      <c r="D2775" s="2" t="n">
        <v>31.38</v>
      </c>
      <c r="E2775" s="13" t="n">
        <v>45730</v>
      </c>
    </row>
    <row r="2776" customFormat="false" ht="15" hidden="false" customHeight="false" outlineLevel="0" collapsed="false">
      <c r="A2776" s="2" t="s">
        <v>11861</v>
      </c>
      <c r="B2776" s="2" t="s">
        <v>7771</v>
      </c>
      <c r="C2776" s="2" t="s">
        <v>9085</v>
      </c>
      <c r="D2776" s="2" t="n">
        <v>31.75</v>
      </c>
      <c r="E2776" s="13" t="n">
        <v>45737</v>
      </c>
    </row>
    <row r="2777" customFormat="false" ht="15" hidden="false" customHeight="false" outlineLevel="0" collapsed="false">
      <c r="A2777" s="2" t="s">
        <v>11862</v>
      </c>
      <c r="B2777" s="2" t="s">
        <v>7773</v>
      </c>
      <c r="C2777" s="2" t="s">
        <v>9085</v>
      </c>
      <c r="D2777" s="2" t="n">
        <v>32.12</v>
      </c>
      <c r="E2777" s="13" t="n">
        <v>45744</v>
      </c>
    </row>
    <row r="2778" customFormat="false" ht="15" hidden="false" customHeight="false" outlineLevel="0" collapsed="false">
      <c r="A2778" s="2" t="s">
        <v>11863</v>
      </c>
      <c r="B2778" s="2" t="s">
        <v>7775</v>
      </c>
      <c r="C2778" s="2" t="s">
        <v>9087</v>
      </c>
      <c r="D2778" s="2" t="n">
        <v>32.49</v>
      </c>
      <c r="E2778" s="13" t="n">
        <v>45751</v>
      </c>
    </row>
    <row r="2779" customFormat="false" ht="15" hidden="false" customHeight="false" outlineLevel="0" collapsed="false">
      <c r="A2779" s="2" t="s">
        <v>11864</v>
      </c>
      <c r="B2779" s="2" t="s">
        <v>7777</v>
      </c>
      <c r="C2779" s="2" t="s">
        <v>9087</v>
      </c>
      <c r="D2779" s="2" t="n">
        <v>32.86</v>
      </c>
      <c r="E2779" s="13" t="n">
        <v>45758</v>
      </c>
    </row>
    <row r="2780" customFormat="false" ht="15" hidden="false" customHeight="false" outlineLevel="0" collapsed="false">
      <c r="A2780" s="2" t="s">
        <v>11865</v>
      </c>
      <c r="B2780" s="2" t="s">
        <v>7779</v>
      </c>
      <c r="C2780" s="2" t="s">
        <v>9083</v>
      </c>
      <c r="D2780" s="2" t="n">
        <v>33.23</v>
      </c>
      <c r="E2780" s="13" t="n">
        <v>45765</v>
      </c>
    </row>
    <row r="2781" customFormat="false" ht="15" hidden="false" customHeight="false" outlineLevel="0" collapsed="false">
      <c r="A2781" s="2" t="s">
        <v>11866</v>
      </c>
      <c r="B2781" s="2" t="s">
        <v>7781</v>
      </c>
      <c r="C2781" s="2" t="s">
        <v>9085</v>
      </c>
      <c r="D2781" s="2" t="n">
        <v>33.6</v>
      </c>
      <c r="E2781" s="13" t="n">
        <v>45772</v>
      </c>
    </row>
    <row r="2782" customFormat="false" ht="15" hidden="false" customHeight="false" outlineLevel="0" collapsed="false">
      <c r="A2782" s="2" t="s">
        <v>11867</v>
      </c>
      <c r="B2782" s="2" t="s">
        <v>7783</v>
      </c>
      <c r="C2782" s="2" t="s">
        <v>9092</v>
      </c>
      <c r="D2782" s="2" t="n">
        <v>33.97</v>
      </c>
      <c r="E2782" s="13" t="n">
        <v>45779</v>
      </c>
    </row>
    <row r="2783" customFormat="false" ht="15" hidden="false" customHeight="false" outlineLevel="0" collapsed="false">
      <c r="A2783" s="2" t="s">
        <v>11868</v>
      </c>
      <c r="B2783" s="2" t="s">
        <v>7785</v>
      </c>
      <c r="C2783" s="2" t="s">
        <v>9098</v>
      </c>
      <c r="D2783" s="2" t="n">
        <v>34.34</v>
      </c>
      <c r="E2783" s="13" t="n">
        <v>45786</v>
      </c>
    </row>
    <row r="2784" customFormat="false" ht="15" hidden="false" customHeight="false" outlineLevel="0" collapsed="false">
      <c r="A2784" s="2" t="s">
        <v>11869</v>
      </c>
      <c r="B2784" s="2" t="s">
        <v>7787</v>
      </c>
      <c r="C2784" s="2" t="s">
        <v>9098</v>
      </c>
      <c r="D2784" s="2" t="n">
        <v>34.71</v>
      </c>
      <c r="E2784" s="13" t="n">
        <v>45793</v>
      </c>
    </row>
    <row r="2785" customFormat="false" ht="15" hidden="false" customHeight="false" outlineLevel="0" collapsed="false">
      <c r="A2785" s="2" t="s">
        <v>11870</v>
      </c>
      <c r="B2785" s="2" t="s">
        <v>7789</v>
      </c>
      <c r="C2785" s="2" t="s">
        <v>9098</v>
      </c>
      <c r="D2785" s="2" t="n">
        <v>35.08</v>
      </c>
      <c r="E2785" s="13" t="n">
        <v>45800</v>
      </c>
    </row>
    <row r="2786" customFormat="false" ht="15" hidden="false" customHeight="false" outlineLevel="0" collapsed="false">
      <c r="A2786" s="2" t="s">
        <v>11871</v>
      </c>
      <c r="B2786" s="2" t="s">
        <v>7791</v>
      </c>
      <c r="C2786" s="2" t="s">
        <v>9087</v>
      </c>
      <c r="D2786" s="2" t="n">
        <v>35.45</v>
      </c>
      <c r="E2786" s="13" t="n">
        <v>45807</v>
      </c>
    </row>
    <row r="2787" customFormat="false" ht="15" hidden="false" customHeight="false" outlineLevel="0" collapsed="false">
      <c r="A2787" s="2" t="s">
        <v>11872</v>
      </c>
      <c r="B2787" s="2" t="s">
        <v>7793</v>
      </c>
      <c r="C2787" s="2" t="s">
        <v>9085</v>
      </c>
      <c r="D2787" s="2" t="n">
        <v>35.82</v>
      </c>
      <c r="E2787" s="13" t="n">
        <v>45814</v>
      </c>
    </row>
    <row r="2788" customFormat="false" ht="15" hidden="false" customHeight="false" outlineLevel="0" collapsed="false">
      <c r="A2788" s="2" t="s">
        <v>11873</v>
      </c>
      <c r="B2788" s="2" t="s">
        <v>7795</v>
      </c>
      <c r="C2788" s="2" t="s">
        <v>9092</v>
      </c>
      <c r="D2788" s="2" t="n">
        <v>36.19</v>
      </c>
      <c r="E2788" s="13" t="n">
        <v>45821</v>
      </c>
    </row>
    <row r="2789" customFormat="false" ht="15" hidden="false" customHeight="false" outlineLevel="0" collapsed="false">
      <c r="A2789" s="2" t="s">
        <v>11874</v>
      </c>
      <c r="B2789" s="2" t="s">
        <v>7797</v>
      </c>
      <c r="C2789" s="2" t="s">
        <v>9087</v>
      </c>
      <c r="D2789" s="2" t="n">
        <v>36.56</v>
      </c>
      <c r="E2789" s="13" t="n">
        <v>45828</v>
      </c>
    </row>
    <row r="2790" customFormat="false" ht="15" hidden="false" customHeight="false" outlineLevel="0" collapsed="false">
      <c r="A2790" s="2" t="s">
        <v>11875</v>
      </c>
      <c r="B2790" s="2" t="s">
        <v>7799</v>
      </c>
      <c r="C2790" s="2" t="s">
        <v>9092</v>
      </c>
      <c r="D2790" s="2" t="n">
        <v>36.93</v>
      </c>
      <c r="E2790" s="13" t="n">
        <v>45835</v>
      </c>
    </row>
    <row r="2791" customFormat="false" ht="15" hidden="false" customHeight="false" outlineLevel="0" collapsed="false">
      <c r="A2791" s="2" t="s">
        <v>11876</v>
      </c>
      <c r="B2791" s="2" t="s">
        <v>7801</v>
      </c>
      <c r="C2791" s="2" t="s">
        <v>9085</v>
      </c>
      <c r="D2791" s="2" t="n">
        <v>37.3</v>
      </c>
      <c r="E2791" s="13" t="n">
        <v>45842</v>
      </c>
    </row>
    <row r="2792" customFormat="false" ht="15" hidden="false" customHeight="false" outlineLevel="0" collapsed="false">
      <c r="A2792" s="2" t="s">
        <v>11877</v>
      </c>
      <c r="B2792" s="2" t="s">
        <v>7803</v>
      </c>
      <c r="C2792" s="2" t="s">
        <v>9087</v>
      </c>
      <c r="D2792" s="2" t="n">
        <v>37.67</v>
      </c>
      <c r="E2792" s="13" t="n">
        <v>45849</v>
      </c>
    </row>
    <row r="2793" customFormat="false" ht="15" hidden="false" customHeight="false" outlineLevel="0" collapsed="false">
      <c r="A2793" s="2" t="s">
        <v>11878</v>
      </c>
      <c r="B2793" s="2" t="s">
        <v>7805</v>
      </c>
      <c r="C2793" s="2" t="s">
        <v>9085</v>
      </c>
      <c r="D2793" s="2" t="n">
        <v>38.04</v>
      </c>
      <c r="E2793" s="13" t="n">
        <v>45856</v>
      </c>
    </row>
    <row r="2794" customFormat="false" ht="15" hidden="false" customHeight="false" outlineLevel="0" collapsed="false">
      <c r="A2794" s="2" t="s">
        <v>11879</v>
      </c>
      <c r="B2794" s="2" t="s">
        <v>7807</v>
      </c>
      <c r="C2794" s="2" t="s">
        <v>9092</v>
      </c>
      <c r="D2794" s="2" t="n">
        <v>38.41</v>
      </c>
      <c r="E2794" s="13" t="n">
        <v>45863</v>
      </c>
    </row>
    <row r="2795" customFormat="false" ht="15" hidden="false" customHeight="false" outlineLevel="0" collapsed="false">
      <c r="A2795" s="2" t="s">
        <v>11880</v>
      </c>
      <c r="B2795" s="2" t="s">
        <v>7809</v>
      </c>
      <c r="C2795" s="2" t="s">
        <v>9098</v>
      </c>
      <c r="D2795" s="2" t="n">
        <v>38.78</v>
      </c>
      <c r="E2795" s="13" t="n">
        <v>45870</v>
      </c>
    </row>
    <row r="2796" customFormat="false" ht="15" hidden="false" customHeight="false" outlineLevel="0" collapsed="false">
      <c r="A2796" s="2" t="s">
        <v>11881</v>
      </c>
      <c r="B2796" s="2" t="s">
        <v>7811</v>
      </c>
      <c r="C2796" s="2" t="s">
        <v>9098</v>
      </c>
      <c r="D2796" s="2" t="n">
        <v>39.15</v>
      </c>
      <c r="E2796" s="13" t="n">
        <v>45877</v>
      </c>
    </row>
    <row r="2797" customFormat="false" ht="15" hidden="false" customHeight="false" outlineLevel="0" collapsed="false">
      <c r="A2797" s="2" t="s">
        <v>11882</v>
      </c>
      <c r="B2797" s="2" t="s">
        <v>7813</v>
      </c>
      <c r="C2797" s="2" t="s">
        <v>9087</v>
      </c>
      <c r="D2797" s="2" t="n">
        <v>39.52</v>
      </c>
      <c r="E2797" s="13" t="n">
        <v>45884</v>
      </c>
    </row>
    <row r="2798" customFormat="false" ht="15" hidden="false" customHeight="false" outlineLevel="0" collapsed="false">
      <c r="A2798" s="2" t="s">
        <v>11883</v>
      </c>
      <c r="B2798" s="2" t="s">
        <v>7815</v>
      </c>
      <c r="C2798" s="2" t="s">
        <v>9083</v>
      </c>
      <c r="D2798" s="2" t="n">
        <v>39.89</v>
      </c>
      <c r="E2798" s="13" t="n">
        <v>45891</v>
      </c>
    </row>
    <row r="2799" customFormat="false" ht="15" hidden="false" customHeight="false" outlineLevel="0" collapsed="false">
      <c r="A2799" s="2" t="s">
        <v>11884</v>
      </c>
      <c r="B2799" s="2" t="s">
        <v>7817</v>
      </c>
      <c r="C2799" s="2" t="s">
        <v>9087</v>
      </c>
      <c r="D2799" s="2" t="n">
        <v>40.26</v>
      </c>
      <c r="E2799" s="13" t="n">
        <v>45898</v>
      </c>
    </row>
    <row r="2800" customFormat="false" ht="15" hidden="false" customHeight="false" outlineLevel="0" collapsed="false">
      <c r="A2800" s="2" t="s">
        <v>11885</v>
      </c>
      <c r="B2800" s="2" t="s">
        <v>7819</v>
      </c>
      <c r="C2800" s="2" t="s">
        <v>9098</v>
      </c>
      <c r="D2800" s="2" t="n">
        <v>40.63</v>
      </c>
      <c r="E2800" s="13" t="n">
        <v>45905</v>
      </c>
    </row>
    <row r="2801" customFormat="false" ht="15" hidden="false" customHeight="false" outlineLevel="0" collapsed="false">
      <c r="A2801" s="2" t="s">
        <v>11886</v>
      </c>
      <c r="B2801" s="2" t="s">
        <v>7821</v>
      </c>
      <c r="C2801" s="2" t="s">
        <v>9098</v>
      </c>
      <c r="D2801" s="2" t="n">
        <v>41</v>
      </c>
      <c r="E2801" s="13" t="n">
        <v>45912</v>
      </c>
    </row>
    <row r="2802" customFormat="false" ht="15" hidden="false" customHeight="false" outlineLevel="0" collapsed="false">
      <c r="A2802" s="2" t="s">
        <v>11887</v>
      </c>
      <c r="B2802" s="2" t="s">
        <v>7823</v>
      </c>
      <c r="C2802" s="2" t="s">
        <v>9087</v>
      </c>
      <c r="D2802" s="2" t="n">
        <v>41.37</v>
      </c>
      <c r="E2802" s="13" t="n">
        <v>45919</v>
      </c>
    </row>
    <row r="2803" customFormat="false" ht="15" hidden="false" customHeight="false" outlineLevel="0" collapsed="false">
      <c r="A2803" s="2" t="s">
        <v>11888</v>
      </c>
      <c r="B2803" s="2" t="s">
        <v>7825</v>
      </c>
      <c r="C2803" s="2" t="s">
        <v>9085</v>
      </c>
      <c r="D2803" s="2" t="n">
        <v>41.74</v>
      </c>
      <c r="E2803" s="13" t="n">
        <v>45926</v>
      </c>
    </row>
    <row r="2804" customFormat="false" ht="15" hidden="false" customHeight="false" outlineLevel="0" collapsed="false">
      <c r="A2804" s="2" t="s">
        <v>11889</v>
      </c>
      <c r="B2804" s="2" t="s">
        <v>7827</v>
      </c>
      <c r="C2804" s="2" t="s">
        <v>9083</v>
      </c>
      <c r="D2804" s="2" t="n">
        <v>42.11</v>
      </c>
      <c r="E2804" s="13" t="n">
        <v>45933</v>
      </c>
    </row>
    <row r="2805" customFormat="false" ht="15" hidden="false" customHeight="false" outlineLevel="0" collapsed="false">
      <c r="A2805" s="2" t="s">
        <v>11890</v>
      </c>
      <c r="B2805" s="2" t="s">
        <v>7829</v>
      </c>
      <c r="C2805" s="2" t="s">
        <v>9087</v>
      </c>
      <c r="D2805" s="2" t="n">
        <v>42.48</v>
      </c>
      <c r="E2805" s="13" t="n">
        <v>45940</v>
      </c>
    </row>
    <row r="2806" customFormat="false" ht="15" hidden="false" customHeight="false" outlineLevel="0" collapsed="false">
      <c r="A2806" s="2" t="s">
        <v>11891</v>
      </c>
      <c r="B2806" s="2" t="s">
        <v>7831</v>
      </c>
      <c r="C2806" s="2" t="s">
        <v>9098</v>
      </c>
      <c r="D2806" s="2" t="n">
        <v>42.85</v>
      </c>
      <c r="E2806" s="13" t="n">
        <v>45947</v>
      </c>
    </row>
    <row r="2807" customFormat="false" ht="15" hidden="false" customHeight="false" outlineLevel="0" collapsed="false">
      <c r="A2807" s="2" t="s">
        <v>11892</v>
      </c>
      <c r="B2807" s="2" t="s">
        <v>7833</v>
      </c>
      <c r="C2807" s="2" t="s">
        <v>9087</v>
      </c>
      <c r="D2807" s="2" t="n">
        <v>43.22</v>
      </c>
      <c r="E2807" s="13" t="n">
        <v>45954</v>
      </c>
    </row>
    <row r="2808" customFormat="false" ht="15" hidden="false" customHeight="false" outlineLevel="0" collapsed="false">
      <c r="A2808" s="2" t="s">
        <v>11893</v>
      </c>
      <c r="B2808" s="2" t="s">
        <v>7835</v>
      </c>
      <c r="C2808" s="2" t="s">
        <v>9087</v>
      </c>
      <c r="D2808" s="2" t="n">
        <v>43.59</v>
      </c>
      <c r="E2808" s="13" t="n">
        <v>45961</v>
      </c>
    </row>
    <row r="2809" customFormat="false" ht="15" hidden="false" customHeight="false" outlineLevel="0" collapsed="false">
      <c r="A2809" s="2" t="s">
        <v>11894</v>
      </c>
      <c r="B2809" s="2" t="s">
        <v>7837</v>
      </c>
      <c r="C2809" s="2" t="s">
        <v>9083</v>
      </c>
      <c r="D2809" s="2" t="n">
        <v>43.96</v>
      </c>
      <c r="E2809" s="13" t="n">
        <v>45968</v>
      </c>
    </row>
    <row r="2810" customFormat="false" ht="15" hidden="false" customHeight="false" outlineLevel="0" collapsed="false">
      <c r="A2810" s="2" t="s">
        <v>11895</v>
      </c>
      <c r="B2810" s="2" t="s">
        <v>7839</v>
      </c>
      <c r="C2810" s="2" t="s">
        <v>9083</v>
      </c>
      <c r="D2810" s="2" t="n">
        <v>44.33</v>
      </c>
      <c r="E2810" s="13" t="n">
        <v>45975</v>
      </c>
    </row>
    <row r="2811" customFormat="false" ht="15" hidden="false" customHeight="false" outlineLevel="0" collapsed="false">
      <c r="A2811" s="2" t="s">
        <v>11896</v>
      </c>
      <c r="B2811" s="2" t="s">
        <v>7841</v>
      </c>
      <c r="C2811" s="2" t="s">
        <v>9092</v>
      </c>
      <c r="D2811" s="2" t="n">
        <v>44.7</v>
      </c>
      <c r="E2811" s="13" t="n">
        <v>45982</v>
      </c>
    </row>
    <row r="2812" customFormat="false" ht="15" hidden="false" customHeight="false" outlineLevel="0" collapsed="false">
      <c r="A2812" s="2" t="s">
        <v>11897</v>
      </c>
      <c r="B2812" s="2" t="s">
        <v>7843</v>
      </c>
      <c r="C2812" s="2" t="s">
        <v>9087</v>
      </c>
      <c r="D2812" s="2" t="n">
        <v>45.07</v>
      </c>
      <c r="E2812" s="13" t="n">
        <v>45989</v>
      </c>
    </row>
    <row r="2813" customFormat="false" ht="15" hidden="false" customHeight="false" outlineLevel="0" collapsed="false">
      <c r="A2813" s="2" t="s">
        <v>11898</v>
      </c>
      <c r="B2813" s="2" t="s">
        <v>7847</v>
      </c>
      <c r="C2813" s="2" t="s">
        <v>9092</v>
      </c>
      <c r="D2813" s="2" t="n">
        <v>45.44</v>
      </c>
      <c r="E2813" s="13" t="n">
        <v>45996</v>
      </c>
    </row>
    <row r="2814" customFormat="false" ht="15" hidden="false" customHeight="false" outlineLevel="0" collapsed="false">
      <c r="A2814" s="2" t="s">
        <v>11899</v>
      </c>
      <c r="B2814" s="2" t="s">
        <v>7849</v>
      </c>
      <c r="C2814" s="2" t="s">
        <v>9087</v>
      </c>
      <c r="D2814" s="2" t="n">
        <v>45.81</v>
      </c>
      <c r="E2814" s="13" t="n">
        <v>46003</v>
      </c>
    </row>
    <row r="2815" customFormat="false" ht="15" hidden="false" customHeight="false" outlineLevel="0" collapsed="false">
      <c r="A2815" s="2" t="s">
        <v>11900</v>
      </c>
      <c r="B2815" s="2" t="s">
        <v>7851</v>
      </c>
      <c r="C2815" s="2" t="s">
        <v>9083</v>
      </c>
      <c r="D2815" s="2" t="n">
        <v>46.18</v>
      </c>
      <c r="E2815" s="13" t="n">
        <v>46010</v>
      </c>
    </row>
    <row r="2816" customFormat="false" ht="15" hidden="false" customHeight="false" outlineLevel="0" collapsed="false">
      <c r="A2816" s="2" t="s">
        <v>11901</v>
      </c>
      <c r="B2816" s="2" t="s">
        <v>7853</v>
      </c>
      <c r="C2816" s="2" t="s">
        <v>9087</v>
      </c>
      <c r="D2816" s="2" t="n">
        <v>46.55</v>
      </c>
      <c r="E2816" s="13" t="n">
        <v>46017</v>
      </c>
    </row>
    <row r="2817" customFormat="false" ht="15" hidden="false" customHeight="false" outlineLevel="0" collapsed="false">
      <c r="A2817" s="2" t="s">
        <v>11902</v>
      </c>
      <c r="B2817" s="2" t="s">
        <v>7855</v>
      </c>
      <c r="C2817" s="2" t="s">
        <v>9092</v>
      </c>
      <c r="D2817" s="2" t="n">
        <v>46.92</v>
      </c>
      <c r="E2817" s="13" t="n">
        <v>45294</v>
      </c>
    </row>
    <row r="2818" customFormat="false" ht="15" hidden="false" customHeight="false" outlineLevel="0" collapsed="false">
      <c r="A2818" s="2" t="s">
        <v>11903</v>
      </c>
      <c r="B2818" s="2" t="s">
        <v>7857</v>
      </c>
      <c r="C2818" s="2" t="s">
        <v>9083</v>
      </c>
      <c r="D2818" s="2" t="n">
        <v>47.29</v>
      </c>
      <c r="E2818" s="13" t="n">
        <v>45301</v>
      </c>
    </row>
    <row r="2819" customFormat="false" ht="15" hidden="false" customHeight="false" outlineLevel="0" collapsed="false">
      <c r="A2819" s="2" t="s">
        <v>11904</v>
      </c>
      <c r="B2819" s="2" t="s">
        <v>7859</v>
      </c>
      <c r="C2819" s="2" t="s">
        <v>9087</v>
      </c>
      <c r="D2819" s="2" t="n">
        <v>47.66</v>
      </c>
      <c r="E2819" s="13" t="n">
        <v>45308</v>
      </c>
    </row>
    <row r="2820" customFormat="false" ht="15" hidden="false" customHeight="false" outlineLevel="0" collapsed="false">
      <c r="A2820" s="2" t="s">
        <v>11905</v>
      </c>
      <c r="B2820" s="2" t="s">
        <v>7863</v>
      </c>
      <c r="C2820" s="2" t="s">
        <v>9087</v>
      </c>
      <c r="D2820" s="2" t="n">
        <v>48.03</v>
      </c>
      <c r="E2820" s="13" t="n">
        <v>45315</v>
      </c>
    </row>
    <row r="2821" customFormat="false" ht="15" hidden="false" customHeight="false" outlineLevel="0" collapsed="false">
      <c r="A2821" s="2" t="s">
        <v>11906</v>
      </c>
      <c r="B2821" s="2" t="s">
        <v>7865</v>
      </c>
      <c r="C2821" s="2" t="s">
        <v>9098</v>
      </c>
      <c r="D2821" s="2" t="n">
        <v>48.4</v>
      </c>
      <c r="E2821" s="13" t="n">
        <v>45322</v>
      </c>
    </row>
    <row r="2822" customFormat="false" ht="15" hidden="false" customHeight="false" outlineLevel="0" collapsed="false">
      <c r="A2822" s="2" t="s">
        <v>11907</v>
      </c>
      <c r="B2822" s="2" t="s">
        <v>7867</v>
      </c>
      <c r="C2822" s="2" t="s">
        <v>9085</v>
      </c>
      <c r="D2822" s="2" t="n">
        <v>48.77</v>
      </c>
      <c r="E2822" s="13" t="n">
        <v>45329</v>
      </c>
    </row>
    <row r="2823" customFormat="false" ht="15" hidden="false" customHeight="false" outlineLevel="0" collapsed="false">
      <c r="A2823" s="2" t="s">
        <v>11908</v>
      </c>
      <c r="B2823" s="2" t="s">
        <v>7869</v>
      </c>
      <c r="C2823" s="2" t="s">
        <v>9092</v>
      </c>
      <c r="D2823" s="2" t="n">
        <v>49.14</v>
      </c>
      <c r="E2823" s="13" t="n">
        <v>45336</v>
      </c>
    </row>
    <row r="2824" customFormat="false" ht="15" hidden="false" customHeight="false" outlineLevel="0" collapsed="false">
      <c r="A2824" s="2" t="s">
        <v>11909</v>
      </c>
      <c r="B2824" s="2" t="s">
        <v>7871</v>
      </c>
      <c r="C2824" s="2" t="s">
        <v>9092</v>
      </c>
      <c r="D2824" s="2" t="n">
        <v>49.51</v>
      </c>
      <c r="E2824" s="13" t="n">
        <v>45343</v>
      </c>
    </row>
    <row r="2825" customFormat="false" ht="15" hidden="false" customHeight="false" outlineLevel="0" collapsed="false">
      <c r="A2825" s="2" t="s">
        <v>11910</v>
      </c>
      <c r="B2825" s="2" t="s">
        <v>7873</v>
      </c>
      <c r="C2825" s="2" t="s">
        <v>9098</v>
      </c>
      <c r="D2825" s="2" t="n">
        <v>49.88</v>
      </c>
      <c r="E2825" s="13" t="n">
        <v>45350</v>
      </c>
    </row>
    <row r="2826" customFormat="false" ht="15" hidden="false" customHeight="false" outlineLevel="0" collapsed="false">
      <c r="A2826" s="2" t="s">
        <v>11911</v>
      </c>
      <c r="B2826" s="2" t="s">
        <v>7877</v>
      </c>
      <c r="C2826" s="2" t="s">
        <v>9087</v>
      </c>
      <c r="D2826" s="2" t="n">
        <v>50.25</v>
      </c>
      <c r="E2826" s="13" t="n">
        <v>45357</v>
      </c>
    </row>
    <row r="2827" customFormat="false" ht="15" hidden="false" customHeight="false" outlineLevel="0" collapsed="false">
      <c r="A2827" s="2" t="s">
        <v>11912</v>
      </c>
      <c r="B2827" s="2" t="s">
        <v>7879</v>
      </c>
      <c r="C2827" s="2" t="s">
        <v>9083</v>
      </c>
      <c r="D2827" s="2" t="n">
        <v>50.62</v>
      </c>
      <c r="E2827" s="13" t="n">
        <v>45364</v>
      </c>
    </row>
    <row r="2828" customFormat="false" ht="15" hidden="false" customHeight="false" outlineLevel="0" collapsed="false">
      <c r="A2828" s="2" t="s">
        <v>11913</v>
      </c>
      <c r="B2828" s="2" t="s">
        <v>7881</v>
      </c>
      <c r="C2828" s="2" t="s">
        <v>9087</v>
      </c>
      <c r="D2828" s="2" t="n">
        <v>50.99</v>
      </c>
      <c r="E2828" s="13" t="n">
        <v>45371</v>
      </c>
    </row>
    <row r="2829" customFormat="false" ht="15" hidden="false" customHeight="false" outlineLevel="0" collapsed="false">
      <c r="A2829" s="2" t="s">
        <v>11914</v>
      </c>
      <c r="B2829" s="2" t="s">
        <v>7883</v>
      </c>
      <c r="C2829" s="2" t="s">
        <v>9083</v>
      </c>
      <c r="D2829" s="2" t="n">
        <v>51.36</v>
      </c>
      <c r="E2829" s="13" t="n">
        <v>45378</v>
      </c>
    </row>
    <row r="2830" customFormat="false" ht="15" hidden="false" customHeight="false" outlineLevel="0" collapsed="false">
      <c r="A2830" s="2" t="s">
        <v>11915</v>
      </c>
      <c r="B2830" s="2" t="s">
        <v>7885</v>
      </c>
      <c r="C2830" s="2" t="s">
        <v>9092</v>
      </c>
      <c r="D2830" s="2" t="n">
        <v>51.73</v>
      </c>
      <c r="E2830" s="13" t="n">
        <v>45385</v>
      </c>
    </row>
    <row r="2831" customFormat="false" ht="15" hidden="false" customHeight="false" outlineLevel="0" collapsed="false">
      <c r="A2831" s="2" t="s">
        <v>11916</v>
      </c>
      <c r="B2831" s="2" t="s">
        <v>7887</v>
      </c>
      <c r="C2831" s="2" t="s">
        <v>9087</v>
      </c>
      <c r="D2831" s="2" t="n">
        <v>52.1</v>
      </c>
      <c r="E2831" s="13" t="n">
        <v>45392</v>
      </c>
    </row>
    <row r="2832" customFormat="false" ht="15" hidden="false" customHeight="false" outlineLevel="0" collapsed="false">
      <c r="A2832" s="2" t="s">
        <v>11917</v>
      </c>
      <c r="B2832" s="2" t="s">
        <v>7889</v>
      </c>
      <c r="C2832" s="2" t="s">
        <v>9092</v>
      </c>
      <c r="D2832" s="2" t="n">
        <v>52.47</v>
      </c>
      <c r="E2832" s="13" t="n">
        <v>45399</v>
      </c>
    </row>
    <row r="2833" customFormat="false" ht="15" hidden="false" customHeight="false" outlineLevel="0" collapsed="false">
      <c r="A2833" s="2" t="s">
        <v>11918</v>
      </c>
      <c r="B2833" s="2" t="s">
        <v>7891</v>
      </c>
      <c r="C2833" s="2" t="s">
        <v>9083</v>
      </c>
      <c r="D2833" s="2" t="n">
        <v>52.84</v>
      </c>
      <c r="E2833" s="13" t="n">
        <v>45406</v>
      </c>
    </row>
    <row r="2834" customFormat="false" ht="15" hidden="false" customHeight="false" outlineLevel="0" collapsed="false">
      <c r="A2834" s="2" t="s">
        <v>11919</v>
      </c>
      <c r="B2834" s="2" t="s">
        <v>7893</v>
      </c>
      <c r="C2834" s="2" t="s">
        <v>9098</v>
      </c>
      <c r="D2834" s="2" t="n">
        <v>53.21</v>
      </c>
      <c r="E2834" s="13" t="n">
        <v>45413</v>
      </c>
    </row>
    <row r="2835" customFormat="false" ht="15" hidden="false" customHeight="false" outlineLevel="0" collapsed="false">
      <c r="A2835" s="2" t="s">
        <v>11920</v>
      </c>
      <c r="B2835" s="2" t="s">
        <v>7895</v>
      </c>
      <c r="C2835" s="2" t="s">
        <v>9083</v>
      </c>
      <c r="D2835" s="2" t="n">
        <v>53.58</v>
      </c>
      <c r="E2835" s="13" t="n">
        <v>45420</v>
      </c>
    </row>
    <row r="2836" customFormat="false" ht="15" hidden="false" customHeight="false" outlineLevel="0" collapsed="false">
      <c r="A2836" s="2" t="s">
        <v>11921</v>
      </c>
      <c r="B2836" s="2" t="s">
        <v>7897</v>
      </c>
      <c r="C2836" s="2" t="s">
        <v>9087</v>
      </c>
      <c r="D2836" s="2" t="n">
        <v>53.95</v>
      </c>
      <c r="E2836" s="13" t="n">
        <v>45427</v>
      </c>
    </row>
    <row r="2837" customFormat="false" ht="15" hidden="false" customHeight="false" outlineLevel="0" collapsed="false">
      <c r="A2837" s="2" t="s">
        <v>11922</v>
      </c>
      <c r="B2837" s="2" t="s">
        <v>7899</v>
      </c>
      <c r="C2837" s="2" t="s">
        <v>9092</v>
      </c>
      <c r="D2837" s="2" t="n">
        <v>54.32</v>
      </c>
      <c r="E2837" s="13" t="n">
        <v>45434</v>
      </c>
    </row>
    <row r="2838" customFormat="false" ht="15" hidden="false" customHeight="false" outlineLevel="0" collapsed="false">
      <c r="A2838" s="2" t="s">
        <v>11923</v>
      </c>
      <c r="B2838" s="2" t="s">
        <v>7901</v>
      </c>
      <c r="C2838" s="2" t="s">
        <v>9087</v>
      </c>
      <c r="D2838" s="2" t="n">
        <v>54.69</v>
      </c>
      <c r="E2838" s="13" t="n">
        <v>45441</v>
      </c>
    </row>
    <row r="2839" customFormat="false" ht="15" hidden="false" customHeight="false" outlineLevel="0" collapsed="false">
      <c r="A2839" s="2" t="s">
        <v>11924</v>
      </c>
      <c r="B2839" s="2" t="s">
        <v>7903</v>
      </c>
      <c r="C2839" s="2" t="s">
        <v>9092</v>
      </c>
      <c r="D2839" s="2" t="n">
        <v>55.06</v>
      </c>
      <c r="E2839" s="13" t="n">
        <v>45448</v>
      </c>
    </row>
    <row r="2840" customFormat="false" ht="15" hidden="false" customHeight="false" outlineLevel="0" collapsed="false">
      <c r="A2840" s="2" t="s">
        <v>11925</v>
      </c>
      <c r="B2840" s="2" t="s">
        <v>7905</v>
      </c>
      <c r="C2840" s="2" t="s">
        <v>9087</v>
      </c>
      <c r="D2840" s="2" t="n">
        <v>55.43</v>
      </c>
      <c r="E2840" s="13" t="n">
        <v>45455</v>
      </c>
    </row>
    <row r="2841" customFormat="false" ht="15" hidden="false" customHeight="false" outlineLevel="0" collapsed="false">
      <c r="A2841" s="2" t="s">
        <v>11926</v>
      </c>
      <c r="B2841" s="2" t="s">
        <v>7907</v>
      </c>
      <c r="C2841" s="2" t="s">
        <v>9087</v>
      </c>
      <c r="D2841" s="2" t="n">
        <v>55.8</v>
      </c>
      <c r="E2841" s="13" t="n">
        <v>45462</v>
      </c>
    </row>
    <row r="2842" customFormat="false" ht="15" hidden="false" customHeight="false" outlineLevel="0" collapsed="false">
      <c r="A2842" s="2" t="s">
        <v>11927</v>
      </c>
      <c r="B2842" s="2" t="s">
        <v>7909</v>
      </c>
      <c r="C2842" s="2" t="s">
        <v>9085</v>
      </c>
      <c r="D2842" s="2" t="n">
        <v>56.17</v>
      </c>
      <c r="E2842" s="13" t="n">
        <v>45469</v>
      </c>
    </row>
    <row r="2843" customFormat="false" ht="15" hidden="false" customHeight="false" outlineLevel="0" collapsed="false">
      <c r="A2843" s="2" t="s">
        <v>11928</v>
      </c>
      <c r="B2843" s="2" t="s">
        <v>7911</v>
      </c>
      <c r="C2843" s="2" t="s">
        <v>9083</v>
      </c>
      <c r="D2843" s="2" t="n">
        <v>56.54</v>
      </c>
      <c r="E2843" s="13" t="n">
        <v>45476</v>
      </c>
    </row>
    <row r="2844" customFormat="false" ht="15" hidden="false" customHeight="false" outlineLevel="0" collapsed="false">
      <c r="A2844" s="2" t="s">
        <v>11929</v>
      </c>
      <c r="B2844" s="2" t="s">
        <v>7913</v>
      </c>
      <c r="C2844" s="2" t="s">
        <v>9087</v>
      </c>
      <c r="D2844" s="2" t="n">
        <v>56.91</v>
      </c>
      <c r="E2844" s="13" t="n">
        <v>45483</v>
      </c>
    </row>
    <row r="2845" customFormat="false" ht="15" hidden="false" customHeight="false" outlineLevel="0" collapsed="false">
      <c r="A2845" s="2" t="s">
        <v>11930</v>
      </c>
      <c r="B2845" s="2" t="s">
        <v>7915</v>
      </c>
      <c r="C2845" s="2" t="s">
        <v>9085</v>
      </c>
      <c r="D2845" s="2" t="n">
        <v>57.28</v>
      </c>
      <c r="E2845" s="13" t="n">
        <v>45490</v>
      </c>
    </row>
    <row r="2846" customFormat="false" ht="15" hidden="false" customHeight="false" outlineLevel="0" collapsed="false">
      <c r="A2846" s="2" t="s">
        <v>11931</v>
      </c>
      <c r="B2846" s="2" t="s">
        <v>7917</v>
      </c>
      <c r="C2846" s="2" t="s">
        <v>9092</v>
      </c>
      <c r="D2846" s="2" t="n">
        <v>57.65</v>
      </c>
      <c r="E2846" s="13" t="n">
        <v>45497</v>
      </c>
    </row>
    <row r="2847" customFormat="false" ht="15" hidden="false" customHeight="false" outlineLevel="0" collapsed="false">
      <c r="A2847" s="2" t="s">
        <v>11932</v>
      </c>
      <c r="B2847" s="2" t="s">
        <v>7919</v>
      </c>
      <c r="C2847" s="2" t="s">
        <v>9087</v>
      </c>
      <c r="D2847" s="2" t="n">
        <v>58.02</v>
      </c>
      <c r="E2847" s="13" t="n">
        <v>45504</v>
      </c>
    </row>
    <row r="2848" customFormat="false" ht="15" hidden="false" customHeight="false" outlineLevel="0" collapsed="false">
      <c r="A2848" s="2" t="s">
        <v>11933</v>
      </c>
      <c r="B2848" s="2" t="s">
        <v>7921</v>
      </c>
      <c r="C2848" s="2" t="s">
        <v>9092</v>
      </c>
      <c r="D2848" s="2" t="n">
        <v>58.39</v>
      </c>
      <c r="E2848" s="13" t="n">
        <v>45511</v>
      </c>
    </row>
    <row r="2849" customFormat="false" ht="15" hidden="false" customHeight="false" outlineLevel="0" collapsed="false">
      <c r="A2849" s="2" t="s">
        <v>11934</v>
      </c>
      <c r="B2849" s="2" t="s">
        <v>7923</v>
      </c>
      <c r="C2849" s="2" t="s">
        <v>9087</v>
      </c>
      <c r="D2849" s="2" t="n">
        <v>58.76</v>
      </c>
      <c r="E2849" s="13" t="n">
        <v>45518</v>
      </c>
    </row>
    <row r="2850" customFormat="false" ht="15" hidden="false" customHeight="false" outlineLevel="0" collapsed="false">
      <c r="A2850" s="2" t="s">
        <v>11935</v>
      </c>
      <c r="B2850" s="2" t="s">
        <v>7927</v>
      </c>
      <c r="C2850" s="2" t="s">
        <v>9085</v>
      </c>
      <c r="D2850" s="2" t="n">
        <v>59.13</v>
      </c>
      <c r="E2850" s="13" t="n">
        <v>45525</v>
      </c>
    </row>
    <row r="2851" customFormat="false" ht="15" hidden="false" customHeight="false" outlineLevel="0" collapsed="false">
      <c r="A2851" s="2" t="s">
        <v>11936</v>
      </c>
      <c r="B2851" s="2" t="s">
        <v>7929</v>
      </c>
      <c r="C2851" s="2" t="s">
        <v>9092</v>
      </c>
      <c r="D2851" s="2" t="n">
        <v>59.5</v>
      </c>
      <c r="E2851" s="13" t="n">
        <v>45532</v>
      </c>
    </row>
    <row r="2852" customFormat="false" ht="15" hidden="false" customHeight="false" outlineLevel="0" collapsed="false">
      <c r="A2852" s="2" t="s">
        <v>11937</v>
      </c>
      <c r="B2852" s="2" t="s">
        <v>7931</v>
      </c>
      <c r="C2852" s="2" t="s">
        <v>9092</v>
      </c>
      <c r="D2852" s="2" t="n">
        <v>59.87</v>
      </c>
      <c r="E2852" s="13" t="n">
        <v>45539</v>
      </c>
    </row>
    <row r="2853" customFormat="false" ht="15" hidden="false" customHeight="false" outlineLevel="0" collapsed="false">
      <c r="A2853" s="2" t="s">
        <v>11938</v>
      </c>
      <c r="B2853" s="2" t="s">
        <v>7935</v>
      </c>
      <c r="C2853" s="2" t="s">
        <v>9087</v>
      </c>
      <c r="D2853" s="2" t="n">
        <v>60.24</v>
      </c>
      <c r="E2853" s="13" t="n">
        <v>45546</v>
      </c>
    </row>
    <row r="2854" customFormat="false" ht="15" hidden="false" customHeight="false" outlineLevel="0" collapsed="false">
      <c r="A2854" s="2" t="s">
        <v>11939</v>
      </c>
      <c r="B2854" s="2" t="s">
        <v>7937</v>
      </c>
      <c r="C2854" s="2" t="s">
        <v>9085</v>
      </c>
      <c r="D2854" s="2" t="n">
        <v>60.61</v>
      </c>
      <c r="E2854" s="13" t="n">
        <v>45553</v>
      </c>
    </row>
    <row r="2855" customFormat="false" ht="15" hidden="false" customHeight="false" outlineLevel="0" collapsed="false">
      <c r="A2855" s="2" t="s">
        <v>11940</v>
      </c>
      <c r="B2855" s="2" t="s">
        <v>7939</v>
      </c>
      <c r="C2855" s="2" t="s">
        <v>9087</v>
      </c>
      <c r="D2855" s="2" t="n">
        <v>60.98</v>
      </c>
      <c r="E2855" s="13" t="n">
        <v>45560</v>
      </c>
    </row>
    <row r="2856" customFormat="false" ht="15" hidden="false" customHeight="false" outlineLevel="0" collapsed="false">
      <c r="A2856" s="2" t="s">
        <v>11941</v>
      </c>
      <c r="B2856" s="2" t="s">
        <v>7941</v>
      </c>
      <c r="C2856" s="2" t="s">
        <v>9098</v>
      </c>
      <c r="D2856" s="2" t="n">
        <v>61.35</v>
      </c>
      <c r="E2856" s="13" t="n">
        <v>45567</v>
      </c>
    </row>
    <row r="2857" customFormat="false" ht="15" hidden="false" customHeight="false" outlineLevel="0" collapsed="false">
      <c r="A2857" s="2" t="s">
        <v>11942</v>
      </c>
      <c r="B2857" s="2" t="s">
        <v>7943</v>
      </c>
      <c r="C2857" s="2" t="s">
        <v>9085</v>
      </c>
      <c r="D2857" s="2" t="n">
        <v>61.72</v>
      </c>
      <c r="E2857" s="13" t="n">
        <v>45574</v>
      </c>
    </row>
    <row r="2858" customFormat="false" ht="15" hidden="false" customHeight="false" outlineLevel="0" collapsed="false">
      <c r="A2858" s="2" t="s">
        <v>11943</v>
      </c>
      <c r="B2858" s="2" t="s">
        <v>7945</v>
      </c>
      <c r="C2858" s="2" t="s">
        <v>9092</v>
      </c>
      <c r="D2858" s="2" t="n">
        <v>62.09</v>
      </c>
      <c r="E2858" s="13" t="n">
        <v>45581</v>
      </c>
    </row>
    <row r="2859" customFormat="false" ht="15" hidden="false" customHeight="false" outlineLevel="0" collapsed="false">
      <c r="A2859" s="2" t="s">
        <v>11944</v>
      </c>
      <c r="B2859" s="2" t="s">
        <v>7947</v>
      </c>
      <c r="C2859" s="2" t="s">
        <v>9085</v>
      </c>
      <c r="D2859" s="2" t="n">
        <v>62.46</v>
      </c>
      <c r="E2859" s="13" t="n">
        <v>45588</v>
      </c>
    </row>
    <row r="2860" customFormat="false" ht="15" hidden="false" customHeight="false" outlineLevel="0" collapsed="false">
      <c r="A2860" s="2" t="s">
        <v>11945</v>
      </c>
      <c r="B2860" s="2" t="s">
        <v>7949</v>
      </c>
      <c r="C2860" s="2" t="s">
        <v>9087</v>
      </c>
      <c r="D2860" s="2" t="n">
        <v>62.83</v>
      </c>
      <c r="E2860" s="13" t="n">
        <v>45595</v>
      </c>
    </row>
    <row r="2861" customFormat="false" ht="15" hidden="false" customHeight="false" outlineLevel="0" collapsed="false">
      <c r="A2861" s="2" t="s">
        <v>11946</v>
      </c>
      <c r="B2861" s="2" t="s">
        <v>7951</v>
      </c>
      <c r="C2861" s="2" t="s">
        <v>9098</v>
      </c>
      <c r="D2861" s="2" t="n">
        <v>63.2</v>
      </c>
      <c r="E2861" s="13" t="n">
        <v>45602</v>
      </c>
    </row>
    <row r="2862" customFormat="false" ht="15" hidden="false" customHeight="false" outlineLevel="0" collapsed="false">
      <c r="A2862" s="2" t="s">
        <v>11947</v>
      </c>
      <c r="B2862" s="2" t="s">
        <v>7953</v>
      </c>
      <c r="C2862" s="2" t="s">
        <v>9085</v>
      </c>
      <c r="D2862" s="2" t="n">
        <v>63.57</v>
      </c>
      <c r="E2862" s="13" t="n">
        <v>45609</v>
      </c>
    </row>
    <row r="2863" customFormat="false" ht="15" hidden="false" customHeight="false" outlineLevel="0" collapsed="false">
      <c r="A2863" s="2" t="s">
        <v>11948</v>
      </c>
      <c r="B2863" s="2" t="s">
        <v>7955</v>
      </c>
      <c r="C2863" s="2" t="s">
        <v>9092</v>
      </c>
      <c r="D2863" s="2" t="n">
        <v>63.94</v>
      </c>
      <c r="E2863" s="13" t="n">
        <v>45616</v>
      </c>
    </row>
    <row r="2864" customFormat="false" ht="15" hidden="false" customHeight="false" outlineLevel="0" collapsed="false">
      <c r="A2864" s="2" t="s">
        <v>11949</v>
      </c>
      <c r="B2864" s="2" t="s">
        <v>7957</v>
      </c>
      <c r="C2864" s="2" t="s">
        <v>9098</v>
      </c>
      <c r="D2864" s="2" t="n">
        <v>64.31</v>
      </c>
      <c r="E2864" s="13" t="n">
        <v>45623</v>
      </c>
    </row>
    <row r="2865" customFormat="false" ht="15" hidden="false" customHeight="false" outlineLevel="0" collapsed="false">
      <c r="A2865" s="2" t="s">
        <v>11950</v>
      </c>
      <c r="B2865" s="2" t="s">
        <v>7959</v>
      </c>
      <c r="C2865" s="2" t="s">
        <v>9092</v>
      </c>
      <c r="D2865" s="2" t="n">
        <v>64.68</v>
      </c>
      <c r="E2865" s="13" t="n">
        <v>45630</v>
      </c>
    </row>
    <row r="2866" customFormat="false" ht="15" hidden="false" customHeight="false" outlineLevel="0" collapsed="false">
      <c r="A2866" s="2" t="s">
        <v>11951</v>
      </c>
      <c r="B2866" s="2" t="s">
        <v>7961</v>
      </c>
      <c r="C2866" s="2" t="s">
        <v>9092</v>
      </c>
      <c r="D2866" s="2" t="n">
        <v>65.05</v>
      </c>
      <c r="E2866" s="13" t="n">
        <v>45637</v>
      </c>
    </row>
    <row r="2867" customFormat="false" ht="15" hidden="false" customHeight="false" outlineLevel="0" collapsed="false">
      <c r="A2867" s="2" t="s">
        <v>11952</v>
      </c>
      <c r="B2867" s="2" t="s">
        <v>7963</v>
      </c>
      <c r="C2867" s="2" t="s">
        <v>9092</v>
      </c>
      <c r="D2867" s="2" t="n">
        <v>65.42</v>
      </c>
      <c r="E2867" s="13" t="n">
        <v>45644</v>
      </c>
    </row>
    <row r="2868" customFormat="false" ht="15" hidden="false" customHeight="false" outlineLevel="0" collapsed="false">
      <c r="A2868" s="2" t="s">
        <v>11953</v>
      </c>
      <c r="B2868" s="2" t="s">
        <v>7965</v>
      </c>
      <c r="C2868" s="2" t="s">
        <v>9098</v>
      </c>
      <c r="D2868" s="2" t="n">
        <v>65.79</v>
      </c>
      <c r="E2868" s="13" t="n">
        <v>45651</v>
      </c>
    </row>
    <row r="2869" customFormat="false" ht="15" hidden="false" customHeight="false" outlineLevel="0" collapsed="false">
      <c r="A2869" s="2" t="s">
        <v>11954</v>
      </c>
      <c r="B2869" s="2" t="s">
        <v>7969</v>
      </c>
      <c r="C2869" s="2" t="s">
        <v>9098</v>
      </c>
      <c r="D2869" s="2" t="n">
        <v>66.16</v>
      </c>
      <c r="E2869" s="13" t="n">
        <v>45658</v>
      </c>
    </row>
    <row r="2870" customFormat="false" ht="15" hidden="false" customHeight="false" outlineLevel="0" collapsed="false">
      <c r="A2870" s="2" t="s">
        <v>11955</v>
      </c>
      <c r="B2870" s="2" t="s">
        <v>7971</v>
      </c>
      <c r="C2870" s="2" t="s">
        <v>9098</v>
      </c>
      <c r="D2870" s="2" t="n">
        <v>66.53</v>
      </c>
      <c r="E2870" s="13" t="n">
        <v>45665</v>
      </c>
    </row>
    <row r="2871" customFormat="false" ht="15" hidden="false" customHeight="false" outlineLevel="0" collapsed="false">
      <c r="A2871" s="2" t="s">
        <v>11956</v>
      </c>
      <c r="B2871" s="2" t="s">
        <v>7973</v>
      </c>
      <c r="C2871" s="2" t="s">
        <v>9083</v>
      </c>
      <c r="D2871" s="2" t="n">
        <v>66.9</v>
      </c>
      <c r="E2871" s="13" t="n">
        <v>45672</v>
      </c>
    </row>
    <row r="2872" customFormat="false" ht="15" hidden="false" customHeight="false" outlineLevel="0" collapsed="false">
      <c r="A2872" s="2" t="s">
        <v>11957</v>
      </c>
      <c r="B2872" s="2" t="s">
        <v>7975</v>
      </c>
      <c r="C2872" s="2" t="s">
        <v>9092</v>
      </c>
      <c r="D2872" s="2" t="n">
        <v>67.27</v>
      </c>
      <c r="E2872" s="13" t="n">
        <v>45679</v>
      </c>
    </row>
    <row r="2873" customFormat="false" ht="15" hidden="false" customHeight="false" outlineLevel="0" collapsed="false">
      <c r="A2873" s="2" t="s">
        <v>11958</v>
      </c>
      <c r="B2873" s="2" t="s">
        <v>7977</v>
      </c>
      <c r="C2873" s="2" t="s">
        <v>9087</v>
      </c>
      <c r="D2873" s="2" t="n">
        <v>67.64</v>
      </c>
      <c r="E2873" s="13" t="n">
        <v>45686</v>
      </c>
    </row>
    <row r="2874" customFormat="false" ht="15" hidden="false" customHeight="false" outlineLevel="0" collapsed="false">
      <c r="A2874" s="2" t="s">
        <v>11959</v>
      </c>
      <c r="B2874" s="2" t="s">
        <v>7979</v>
      </c>
      <c r="C2874" s="2" t="s">
        <v>9098</v>
      </c>
      <c r="D2874" s="2" t="n">
        <v>68.01</v>
      </c>
      <c r="E2874" s="13" t="n">
        <v>45693</v>
      </c>
    </row>
    <row r="2875" customFormat="false" ht="15" hidden="false" customHeight="false" outlineLevel="0" collapsed="false">
      <c r="A2875" s="2" t="s">
        <v>11960</v>
      </c>
      <c r="B2875" s="2" t="s">
        <v>7981</v>
      </c>
      <c r="C2875" s="2" t="s">
        <v>9087</v>
      </c>
      <c r="D2875" s="2" t="n">
        <v>68.38</v>
      </c>
      <c r="E2875" s="13" t="n">
        <v>45700</v>
      </c>
    </row>
    <row r="2876" customFormat="false" ht="15" hidden="false" customHeight="false" outlineLevel="0" collapsed="false">
      <c r="A2876" s="2" t="s">
        <v>11961</v>
      </c>
      <c r="B2876" s="2" t="s">
        <v>7983</v>
      </c>
      <c r="C2876" s="2" t="s">
        <v>9092</v>
      </c>
      <c r="D2876" s="2" t="n">
        <v>68.75</v>
      </c>
      <c r="E2876" s="13" t="n">
        <v>45707</v>
      </c>
    </row>
    <row r="2877" customFormat="false" ht="15" hidden="false" customHeight="false" outlineLevel="0" collapsed="false">
      <c r="A2877" s="2" t="s">
        <v>11962</v>
      </c>
      <c r="B2877" s="2" t="s">
        <v>7985</v>
      </c>
      <c r="C2877" s="2" t="s">
        <v>9098</v>
      </c>
      <c r="D2877" s="2" t="n">
        <v>69.12</v>
      </c>
      <c r="E2877" s="13" t="n">
        <v>45714</v>
      </c>
    </row>
    <row r="2878" customFormat="false" ht="15" hidden="false" customHeight="false" outlineLevel="0" collapsed="false">
      <c r="A2878" s="2" t="s">
        <v>11963</v>
      </c>
      <c r="B2878" s="2" t="s">
        <v>7987</v>
      </c>
      <c r="C2878" s="2" t="s">
        <v>9087</v>
      </c>
      <c r="D2878" s="2" t="n">
        <v>69.49</v>
      </c>
      <c r="E2878" s="13" t="n">
        <v>45721</v>
      </c>
    </row>
    <row r="2879" customFormat="false" ht="15" hidden="false" customHeight="false" outlineLevel="0" collapsed="false">
      <c r="A2879" s="2" t="s">
        <v>11964</v>
      </c>
      <c r="B2879" s="2" t="s">
        <v>7989</v>
      </c>
      <c r="C2879" s="2" t="s">
        <v>9098</v>
      </c>
      <c r="D2879" s="2" t="n">
        <v>69.86</v>
      </c>
      <c r="E2879" s="13" t="n">
        <v>45728</v>
      </c>
    </row>
    <row r="2880" customFormat="false" ht="15" hidden="false" customHeight="false" outlineLevel="0" collapsed="false">
      <c r="A2880" s="2" t="s">
        <v>11965</v>
      </c>
      <c r="B2880" s="2" t="s">
        <v>7991</v>
      </c>
      <c r="C2880" s="2" t="s">
        <v>9092</v>
      </c>
      <c r="D2880" s="2" t="n">
        <v>70.23</v>
      </c>
      <c r="E2880" s="13" t="n">
        <v>45735</v>
      </c>
    </row>
    <row r="2881" customFormat="false" ht="15" hidden="false" customHeight="false" outlineLevel="0" collapsed="false">
      <c r="A2881" s="2" t="s">
        <v>11966</v>
      </c>
      <c r="B2881" s="2" t="s">
        <v>7993</v>
      </c>
      <c r="C2881" s="2" t="s">
        <v>9083</v>
      </c>
      <c r="D2881" s="2" t="n">
        <v>70.6</v>
      </c>
      <c r="E2881" s="13" t="n">
        <v>45742</v>
      </c>
    </row>
    <row r="2882" customFormat="false" ht="15" hidden="false" customHeight="false" outlineLevel="0" collapsed="false">
      <c r="A2882" s="2" t="s">
        <v>11967</v>
      </c>
      <c r="B2882" s="2" t="s">
        <v>7995</v>
      </c>
      <c r="C2882" s="2" t="s">
        <v>9085</v>
      </c>
      <c r="D2882" s="2" t="n">
        <v>70.97</v>
      </c>
      <c r="E2882" s="13" t="n">
        <v>45749</v>
      </c>
    </row>
    <row r="2883" customFormat="false" ht="15" hidden="false" customHeight="false" outlineLevel="0" collapsed="false">
      <c r="A2883" s="2" t="s">
        <v>11968</v>
      </c>
      <c r="B2883" s="2" t="s">
        <v>7997</v>
      </c>
      <c r="C2883" s="2" t="s">
        <v>9085</v>
      </c>
      <c r="D2883" s="2" t="n">
        <v>71.34</v>
      </c>
      <c r="E2883" s="13" t="n">
        <v>45756</v>
      </c>
    </row>
    <row r="2884" customFormat="false" ht="15" hidden="false" customHeight="false" outlineLevel="0" collapsed="false">
      <c r="A2884" s="2" t="s">
        <v>11969</v>
      </c>
      <c r="B2884" s="2" t="s">
        <v>7999</v>
      </c>
      <c r="C2884" s="2" t="s">
        <v>9098</v>
      </c>
      <c r="D2884" s="2" t="n">
        <v>71.71</v>
      </c>
      <c r="E2884" s="13" t="n">
        <v>45763</v>
      </c>
    </row>
    <row r="2885" customFormat="false" ht="15" hidden="false" customHeight="false" outlineLevel="0" collapsed="false">
      <c r="A2885" s="2" t="s">
        <v>11970</v>
      </c>
      <c r="B2885" s="2" t="s">
        <v>8001</v>
      </c>
      <c r="C2885" s="2" t="s">
        <v>9085</v>
      </c>
      <c r="D2885" s="2" t="n">
        <v>72.08</v>
      </c>
      <c r="E2885" s="13" t="n">
        <v>45770</v>
      </c>
    </row>
    <row r="2886" customFormat="false" ht="15" hidden="false" customHeight="false" outlineLevel="0" collapsed="false">
      <c r="A2886" s="2" t="s">
        <v>11971</v>
      </c>
      <c r="B2886" s="2" t="s">
        <v>8003</v>
      </c>
      <c r="C2886" s="2" t="s">
        <v>9092</v>
      </c>
      <c r="D2886" s="2" t="n">
        <v>72.45</v>
      </c>
      <c r="E2886" s="13" t="n">
        <v>45777</v>
      </c>
    </row>
    <row r="2887" customFormat="false" ht="15" hidden="false" customHeight="false" outlineLevel="0" collapsed="false">
      <c r="A2887" s="2" t="s">
        <v>11972</v>
      </c>
      <c r="B2887" s="2" t="s">
        <v>8005</v>
      </c>
      <c r="C2887" s="2" t="s">
        <v>9087</v>
      </c>
      <c r="D2887" s="2" t="n">
        <v>72.82</v>
      </c>
      <c r="E2887" s="13" t="n">
        <v>45784</v>
      </c>
    </row>
    <row r="2888" customFormat="false" ht="15" hidden="false" customHeight="false" outlineLevel="0" collapsed="false">
      <c r="A2888" s="2" t="s">
        <v>11973</v>
      </c>
      <c r="B2888" s="2" t="s">
        <v>8007</v>
      </c>
      <c r="C2888" s="2" t="s">
        <v>9083</v>
      </c>
      <c r="D2888" s="2" t="n">
        <v>73.19</v>
      </c>
      <c r="E2888" s="13" t="n">
        <v>45791</v>
      </c>
    </row>
    <row r="2889" customFormat="false" ht="15" hidden="false" customHeight="false" outlineLevel="0" collapsed="false">
      <c r="A2889" s="2" t="s">
        <v>11974</v>
      </c>
      <c r="B2889" s="2" t="s">
        <v>8009</v>
      </c>
      <c r="C2889" s="2" t="s">
        <v>9087</v>
      </c>
      <c r="D2889" s="2" t="n">
        <v>73.56</v>
      </c>
      <c r="E2889" s="13" t="n">
        <v>45798</v>
      </c>
    </row>
    <row r="2890" customFormat="false" ht="15" hidden="false" customHeight="false" outlineLevel="0" collapsed="false">
      <c r="A2890" s="2" t="s">
        <v>11975</v>
      </c>
      <c r="B2890" s="2" t="s">
        <v>8011</v>
      </c>
      <c r="C2890" s="2" t="s">
        <v>9092</v>
      </c>
      <c r="D2890" s="2" t="n">
        <v>73.93</v>
      </c>
      <c r="E2890" s="13" t="n">
        <v>45805</v>
      </c>
    </row>
    <row r="2891" customFormat="false" ht="15" hidden="false" customHeight="false" outlineLevel="0" collapsed="false">
      <c r="A2891" s="2" t="s">
        <v>11976</v>
      </c>
      <c r="B2891" s="2" t="s">
        <v>8013</v>
      </c>
      <c r="C2891" s="2" t="s">
        <v>9087</v>
      </c>
      <c r="D2891" s="2" t="n">
        <v>74.3</v>
      </c>
      <c r="E2891" s="13" t="n">
        <v>45812</v>
      </c>
    </row>
    <row r="2892" customFormat="false" ht="15" hidden="false" customHeight="false" outlineLevel="0" collapsed="false">
      <c r="A2892" s="2" t="s">
        <v>11977</v>
      </c>
      <c r="B2892" s="2" t="s">
        <v>8015</v>
      </c>
      <c r="C2892" s="2" t="s">
        <v>9085</v>
      </c>
      <c r="D2892" s="2" t="n">
        <v>74.67</v>
      </c>
      <c r="E2892" s="13" t="n">
        <v>45819</v>
      </c>
    </row>
    <row r="2893" customFormat="false" ht="15" hidden="false" customHeight="false" outlineLevel="0" collapsed="false">
      <c r="A2893" s="2" t="s">
        <v>11978</v>
      </c>
      <c r="B2893" s="2" t="s">
        <v>8017</v>
      </c>
      <c r="C2893" s="2" t="s">
        <v>9092</v>
      </c>
      <c r="D2893" s="2" t="n">
        <v>75.04</v>
      </c>
      <c r="E2893" s="13" t="n">
        <v>45826</v>
      </c>
    </row>
    <row r="2894" customFormat="false" ht="15" hidden="false" customHeight="false" outlineLevel="0" collapsed="false">
      <c r="A2894" s="2" t="s">
        <v>11979</v>
      </c>
      <c r="B2894" s="2" t="s">
        <v>8019</v>
      </c>
      <c r="C2894" s="2" t="s">
        <v>9083</v>
      </c>
      <c r="D2894" s="2" t="n">
        <v>75.41</v>
      </c>
      <c r="E2894" s="13" t="n">
        <v>45833</v>
      </c>
    </row>
    <row r="2895" customFormat="false" ht="15" hidden="false" customHeight="false" outlineLevel="0" collapsed="false">
      <c r="A2895" s="2" t="s">
        <v>11980</v>
      </c>
      <c r="B2895" s="2" t="s">
        <v>8021</v>
      </c>
      <c r="C2895" s="2" t="s">
        <v>9087</v>
      </c>
      <c r="D2895" s="2" t="n">
        <v>75.78</v>
      </c>
      <c r="E2895" s="13" t="n">
        <v>45840</v>
      </c>
    </row>
    <row r="2896" customFormat="false" ht="15" hidden="false" customHeight="false" outlineLevel="0" collapsed="false">
      <c r="A2896" s="2" t="s">
        <v>11981</v>
      </c>
      <c r="B2896" s="2" t="s">
        <v>8023</v>
      </c>
      <c r="C2896" s="2" t="s">
        <v>9098</v>
      </c>
      <c r="D2896" s="2" t="n">
        <v>76.15</v>
      </c>
      <c r="E2896" s="13" t="n">
        <v>45847</v>
      </c>
    </row>
    <row r="2897" customFormat="false" ht="15" hidden="false" customHeight="false" outlineLevel="0" collapsed="false">
      <c r="A2897" s="2" t="s">
        <v>11982</v>
      </c>
      <c r="B2897" s="2" t="s">
        <v>8025</v>
      </c>
      <c r="C2897" s="2" t="s">
        <v>9087</v>
      </c>
      <c r="D2897" s="2" t="n">
        <v>76.52</v>
      </c>
      <c r="E2897" s="13" t="n">
        <v>45854</v>
      </c>
    </row>
    <row r="2898" customFormat="false" ht="15" hidden="false" customHeight="false" outlineLevel="0" collapsed="false">
      <c r="A2898" s="2" t="s">
        <v>11983</v>
      </c>
      <c r="B2898" s="2" t="s">
        <v>8027</v>
      </c>
      <c r="C2898" s="2" t="s">
        <v>9083</v>
      </c>
      <c r="D2898" s="2" t="n">
        <v>76.89</v>
      </c>
      <c r="E2898" s="13" t="n">
        <v>45861</v>
      </c>
    </row>
    <row r="2899" customFormat="false" ht="15" hidden="false" customHeight="false" outlineLevel="0" collapsed="false">
      <c r="A2899" s="2" t="s">
        <v>11984</v>
      </c>
      <c r="B2899" s="2" t="s">
        <v>8029</v>
      </c>
      <c r="C2899" s="2" t="s">
        <v>9083</v>
      </c>
      <c r="D2899" s="2" t="n">
        <v>77.26</v>
      </c>
      <c r="E2899" s="13" t="n">
        <v>45868</v>
      </c>
    </row>
    <row r="2900" customFormat="false" ht="15" hidden="false" customHeight="false" outlineLevel="0" collapsed="false">
      <c r="A2900" s="2" t="s">
        <v>11985</v>
      </c>
      <c r="B2900" s="2" t="s">
        <v>8031</v>
      </c>
      <c r="C2900" s="2" t="s">
        <v>9085</v>
      </c>
      <c r="D2900" s="2" t="n">
        <v>77.63</v>
      </c>
      <c r="E2900" s="13" t="n">
        <v>45875</v>
      </c>
    </row>
    <row r="2901" customFormat="false" ht="15" hidden="false" customHeight="false" outlineLevel="0" collapsed="false">
      <c r="A2901" s="2" t="s">
        <v>11986</v>
      </c>
      <c r="B2901" s="2" t="s">
        <v>8033</v>
      </c>
      <c r="C2901" s="2" t="s">
        <v>9085</v>
      </c>
      <c r="D2901" s="2" t="n">
        <v>78</v>
      </c>
      <c r="E2901" s="13" t="n">
        <v>45882</v>
      </c>
    </row>
    <row r="2902" customFormat="false" ht="15" hidden="false" customHeight="false" outlineLevel="0" collapsed="false">
      <c r="A2902" s="2" t="s">
        <v>11987</v>
      </c>
      <c r="B2902" s="2" t="s">
        <v>8035</v>
      </c>
      <c r="C2902" s="2" t="s">
        <v>9085</v>
      </c>
      <c r="D2902" s="2" t="n">
        <v>78.37</v>
      </c>
      <c r="E2902" s="13" t="n">
        <v>45889</v>
      </c>
    </row>
    <row r="2903" customFormat="false" ht="15" hidden="false" customHeight="false" outlineLevel="0" collapsed="false">
      <c r="A2903" s="2" t="s">
        <v>11988</v>
      </c>
      <c r="B2903" s="2" t="s">
        <v>8037</v>
      </c>
      <c r="C2903" s="2" t="s">
        <v>9087</v>
      </c>
      <c r="D2903" s="2" t="n">
        <v>78.74</v>
      </c>
      <c r="E2903" s="13" t="n">
        <v>45896</v>
      </c>
    </row>
    <row r="2904" customFormat="false" ht="15" hidden="false" customHeight="false" outlineLevel="0" collapsed="false">
      <c r="A2904" s="2" t="s">
        <v>11989</v>
      </c>
      <c r="B2904" s="2" t="s">
        <v>8039</v>
      </c>
      <c r="C2904" s="2" t="s">
        <v>9087</v>
      </c>
      <c r="D2904" s="2" t="n">
        <v>79.11</v>
      </c>
      <c r="E2904" s="13" t="n">
        <v>45903</v>
      </c>
    </row>
    <row r="2905" customFormat="false" ht="15" hidden="false" customHeight="false" outlineLevel="0" collapsed="false">
      <c r="A2905" s="2" t="s">
        <v>11990</v>
      </c>
      <c r="B2905" s="2" t="s">
        <v>8041</v>
      </c>
      <c r="C2905" s="2" t="s">
        <v>9085</v>
      </c>
      <c r="D2905" s="2" t="n">
        <v>79.48</v>
      </c>
      <c r="E2905" s="13" t="n">
        <v>45910</v>
      </c>
    </row>
    <row r="2906" customFormat="false" ht="15" hidden="false" customHeight="false" outlineLevel="0" collapsed="false">
      <c r="A2906" s="2" t="s">
        <v>11991</v>
      </c>
      <c r="B2906" s="2" t="s">
        <v>8043</v>
      </c>
      <c r="C2906" s="2" t="s">
        <v>9098</v>
      </c>
      <c r="D2906" s="2" t="n">
        <v>79.85</v>
      </c>
      <c r="E2906" s="13" t="n">
        <v>45917</v>
      </c>
    </row>
    <row r="2907" customFormat="false" ht="15" hidden="false" customHeight="false" outlineLevel="0" collapsed="false">
      <c r="A2907" s="2" t="s">
        <v>11992</v>
      </c>
      <c r="B2907" s="2" t="s">
        <v>8045</v>
      </c>
      <c r="C2907" s="2" t="s">
        <v>9098</v>
      </c>
      <c r="D2907" s="2" t="n">
        <v>80.22</v>
      </c>
      <c r="E2907" s="13" t="n">
        <v>45924</v>
      </c>
    </row>
    <row r="2908" customFormat="false" ht="15" hidden="false" customHeight="false" outlineLevel="0" collapsed="false">
      <c r="A2908" s="2" t="s">
        <v>11993</v>
      </c>
      <c r="B2908" s="2" t="s">
        <v>8047</v>
      </c>
      <c r="C2908" s="2" t="s">
        <v>9087</v>
      </c>
      <c r="D2908" s="2" t="n">
        <v>80.59</v>
      </c>
      <c r="E2908" s="13" t="n">
        <v>45931</v>
      </c>
    </row>
    <row r="2909" customFormat="false" ht="15" hidden="false" customHeight="false" outlineLevel="0" collapsed="false">
      <c r="A2909" s="2" t="s">
        <v>11994</v>
      </c>
      <c r="B2909" s="2" t="s">
        <v>8049</v>
      </c>
      <c r="C2909" s="2" t="s">
        <v>9092</v>
      </c>
      <c r="D2909" s="2" t="n">
        <v>80.96</v>
      </c>
      <c r="E2909" s="13" t="n">
        <v>45938</v>
      </c>
    </row>
    <row r="2910" customFormat="false" ht="15" hidden="false" customHeight="false" outlineLevel="0" collapsed="false">
      <c r="A2910" s="2" t="s">
        <v>11995</v>
      </c>
      <c r="B2910" s="2" t="s">
        <v>8051</v>
      </c>
      <c r="C2910" s="2" t="s">
        <v>9092</v>
      </c>
      <c r="D2910" s="2" t="n">
        <v>81.33</v>
      </c>
      <c r="E2910" s="13" t="n">
        <v>45945</v>
      </c>
    </row>
    <row r="2911" customFormat="false" ht="15" hidden="false" customHeight="false" outlineLevel="0" collapsed="false">
      <c r="A2911" s="2" t="s">
        <v>11996</v>
      </c>
      <c r="B2911" s="2" t="s">
        <v>8053</v>
      </c>
      <c r="C2911" s="2" t="s">
        <v>9083</v>
      </c>
      <c r="D2911" s="2" t="n">
        <v>81.7</v>
      </c>
      <c r="E2911" s="13" t="n">
        <v>45952</v>
      </c>
    </row>
    <row r="2912" customFormat="false" ht="15" hidden="false" customHeight="false" outlineLevel="0" collapsed="false">
      <c r="A2912" s="2" t="s">
        <v>11997</v>
      </c>
      <c r="B2912" s="2" t="s">
        <v>8055</v>
      </c>
      <c r="C2912" s="2" t="s">
        <v>9083</v>
      </c>
      <c r="D2912" s="2" t="n">
        <v>82.07</v>
      </c>
      <c r="E2912" s="13" t="n">
        <v>45959</v>
      </c>
    </row>
    <row r="2913" customFormat="false" ht="15" hidden="false" customHeight="false" outlineLevel="0" collapsed="false">
      <c r="A2913" s="2" t="s">
        <v>11998</v>
      </c>
      <c r="B2913" s="2" t="s">
        <v>8057</v>
      </c>
      <c r="C2913" s="2" t="s">
        <v>9092</v>
      </c>
      <c r="D2913" s="2" t="n">
        <v>82.44</v>
      </c>
      <c r="E2913" s="13" t="n">
        <v>45966</v>
      </c>
    </row>
    <row r="2914" customFormat="false" ht="15" hidden="false" customHeight="false" outlineLevel="0" collapsed="false">
      <c r="A2914" s="2" t="s">
        <v>11999</v>
      </c>
      <c r="B2914" s="2" t="s">
        <v>8059</v>
      </c>
      <c r="C2914" s="2" t="s">
        <v>9083</v>
      </c>
      <c r="D2914" s="2" t="n">
        <v>82.81</v>
      </c>
      <c r="E2914" s="13" t="n">
        <v>45973</v>
      </c>
    </row>
    <row r="2915" customFormat="false" ht="15" hidden="false" customHeight="false" outlineLevel="0" collapsed="false">
      <c r="A2915" s="2" t="s">
        <v>12000</v>
      </c>
      <c r="B2915" s="2" t="s">
        <v>8061</v>
      </c>
      <c r="C2915" s="2" t="s">
        <v>9085</v>
      </c>
      <c r="D2915" s="2" t="n">
        <v>83.18</v>
      </c>
      <c r="E2915" s="13" t="n">
        <v>45980</v>
      </c>
    </row>
    <row r="2916" customFormat="false" ht="15" hidden="false" customHeight="false" outlineLevel="0" collapsed="false">
      <c r="A2916" s="2" t="s">
        <v>12001</v>
      </c>
      <c r="B2916" s="2" t="s">
        <v>8063</v>
      </c>
      <c r="C2916" s="2" t="s">
        <v>9085</v>
      </c>
      <c r="D2916" s="2" t="n">
        <v>83.55</v>
      </c>
      <c r="E2916" s="13" t="n">
        <v>45987</v>
      </c>
    </row>
    <row r="2917" customFormat="false" ht="15" hidden="false" customHeight="false" outlineLevel="0" collapsed="false">
      <c r="A2917" s="2" t="s">
        <v>12002</v>
      </c>
      <c r="B2917" s="2" t="s">
        <v>8065</v>
      </c>
      <c r="C2917" s="2" t="s">
        <v>9098</v>
      </c>
      <c r="D2917" s="2" t="n">
        <v>83.92</v>
      </c>
      <c r="E2917" s="13" t="n">
        <v>45994</v>
      </c>
    </row>
    <row r="2918" customFormat="false" ht="15" hidden="false" customHeight="false" outlineLevel="0" collapsed="false">
      <c r="A2918" s="2" t="s">
        <v>12003</v>
      </c>
      <c r="B2918" s="2" t="s">
        <v>8067</v>
      </c>
      <c r="C2918" s="2" t="s">
        <v>9087</v>
      </c>
      <c r="D2918" s="2" t="n">
        <v>84.29</v>
      </c>
      <c r="E2918" s="13" t="n">
        <v>46001</v>
      </c>
    </row>
    <row r="2919" customFormat="false" ht="15" hidden="false" customHeight="false" outlineLevel="0" collapsed="false">
      <c r="A2919" s="2" t="s">
        <v>12004</v>
      </c>
      <c r="B2919" s="2" t="s">
        <v>8069</v>
      </c>
      <c r="C2919" s="2" t="s">
        <v>9085</v>
      </c>
      <c r="D2919" s="2" t="n">
        <v>84.66</v>
      </c>
      <c r="E2919" s="13" t="n">
        <v>46008</v>
      </c>
    </row>
    <row r="2920" customFormat="false" ht="15" hidden="false" customHeight="false" outlineLevel="0" collapsed="false">
      <c r="A2920" s="2" t="s">
        <v>12005</v>
      </c>
      <c r="B2920" s="2" t="s">
        <v>8071</v>
      </c>
      <c r="C2920" s="2" t="s">
        <v>9092</v>
      </c>
      <c r="D2920" s="2" t="n">
        <v>85.03</v>
      </c>
      <c r="E2920" s="13" t="n">
        <v>46015</v>
      </c>
    </row>
    <row r="2921" customFormat="false" ht="15" hidden="false" customHeight="false" outlineLevel="0" collapsed="false">
      <c r="A2921" s="2" t="s">
        <v>12006</v>
      </c>
      <c r="B2921" s="2" t="s">
        <v>8075</v>
      </c>
      <c r="C2921" s="2" t="s">
        <v>9083</v>
      </c>
      <c r="D2921" s="2" t="n">
        <v>85.4</v>
      </c>
      <c r="E2921" s="13" t="n">
        <v>45292</v>
      </c>
    </row>
    <row r="2922" customFormat="false" ht="15" hidden="false" customHeight="false" outlineLevel="0" collapsed="false">
      <c r="A2922" s="2" t="s">
        <v>12007</v>
      </c>
      <c r="B2922" s="2" t="s">
        <v>8077</v>
      </c>
      <c r="C2922" s="2" t="s">
        <v>9098</v>
      </c>
      <c r="D2922" s="2" t="n">
        <v>85.77</v>
      </c>
      <c r="E2922" s="13" t="n">
        <v>45299</v>
      </c>
    </row>
    <row r="2923" customFormat="false" ht="15" hidden="false" customHeight="false" outlineLevel="0" collapsed="false">
      <c r="A2923" s="2" t="s">
        <v>12008</v>
      </c>
      <c r="B2923" s="2" t="s">
        <v>8079</v>
      </c>
      <c r="C2923" s="2" t="s">
        <v>9098</v>
      </c>
      <c r="D2923" s="2" t="n">
        <v>86.14</v>
      </c>
      <c r="E2923" s="13" t="n">
        <v>45306</v>
      </c>
    </row>
    <row r="2924" customFormat="false" ht="15" hidden="false" customHeight="false" outlineLevel="0" collapsed="false">
      <c r="A2924" s="2" t="s">
        <v>12009</v>
      </c>
      <c r="B2924" s="2" t="s">
        <v>8081</v>
      </c>
      <c r="C2924" s="2" t="s">
        <v>9085</v>
      </c>
      <c r="D2924" s="2" t="n">
        <v>86.51</v>
      </c>
      <c r="E2924" s="13" t="n">
        <v>45313</v>
      </c>
    </row>
    <row r="2925" customFormat="false" ht="15" hidden="false" customHeight="false" outlineLevel="0" collapsed="false">
      <c r="A2925" s="2" t="s">
        <v>12010</v>
      </c>
      <c r="B2925" s="2" t="s">
        <v>8083</v>
      </c>
      <c r="C2925" s="2" t="s">
        <v>9092</v>
      </c>
      <c r="D2925" s="2" t="n">
        <v>86.88</v>
      </c>
      <c r="E2925" s="13" t="n">
        <v>45320</v>
      </c>
    </row>
    <row r="2926" customFormat="false" ht="15" hidden="false" customHeight="false" outlineLevel="0" collapsed="false">
      <c r="A2926" s="2" t="s">
        <v>12011</v>
      </c>
      <c r="B2926" s="2" t="s">
        <v>8085</v>
      </c>
      <c r="C2926" s="2" t="s">
        <v>9098</v>
      </c>
      <c r="D2926" s="2" t="n">
        <v>87.25</v>
      </c>
      <c r="E2926" s="13" t="n">
        <v>45327</v>
      </c>
    </row>
    <row r="2927" customFormat="false" ht="15" hidden="false" customHeight="false" outlineLevel="0" collapsed="false">
      <c r="A2927" s="2" t="s">
        <v>12012</v>
      </c>
      <c r="B2927" s="2" t="s">
        <v>8087</v>
      </c>
      <c r="C2927" s="2" t="s">
        <v>9087</v>
      </c>
      <c r="D2927" s="2" t="n">
        <v>87.62</v>
      </c>
      <c r="E2927" s="13" t="n">
        <v>45334</v>
      </c>
    </row>
    <row r="2928" customFormat="false" ht="15" hidden="false" customHeight="false" outlineLevel="0" collapsed="false">
      <c r="A2928" s="2" t="s">
        <v>12013</v>
      </c>
      <c r="B2928" s="2" t="s">
        <v>8089</v>
      </c>
      <c r="C2928" s="2" t="s">
        <v>9098</v>
      </c>
      <c r="D2928" s="2" t="n">
        <v>87.99</v>
      </c>
      <c r="E2928" s="13" t="n">
        <v>45341</v>
      </c>
    </row>
    <row r="2929" customFormat="false" ht="15" hidden="false" customHeight="false" outlineLevel="0" collapsed="false">
      <c r="A2929" s="2" t="s">
        <v>12014</v>
      </c>
      <c r="B2929" s="2" t="s">
        <v>8091</v>
      </c>
      <c r="C2929" s="2" t="s">
        <v>9083</v>
      </c>
      <c r="D2929" s="2" t="n">
        <v>88.36</v>
      </c>
      <c r="E2929" s="13" t="n">
        <v>45348</v>
      </c>
    </row>
    <row r="2930" customFormat="false" ht="15" hidden="false" customHeight="false" outlineLevel="0" collapsed="false">
      <c r="A2930" s="2" t="s">
        <v>12015</v>
      </c>
      <c r="B2930" s="2" t="s">
        <v>8093</v>
      </c>
      <c r="C2930" s="2" t="s">
        <v>9098</v>
      </c>
      <c r="D2930" s="2" t="n">
        <v>88.73</v>
      </c>
      <c r="E2930" s="13" t="n">
        <v>45355</v>
      </c>
    </row>
    <row r="2931" customFormat="false" ht="15" hidden="false" customHeight="false" outlineLevel="0" collapsed="false">
      <c r="A2931" s="2" t="s">
        <v>12016</v>
      </c>
      <c r="B2931" s="2" t="s">
        <v>8095</v>
      </c>
      <c r="C2931" s="2" t="s">
        <v>9083</v>
      </c>
      <c r="D2931" s="2" t="n">
        <v>89.1</v>
      </c>
      <c r="E2931" s="13" t="n">
        <v>45362</v>
      </c>
    </row>
    <row r="2932" customFormat="false" ht="15" hidden="false" customHeight="false" outlineLevel="0" collapsed="false">
      <c r="A2932" s="2" t="s">
        <v>12017</v>
      </c>
      <c r="B2932" s="2" t="s">
        <v>8097</v>
      </c>
      <c r="C2932" s="2" t="s">
        <v>9083</v>
      </c>
      <c r="D2932" s="2" t="n">
        <v>89.47</v>
      </c>
      <c r="E2932" s="13" t="n">
        <v>45369</v>
      </c>
    </row>
    <row r="2933" customFormat="false" ht="15" hidden="false" customHeight="false" outlineLevel="0" collapsed="false">
      <c r="A2933" s="2" t="s">
        <v>12018</v>
      </c>
      <c r="B2933" s="2" t="s">
        <v>8099</v>
      </c>
      <c r="C2933" s="2" t="s">
        <v>9092</v>
      </c>
      <c r="D2933" s="2" t="n">
        <v>89.84</v>
      </c>
      <c r="E2933" s="13" t="n">
        <v>45376</v>
      </c>
    </row>
    <row r="2934" customFormat="false" ht="15" hidden="false" customHeight="false" outlineLevel="0" collapsed="false">
      <c r="A2934" s="2" t="s">
        <v>12019</v>
      </c>
      <c r="B2934" s="2" t="s">
        <v>8101</v>
      </c>
      <c r="C2934" s="2" t="s">
        <v>9085</v>
      </c>
      <c r="D2934" s="2" t="n">
        <v>90.21</v>
      </c>
      <c r="E2934" s="13" t="n">
        <v>45383</v>
      </c>
    </row>
    <row r="2935" customFormat="false" ht="15" hidden="false" customHeight="false" outlineLevel="0" collapsed="false">
      <c r="A2935" s="2" t="s">
        <v>12020</v>
      </c>
      <c r="B2935" s="2" t="s">
        <v>8103</v>
      </c>
      <c r="C2935" s="2" t="s">
        <v>9092</v>
      </c>
      <c r="D2935" s="2" t="n">
        <v>90.58</v>
      </c>
      <c r="E2935" s="13" t="n">
        <v>45390</v>
      </c>
    </row>
    <row r="2936" customFormat="false" ht="15" hidden="false" customHeight="false" outlineLevel="0" collapsed="false">
      <c r="A2936" s="2" t="s">
        <v>12021</v>
      </c>
      <c r="B2936" s="2" t="s">
        <v>8105</v>
      </c>
      <c r="C2936" s="2" t="s">
        <v>9087</v>
      </c>
      <c r="D2936" s="2" t="n">
        <v>90.95</v>
      </c>
      <c r="E2936" s="13" t="n">
        <v>45397</v>
      </c>
    </row>
    <row r="2937" customFormat="false" ht="15" hidden="false" customHeight="false" outlineLevel="0" collapsed="false">
      <c r="A2937" s="2" t="s">
        <v>12022</v>
      </c>
      <c r="B2937" s="2" t="s">
        <v>8107</v>
      </c>
      <c r="C2937" s="2" t="s">
        <v>9083</v>
      </c>
      <c r="D2937" s="2" t="n">
        <v>91.32</v>
      </c>
      <c r="E2937" s="13" t="n">
        <v>45404</v>
      </c>
    </row>
    <row r="2938" customFormat="false" ht="15" hidden="false" customHeight="false" outlineLevel="0" collapsed="false">
      <c r="A2938" s="2" t="s">
        <v>12023</v>
      </c>
      <c r="B2938" s="2" t="s">
        <v>8109</v>
      </c>
      <c r="C2938" s="2" t="s">
        <v>9098</v>
      </c>
      <c r="D2938" s="2" t="n">
        <v>91.69</v>
      </c>
      <c r="E2938" s="13" t="n">
        <v>45411</v>
      </c>
    </row>
    <row r="2939" customFormat="false" ht="15" hidden="false" customHeight="false" outlineLevel="0" collapsed="false">
      <c r="A2939" s="2" t="s">
        <v>12024</v>
      </c>
      <c r="B2939" s="2" t="s">
        <v>8111</v>
      </c>
      <c r="C2939" s="2" t="s">
        <v>9098</v>
      </c>
      <c r="D2939" s="2" t="n">
        <v>92.06</v>
      </c>
      <c r="E2939" s="13" t="n">
        <v>45418</v>
      </c>
    </row>
    <row r="2940" customFormat="false" ht="15" hidden="false" customHeight="false" outlineLevel="0" collapsed="false">
      <c r="A2940" s="2" t="s">
        <v>12025</v>
      </c>
      <c r="B2940" s="2" t="s">
        <v>8113</v>
      </c>
      <c r="C2940" s="2" t="s">
        <v>9087</v>
      </c>
      <c r="D2940" s="2" t="n">
        <v>92.43</v>
      </c>
      <c r="E2940" s="13" t="n">
        <v>45425</v>
      </c>
    </row>
    <row r="2941" customFormat="false" ht="15" hidden="false" customHeight="false" outlineLevel="0" collapsed="false">
      <c r="A2941" s="2" t="s">
        <v>12026</v>
      </c>
      <c r="B2941" s="2" t="s">
        <v>8115</v>
      </c>
      <c r="C2941" s="2" t="s">
        <v>9092</v>
      </c>
      <c r="D2941" s="2" t="n">
        <v>92.8</v>
      </c>
      <c r="E2941" s="13" t="n">
        <v>45432</v>
      </c>
    </row>
    <row r="2942" customFormat="false" ht="15" hidden="false" customHeight="false" outlineLevel="0" collapsed="false">
      <c r="A2942" s="2" t="s">
        <v>12027</v>
      </c>
      <c r="B2942" s="2" t="s">
        <v>8117</v>
      </c>
      <c r="C2942" s="2" t="s">
        <v>9098</v>
      </c>
      <c r="D2942" s="2" t="n">
        <v>93.17</v>
      </c>
      <c r="E2942" s="13" t="n">
        <v>45439</v>
      </c>
    </row>
    <row r="2943" customFormat="false" ht="15" hidden="false" customHeight="false" outlineLevel="0" collapsed="false">
      <c r="A2943" s="2" t="s">
        <v>12028</v>
      </c>
      <c r="B2943" s="2" t="s">
        <v>8119</v>
      </c>
      <c r="C2943" s="2" t="s">
        <v>9098</v>
      </c>
      <c r="D2943" s="2" t="n">
        <v>93.54</v>
      </c>
      <c r="E2943" s="13" t="n">
        <v>45446</v>
      </c>
    </row>
    <row r="2944" customFormat="false" ht="15" hidden="false" customHeight="false" outlineLevel="0" collapsed="false">
      <c r="A2944" s="2" t="s">
        <v>12029</v>
      </c>
      <c r="B2944" s="2" t="s">
        <v>8121</v>
      </c>
      <c r="C2944" s="2" t="s">
        <v>9083</v>
      </c>
      <c r="D2944" s="2" t="n">
        <v>93.91</v>
      </c>
      <c r="E2944" s="13" t="n">
        <v>45453</v>
      </c>
    </row>
    <row r="2945" customFormat="false" ht="15" hidden="false" customHeight="false" outlineLevel="0" collapsed="false">
      <c r="A2945" s="2" t="s">
        <v>12030</v>
      </c>
      <c r="B2945" s="2" t="s">
        <v>8123</v>
      </c>
      <c r="C2945" s="2" t="s">
        <v>9085</v>
      </c>
      <c r="D2945" s="2" t="n">
        <v>94.28</v>
      </c>
      <c r="E2945" s="13" t="n">
        <v>45460</v>
      </c>
    </row>
    <row r="2946" customFormat="false" ht="15" hidden="false" customHeight="false" outlineLevel="0" collapsed="false">
      <c r="A2946" s="2" t="s">
        <v>12031</v>
      </c>
      <c r="B2946" s="2" t="s">
        <v>8125</v>
      </c>
      <c r="C2946" s="2" t="s">
        <v>9087</v>
      </c>
      <c r="D2946" s="2" t="n">
        <v>94.65</v>
      </c>
      <c r="E2946" s="13" t="n">
        <v>45467</v>
      </c>
    </row>
    <row r="2947" customFormat="false" ht="15" hidden="false" customHeight="false" outlineLevel="0" collapsed="false">
      <c r="A2947" s="2" t="s">
        <v>12032</v>
      </c>
      <c r="B2947" s="2" t="s">
        <v>8127</v>
      </c>
      <c r="C2947" s="2" t="s">
        <v>9083</v>
      </c>
      <c r="D2947" s="2" t="n">
        <v>95.02</v>
      </c>
      <c r="E2947" s="13" t="n">
        <v>45474</v>
      </c>
    </row>
    <row r="2948" customFormat="false" ht="15" hidden="false" customHeight="false" outlineLevel="0" collapsed="false">
      <c r="A2948" s="2" t="s">
        <v>12033</v>
      </c>
      <c r="B2948" s="2" t="s">
        <v>8129</v>
      </c>
      <c r="C2948" s="2" t="s">
        <v>9083</v>
      </c>
      <c r="D2948" s="2" t="n">
        <v>95.39</v>
      </c>
      <c r="E2948" s="13" t="n">
        <v>45481</v>
      </c>
    </row>
    <row r="2949" customFormat="false" ht="15" hidden="false" customHeight="false" outlineLevel="0" collapsed="false">
      <c r="A2949" s="2" t="s">
        <v>12034</v>
      </c>
      <c r="B2949" s="2" t="s">
        <v>8131</v>
      </c>
      <c r="C2949" s="2" t="s">
        <v>9098</v>
      </c>
      <c r="D2949" s="2" t="n">
        <v>95.76</v>
      </c>
      <c r="E2949" s="13" t="n">
        <v>45488</v>
      </c>
    </row>
    <row r="2950" customFormat="false" ht="15" hidden="false" customHeight="false" outlineLevel="0" collapsed="false">
      <c r="A2950" s="2" t="s">
        <v>12035</v>
      </c>
      <c r="B2950" s="2" t="s">
        <v>8133</v>
      </c>
      <c r="C2950" s="2" t="s">
        <v>9083</v>
      </c>
      <c r="D2950" s="2" t="n">
        <v>96.13</v>
      </c>
      <c r="E2950" s="13" t="n">
        <v>45495</v>
      </c>
    </row>
    <row r="2951" customFormat="false" ht="15" hidden="false" customHeight="false" outlineLevel="0" collapsed="false">
      <c r="A2951" s="2" t="s">
        <v>12036</v>
      </c>
      <c r="B2951" s="2" t="s">
        <v>8135</v>
      </c>
      <c r="C2951" s="2" t="s">
        <v>9085</v>
      </c>
      <c r="D2951" s="2" t="n">
        <v>96.5</v>
      </c>
      <c r="E2951" s="13" t="n">
        <v>45502</v>
      </c>
    </row>
    <row r="2952" customFormat="false" ht="15" hidden="false" customHeight="false" outlineLevel="0" collapsed="false">
      <c r="A2952" s="2" t="s">
        <v>12037</v>
      </c>
      <c r="B2952" s="2" t="s">
        <v>8137</v>
      </c>
      <c r="C2952" s="2" t="s">
        <v>9098</v>
      </c>
      <c r="D2952" s="2" t="n">
        <v>96.87</v>
      </c>
      <c r="E2952" s="13" t="n">
        <v>45509</v>
      </c>
    </row>
    <row r="2953" customFormat="false" ht="15" hidden="false" customHeight="false" outlineLevel="0" collapsed="false">
      <c r="A2953" s="2" t="s">
        <v>12038</v>
      </c>
      <c r="B2953" s="2" t="s">
        <v>8139</v>
      </c>
      <c r="C2953" s="2" t="s">
        <v>9083</v>
      </c>
      <c r="D2953" s="2" t="n">
        <v>97.24</v>
      </c>
      <c r="E2953" s="13" t="n">
        <v>45516</v>
      </c>
    </row>
    <row r="2954" customFormat="false" ht="15" hidden="false" customHeight="false" outlineLevel="0" collapsed="false">
      <c r="A2954" s="2" t="s">
        <v>12039</v>
      </c>
      <c r="B2954" s="2" t="s">
        <v>8141</v>
      </c>
      <c r="C2954" s="2" t="s">
        <v>9087</v>
      </c>
      <c r="D2954" s="2" t="n">
        <v>97.61</v>
      </c>
      <c r="E2954" s="13" t="n">
        <v>45523</v>
      </c>
    </row>
    <row r="2955" customFormat="false" ht="15" hidden="false" customHeight="false" outlineLevel="0" collapsed="false">
      <c r="A2955" s="2" t="s">
        <v>12040</v>
      </c>
      <c r="B2955" s="2" t="s">
        <v>8143</v>
      </c>
      <c r="C2955" s="2" t="s">
        <v>9087</v>
      </c>
      <c r="D2955" s="2" t="n">
        <v>97.98</v>
      </c>
      <c r="E2955" s="13" t="n">
        <v>45530</v>
      </c>
    </row>
    <row r="2956" customFormat="false" ht="15" hidden="false" customHeight="false" outlineLevel="0" collapsed="false">
      <c r="A2956" s="2" t="s">
        <v>12041</v>
      </c>
      <c r="B2956" s="2" t="s">
        <v>8145</v>
      </c>
      <c r="C2956" s="2" t="s">
        <v>9083</v>
      </c>
      <c r="D2956" s="2" t="n">
        <v>98.35</v>
      </c>
      <c r="E2956" s="13" t="n">
        <v>45537</v>
      </c>
    </row>
    <row r="2957" customFormat="false" ht="15" hidden="false" customHeight="false" outlineLevel="0" collapsed="false">
      <c r="A2957" s="2" t="s">
        <v>12042</v>
      </c>
      <c r="B2957" s="2" t="s">
        <v>8147</v>
      </c>
      <c r="C2957" s="2" t="s">
        <v>9087</v>
      </c>
      <c r="D2957" s="2" t="n">
        <v>98.72</v>
      </c>
      <c r="E2957" s="13" t="n">
        <v>45544</v>
      </c>
    </row>
    <row r="2958" customFormat="false" ht="15" hidden="false" customHeight="false" outlineLevel="0" collapsed="false">
      <c r="A2958" s="2" t="s">
        <v>12043</v>
      </c>
      <c r="B2958" s="2" t="s">
        <v>8149</v>
      </c>
      <c r="C2958" s="2" t="s">
        <v>9083</v>
      </c>
      <c r="D2958" s="2" t="n">
        <v>99.09</v>
      </c>
      <c r="E2958" s="13" t="n">
        <v>45551</v>
      </c>
    </row>
    <row r="2959" customFormat="false" ht="15" hidden="false" customHeight="false" outlineLevel="0" collapsed="false">
      <c r="A2959" s="2" t="s">
        <v>12044</v>
      </c>
      <c r="B2959" s="2" t="s">
        <v>8151</v>
      </c>
      <c r="C2959" s="2" t="s">
        <v>9087</v>
      </c>
      <c r="D2959" s="2" t="n">
        <v>99.46</v>
      </c>
      <c r="E2959" s="13" t="n">
        <v>45558</v>
      </c>
    </row>
    <row r="2960" customFormat="false" ht="15" hidden="false" customHeight="false" outlineLevel="0" collapsed="false">
      <c r="A2960" s="2" t="s">
        <v>12045</v>
      </c>
      <c r="B2960" s="2" t="s">
        <v>8153</v>
      </c>
      <c r="C2960" s="2" t="s">
        <v>9092</v>
      </c>
      <c r="D2960" s="2" t="n">
        <v>99.83</v>
      </c>
      <c r="E2960" s="13" t="n">
        <v>45565</v>
      </c>
    </row>
    <row r="2961" customFormat="false" ht="15" hidden="false" customHeight="false" outlineLevel="0" collapsed="false">
      <c r="A2961" s="2" t="s">
        <v>12046</v>
      </c>
      <c r="B2961" s="2" t="s">
        <v>8155</v>
      </c>
      <c r="C2961" s="2" t="s">
        <v>9085</v>
      </c>
      <c r="D2961" s="2" t="n">
        <v>100.2</v>
      </c>
      <c r="E2961" s="13" t="n">
        <v>45572</v>
      </c>
    </row>
    <row r="2962" customFormat="false" ht="15" hidden="false" customHeight="false" outlineLevel="0" collapsed="false">
      <c r="A2962" s="2" t="s">
        <v>12047</v>
      </c>
      <c r="B2962" s="2" t="s">
        <v>8157</v>
      </c>
      <c r="C2962" s="2" t="s">
        <v>9085</v>
      </c>
      <c r="D2962" s="2" t="n">
        <v>100.57</v>
      </c>
      <c r="E2962" s="13" t="n">
        <v>45579</v>
      </c>
    </row>
    <row r="2963" customFormat="false" ht="15" hidden="false" customHeight="false" outlineLevel="0" collapsed="false">
      <c r="A2963" s="2" t="s">
        <v>12048</v>
      </c>
      <c r="B2963" s="2" t="s">
        <v>8159</v>
      </c>
      <c r="C2963" s="2" t="s">
        <v>9083</v>
      </c>
      <c r="D2963" s="2" t="n">
        <v>100.94</v>
      </c>
      <c r="E2963" s="13" t="n">
        <v>45586</v>
      </c>
    </row>
    <row r="2964" customFormat="false" ht="15" hidden="false" customHeight="false" outlineLevel="0" collapsed="false">
      <c r="A2964" s="2" t="s">
        <v>12049</v>
      </c>
      <c r="B2964" s="2" t="s">
        <v>8161</v>
      </c>
      <c r="C2964" s="2" t="s">
        <v>9087</v>
      </c>
      <c r="D2964" s="2" t="n">
        <v>101.31</v>
      </c>
      <c r="E2964" s="13" t="n">
        <v>45593</v>
      </c>
    </row>
    <row r="2965" customFormat="false" ht="15" hidden="false" customHeight="false" outlineLevel="0" collapsed="false">
      <c r="A2965" s="2" t="s">
        <v>12050</v>
      </c>
      <c r="B2965" s="2" t="s">
        <v>8163</v>
      </c>
      <c r="C2965" s="2" t="s">
        <v>9092</v>
      </c>
      <c r="D2965" s="2" t="n">
        <v>101.68</v>
      </c>
      <c r="E2965" s="13" t="n">
        <v>45600</v>
      </c>
    </row>
    <row r="2966" customFormat="false" ht="15" hidden="false" customHeight="false" outlineLevel="0" collapsed="false">
      <c r="A2966" s="2" t="s">
        <v>12051</v>
      </c>
      <c r="B2966" s="2" t="s">
        <v>8165</v>
      </c>
      <c r="C2966" s="2" t="s">
        <v>9085</v>
      </c>
      <c r="D2966" s="2" t="n">
        <v>102.05</v>
      </c>
      <c r="E2966" s="13" t="n">
        <v>45607</v>
      </c>
    </row>
    <row r="2967" customFormat="false" ht="15" hidden="false" customHeight="false" outlineLevel="0" collapsed="false">
      <c r="A2967" s="2" t="s">
        <v>12052</v>
      </c>
      <c r="B2967" s="2" t="s">
        <v>8167</v>
      </c>
      <c r="C2967" s="2" t="s">
        <v>9087</v>
      </c>
      <c r="D2967" s="2" t="n">
        <v>102.42</v>
      </c>
      <c r="E2967" s="13" t="n">
        <v>45614</v>
      </c>
    </row>
    <row r="2968" customFormat="false" ht="15" hidden="false" customHeight="false" outlineLevel="0" collapsed="false">
      <c r="A2968" s="2" t="s">
        <v>12053</v>
      </c>
      <c r="B2968" s="2" t="s">
        <v>8169</v>
      </c>
      <c r="C2968" s="2" t="s">
        <v>9098</v>
      </c>
      <c r="D2968" s="2" t="n">
        <v>102.79</v>
      </c>
      <c r="E2968" s="13" t="n">
        <v>45621</v>
      </c>
    </row>
    <row r="2969" customFormat="false" ht="15" hidden="false" customHeight="false" outlineLevel="0" collapsed="false">
      <c r="A2969" s="2" t="s">
        <v>12054</v>
      </c>
      <c r="B2969" s="2" t="s">
        <v>8171</v>
      </c>
      <c r="C2969" s="2" t="s">
        <v>9087</v>
      </c>
      <c r="D2969" s="2" t="n">
        <v>103.16</v>
      </c>
      <c r="E2969" s="13" t="n">
        <v>45628</v>
      </c>
    </row>
    <row r="2970" customFormat="false" ht="15" hidden="false" customHeight="false" outlineLevel="0" collapsed="false">
      <c r="A2970" s="2" t="s">
        <v>12055</v>
      </c>
      <c r="B2970" s="2" t="s">
        <v>8173</v>
      </c>
      <c r="C2970" s="2" t="s">
        <v>9092</v>
      </c>
      <c r="D2970" s="2" t="n">
        <v>103.53</v>
      </c>
      <c r="E2970" s="13" t="n">
        <v>45635</v>
      </c>
    </row>
    <row r="2971" customFormat="false" ht="15" hidden="false" customHeight="false" outlineLevel="0" collapsed="false">
      <c r="A2971" s="2" t="s">
        <v>12056</v>
      </c>
      <c r="B2971" s="2" t="s">
        <v>8175</v>
      </c>
      <c r="C2971" s="2" t="s">
        <v>9098</v>
      </c>
      <c r="D2971" s="2" t="n">
        <v>103.9</v>
      </c>
      <c r="E2971" s="13" t="n">
        <v>45642</v>
      </c>
    </row>
    <row r="2972" customFormat="false" ht="15" hidden="false" customHeight="false" outlineLevel="0" collapsed="false">
      <c r="A2972" s="2" t="s">
        <v>12057</v>
      </c>
      <c r="B2972" s="2" t="s">
        <v>8177</v>
      </c>
      <c r="C2972" s="2" t="s">
        <v>9098</v>
      </c>
      <c r="D2972" s="2" t="n">
        <v>104.27</v>
      </c>
      <c r="E2972" s="13" t="n">
        <v>45649</v>
      </c>
    </row>
    <row r="2973" customFormat="false" ht="15" hidden="false" customHeight="false" outlineLevel="0" collapsed="false">
      <c r="A2973" s="2" t="s">
        <v>12058</v>
      </c>
      <c r="B2973" s="2" t="s">
        <v>8179</v>
      </c>
      <c r="C2973" s="2" t="s">
        <v>9087</v>
      </c>
      <c r="D2973" s="2" t="n">
        <v>104.64</v>
      </c>
      <c r="E2973" s="13" t="n">
        <v>45656</v>
      </c>
    </row>
    <row r="2974" customFormat="false" ht="15" hidden="false" customHeight="false" outlineLevel="0" collapsed="false">
      <c r="A2974" s="2" t="s">
        <v>12059</v>
      </c>
      <c r="B2974" s="2" t="s">
        <v>8181</v>
      </c>
      <c r="C2974" s="2" t="s">
        <v>9083</v>
      </c>
      <c r="D2974" s="2" t="n">
        <v>105.01</v>
      </c>
      <c r="E2974" s="13" t="n">
        <v>45663</v>
      </c>
    </row>
    <row r="2975" customFormat="false" ht="15" hidden="false" customHeight="false" outlineLevel="0" collapsed="false">
      <c r="A2975" s="2" t="s">
        <v>12060</v>
      </c>
      <c r="B2975" s="2" t="s">
        <v>8183</v>
      </c>
      <c r="C2975" s="2" t="s">
        <v>9085</v>
      </c>
      <c r="D2975" s="2" t="n">
        <v>105.38</v>
      </c>
      <c r="E2975" s="13" t="n">
        <v>45670</v>
      </c>
    </row>
    <row r="2976" customFormat="false" ht="15" hidden="false" customHeight="false" outlineLevel="0" collapsed="false">
      <c r="A2976" s="2" t="s">
        <v>12061</v>
      </c>
      <c r="B2976" s="2" t="s">
        <v>8185</v>
      </c>
      <c r="C2976" s="2" t="s">
        <v>9085</v>
      </c>
      <c r="D2976" s="2" t="n">
        <v>105.75</v>
      </c>
      <c r="E2976" s="13" t="n">
        <v>45677</v>
      </c>
    </row>
    <row r="2977" customFormat="false" ht="15" hidden="false" customHeight="false" outlineLevel="0" collapsed="false">
      <c r="A2977" s="2" t="s">
        <v>12062</v>
      </c>
      <c r="B2977" s="2" t="s">
        <v>8187</v>
      </c>
      <c r="C2977" s="2" t="s">
        <v>9087</v>
      </c>
      <c r="D2977" s="2" t="n">
        <v>106.12</v>
      </c>
      <c r="E2977" s="13" t="n">
        <v>45684</v>
      </c>
    </row>
    <row r="2978" customFormat="false" ht="15" hidden="false" customHeight="false" outlineLevel="0" collapsed="false">
      <c r="A2978" s="2" t="s">
        <v>12063</v>
      </c>
      <c r="B2978" s="2" t="s">
        <v>8189</v>
      </c>
      <c r="C2978" s="2" t="s">
        <v>9092</v>
      </c>
      <c r="D2978" s="2" t="n">
        <v>106.49</v>
      </c>
      <c r="E2978" s="13" t="n">
        <v>45691</v>
      </c>
    </row>
    <row r="2979" customFormat="false" ht="15" hidden="false" customHeight="false" outlineLevel="0" collapsed="false">
      <c r="A2979" s="2" t="s">
        <v>12064</v>
      </c>
      <c r="B2979" s="2" t="s">
        <v>8191</v>
      </c>
      <c r="C2979" s="2" t="s">
        <v>9092</v>
      </c>
      <c r="D2979" s="2" t="n">
        <v>106.86</v>
      </c>
      <c r="E2979" s="13" t="n">
        <v>45698</v>
      </c>
    </row>
    <row r="2980" customFormat="false" ht="15" hidden="false" customHeight="false" outlineLevel="0" collapsed="false">
      <c r="A2980" s="2" t="s">
        <v>12065</v>
      </c>
      <c r="B2980" s="2" t="s">
        <v>8193</v>
      </c>
      <c r="C2980" s="2" t="s">
        <v>9087</v>
      </c>
      <c r="D2980" s="2" t="n">
        <v>107.23</v>
      </c>
      <c r="E2980" s="13" t="n">
        <v>45705</v>
      </c>
    </row>
    <row r="2981" customFormat="false" ht="15" hidden="false" customHeight="false" outlineLevel="0" collapsed="false">
      <c r="A2981" s="2" t="s">
        <v>12066</v>
      </c>
      <c r="B2981" s="2" t="s">
        <v>8195</v>
      </c>
      <c r="C2981" s="2" t="s">
        <v>9098</v>
      </c>
      <c r="D2981" s="2" t="n">
        <v>107.6</v>
      </c>
      <c r="E2981" s="13" t="n">
        <v>45712</v>
      </c>
    </row>
    <row r="2982" customFormat="false" ht="15" hidden="false" customHeight="false" outlineLevel="0" collapsed="false">
      <c r="A2982" s="2" t="s">
        <v>12067</v>
      </c>
      <c r="B2982" s="2" t="s">
        <v>8197</v>
      </c>
      <c r="C2982" s="2" t="s">
        <v>9092</v>
      </c>
      <c r="D2982" s="2" t="n">
        <v>107.97</v>
      </c>
      <c r="E2982" s="13" t="n">
        <v>45719</v>
      </c>
    </row>
    <row r="2983" customFormat="false" ht="15" hidden="false" customHeight="false" outlineLevel="0" collapsed="false">
      <c r="A2983" s="2" t="s">
        <v>12068</v>
      </c>
      <c r="B2983" s="2" t="s">
        <v>8199</v>
      </c>
      <c r="C2983" s="2" t="s">
        <v>9085</v>
      </c>
      <c r="D2983" s="2" t="n">
        <v>108.34</v>
      </c>
      <c r="E2983" s="13" t="n">
        <v>45726</v>
      </c>
    </row>
    <row r="2984" customFormat="false" ht="15" hidden="false" customHeight="false" outlineLevel="0" collapsed="false">
      <c r="A2984" s="2" t="s">
        <v>12069</v>
      </c>
      <c r="B2984" s="2" t="s">
        <v>8201</v>
      </c>
      <c r="C2984" s="2" t="s">
        <v>9092</v>
      </c>
      <c r="D2984" s="2" t="n">
        <v>108.71</v>
      </c>
      <c r="E2984" s="13" t="n">
        <v>45733</v>
      </c>
    </row>
    <row r="2985" customFormat="false" ht="15" hidden="false" customHeight="false" outlineLevel="0" collapsed="false">
      <c r="A2985" s="2" t="s">
        <v>12070</v>
      </c>
      <c r="B2985" s="2" t="s">
        <v>8203</v>
      </c>
      <c r="C2985" s="2" t="s">
        <v>9092</v>
      </c>
      <c r="D2985" s="2" t="n">
        <v>109.08</v>
      </c>
      <c r="E2985" s="13" t="n">
        <v>45740</v>
      </c>
    </row>
    <row r="2986" customFormat="false" ht="15" hidden="false" customHeight="false" outlineLevel="0" collapsed="false">
      <c r="A2986" s="2" t="s">
        <v>12071</v>
      </c>
      <c r="B2986" s="2" t="s">
        <v>8207</v>
      </c>
      <c r="C2986" s="2" t="s">
        <v>9083</v>
      </c>
      <c r="D2986" s="2" t="n">
        <v>109.45</v>
      </c>
      <c r="E2986" s="13" t="n">
        <v>45747</v>
      </c>
    </row>
    <row r="2987" customFormat="false" ht="15" hidden="false" customHeight="false" outlineLevel="0" collapsed="false">
      <c r="A2987" s="2" t="s">
        <v>12072</v>
      </c>
      <c r="B2987" s="2" t="s">
        <v>8209</v>
      </c>
      <c r="C2987" s="2" t="s">
        <v>9083</v>
      </c>
      <c r="D2987" s="2" t="n">
        <v>109.82</v>
      </c>
      <c r="E2987" s="13" t="n">
        <v>45754</v>
      </c>
    </row>
    <row r="2988" customFormat="false" ht="15" hidden="false" customHeight="false" outlineLevel="0" collapsed="false">
      <c r="A2988" s="2" t="s">
        <v>12073</v>
      </c>
      <c r="B2988" s="2" t="s">
        <v>8211</v>
      </c>
      <c r="C2988" s="2" t="s">
        <v>9083</v>
      </c>
      <c r="D2988" s="2" t="n">
        <v>110.19</v>
      </c>
      <c r="E2988" s="13" t="n">
        <v>45761</v>
      </c>
    </row>
    <row r="2989" customFormat="false" ht="15" hidden="false" customHeight="false" outlineLevel="0" collapsed="false">
      <c r="A2989" s="2" t="s">
        <v>12074</v>
      </c>
      <c r="B2989" s="2" t="s">
        <v>8213</v>
      </c>
      <c r="C2989" s="2" t="s">
        <v>9098</v>
      </c>
      <c r="D2989" s="2" t="n">
        <v>110.56</v>
      </c>
      <c r="E2989" s="13" t="n">
        <v>45768</v>
      </c>
    </row>
    <row r="2990" customFormat="false" ht="15" hidden="false" customHeight="false" outlineLevel="0" collapsed="false">
      <c r="A2990" s="2" t="s">
        <v>12075</v>
      </c>
      <c r="B2990" s="2" t="s">
        <v>8215</v>
      </c>
      <c r="C2990" s="2" t="s">
        <v>9098</v>
      </c>
      <c r="D2990" s="2" t="n">
        <v>110.93</v>
      </c>
      <c r="E2990" s="13" t="n">
        <v>45775</v>
      </c>
    </row>
    <row r="2991" customFormat="false" ht="15" hidden="false" customHeight="false" outlineLevel="0" collapsed="false">
      <c r="A2991" s="2" t="s">
        <v>12076</v>
      </c>
      <c r="B2991" s="2" t="s">
        <v>8217</v>
      </c>
      <c r="C2991" s="2" t="s">
        <v>9098</v>
      </c>
      <c r="D2991" s="2" t="n">
        <v>111.3</v>
      </c>
      <c r="E2991" s="13" t="n">
        <v>45782</v>
      </c>
    </row>
    <row r="2992" customFormat="false" ht="15" hidden="false" customHeight="false" outlineLevel="0" collapsed="false">
      <c r="A2992" s="2" t="s">
        <v>12077</v>
      </c>
      <c r="B2992" s="2" t="s">
        <v>8219</v>
      </c>
      <c r="C2992" s="2" t="s">
        <v>9087</v>
      </c>
      <c r="D2992" s="2" t="n">
        <v>111.67</v>
      </c>
      <c r="E2992" s="13" t="n">
        <v>45789</v>
      </c>
    </row>
    <row r="2993" customFormat="false" ht="15" hidden="false" customHeight="false" outlineLevel="0" collapsed="false">
      <c r="A2993" s="2" t="s">
        <v>12078</v>
      </c>
      <c r="B2993" s="2" t="s">
        <v>8221</v>
      </c>
      <c r="C2993" s="2" t="s">
        <v>9083</v>
      </c>
      <c r="D2993" s="2" t="n">
        <v>112.04</v>
      </c>
      <c r="E2993" s="13" t="n">
        <v>45796</v>
      </c>
    </row>
    <row r="2994" customFormat="false" ht="15" hidden="false" customHeight="false" outlineLevel="0" collapsed="false">
      <c r="A2994" s="2" t="s">
        <v>12079</v>
      </c>
      <c r="B2994" s="2" t="s">
        <v>8223</v>
      </c>
      <c r="C2994" s="2" t="s">
        <v>9085</v>
      </c>
      <c r="D2994" s="2" t="n">
        <v>112.41</v>
      </c>
      <c r="E2994" s="13" t="n">
        <v>45803</v>
      </c>
    </row>
    <row r="2995" customFormat="false" ht="15" hidden="false" customHeight="false" outlineLevel="0" collapsed="false">
      <c r="A2995" s="2" t="s">
        <v>12080</v>
      </c>
      <c r="B2995" s="2" t="s">
        <v>8225</v>
      </c>
      <c r="C2995" s="2" t="s">
        <v>9092</v>
      </c>
      <c r="D2995" s="2" t="n">
        <v>112.78</v>
      </c>
      <c r="E2995" s="13" t="n">
        <v>45810</v>
      </c>
    </row>
    <row r="2996" customFormat="false" ht="15" hidden="false" customHeight="false" outlineLevel="0" collapsed="false">
      <c r="A2996" s="2" t="s">
        <v>12081</v>
      </c>
      <c r="B2996" s="2" t="s">
        <v>8227</v>
      </c>
      <c r="C2996" s="2" t="s">
        <v>9098</v>
      </c>
      <c r="D2996" s="2" t="n">
        <v>113.15</v>
      </c>
      <c r="E2996" s="13" t="n">
        <v>45817</v>
      </c>
    </row>
    <row r="2997" customFormat="false" ht="15" hidden="false" customHeight="false" outlineLevel="0" collapsed="false">
      <c r="A2997" s="2" t="s">
        <v>12082</v>
      </c>
      <c r="B2997" s="2" t="s">
        <v>8229</v>
      </c>
      <c r="C2997" s="2" t="s">
        <v>9098</v>
      </c>
      <c r="D2997" s="2" t="n">
        <v>113.52</v>
      </c>
      <c r="E2997" s="13" t="n">
        <v>45824</v>
      </c>
    </row>
    <row r="2998" customFormat="false" ht="15" hidden="false" customHeight="false" outlineLevel="0" collapsed="false">
      <c r="A2998" s="2" t="s">
        <v>12083</v>
      </c>
      <c r="B2998" s="2" t="s">
        <v>8233</v>
      </c>
      <c r="C2998" s="2" t="s">
        <v>9087</v>
      </c>
      <c r="D2998" s="2" t="n">
        <v>113.89</v>
      </c>
      <c r="E2998" s="13" t="n">
        <v>45831</v>
      </c>
    </row>
    <row r="2999" customFormat="false" ht="15" hidden="false" customHeight="false" outlineLevel="0" collapsed="false">
      <c r="A2999" s="2" t="s">
        <v>12084</v>
      </c>
      <c r="B2999" s="2" t="s">
        <v>8235</v>
      </c>
      <c r="C2999" s="2" t="s">
        <v>9085</v>
      </c>
      <c r="D2999" s="2" t="n">
        <v>114.26</v>
      </c>
      <c r="E2999" s="13" t="n">
        <v>45838</v>
      </c>
    </row>
    <row r="3000" customFormat="false" ht="15" hidden="false" customHeight="false" outlineLevel="0" collapsed="false">
      <c r="A3000" s="2" t="s">
        <v>12085</v>
      </c>
      <c r="B3000" s="2" t="s">
        <v>8237</v>
      </c>
      <c r="C3000" s="2" t="s">
        <v>9087</v>
      </c>
      <c r="D3000" s="2" t="n">
        <v>114.63</v>
      </c>
      <c r="E3000" s="13" t="n">
        <v>45845</v>
      </c>
    </row>
    <row r="3001" customFormat="false" ht="15" hidden="false" customHeight="false" outlineLevel="0" collapsed="false">
      <c r="A3001" s="2" t="s">
        <v>12086</v>
      </c>
      <c r="B3001" s="2" t="s">
        <v>8239</v>
      </c>
      <c r="C3001" s="2" t="s">
        <v>9092</v>
      </c>
      <c r="D3001" s="2" t="n">
        <v>115</v>
      </c>
      <c r="E3001" s="13" t="n">
        <v>45852</v>
      </c>
    </row>
    <row r="3002" customFormat="false" ht="15" hidden="false" customHeight="false" outlineLevel="0" collapsed="false">
      <c r="A3002" s="2" t="s">
        <v>12087</v>
      </c>
      <c r="B3002" s="2" t="s">
        <v>8241</v>
      </c>
      <c r="C3002" s="2" t="s">
        <v>9092</v>
      </c>
      <c r="D3002" s="2" t="n">
        <v>115.37</v>
      </c>
      <c r="E3002" s="13" t="n">
        <v>45859</v>
      </c>
    </row>
    <row r="3003" customFormat="false" ht="15" hidden="false" customHeight="false" outlineLevel="0" collapsed="false">
      <c r="A3003" s="2" t="s">
        <v>12088</v>
      </c>
      <c r="B3003" s="2" t="s">
        <v>8243</v>
      </c>
      <c r="C3003" s="2" t="s">
        <v>9098</v>
      </c>
      <c r="D3003" s="2" t="n">
        <v>115.74</v>
      </c>
      <c r="E3003" s="13" t="n">
        <v>45866</v>
      </c>
    </row>
    <row r="3004" customFormat="false" ht="15" hidden="false" customHeight="false" outlineLevel="0" collapsed="false">
      <c r="A3004" s="2" t="s">
        <v>12089</v>
      </c>
      <c r="B3004" s="2" t="s">
        <v>8245</v>
      </c>
      <c r="C3004" s="2" t="s">
        <v>9085</v>
      </c>
      <c r="D3004" s="2" t="n">
        <v>116.11</v>
      </c>
      <c r="E3004" s="13" t="n">
        <v>45873</v>
      </c>
    </row>
    <row r="3005" customFormat="false" ht="15" hidden="false" customHeight="false" outlineLevel="0" collapsed="false">
      <c r="A3005" s="2" t="s">
        <v>12090</v>
      </c>
      <c r="B3005" s="2" t="s">
        <v>8247</v>
      </c>
      <c r="C3005" s="2" t="s">
        <v>9087</v>
      </c>
      <c r="D3005" s="2" t="n">
        <v>116.48</v>
      </c>
      <c r="E3005" s="13" t="n">
        <v>45880</v>
      </c>
    </row>
    <row r="3006" customFormat="false" ht="15" hidden="false" customHeight="false" outlineLevel="0" collapsed="false">
      <c r="A3006" s="2" t="s">
        <v>12091</v>
      </c>
      <c r="B3006" s="2" t="s">
        <v>8249</v>
      </c>
      <c r="C3006" s="2" t="s">
        <v>9087</v>
      </c>
      <c r="D3006" s="2" t="n">
        <v>116.85</v>
      </c>
      <c r="E3006" s="13" t="n">
        <v>45887</v>
      </c>
    </row>
    <row r="3007" customFormat="false" ht="15" hidden="false" customHeight="false" outlineLevel="0" collapsed="false">
      <c r="A3007" s="2" t="s">
        <v>12092</v>
      </c>
      <c r="B3007" s="2" t="s">
        <v>8251</v>
      </c>
      <c r="C3007" s="2" t="s">
        <v>9087</v>
      </c>
      <c r="D3007" s="2" t="n">
        <v>117.22</v>
      </c>
      <c r="E3007" s="13" t="n">
        <v>45894</v>
      </c>
    </row>
    <row r="3008" customFormat="false" ht="15" hidden="false" customHeight="false" outlineLevel="0" collapsed="false">
      <c r="A3008" s="2" t="s">
        <v>12093</v>
      </c>
      <c r="B3008" s="2" t="s">
        <v>8253</v>
      </c>
      <c r="C3008" s="2" t="s">
        <v>9087</v>
      </c>
      <c r="D3008" s="2" t="n">
        <v>117.59</v>
      </c>
      <c r="E3008" s="13" t="n">
        <v>45901</v>
      </c>
    </row>
    <row r="3009" customFormat="false" ht="15" hidden="false" customHeight="false" outlineLevel="0" collapsed="false">
      <c r="A3009" s="2" t="s">
        <v>12094</v>
      </c>
      <c r="B3009" s="2" t="s">
        <v>8255</v>
      </c>
      <c r="C3009" s="2" t="s">
        <v>9085</v>
      </c>
      <c r="D3009" s="2" t="n">
        <v>117.96</v>
      </c>
      <c r="E3009" s="13" t="n">
        <v>45908</v>
      </c>
    </row>
    <row r="3010" customFormat="false" ht="15" hidden="false" customHeight="false" outlineLevel="0" collapsed="false">
      <c r="A3010" s="2" t="s">
        <v>12095</v>
      </c>
      <c r="B3010" s="2" t="s">
        <v>8257</v>
      </c>
      <c r="C3010" s="2" t="s">
        <v>9085</v>
      </c>
      <c r="D3010" s="2" t="n">
        <v>118.33</v>
      </c>
      <c r="E3010" s="13" t="n">
        <v>45915</v>
      </c>
    </row>
    <row r="3011" customFormat="false" ht="15" hidden="false" customHeight="false" outlineLevel="0" collapsed="false">
      <c r="A3011" s="2" t="s">
        <v>12096</v>
      </c>
      <c r="B3011" s="2" t="s">
        <v>8259</v>
      </c>
      <c r="C3011" s="2" t="s">
        <v>9087</v>
      </c>
      <c r="D3011" s="2" t="n">
        <v>118.7</v>
      </c>
      <c r="E3011" s="13" t="n">
        <v>45922</v>
      </c>
    </row>
    <row r="3012" customFormat="false" ht="15" hidden="false" customHeight="false" outlineLevel="0" collapsed="false">
      <c r="A3012" s="2" t="s">
        <v>12097</v>
      </c>
      <c r="B3012" s="2" t="s">
        <v>8261</v>
      </c>
      <c r="C3012" s="2" t="s">
        <v>9085</v>
      </c>
      <c r="D3012" s="2" t="n">
        <v>119.07</v>
      </c>
      <c r="E3012" s="13" t="n">
        <v>45929</v>
      </c>
    </row>
    <row r="3013" customFormat="false" ht="15" hidden="false" customHeight="false" outlineLevel="0" collapsed="false">
      <c r="A3013" s="2" t="s">
        <v>12098</v>
      </c>
      <c r="B3013" s="2" t="s">
        <v>8263</v>
      </c>
      <c r="C3013" s="2" t="s">
        <v>9085</v>
      </c>
      <c r="D3013" s="2" t="n">
        <v>119.44</v>
      </c>
      <c r="E3013" s="13" t="n">
        <v>45936</v>
      </c>
    </row>
    <row r="3014" customFormat="false" ht="15" hidden="false" customHeight="false" outlineLevel="0" collapsed="false">
      <c r="A3014" s="2" t="s">
        <v>12099</v>
      </c>
      <c r="B3014" s="2" t="s">
        <v>8265</v>
      </c>
      <c r="C3014" s="2" t="s">
        <v>9083</v>
      </c>
      <c r="D3014" s="2" t="n">
        <v>119.81</v>
      </c>
      <c r="E3014" s="13" t="n">
        <v>45943</v>
      </c>
    </row>
    <row r="3015" customFormat="false" ht="15" hidden="false" customHeight="false" outlineLevel="0" collapsed="false">
      <c r="A3015" s="2" t="s">
        <v>12100</v>
      </c>
      <c r="B3015" s="2" t="s">
        <v>8267</v>
      </c>
      <c r="C3015" s="2" t="s">
        <v>9083</v>
      </c>
      <c r="D3015" s="2" t="n">
        <v>120.18</v>
      </c>
      <c r="E3015" s="13" t="n">
        <v>45950</v>
      </c>
    </row>
    <row r="3016" customFormat="false" ht="15" hidden="false" customHeight="false" outlineLevel="0" collapsed="false">
      <c r="A3016" s="2" t="s">
        <v>12101</v>
      </c>
      <c r="B3016" s="2" t="s">
        <v>8269</v>
      </c>
      <c r="C3016" s="2" t="s">
        <v>9083</v>
      </c>
      <c r="D3016" s="2" t="n">
        <v>120.55</v>
      </c>
      <c r="E3016" s="13" t="n">
        <v>45957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2026-08-30T12:20:59Z</dcterms:created>
  <dc:creator>openpyxl</dc:creator>
  <dc:description/>
  <dc:language>en-US</dc:language>
  <cp:lastModifiedBy/>
  <dcterms:modified xsi:type="dcterms:W3CDTF">2026-08-30T12:21:08Z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